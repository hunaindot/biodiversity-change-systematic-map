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hidden" name="WOS Search for References" sheetId="2" r:id="rId6"/>
    <sheet state="visible" name="Raw" sheetId="3" r:id="rId7"/>
    <sheet state="hidden" name="2B) References (Jaureguiberry e" sheetId="4" r:id="rId8"/>
    <sheet state="visible" name="Enriched" sheetId="5" r:id="rId9"/>
    <sheet state="hidden" name="Curated - Jaureguiberry et al (" sheetId="6" r:id="rId10"/>
    <sheet state="hidden" name="Curated - WOS (#158)" sheetId="7" r:id="rId11"/>
    <sheet state="hidden" name="Enriched - Labels" sheetId="8" r:id="rId12"/>
    <sheet state="visible" name="Curated labels" sheetId="9" r:id="rId13"/>
    <sheet state="visible" name="Serving - Labels" sheetId="10" r:id="rId14"/>
    <sheet state="visible" name="Serving - Screening" sheetId="11" r:id="rId15"/>
    <sheet state="visible" name="Test List" sheetId="12" r:id="rId16"/>
    <sheet state="visible" name="Sheet3" sheetId="13" r:id="rId17"/>
    <sheet state="visible" name="Query" sheetId="14" r:id="rId18"/>
  </sheets>
  <definedNames>
    <definedName hidden="1" localSheetId="1" name="_xlnm._FilterDatabase">'WOS Search for References'!$A$1:$L$160</definedName>
    <definedName hidden="1" localSheetId="2" name="_xlnm._FilterDatabase">Raw!$A$1:$AQ$167</definedName>
    <definedName hidden="1" localSheetId="4" name="_xlnm._FilterDatabase">Enriched!$A$1:$AR$168</definedName>
    <definedName hidden="1" localSheetId="5" name="_xlnm._FilterDatabase">'Curated - Jaureguiberry et al ('!$A$1:$AR$159</definedName>
    <definedName hidden="1" localSheetId="6" name="_xlnm._FilterDatabase">'Curated - WOS (#158)'!$A$1:$AY$159</definedName>
    <definedName hidden="1" localSheetId="7" name="_xlnm._FilterDatabase">'Enriched - Labels'!$A$1:$P$159</definedName>
  </definedNames>
  <calcPr/>
</workbook>
</file>

<file path=xl/sharedStrings.xml><?xml version="1.0" encoding="utf-8"?>
<sst xmlns="http://schemas.openxmlformats.org/spreadsheetml/2006/main" count="57477" uniqueCount="5616">
  <si>
    <t>https://www.science.org/doi/10.1126/sciadv.abm9982</t>
  </si>
  <si>
    <t>Jaureguiberry et al</t>
  </si>
  <si>
    <t>Sheet</t>
  </si>
  <si>
    <t>What does it cover</t>
  </si>
  <si>
    <t>Raw</t>
  </si>
  <si>
    <t xml:space="preserve">Export of 166 References of Direct Drivers of Biodiversity Loss labeled by Jaureguiberry et al </t>
  </si>
  <si>
    <t>Enriched</t>
  </si>
  <si>
    <t>All anotation is kepts as it's by original authors. Only one new field "Is Present in WOS" is added manually after checking presence of references in WOS</t>
  </si>
  <si>
    <t>Curated</t>
  </si>
  <si>
    <t xml:space="preserve">For 128 records of test list that are present in full dataset, add labels from raw data.
Standarziations:
- Add "realms_get_standard" based on realms; it is the mapping from realm as mapped by author to how they're written in Global Ecosystems Typology (GET).  </t>
  </si>
  <si>
    <t>Test List</t>
  </si>
  <si>
    <t>Export of 139 records from Test List query</t>
  </si>
  <si>
    <t>Query</t>
  </si>
  <si>
    <t xml:space="preserve">Test list Query to reproduce 139 records that are of article type, present in WOS, not grey literatuyre </t>
  </si>
  <si>
    <t>Publication Type</t>
  </si>
  <si>
    <t>Authors</t>
  </si>
  <si>
    <t>Article Title</t>
  </si>
  <si>
    <t>Source Title</t>
  </si>
  <si>
    <t>Document Type</t>
  </si>
  <si>
    <t>Abstract</t>
  </si>
  <si>
    <t>DOI</t>
  </si>
  <si>
    <t>DOI Link</t>
  </si>
  <si>
    <t>WoS Categories</t>
  </si>
  <si>
    <t>Date of Export</t>
  </si>
  <si>
    <t>UT (Unique WOS ID)</t>
  </si>
  <si>
    <t>Web of Science Record</t>
  </si>
  <si>
    <t>J</t>
  </si>
  <si>
    <t>Lambdon, PW; Pysek, P; Basnou, C; Hejda, M; Arianoutsou, M; Essl, F; Jarosik, V; Pergl, J; Winter, M; Anastasiu, P; Andriopoulos, P; Bazos, I; Brundu, G; Celesti-Grapow, L; Chassot, P; Delipetrou, P; Josefsson, M; Kark, S; Klotz, S; Kokkoris, Y; Kühn, I; Marchante, H; Perglová, I; Pino, J; Vilà, M; Zikos, A; Roy, D; Hulme, PE</t>
  </si>
  <si>
    <t>Alien flora of Europe:: species diversity, temporal trends, geographical patterns and research needs</t>
  </si>
  <si>
    <t>PRESLIA</t>
  </si>
  <si>
    <t>Review</t>
  </si>
  <si>
    <t>The paper provides the first estimate of the composition and structure of alien plants occurring in the wild in the European continent, based on the results of the DAISIE project (2004-2008), funded by the 6th Framework Programme of the European Union and aimed at creating an inventory of invasive species that threaten European terrestrial, freshwater and marine environments. The plant section of the DAISIE database is based on national checklists from 48 European countries/regions and Israel; for many of them the data were compiled during the project and for some countries DAISIE collected the first comprehensive checklists of alien species, based on primary data (e.g., Cyprus, Greece, R Y. R. O. Macedonia, Slovenia, Ukraine). In total, the database contains records of 5789 alien plant species in Europe (including those native to a part of Europe but alien to another part), of which 2843 are alien to Europe (of extra-European origin). The research focus was on naturalized species; there are in total 3749 naturalized aliens in Europe, of which 1780 are alien to Europe. This represents a marked increase compared to 1568 alien species reported by a previous analysis of data in Flora Europaea (1964-1980). Casual aliens were marginally considered and are represented by 1507 species with European origins and 872 species whose native range falls outside Europe. The highest diversity of alien species is concentrated in industrialized countries with a tradition of good botanical recording or intensive recent research. The highest number of all alien species, regardless of status, is reported from Belgium (1969), the United Kingdom (1779) and Czech Republic (1378). The United Kingdom (857), Germany (450), Belgium (447) and Italy (440) are countries with the most naturalized neophytes. The number of naturalized neophytes in European countries is determined mainly by the interaction of temperature and precipitation; it increases with increasing precipitation but only in climatically warm and moderately warm regions. Of the nowadays naturalized neophytes alien to Europe, 50% arrived after 1899, 25% after 1962 and 10% after 1989. At present, approximately 6.2 new species, that are capable of naturalization, are arriving each year. Most alien species have relatively restricted European distributions; half of all naturalized species occur in four or fewer countries/regions, whereas 70% of non-naturalized species occur in only one region. Alien species are drawn from 213 families, dominated by large global plant families which have a weedy tendency and have undergone major radiations in temperate regions (Asteraceae, Poaceae, Rosaceae, Fabaceae, Brassicaceae). There are 1567 genera, which have alien members in European countries, the commonest being globally-diverse genera comprising mainly urban and agricultural weeds (e.g., Amaranthus, Chenopodium and Solanum) or cultivated for ornamental purposes (Cotoneaster, the genus richest in alien species). Only a few large genera which have successfully invaded (e.g., Oenothera, Oxalis, Panicum, Helianthus) are predominantly of non-European origin. Conyza canadensis, Helianthus tuberosus and Robinia pseudoacacia are most widely distributed alien species. Of all naturalized aliens present in Europe, 64.1% occur in industrial habitats and 58.5% on arable land and in parks and gardens. Grasslands and woodlands are also highly invaded, with 37.4 and 31.5%, respectively, of all naturalized aliens in Europe present in these habitats. Mires, bogs and fens are least invaded; only approximately 10% of aliens in Euope occur there. Intentional introductions to Europe (62.8% of the total number of naturalized aliens) prevail over unintentional (37.2%). Ornamental and horticultural introductions escaped from cultivation account for the highest number of species, 52.2% of the total. Among unintentional introductions, contaminants of seed, mineral materials and other commodities are responsible for 1091 alien species introductions to Europe (76.6% of all species introduced unintentionally) and 363 species are assumed to have arrived as stowaways (directly associated with human transport but arriving independently of commodity). Most aliens in Europe have a native range in the same continent (28.6% of all donor region records are from another part of Europe where the plant is native); in terms of species numbers the contribution of Europe as a region of origin is 53.2%. Considering aliens to Europe separately, 45.8% of species have their native distribution in North and South America, 45.9% in Asia, 20.7% in Africa and 5.3% in Australasia. Based on species composition, European alien flora can be classified into five major groups: (1) north-western, comprising Scandinavia and the UK; (2) west-central, extending from Belgium and the Netherlands to Germany and Switzerland; (3) Baltic, including only the former Soviet Baltic states; (4) east-central, comprizing the remainder of central and eastern Europe; (5) southern, covering the entire Mediterranean region. The clustering patterns cut across some European bioclimatic zones; cultural factors such as regional trade links and traditional local preferences for crop, forestry and ornamental species are also important by influencing the introduced species pool. Finally, the paper evaluates a state of the art in the field of plant invasions in Europe, points to research gaps and outlines avenues of further research towards documenting alien plant invasions in Europe. The data are of varying quality and need to be further assessed with respect to the invasion status and residence time of the species included. This concerns especially the naturalized/casual status; so far, this information is available comprehensively for only 19 countries/regions of the 49 considered. Collating an integrated database on the alien flora of Europe can form a principal contribution to developing a European-wide management strategy of alien species.</t>
  </si>
  <si>
    <t>Plant Sciences</t>
  </si>
  <si>
    <t>WOS:000258002600001</t>
  </si>
  <si>
    <r>
      <rPr>
        <rFont val="Arial"/>
        <color rgb="FF1155CC"/>
        <u/>
      </rPr>
      <t>View Full Record in Web of Science</t>
    </r>
  </si>
  <si>
    <t>Seebens, H; Blackburn, TM; Dyer, EE; Genovesi, P; Hulme, PE; Jeschke, JM; Pagad, S; Pysek, P; van Kleunen, M; Winter, M; Ansong, M; Arianoutsou, M; Bacher, S; Blasius, B; Brockerhoff, EG; Brundu, G; Capinha, C; Causton, CE; Celesti-Grapow, L; Dawson, W; Dullinger, S; Economo, EP; Fuentes, N; Guénard, B; Jäger, H; Kartesz, J; Kenis, M; Kühn, I; Lenzner, B; Liebhold, AM; Mosena, A; Moser, D; Nentwig, W; Nishino, M; Pearman, D; Pergl, J; Rabitsch, W; Rojas-Sandoval, J; Roques, A; Rorke, S; Rossinelli, S; Roy, HE; Scalera, R; Schindler, S; Stajerová, K; Tokarska-Guzik, B; Walker, K; Ward, DF; Yamanaka, T; Essl, F</t>
  </si>
  <si>
    <t>Global rise in emerging alien species results from increased accessibility of new source pools</t>
  </si>
  <si>
    <t>PROCEEDINGS OF THE NATIONAL ACADEMY OF SCIENCES OF THE UNITED STATES OF AMERICA</t>
  </si>
  <si>
    <t>Article</t>
  </si>
  <si>
    <t>Our ability to predict the identity of future invasive alien species is largely based upon knowledge of prior invasion history. Emerging alien species-those never encountered as aliens before-therefore pose a significant challenge to biosecurity interventions worldwide. Understanding their temporal trends, origins, and the drivers of their spread is pivotal to improving prevention and risk assessment tools. Here, we use a database of 45,984 first records of 16,019 established alien species to investigate the temporal dynamics of occurrences of emerging alien species worldwide. Even after many centuries of invasions the rate of emergence of new alien species is still high: Onequarter of first records during 2000-2005 were of species that had not been previously recorded anywhere as alien, though with large variation across taxa. Model results show that the high proportion of emerging alien species cannot be solely explained by increases in well-known drivers such as the amount of imported commodities from historically important source regions. Instead, these dynamics reflect the incorporation of new regions into the pool of potential alien species, likely as a consequence of expanding trade networks and environmental change. This process compensates for the depletion of the historically important source species pool through successive invasions. We estimate that 1-16% of all species on Earth, depending on the taxonomic group, qualify as potential alien species. These results suggest that there remains a high proportion of emerging alien species we have yet to encounter, with future impacts that are difficult to predict.</t>
  </si>
  <si>
    <t>10.1073/pnas.1719429115</t>
  </si>
  <si>
    <r>
      <rPr>
        <rFont val="Arial"/>
        <color rgb="FF1155CC"/>
        <u/>
      </rPr>
      <t>http://dx.doi.org/10.1073/pnas.1719429115</t>
    </r>
  </si>
  <si>
    <t>Multidisciplinary Sciences</t>
  </si>
  <si>
    <t>WOS:000426671900017</t>
  </si>
  <si>
    <r>
      <rPr>
        <rFont val="Arial"/>
        <color rgb="FF1155CC"/>
        <u/>
      </rPr>
      <t>View Full Record in Web of Science</t>
    </r>
  </si>
  <si>
    <t>Newman, M; Wittenberg, AT; Cheng, LY; Compo, GP; Smith, CA</t>
  </si>
  <si>
    <t>THE EXTREME 2015/16 EL NINO, IN THE CONTEXT OF HISTORICAL CLIMATE VARIABILITY AND CHANGE</t>
  </si>
  <si>
    <t>BULLETIN OF THE AMERICAN METEOROLOGICAL SOCIETY</t>
  </si>
  <si>
    <t>10.1175/BAMS-D-17-0116.1</t>
  </si>
  <si>
    <r>
      <rPr>
        <rFont val="Arial"/>
        <color rgb="FF1155CC"/>
        <u/>
      </rPr>
      <t>http://dx.doi.org/10.1175/BAMS-D-17-0116.1</t>
    </r>
  </si>
  <si>
    <t>Meteorology &amp; Atmospheric Sciences</t>
  </si>
  <si>
    <t>WOS:000429319000004</t>
  </si>
  <si>
    <r>
      <rPr>
        <rFont val="Arial"/>
        <color rgb="FF1155CC"/>
        <u/>
      </rPr>
      <t>View Full Record in Web of Science</t>
    </r>
  </si>
  <si>
    <t>Risser, MD; Wehner, MF</t>
  </si>
  <si>
    <t>Attributable Human-Induced Changes in the Likelihood and Magnitude of the Observed Extreme Precipitation during Hurricane Harvey</t>
  </si>
  <si>
    <t>GEOPHYSICAL RESEARCH LETTERS</t>
  </si>
  <si>
    <t>Record rainfall amounts were recorded during Hurricane Harvey in the Houston, Texas, area, leading to widespread flooding. We analyze observed precipitation from the Global Historical Climatology Network with a covariate-based extreme value statistical analysis, accounting for both the external influence of global warming and the internal influence of El Nino-Southern Oscillation. We find that human-induced climate change likely increased the chances of the observed precipitation accumulations during Hurricane Harvey in the most affected areas of Houston by a factor of at least 3.5. Further, precipitation accumulations in these areas were likely increased by at least 18.8% (best estimate of 37.7%), which is larger than the 6-7% associated with an attributable warming of 1 degrees C in the Gulf of Mexico and Clausius-Clapeyron scaling. In a Granger causality sense, these statements provide lower bounds on the impact of climate change and motivate further attribution studies using dynamical climate models.</t>
  </si>
  <si>
    <t>10.1002/2017GL075888</t>
  </si>
  <si>
    <r>
      <rPr>
        <rFont val="Arial"/>
        <color rgb="FF1155CC"/>
        <u/>
      </rPr>
      <t>http://dx.doi.org/10.1002/2017GL075888</t>
    </r>
  </si>
  <si>
    <t>Geosciences, Multidisciplinary</t>
  </si>
  <si>
    <t>WOS:000422954700032</t>
  </si>
  <si>
    <r>
      <rPr>
        <rFont val="Arial"/>
        <color rgb="FF1155CC"/>
        <u/>
      </rPr>
      <t>View Full Record in Web of Science</t>
    </r>
  </si>
  <si>
    <t>Johnson, AC; Donnachie, RL; Sumpter, JP; Jurgens, MD; Moeckel, C; Pereira, MG</t>
  </si>
  <si>
    <t>An alternative approach to risk rank chemicals on the threat they pose to the aquatic environment</t>
  </si>
  <si>
    <t>SCIENCE OF THE TOTAL ENVIRONMENT</t>
  </si>
  <si>
    <t>This work presents a new and unbiased method of risk ranking chemicals based on the threat they pose to the aquatic environment. The study ranked 12 metals, 23 pesticides, 11 other persistent organic pollutants (POPs), 13 pharmaceuticals, 10 surfactants and similar compounds and 2 nanoparticles (total of 71) of concern against one another by comparing their median UK river water and median ecotoxicity effect concentrations. To complement this, by giving an assessment on potential wildlife impacts, risk ranking was also carried out by comparing the lowest 10th percentile of the effects data with the highest 90th percentile of the exposure data. In other words, risk was pared down to just toxicity versus exposure. Further modifications included incorporating bioconcentration factors, using only recent water measurements and excluding either lethal or sub-lethal effects. The top ten chemicals, based on the medians, which emerged as having the highest risk to organisms in UK surface waters using all the ecotoxicity data were copper, aluminium, zinc, ethinylestradiol (EE2), linear alkylbenzene sulfonate (LAS), triclosan, manganese, iron, methomyl and chlorpyrifos. By way of contrast, using current UK environmental quality standards as the comparator to median UK river water concentrations would have selected 6 different chemicals in the top ten. This approach revealed big differences in relative risk; for example, zinc presented a million times greater risk then metoprolol and LAS 550 times greater risk than nanosilver. With the exception of EE2, most pharmaceuticals were ranked as having a relatively low risk. (C) 2017 Elsevier B.V. All rights reserved.</t>
  </si>
  <si>
    <t>10.1016/j.scitotenv.2017.05.039</t>
  </si>
  <si>
    <r>
      <rPr>
        <rFont val="Arial"/>
        <color rgb="FF1155CC"/>
        <u/>
      </rPr>
      <t>http://dx.doi.org/10.1016/j.scitotenv.2017.05.039</t>
    </r>
  </si>
  <si>
    <t>Environmental Sciences</t>
  </si>
  <si>
    <t>WOS:000405253500033</t>
  </si>
  <si>
    <r>
      <rPr>
        <rFont val="Arial"/>
        <color rgb="FF1155CC"/>
        <u/>
      </rPr>
      <t>View Full Record in Web of Science</t>
    </r>
  </si>
  <si>
    <t>Emanuel, K</t>
  </si>
  <si>
    <t>Assessing the present and future probability of Hurricane Harvey's rainfall</t>
  </si>
  <si>
    <t>We estimate, for current and future climates, the annual probability of areally averaged hurricane rain of Hurricane Harvey's magnitude by downscaling large numbers of tropical cyclones from three climate reanalyses and six climate models. For the state of Texas, we estimate that the annual probability of 500 mm of area-integrated rainfall was about 1% in the period 1981-2000 and will increase to 18% over the period 2081-2100 under Intergovernmental Panel on Climate Change (IPCC) AR5 representative concentration pathway 8.5. If the frequency of such event is increasingly linearly between these two periods, then in 2017 the annual probability would be 6%, a sixfold increase since the late 20th century.</t>
  </si>
  <si>
    <t>10.1073/pnas.1716222114</t>
  </si>
  <si>
    <r>
      <rPr>
        <rFont val="Arial"/>
        <color rgb="FF1155CC"/>
        <u/>
      </rPr>
      <t>http://dx.doi.org/10.1073/pnas.1716222114</t>
    </r>
  </si>
  <si>
    <t>WOS:000416891600045</t>
  </si>
  <si>
    <r>
      <rPr>
        <rFont val="Arial"/>
        <color rgb="FF1155CC"/>
        <u/>
      </rPr>
      <t>View Full Record in Web of Science</t>
    </r>
  </si>
  <si>
    <t>Dawson, W; Moser, D; van Kleunen, M; Kreft, H; Pergl, J; Pysek, P; Weigelt, P; Winter, M; Lenzner, B; Blackburn, TM; Dyer, EE; Cassey, P; Scrivens, SL; Economo, EP; Guénard, B; Capinha, C; Seebens, H; García-Díaz, P; Nentwig, W; García-Berthou, E; Casal, C; Mandrak, NE; Fuller, P; Meyer, C; Essl, F</t>
  </si>
  <si>
    <t>Global hotspots and correlates of alien species richness across taxonomic groups</t>
  </si>
  <si>
    <t>NATURE ECOLOGY &amp; EVOLUTION</t>
  </si>
  <si>
    <t>Human-mediated transport beyond biogeographic barriers has led to the introduction and establishment of alien species in new regions worldwide. However, we lack a global picture of established alien species richness for multiple taxonomic groups. Here, we assess global patterns and potential drivers of established alien species richness across eight taxonomic groups (amphibians, ants, birds, freshwater fishes, mammals, vascular plants, reptiles and spiders) for 186 islands and 423 mainland regions. Hotspots of established alien species richness are predominantly island and coastal mainland regions. Regions with greater gross domestic product per capita, human population density, and area have higher established alien richness, with strongest effects emerging for islands. Ants and reptiles, birds and mammals, and vascular plants and spiders form pairs of taxonomic groups with the highest spatial congruence in established alien richness, but drivers explaining richness differ between the taxa in each pair. Across all taxonomic groups, our results highlight the need to prioritize prevention of further alien species introductions to island and coastal mainland regions globally.</t>
  </si>
  <si>
    <t>10.1038/s41559-017-0186</t>
  </si>
  <si>
    <r>
      <rPr>
        <rFont val="Arial"/>
        <color rgb="FF1155CC"/>
        <u/>
      </rPr>
      <t>http://dx.doi.org/10.1038/s41559-017-0186</t>
    </r>
  </si>
  <si>
    <t>Ecology; Evolutionary Biology</t>
  </si>
  <si>
    <t>WOS:000417179000015</t>
  </si>
  <si>
    <r>
      <rPr>
        <rFont val="Arial"/>
        <color rgb="FF1155CC"/>
        <u/>
      </rPr>
      <t>View Full Record in Web of Science</t>
    </r>
  </si>
  <si>
    <t>Geyer, R; Jambeck, JR; Law, KL</t>
  </si>
  <si>
    <t>Production, use, and fate of all plastics ever made</t>
  </si>
  <si>
    <t>SCIENCE ADVANCES</t>
  </si>
  <si>
    <t>Plastics have outgrown most man-made materials and have long been under environmental scrutiny. However, robust global information, particularly about their end-of-life fate, is lacking. By identifying and synthesizing dispersed data on production, use, and end-of-life management of polymer resins, synthetic fibers, and additives, we present the first global analysis of all mass-produced plastics ever manufactured. We estimate that 8300 million metric tons (Mt) as of virgin plastics have been produced to date. As of 2015, approximately 6300 Mt of plastic waste had been generated, around 9% of which had been recycled, 12% was incinerated, and 79% was accumulated in landfills or the natural environment. If current production and waste management trends continue, roughly 12,000 Mt of plastic waste will be in landfills or in the natural environment by 2050.</t>
  </si>
  <si>
    <t>10.1126/sciadv.1700782</t>
  </si>
  <si>
    <r>
      <rPr>
        <rFont val="Arial"/>
        <color rgb="FF1155CC"/>
        <u/>
      </rPr>
      <t>http://dx.doi.org/10.1126/sciadv.1700782</t>
    </r>
  </si>
  <si>
    <t>WOS:000411588000033</t>
  </si>
  <si>
    <r>
      <rPr>
        <rFont val="Arial"/>
        <color rgb="FF1155CC"/>
        <u/>
      </rPr>
      <t>View Full Record in Web of Science</t>
    </r>
  </si>
  <si>
    <t>L'Heureux, ML; Takahashi, K; Watkins, AB; Barnston, AG; Becker, EJ; Di Liberto, TE; Gamble, F; Gottschalck, J; Halpert, MS; Huang, BY; Mosquera-Väsquez, K; Wittenberg, AT</t>
  </si>
  <si>
    <t>OBSERVING AND PREDICTING THE 2015/16 EL NINO</t>
  </si>
  <si>
    <t>The El Nino of 2015/16 rivaled the major El Nino events of 1982/83 and 1997/98, showcasing advancements in operational observing and prediction systems, while offering challenges for the future.</t>
  </si>
  <si>
    <t>10.1175/BAMS-D-16-0009.1</t>
  </si>
  <si>
    <r>
      <rPr>
        <rFont val="Arial"/>
        <color rgb="FF1155CC"/>
        <u/>
      </rPr>
      <t>http://dx.doi.org/10.1175/BAMS-D-16-0009.1</t>
    </r>
  </si>
  <si>
    <t>WOS:000406502800006</t>
  </si>
  <si>
    <r>
      <rPr>
        <rFont val="Arial"/>
        <color rgb="FF1155CC"/>
        <u/>
      </rPr>
      <t>View Full Record in Web of Science</t>
    </r>
  </si>
  <si>
    <t>Lebreton, LCM; Van der Zwet, J; Damsteeg, JW; Slat, B; Andrady, A; Reisser, J</t>
  </si>
  <si>
    <t>River plastic emissions to the world's oceans</t>
  </si>
  <si>
    <t>NATURE COMMUNICATIONS</t>
  </si>
  <si>
    <t>Plastics in the marine environment have become a major concern because of their persistence at sea, and adverse consequences to marine life and potentially human health. Implementing mitigation strategies requires an understanding and quantification of marine plastic sources, taking spatial and temporal variability into account. Here we present a global model of plastic inputs from rivers into oceans based on waste management, population density and hydrological information. Our model is calibrated against measurements available in the literature. We estimate that between 1.15 and 2.41 million tonnes of plastic waste currently enters the ocean every year from rivers, with over 74% of emissions occurring between May and October. The top 20 polluting rivers, mostly located in Asia, account for 67% of the global total. The findings of this study provide baseline data for ocean plastic mass balance exercises, and assist in prioritizing future plastic debris monitoring and mitigation strategies.</t>
  </si>
  <si>
    <t>10.1038/ncomms15611</t>
  </si>
  <si>
    <r>
      <rPr>
        <rFont val="Arial"/>
        <color rgb="FF1155CC"/>
        <u/>
      </rPr>
      <t>http://dx.doi.org/10.1038/ncomms15611</t>
    </r>
  </si>
  <si>
    <t>WOS:000402803800001</t>
  </si>
  <si>
    <r>
      <rPr>
        <rFont val="Arial"/>
        <color rgb="FF1155CC"/>
        <u/>
      </rPr>
      <t>View Full Record in Web of Science</t>
    </r>
  </si>
  <si>
    <t>Altieri, AH; Harrison, SB; Seemann, J; Collin, R; Diaz, RJ; Knowlton, N</t>
  </si>
  <si>
    <t>Tropical dead zones and mass mortalities on coral reefs</t>
  </si>
  <si>
    <t>Degradation of coastal water quality in the form of low dissolved oxygen levels (hypoxia) can harm biodiversity, ecosystem function, and human wellbeing. Extreme hypoxic conditions along the coast, leading to what are often referred to as dead zones, are known primarily from temperate regions. However, little is known about the potential threat of hypoxia in the tropics, even though the known risk factors, including eutrophication and elevated temperatures, are common. Here we document an unprecedented hypoxic event on the Caribbean coast of Panama and assess the risk of dead zones to coral reefs worldwide. The event caused coral bleaching and massive mortality of corals and other reef-associated organisms, but observed shifts in community structure combined with laboratory experiments revealed that not all coral species are equally sensitive to hypoxia. Analyses of global databases showed that coral reefs are associated with more than half of the known tropical dead zones worldwide, with &gt;10% of all coral reefs at elevated risk for hypoxia based on local and global risk factors. Hypoxic events in the tropics and associated mortality events have likely been underreported, perhaps by an order of magnitude, because of the lack of local scientific capacity for their detection. Monitoring and management plans for coral reef resilience should incorporate the growing threat of coastal hypoxia and include support for increased detection and research capacity.</t>
  </si>
  <si>
    <t>10.1073/pnas.1621517114</t>
  </si>
  <si>
    <r>
      <rPr>
        <rFont val="Arial"/>
        <color rgb="FF1155CC"/>
        <u/>
      </rPr>
      <t>http://dx.doi.org/10.1073/pnas.1621517114</t>
    </r>
  </si>
  <si>
    <t>WOS:000398159000048</t>
  </si>
  <si>
    <r>
      <rPr>
        <rFont val="Arial"/>
        <color rgb="FF1155CC"/>
        <u/>
      </rPr>
      <t>View Full Record in Web of Science</t>
    </r>
  </si>
  <si>
    <t>Seebens, H; Blackburn, TM; Dyer, EE; Genovesi, P; Hulme, PE; Jeschke, JM; Pagad, S; Pysek, P; Winter, M; Arianoutsou, M; Bacher, S; Blasius, B; Brundu, G; Capinha, C; Celesti-Grapow, L; Dawson, W; Dullinger, S; Fuentes, N; Jäger, H; Kartesz, J; Kenis, M; Kreft, H; Kühn, I; Lenzner, B; Liebhold, A; Mosena, A; Moser, D; Nishino, M; Pearman, D; Pergl, J; Rabitsch, W; Rojas-Sandoval, J; Roques, A; Rorke, S; Rossinelli, S; Roy, HE; Scalera, R; Schindler, S; Stajerová, K; Tokarska-Guzik, B; van Kleunen, M; Walker, K; Weigelt, P; Yamanaka, T; Essl, F</t>
  </si>
  <si>
    <t>No saturation in the accumulation of alien species worldwide</t>
  </si>
  <si>
    <t>Although research on human-mediated exchanges of species has substantially intensified during the last centuries, we know surprisingly little about temporal dynamics of alien species accumulations across regions and taxa. Using a novel database of 45,813 first records of 16,926 established alien species, we show that the annual rate of first records worldwide has increased during the last 200 years, with 37% of all first records reported most recently (1970-2014). Inter-continental and inter-taxonomic variation can be largely attributed to the diaspora of European settlers in the nineteenth century and to the acceleration in trade in the twentieth century. For all taxonomic groups, the increase in numbers of alien species does not show any sign of saturation and most taxa even show increases in the rate of first records over time. This highlights that past efforts to mitigate invasions have not been effective enough to keep up with increasing globalization.</t>
  </si>
  <si>
    <t>10.1038/ncomms14435</t>
  </si>
  <si>
    <r>
      <rPr>
        <rFont val="Arial"/>
        <color rgb="FF1155CC"/>
        <u/>
      </rPr>
      <t>http://dx.doi.org/10.1038/ncomms14435</t>
    </r>
  </si>
  <si>
    <t>WOS:000394221600001</t>
  </si>
  <si>
    <r>
      <rPr>
        <rFont val="Arial"/>
        <color rgb="FF1155CC"/>
        <u/>
      </rPr>
      <t>View Full Record in Web of Science</t>
    </r>
  </si>
  <si>
    <t>Arroita, M; Flores, L; Larrañaga, A; Martínez, A; Martínez-Santos, M; Pereda, O; Ruiz-Romera, E; Solagaistua, L; Elosegi, A</t>
  </si>
  <si>
    <t>Water abstraction impacts stream ecosystem functioning via wetted-channel contraction</t>
  </si>
  <si>
    <t>FRESHWATER BIOLOGY</t>
  </si>
  <si>
    <t>Water abstraction is rapidly increasing worldwide in order to respond to escalating demands for water, food and energy. Abstraction can alter the hydrological regime of streams and rivers, reduce in-stream habitats, change water quality and affect fluvial communities. It can also impair ecosystem functioning, although this aspect has been seldom assessed. We experimentally tested the effect of water abstraction on stream functioning in a headwater mountain stream using a before and after control-impact (BACI) design. We quantified changes in water physicochemical properties, biofilm biomass and activity (exo-enzymes and metabolism), and ecosystem processes (nutrient cycling, organic matter retention and breakdown). Water abstraction did not affect water physicochemical properties, but reduced the biomass and the alkaline phosphatase activity of biofilm per surface unit, the areal uptake of nutrients, and the travel distance of organic matter. It did not affect the biofilm metabolism and breakdown of submerged leaf litter, but decreased the total breakdown. The impacts were larger when analysed per unit of channel length. All variables, except benthic chlorophyll-a, were significantly reduced by abstraction, due to the contraction of the wetted channel. The decrease in the biomass and activity of biofilm, as well as in nutrient uptake and total organic matter breakdown observed in this study could increase nutrient concentration in downstream reaches and reduce the energy transfer to higher trophic levels. Ecosystem services of permanent headwater streams are likely to be compromised with the reduction of wetted-channel width.</t>
  </si>
  <si>
    <t>10.1111/fwb.12864</t>
  </si>
  <si>
    <r>
      <rPr>
        <rFont val="Arial"/>
        <color rgb="FF1155CC"/>
        <u/>
      </rPr>
      <t>http://dx.doi.org/10.1111/fwb.12864</t>
    </r>
  </si>
  <si>
    <t>Ecology; Marine &amp; Freshwater Biology</t>
  </si>
  <si>
    <t>WOS:000393793100003</t>
  </si>
  <si>
    <r>
      <rPr>
        <rFont val="Arial"/>
        <color rgb="FF1155CC"/>
        <u/>
      </rPr>
      <t>View Full Record in Web of Science</t>
    </r>
  </si>
  <si>
    <t>Hattich, GSI; Listmann, L; Raab, J; Ozod-Seradj, D; Reusch, TBH; Matthiessen, B</t>
  </si>
  <si>
    <t>Inter- and intraspecific phenotypic plasticity of three phytoplankton species in response to ocean acidification</t>
  </si>
  <si>
    <t>BIOLOGY LETTERS</t>
  </si>
  <si>
    <t>Phenotypic plasticity describes the phenotypic adjustment of the same genotype to different environmental conditions and is best described by a reaction norm. We focus on the effect of ocean acidification on inter-and intraspecific reaction norms of three globally important phytoplankton species (Emiliania huxleyi, Gephyrocapsa oceanica and Chaetoceros affinis). Despite significant differences in growth rates between the species, they all showed a high potential for phenotypic buffering (similar growth rates between ambient and high CO2 conditions). Only three coccolithophore genotypes showed a reduced growth in high CO2. Diverging responses to high CO2 of single coccolithophore genotypes compared with the respective mean species responses, however, raise the question of whether an extrapolation to the population level is possible from single-genotype experiments. We therefore compared the mean response of all tested genotypes with a total species response comprising the same genotypes, which was not significantly different in the coccolithophores. Assessing species reaction norms to different environmental conditions on short time scale in a genotype-mix could thus reduce sampling effort while increasing predictive power.</t>
  </si>
  <si>
    <t>10.1098/rsbl.2016.0774</t>
  </si>
  <si>
    <r>
      <rPr>
        <rFont val="Arial"/>
        <color rgb="FF1155CC"/>
        <u/>
      </rPr>
      <t>http://dx.doi.org/10.1098/rsbl.2016.0774</t>
    </r>
  </si>
  <si>
    <t>Biology; Ecology; Evolutionary Biology</t>
  </si>
  <si>
    <t>WOS:000396015400004</t>
  </si>
  <si>
    <r>
      <rPr>
        <rFont val="Arial"/>
        <color rgb="FF1155CC"/>
        <u/>
      </rPr>
      <t>View Full Record in Web of Science</t>
    </r>
  </si>
  <si>
    <t>Hoegh-Guldberg, O; Poloczanska, ES; Skirving, W; Dove, S</t>
  </si>
  <si>
    <t>Coral Reef Ecosystems under Climate Change and Ocean Acidification</t>
  </si>
  <si>
    <t>FRONTIERS IN MARINE SCIENCE</t>
  </si>
  <si>
    <t>Coral reefs are found in a wide range of environments, where they provide food and habitat to a large range of organisms as well as providing many other ecological goods and services. Warm-water coral reefs, for example, occupy shallow sunlit, warm, and alkaline waters in order to grow and calcify at the high rates necessary to build and maintain their calcium carbonate structures. At deeper locations (40-150 m), mesophotic (low light) coral reefs accumulate calcium carbonate at much lower rates (if at all in some cases) yet remain important as habitat for a wide range of organisms, including those important for fisheries. Finally, even deeper, down to 2,000 m or more, the so-called cold-water coral reefs are found in the dark depths. Despite their importance, coral reefs are facing significant challenges from human activities including pollution, over-harvesting, physical destruction, and climate change. In the latter case, even lower greenhouse gas emission scenarios (such as Representative Concentration Pathway RCP 4.5) are likely drive the elimination of most warm-water coral reefs by 2040-2050. Cold-water corals are also threatened by warming temperatures and ocean acidification although evidence of the direct effect of climate change is less clear. Evidence that coral reefs can adapt at rates which are sufficient for them to keep up with rapid ocean warming and acidification is minimal, especially given that corals are long-lived and hence have slow rates of evolution. Conclusions that coral reefs will migrate to higher latitudes as they warm are equally unfounded, with the observations of tropical species appearing at high latitudes necessary but not sufficient evidence that entire coral reef ecosystems are shifting. On the contrary, coral reefs are likely to degrade rapidly over the next 20 years, presenting fundamental challenges for the 500 million people who derive food, income, coastal protection, and a range of other services from coral reefs. Unless rapid advances to the goals of the Paris Climate Change Agreement occur over the next decade, hundreds of millions of people are likely to face increasing amounts of poverty and social disruption, and, in some cases, regional insecurity.</t>
  </si>
  <si>
    <t>10.3389/fmars.2017.00158</t>
  </si>
  <si>
    <r>
      <rPr>
        <rFont val="Arial"/>
        <color rgb="FF1155CC"/>
        <u/>
      </rPr>
      <t>http://dx.doi.org/10.3389/fmars.2017.00158</t>
    </r>
  </si>
  <si>
    <t>Environmental Sciences; Marine &amp; Freshwater Biology</t>
  </si>
  <si>
    <t>WOS:000457690600158</t>
  </si>
  <si>
    <r>
      <rPr>
        <rFont val="Arial"/>
        <color rgb="FF1155CC"/>
        <u/>
      </rPr>
      <t>View Full Record in Web of Science</t>
    </r>
  </si>
  <si>
    <t>Potapov, P; Hansen, MC; Laestadius, L; Turubanova, S; Yaroshenko, A; Thies, C; Smith, W; Zhuravleva, I; Komarova, A; Minnemeyer, S; Esipova, E</t>
  </si>
  <si>
    <t>The last frontiers of wilderness: Tracking loss of intact forest landscapes from 2000 to 2013</t>
  </si>
  <si>
    <t>An intact forest landscape (IFL) is a seamless mosaic of forest and naturally treeless ecosystems with no remotely detected signs of human activity and a minimum area of 500 km(2). IFLs are critical for stabilizing terrestrial carbon storage, harboring biodiversity, regulating hydrological regimes, and providing other ecosystem functions. Although the remaining IFLs comprise only 20% of tropical forest area, they account for 40% of the total aboveground tropical forest carbon. We show that global IFL extent has been reduced by 7.2% since the year 2000. An increasing rate of global IFL area reduction was found, largely driven by the tripling of IFL tropical forest loss in 2011-2013 compared to that in 2001-2003. Industrial logging, agricultural expansion, fire, and mining/resource extraction were the primary causes of IFL area reduction. Protected areas (International Union for Conservation of Nature categories I to III) were found to have a positive effect in slowing the reduction of IFL area from timber harvesting but were less effective in limiting agricultural expansion. The certification of logging concessions under responsible management had a negligible impact on slowing IFL fragmentation in the Congo Basin. Fragmentation of IFLs by logging and establishment of roads and other infrastructure initiates a cascade of changes that lead to landscape transformation and loss of conservation values. Given that only 12% of the global IFL area is protected, our results illustrate the need for planning and investment in carbon sequestration and biodiversity conservation efforts that target the most valuable remaining forests, as identified using the IFL approach.</t>
  </si>
  <si>
    <t>10.1126/sciadv.1600821</t>
  </si>
  <si>
    <r>
      <rPr>
        <rFont val="Arial"/>
        <color rgb="FF1155CC"/>
        <u/>
      </rPr>
      <t>http://dx.doi.org/10.1126/sciadv.1600821</t>
    </r>
  </si>
  <si>
    <t>WOS:000393789900007</t>
  </si>
  <si>
    <r>
      <rPr>
        <rFont val="Arial"/>
        <color rgb="FF1155CC"/>
        <u/>
      </rPr>
      <t>View Full Record in Web of Science</t>
    </r>
  </si>
  <si>
    <t>Heron, SF; Maynard, JA; van Hooidonk, R; Eakin, CM</t>
  </si>
  <si>
    <t>Warming Trends and Bleaching Stress of the World's Coral Reefs 1985-2012</t>
  </si>
  <si>
    <t>SCIENTIFIC REPORTS</t>
  </si>
  <si>
    <t>Coral reefs across the world's oceans are in the midst of the longest bleaching event on record (from 2014 to at least 2016). As many of the world's reefs are remote, there is limited information on how past thermal conditions have influenced reef composition and current stress responses. Using satellite temperature data for 1985-2012, the analysis we present is the first to quantify, for global reef locations, spatial variations in warming trends, thermal stress events and temperature variability at reef-scale (-4 km). Among over 60,000 reef pixels globally, 97% show positive SST trends during the study period with 60% warming significantly. Annual trends exceeded summertime trends at most locations. This indicates that the period of summer-like temperatures has become longer through the record, with a corresponding shortening of the 'winter' reprieve from warm temperatures. The frequency of bleaching-level thermal stress increased three-fold between 1985-91 and 2006-12 -a trend climate model projections suggest will continue. The thermal history data products developed enable needed studies relating thermal history to bleaching resistance and community composition. Such analyses can help identify reefs more resilient to thermal stress.</t>
  </si>
  <si>
    <t>10.1038/srep38402</t>
  </si>
  <si>
    <r>
      <rPr>
        <rFont val="Arial"/>
        <color rgb="FF1155CC"/>
        <u/>
      </rPr>
      <t>http://dx.doi.org/10.1038/srep38402</t>
    </r>
  </si>
  <si>
    <t>WOS:000389239400001</t>
  </si>
  <si>
    <r>
      <rPr>
        <rFont val="Arial"/>
        <color rgb="FF1155CC"/>
        <u/>
      </rPr>
      <t>View Full Record in Web of Science</t>
    </r>
  </si>
  <si>
    <t>van der Sluis, T; Pedroli, B; Kristensen, SBP; Cosor, GL; Pavlis, E</t>
  </si>
  <si>
    <t>Changing land use intensity in Europe - Recent processes in selected case studies</t>
  </si>
  <si>
    <t>LAND USE POLICY</t>
  </si>
  <si>
    <t>In recent decades the intensification of agricultural production in many European countries has been one of the key components of land-use change. The impact of agricultural intensification varies according to national and local contexts and a greater understanding of the drivers of intensification will help to mitigate against its negative impacts and harness potential benefits. This paper analyses changes in land use intensity in six case studies in Europe. A total of 437 landowners were interviewed and their responses were analysed in relation to changes in land use intensity and agricultural production between 2001 and 2011. In the case studies in Western and Eastern Europe we observed stabilisation during the last decade, and no clear tendency of increase or decrease of land use intensity. The use of fertilizers and pesticides seems to have decreased in our cases in Western Europe, which is contrary to trends in Eastern Europe. Agricultural production remained stable in almost all cases, except for an increase in Austria and Romania which may indicate that the farming efficiency has increased. A statistical analysis showed a division between study areas in Romania and Austria (increasing land use intensity) versus those in the Netherlands, Denmark and Greece (decreasing). In the Mediterranean cases we observe a process where agriculture is becoming increasingly marginalised, at the same time as changes in function with regard to urbanisation and recreational land uses have taken place. Logistic regression highlighted the importance of farm size and farmer type in understanding changes in land use intensity. The dominant pattern of stabilisation which has occurred over the past 10 years may also partly be a result of effective EU and national environmental and agricultural policies, which are increasingly concerned with improving environmental conditions in rural areas. (C) 2015 Elsevier Ltd. All rights reserved.</t>
  </si>
  <si>
    <t>10.1016/j.landusepol.2014.12.005</t>
  </si>
  <si>
    <r>
      <rPr>
        <rFont val="Arial"/>
        <color rgb="FF1155CC"/>
        <u/>
      </rPr>
      <t>http://dx.doi.org/10.1016/j.landusepol.2014.12.005</t>
    </r>
  </si>
  <si>
    <t>Environmental Studies</t>
  </si>
  <si>
    <t>WOS:000382341200071</t>
  </si>
  <si>
    <r>
      <rPr>
        <rFont val="Arial"/>
        <color rgb="FF1155CC"/>
        <u/>
      </rPr>
      <t>View Full Record in Web of Science</t>
    </r>
  </si>
  <si>
    <t>Friedrich, T; Timmermann, A; Tigchelaar, M; Timm, OE; Ganopolski, A</t>
  </si>
  <si>
    <t>Nonlinear climate sensitivity and its implications for future greenhouse warming</t>
  </si>
  <si>
    <t>Global mean surface temperatures are rising in response to anthropogenic greenhouse gas emissions. The magnitude of this warming at equilibrium for a given radiative forcing-referred to as specific equilibrium climate sensitivity (S)-is still subject to uncertainties. We estimate global mean temperature variations and S using a 784,000-year-long field reconstruction of sea surface temperatures and a transient paleoclimate model simulation. Our results reveal that S is strongly dependent on the climate background state, with significantly larger values attained during warm phases. Using the Representative Concentration Pathway 8.5 for future greenhouse radiative forcing, we find that the range of paleo-based estimates of Earth's future warming by 2100 CE overlaps with the upper range of climate simulations conducted as part of the Coupled Model Inter-comparison Project Phase 5 (CMIP5). Furthermore, we find that within the 21st century, global mean temperatures will very likely exceed maximum levels reconstructed for the last 784,000 years. On the basis of temperature data from eight glacial cycles, our results provide an independent validation of the magnitude of current CMIP5 warming projections.</t>
  </si>
  <si>
    <t>10.1126/sciadv.1501923</t>
  </si>
  <si>
    <r>
      <rPr>
        <rFont val="Arial"/>
        <color rgb="FF1155CC"/>
        <u/>
      </rPr>
      <t>http://dx.doi.org/10.1126/sciadv.1501923</t>
    </r>
  </si>
  <si>
    <t>WOS:000391267800002</t>
  </si>
  <si>
    <r>
      <rPr>
        <rFont val="Arial"/>
        <color rgb="FF1155CC"/>
        <u/>
      </rPr>
      <t>View Full Record in Web of Science</t>
    </r>
  </si>
  <si>
    <t>Shannon, G; McKenna, MF; Angeloni, LM; Crooks, KR; Fristrup, KM; Brown, E; Warner, KA; Nelson, MD; White, C; Briggs, J; McFarland, S; Wittemyer, G</t>
  </si>
  <si>
    <t>A synthesis of two decades of research documenting the effects of noise on wildlife</t>
  </si>
  <si>
    <t>BIOLOGICAL REVIEWS</t>
  </si>
  <si>
    <t>Global increases in environmental noise levels arising from expansion ofhuman populations, transportation networks, and resource extraction have catalysed a recent surge of research into the effects of noise on wildlife. Synthesising a coherent understanding of the biological consequences of noise from this literature is challenging. Taxonomic groups vary in auditory capabilities.. wide range of noise sources and exposure levels occur, and many kinds of biological responses have been observed, ranging faint individual behaviours to changes in ecological conununities. Also, noise is one of several environmental effects generated by human activities, so researchers must contend with potentially confounding explanations for biological responses. Nonetheless, it is clear that noise presents diverse threats to species and ecosystems and salient patterns are emerging to help inform future natural resource-management decisions. We conducted a systematic and standardised review of the scientific literature published from 1990 to 2013 on the effects of anthropogenic noise on wildlife, including both terrestrial and aquatic studies. Research to date has concentrated predominantly On European and North American species that rely on vocal corrununication, with approximately two-thirds of the data set focussing on songbirds and marine mammals. The majority of studies documented effects from noise, including altered vocal behaviour to mitigate masking, reduced abundance in noisy habitats, changes in vigilance and foraging behaviour, and impacts on individual fitness and the structure of ecological communities. This literature survey shows that terrestrial wildlife responses begin at noise levels of approximately 40 dIlA, and 20% of papers documented impacts below 50 dBA. Our analysis highlights the utility of existing scientific information concerning, the effects of anthropogenic noise on Wikllife for predicting potential outcomes of noise exposure and implementing meaningful mitigation measures. future research directions that Would support more comprehensive predictions regarding the magnitude and severity of noise impacts include: broadening taxonomic and geographical scope, exploring interacting stressors, conducting larger-scale studies, testing mitigation approaches, standardising reporting of acoustic metrics, and assessing the biological response to noise-source removal or mitigation. The broad volume of existing information concerning the effects of anthropogenic, noise on wildlife offers a valuable resource to assist scientists, industry, and natural-resource managers in predicting potential ()incomes of noise exposure.</t>
  </si>
  <si>
    <t>10.1111/brv.12207</t>
  </si>
  <si>
    <r>
      <rPr>
        <rFont val="Arial"/>
        <color rgb="FF1155CC"/>
        <u/>
      </rPr>
      <t>http://dx.doi.org/10.1111/brv.12207</t>
    </r>
  </si>
  <si>
    <t>Biology</t>
  </si>
  <si>
    <t>WOS:000385570300006</t>
  </si>
  <si>
    <r>
      <rPr>
        <rFont val="Arial"/>
        <color rgb="FF1155CC"/>
        <u/>
      </rPr>
      <t>View Full Record in Web of Science</t>
    </r>
  </si>
  <si>
    <t>Schandl, H; Hatfield-Dodds, S; Wiedmann, T; Geschke, A; Cai, YY; West, J; Newth, D; Baynes, T; Lenzen, M; Owen, A</t>
  </si>
  <si>
    <t>Decoupling global environmental pressure and economic growth: scenarios for energy use, materials use and carbon emissions</t>
  </si>
  <si>
    <t>JOURNAL OF CLEANER PRODUCTION</t>
  </si>
  <si>
    <t>In recent decades economic growth and increased human wellbeing around the globe have come at the cost of fast growing natural resource use (including materials and energy) and carbon emissions, leading to converging pressures of declining resource security, rising and increasingly volatile natural resource prices, and climate change. We ask whether well-designed policies can reduce global material and energy use, and carbon emissions, with only minimal impacts on improvements in living standards. We use a novel approach of combined economic and environmental modelling to assess the potential for decoupling for 13 world regions and globally. We apply a production (territorial) and consumption approach to discuss regional differences in natural resource use and carbon emissions across three stylized policy outlooks: a reference case with no significant changes to environment and climate policies; a 'high efficiency' outlook involving a global carbon price rising from $50 to $236 (constant price) per tonne of CO2 between 2010 and 2050 and improvements in resource efficiency (rising from 1.5% historically to between 3.5% and 4.5% in the scenarios); and a 'medium efficiency' outlook midway between the 'no change' and 'high' outlooks. We find that global energy use will continue to grow rapidly under all three scenarios from 17 billion tonnes of oil equivalent (toe) in 2010 to between 30 and 36 billion toe. Carbon emissions would be considerably lower with a global carbon price, less than half the level of the reference case (29-37 billion tonnes of CO2 instead of 74 billion tonnes) and also material use would grow much more slowly under a carbon price and significant investment to increase resource efficiency (95 instead of 180 billion tonnes of materials). We find that OECD economies have significant potential to reduce their material throughput and carbon emissions with little impact on economic growth, and that developing economies such as China could expand their economies at much lower environmental cost. Globally, the effects of very strong abatement and resource efficiency policies on economic growth and employment until 2050 are negligible. Our study suggests that decarbonization and dematerialization are possible with well-designed policy settings and would not contradict efforts to raise human wellbeing and standards of living. The research demonstrates the usefulness of scenarios for unpacking environmental and economic outcomes of policy alternatives. The findings have important implications for future economic opportunities in a highly resource efficient and low carbon global economy to set human development and achieving the sustainable development goals on a more resilient path. Crown Copyright (C) 2015 Published by Elsevier Ltd. All rights reserved.</t>
  </si>
  <si>
    <t>10.1016/j.jclepro.2015.06.100</t>
  </si>
  <si>
    <r>
      <rPr>
        <rFont val="Arial"/>
        <color rgb="FF1155CC"/>
        <u/>
      </rPr>
      <t>http://dx.doi.org/10.1016/j.jclepro.2015.06.100</t>
    </r>
  </si>
  <si>
    <t>Green &amp; Sustainable Science &amp; Technology; Engineering, Environmental; Environmental Sciences</t>
  </si>
  <si>
    <t>WOS:000380624400004</t>
  </si>
  <si>
    <r>
      <rPr>
        <rFont val="Arial"/>
        <color rgb="FF1155CC"/>
        <u/>
      </rPr>
      <t>View Full Record in Web of Science</t>
    </r>
  </si>
  <si>
    <t>Venter, O; Sanderson, EW; Magrach, A; Allan, JR; Beher, J; Jones, KR; Possingham, HP; Laurance, WF; Wood, P; Fekete, BM; Levy, MA; Watson, JEM</t>
  </si>
  <si>
    <t>Global terrestrial Human Footprint maps for 1993 and 2009</t>
  </si>
  <si>
    <t>SCIENTIFIC DATA</t>
  </si>
  <si>
    <t>Article; Data Paper</t>
  </si>
  <si>
    <t>Remotely-sensed and bottom-up survey information were compiled on eight variables measuring the direct and indirect human pressures on the environment globally in 1993 and 2009. This represents not only the most current information of its type, but also the first temporally-consistent set of Human Footprint maps. Data on human pressures were acquired or developed for: 1) built environments, 2) population density, 3) electric infrastructure, 4) crop lands, 5) pasture lands, 6) roads, 7) railways, and 8) navigable waterways. Pressures were then overlaid to create the standardized Human Footprint maps for all non-Antarctic land areas. A validation analysis using scored pressures from 3114 x 1 km(2) random sample plots revealed strong agreement with the Human Footprint maps. We anticipate that the Human Footprint maps will find a range of uses as proxies for human disturbance of natural systems. The updated maps should provide an increased understanding of the human pressures that drive macro-ecological patterns, as well as for tracking environmental change and informing conservation science and application.</t>
  </si>
  <si>
    <t>10.1038/sdata.2016.67</t>
  </si>
  <si>
    <r>
      <rPr>
        <rFont val="Arial"/>
        <color rgb="FF1155CC"/>
        <u/>
      </rPr>
      <t>http://dx.doi.org/10.1038/sdata.2016.67</t>
    </r>
  </si>
  <si>
    <t>WOS:000390229900001</t>
  </si>
  <si>
    <r>
      <rPr>
        <rFont val="Arial"/>
        <color rgb="FF1155CC"/>
        <u/>
      </rPr>
      <t>View Full Record in Web of Science</t>
    </r>
  </si>
  <si>
    <t>Early, R; Bradley, BA; Dukes, JS; Lawler, JJ; Olden, JD; Blumenthal, DM; Gonzalez, P; Grosholz, ED; Ibañez, I; Miller, LP; Sorte, CJB; Tatem, AJ</t>
  </si>
  <si>
    <t>Global threats from invasive alien species in the twenty-first century and national response capacities</t>
  </si>
  <si>
    <t>Invasive alien species (IAS) threaten human livelihoods and biodiversity globally. Increasing globalization facilitates IAS arrival, and environmental changes, including climate change, facilitate IAS establishment. Here we provide the first global, spatial analysis of the terrestrial threat from IAS in light of twenty-first century globalization and environmental change, and evaluate national capacities to prevent and manage species invasions. We find that one-sixth of the global land surface is highly vulnerable to invasion, including substantial areas in developing economies and biodiversity hotspots. The dominant invasion vectors differ between high-income countries (imports, particularly of plants and pets) and low-income countries (air travel). Uniting data on the causes of introduction and establishment can improve early-warning and eradication schemes. Most countries have limited capacity to act against invasions. In particular, we reveal a clear need for proactive invasion strategies in areas with high poverty levels, high biodiversity and low historical levels of invasion.</t>
  </si>
  <si>
    <t>10.1038/ncomms12485</t>
  </si>
  <si>
    <r>
      <rPr>
        <rFont val="Arial"/>
        <color rgb="FF1155CC"/>
        <u/>
      </rPr>
      <t>http://dx.doi.org/10.1038/ncomms12485</t>
    </r>
  </si>
  <si>
    <t>WOS:000381947800001</t>
  </si>
  <si>
    <r>
      <rPr>
        <rFont val="Arial"/>
        <color rgb="FF1155CC"/>
        <u/>
      </rPr>
      <t>View Full Record in Web of Science</t>
    </r>
  </si>
  <si>
    <t>Weller, RA; Farrar, JT; Buckley, J; Mathew, S; Venkatesan, R; Lekha, JS; Chaudhuri, D; Kumar, NS; Kumar, BP</t>
  </si>
  <si>
    <t>Air-Sea Interaction in the Bay of Bengal</t>
  </si>
  <si>
    <t>OCEANOGRAPHY</t>
  </si>
  <si>
    <t>Recent observations of surface meteorology and exchanges of heat, freshwater, and momentum between the ocean and the atmosphere in the Bay of Bengal are presented. These observations characterize air-sea interaction at 18 degrees N, 89.5 degrees E from December 2014 to January 2016 and also at other locations in the northern Bay of Bengal. Monsoonal variability dominated the records, with winds to the northeast in summer and to the southwest in winter. This variability included a strong annual cycle in the atmospheric forcing of the ocean in the Bay of Bengal, with the winter monsoon marked by sustained ocean heat loss resulting in ocean cooling, and the summer monsoon marked by strong storm events with dark skies and rain that also resulted in ocean cooling. The spring intermonsoon was a period of clear skies and low winds, when strong solar heating and weak wind-driven mixing led to ocean warming. The fall intermonsoon was a transitional period, with some storm events but also with enough clear skies and sunlight that ocean surface temperature rose again. Mooring and shipboard observations are used to examine the ability of model-based surface fluxes to represent air-sea interaction in the Bay of Bengal; the model-based fluxes have significant errors. The surface forcing observed at 18 degrees N is also used together with a one-dimensional ocean model to illustrate the potential for local air-sea interaction to drive upper-ocean variability in the Bay of Bengal.</t>
  </si>
  <si>
    <t>10.5670/oceanog.2016.36</t>
  </si>
  <si>
    <r>
      <rPr>
        <rFont val="Arial"/>
        <color rgb="FF1155CC"/>
        <u/>
      </rPr>
      <t>http://dx.doi.org/10.5670/oceanog.2016.36</t>
    </r>
  </si>
  <si>
    <t>Oceanography</t>
  </si>
  <si>
    <t>WOS:000380572500007</t>
  </si>
  <si>
    <r>
      <rPr>
        <rFont val="Arial"/>
        <color rgb="FF1155CC"/>
        <u/>
      </rPr>
      <t>View Full Record in Web of Science</t>
    </r>
  </si>
  <si>
    <t>Critchell, K; Lambrechts, J</t>
  </si>
  <si>
    <t>Modelling accumulation of marine plastics in the coastal zone; what are the dominant physical processes?</t>
  </si>
  <si>
    <t>ESTUARINE COASTAL AND SHELF SCIENCE</t>
  </si>
  <si>
    <t>Anthropogenic marine debris, mainly of plastic origin, is accumulating in estuarine and coastal environments around the world causing damage to fauna, flora and habitats. Plastics also have the potential to accumulate in the food web, as well as causing economic losses to tourism and sea-going industries. If we are to manage this increasing threat, we must first understand where debris is accumulating and why these locations are different to others that do not accumulate large amounts of marine debris. This paper demonstrates an advection-diffusion model that includes beaching, settling, resuspension/re-floating, degradation and topographic effects on the wind in nearshore waters to quantify the relative importance of these physical processes governing plastic debris accumulation. The aim of this paper is to prioritise research that will improve modelling outputs in the future. We have found that the physical characteristic of the source location has by far the largest effect on the fate of the debris. The diffusivity, used to parameterise the sub-grid scale movements, and the relationship between debris resuspension/re-floating from beaches and the wind shadow created by high islands also has a dramatic impact on the modelling results. The rate of degradation of macroplastics into microplastics also have a large influence in the result of the modelling. The other processes presented (settling, wind drift velocity) also help determine the fate of debris, but to a lesser degree. These findings may help prioritise research on physical processes that affect plastic accumulation, leading to more accurate modelling, and subsequently management in the future. (C) 2016 Elsevier Ltd. All rights reserved.</t>
  </si>
  <si>
    <t>10.1016/j.ecss.2016.01.036</t>
  </si>
  <si>
    <r>
      <rPr>
        <rFont val="Arial"/>
        <color rgb="FF1155CC"/>
        <u/>
      </rPr>
      <t>http://dx.doi.org/10.1016/j.ecss.2016.01.036</t>
    </r>
  </si>
  <si>
    <t>Marine &amp; Freshwater Biology; Oceanography</t>
  </si>
  <si>
    <t>WOS:000374199400013</t>
  </si>
  <si>
    <r>
      <rPr>
        <rFont val="Arial"/>
        <color rgb="FF1155CC"/>
        <u/>
      </rPr>
      <t>View Full Record in Web of Science</t>
    </r>
  </si>
  <si>
    <t>Viña, A; McConnell, WJ; Yang, HB; Xu, ZC; Liu, JG</t>
  </si>
  <si>
    <t>Effects of conservation policy on China's forest recovery</t>
  </si>
  <si>
    <t>Forest loss is one of the most pervasive land surface transformations on Earth, with drastic effects on global climate, ecosystems, and human well-being. As part of biodiversity conservation and climate change mitigation efforts, many countries, including China, have been implementing large-scale policies to conserve and restore forests. However, little is known about the effectiveness of these policies, and information on China's forest dynamics at the national level has mainly relied on official statistics. In response to international calls for improved reliability and transparency of information on biodiversity conservation and climate change mitigation efforts, it is crucial to independently verify government statistics. Furthermore, if forest recovery is verified, it is essential to assess the degree to which this recovery is attributable to policy, within the context of other relevant factors. We assess the dynamics of forest cover in China between 2000 and 2010 and evaluate the effectiveness of one of the largest forest conservation programs in the world-the Natural Forest Conservation Program (NFCP). Results indicate that forest cover has significantly increased in around 1.6% of China's territory and that the areas exhibiting forest gain experienced a combined increase in net primary productivity (ca. 0.9 Tg of carbon). Among the variables evaluated at county level, the NFCP exhibited a significantly positive relation with forest gain, whereas reduction in rural labor showed a negative relationship with both forest loss and gain. Findings such as these have global implications for forest conservation and climate change mitigation efforts.</t>
  </si>
  <si>
    <t>10.1126/sciadv.1500965</t>
  </si>
  <si>
    <r>
      <rPr>
        <rFont val="Arial"/>
        <color rgb="FF1155CC"/>
        <u/>
      </rPr>
      <t>http://dx.doi.org/10.1126/sciadv.1500965</t>
    </r>
  </si>
  <si>
    <t>WOS:000379620200006</t>
  </si>
  <si>
    <r>
      <rPr>
        <rFont val="Arial"/>
        <color rgb="FF1155CC"/>
        <u/>
      </rPr>
      <t>View Full Record in Web of Science</t>
    </r>
  </si>
  <si>
    <t>Wilkinson, JL; Hooda, PS; Barker, J; Barton, S; Swinden, J</t>
  </si>
  <si>
    <t>Ecotoxic pharmaceuticals, personal care products, and other emerging contaminants: A review of environmental, receptor-mediated, developmental, and epigenetic toxicity with discussion of proposed toxicity to humans</t>
  </si>
  <si>
    <t>CRITICAL REVIEWS IN ENVIRONMENTAL SCIENCE AND TECHNOLOGY</t>
  </si>
  <si>
    <t>Pharmaceuticals and personal care products (PPCPs), other emerging contaminants (ECs), and metabolites thereof are ubiquitous in the environment, both built and natural. While such compounds have been environmentally present for some time, new pharmaceuticals and replacements for other ECs phased out due to regulatory limitations are continually being introduced to market. Non-target lower organisms are exposed through affected water, atmospheric emissions, precipitation, sediments, among other routes. Biological disruption/dysfunction (such as endocrine, developmental, and epigenetic disruption) has been reported in lower organisms exposed to trace levels of PPCPs and other ECs. Such disruption/dysfunction may not be exclusively present as traditional toxic response (e.g., cancer or death) but may only slightly alter natural biological processes as a result of exposure to an exogenous chemical (e.g., an increased heart rate or altered size of dorsal fat pads in fish). The epigenome and endocrine system appear to be relatively sensitive to many PPCPs/ECs, particularly during early development. Humans are exposed to ECs such as plasticizers and perfluorinated compounds (PFCs) mainly through ingestion (food and contaminated liquid) as well as interaction with day-to-day products (detergents, musk compounds in fragrances, etc.). Few, if any, studies have investigated trace-level toxicity of such ECs to humans as direct-exposure trials are highly unethical. However, numerous epidemiological links exist between the presence of contaminants in humans (blood, urine, and tissues) and the occurrence of diseases or other phenotypic alterations. Despite mounting interest and research, such trace-level effects on humans are greatly debated and often criticized. This paper reviews the current understanding of PPCP/EC toxicity. Discussion of general biological disruption/dysfunction of the following seven classes of PPCP/ECs is included: analgesics, antibiotics, antineoplastic compounds, beta-blockers, endocrine disrupting compounds, PFCs, and plasticizers. A review of receptor-mediated toxicity, non-monotonic dose response relationships, developmental toxicity, and environmental epigenetics is also included. Lastly, an overview of the proposed toxicity to humans is provided including discussion of significant criticism and direction of future research.</t>
  </si>
  <si>
    <t>10.1080/10643389.2015.1096876</t>
  </si>
  <si>
    <r>
      <rPr>
        <rFont val="Arial"/>
        <color rgb="FF1155CC"/>
        <u/>
      </rPr>
      <t>http://dx.doi.org/10.1080/10643389.2015.1096876</t>
    </r>
  </si>
  <si>
    <t>WOS:000371027600002</t>
  </si>
  <si>
    <r>
      <rPr>
        <rFont val="Arial"/>
        <color rgb="FF1155CC"/>
        <u/>
      </rPr>
      <t>View Full Record in Web of Science</t>
    </r>
  </si>
  <si>
    <t>Dixon, MJR; Loh, J; Davidson, NC; Beltrame, C; Freeman, R; Walpole, M</t>
  </si>
  <si>
    <t>Tracking global change in ecosystem area: The Wetland Extent Trends index</t>
  </si>
  <si>
    <t>BIOLOGICAL CONSERVATION</t>
  </si>
  <si>
    <t>We present a method for estimating broad trends in ecosystem area based on incomplete and heterogeneous data, developing a proof-of-concept for the first indicator of change in area of natural wetland, the Wetland Extent Trends (WET) index. We use a variation of the Living Planet Index method, which is used for measuring global trends in wild vertebrate species abundance. The analysis is based on a database containing 1100 wetland extent time-series records and the method identifies and addresses ecological and biogeographic biases in the dataset Globally, the natural WET index, excluding human-made wetlands, declined by about 30% on average between 1970 and 2008. Declines varied between regions from about 50% in Europe to about 17% in Oceania over the same period. The WET index fills an important gap in the ecosystem coverage of global biodiversity indicators and can track changes related to a number of current international policy objectives. The same method could be applied to other datasets to create indicators for other ecosystems with incomplete global data. (C) 2015 Elsevier Ltd. All rights reserved.</t>
  </si>
  <si>
    <t>10.1016/j.biocon.2015.10.023</t>
  </si>
  <si>
    <r>
      <rPr>
        <rFont val="Arial"/>
        <color rgb="FF1155CC"/>
        <u/>
      </rPr>
      <t>http://dx.doi.org/10.1016/j.biocon.2015.10.023</t>
    </r>
  </si>
  <si>
    <t>Biodiversity Conservation; Ecology; Environmental Sciences</t>
  </si>
  <si>
    <t>WOS:000368963700004</t>
  </si>
  <si>
    <r>
      <rPr>
        <rFont val="Arial"/>
        <color rgb="FF1155CC"/>
        <u/>
      </rPr>
      <t>View Full Record in Web of Science</t>
    </r>
  </si>
  <si>
    <t>Isobe, A; Uchida, K; Tokai, T; Iwasaki, S</t>
  </si>
  <si>
    <t>East Asian seas: A hot spot of pelagic microplastics</t>
  </si>
  <si>
    <t>MARINE POLLUTION BULLETIN</t>
  </si>
  <si>
    <t>To investigate concentrations of pelagic micro- (&lt;5 mm in size) and mesoplastics (&gt;5 mm) in the East Asian seas around Japan, field surveys using two vessels were conducted concurrently in summer 2014. The total particle count (pieces km(-2)) was computed based on observed concentrations (pieces m(-3)) of small plastic fragments (both micro- and mesoplastics) collected using neuston nets. The total particle count of microplastics within the study area was 1,720,000 pieces km(-2), 16 times greater than in the North Pacific and 27 times greater than in the world oceans. The proportion of mesoplastics increased upstream of the northeastward ocean currents, such that the small plastic fragments collected in the present surveys were considered to have originated in the Yellow Sea and East China Sea southwest of the study area. (C) 2015 The Authors. Published by Elsevier Ltd.</t>
  </si>
  <si>
    <t>10.1016/j.marpolbul.2015.10.042</t>
  </si>
  <si>
    <r>
      <rPr>
        <rFont val="Arial"/>
        <color rgb="FF1155CC"/>
        <u/>
      </rPr>
      <t>http://dx.doi.org/10.1016/j.marpolbul.2015.10.042</t>
    </r>
  </si>
  <si>
    <t>WOS:000367107600019</t>
  </si>
  <si>
    <r>
      <rPr>
        <rFont val="Arial"/>
        <color rgb="FF1155CC"/>
        <u/>
      </rPr>
      <t>View Full Record in Web of Science</t>
    </r>
  </si>
  <si>
    <t>Blackburn, TM; Dyer, E; Su, S; Cassey, P</t>
  </si>
  <si>
    <t>Long after the event, or four things we (should) know about bird invasions</t>
  </si>
  <si>
    <t>JOURNAL OF ORNITHOLOGY</t>
  </si>
  <si>
    <t>Article; Proceedings Paper</t>
  </si>
  <si>
    <t>The most significant single event in the study of alien bird invasions occurred in 1981, with the publication of John L. Long's seminal book ``Introduced birds of the world'' (full title: Introduced birds of the world: The worldwide history, distribution and influence of birds introduced to new environments''; David &amp; Charles Ltd., Newton Abbot, UK). The significance of this book derives not just from its content, but also from its timing, coincident with the 1982 Scientific Committee on Problems of the Environment (SCOPE) programme on the ecology of biological invasions. It was not long before studies started to appear that exploited the data in Long's book to address the questions posed by SCOPE regarding alien invasions. As a result, we arguably have a more complete understanding of the invasion process for birds than for any other taxon. Nevertheless, there are still some key issues in the study of bird invasions where understanding is not all it should be. The aim of this review is to highlight four of these issues by arguing that (1) we do not know half so much about bird invasions as we think; (2) propagule pressure promotes invasions; (3) colonization pressure matters; (4) there is no evidence that escape from parasites promotes alien (bird) invasions. We expect some of the views expressed to be controversial, and others less so, but either way we hope this paper will stimulate others to provide better evidence for-or against-our propositions.</t>
  </si>
  <si>
    <t>10.1007/s10336-015-1155-z</t>
  </si>
  <si>
    <r>
      <rPr>
        <rFont val="Arial"/>
        <color rgb="FF1155CC"/>
        <u/>
      </rPr>
      <t>http://dx.doi.org/10.1007/s10336-015-1155-z</t>
    </r>
  </si>
  <si>
    <t>Ornithology</t>
  </si>
  <si>
    <t>WOS:000367457200003</t>
  </si>
  <si>
    <r>
      <rPr>
        <rFont val="Arial"/>
        <color rgb="FF1155CC"/>
        <u/>
      </rPr>
      <t>View Full Record in Web of Science</t>
    </r>
  </si>
  <si>
    <t>Burke, M; Hsiang, SM; Miguel, E</t>
  </si>
  <si>
    <t>Global non-linear effect of temperature on economic production</t>
  </si>
  <si>
    <t>NATURE</t>
  </si>
  <si>
    <t>Growing evidence demonstrates that climatic conditions can have a profound impact on the functioning of modern human societies(1,2), but effects on economic activity appear inconsistent. Fundamental productive elements of modern economies, such as workers and crops, exhibit highly non-linear responses to local temperature even in wealthy countries(3,4). In contrast, aggregate macroeconomic productivity of entire wealthy countries is reported not to respond to temperature(5), while poor countries respond only linearly(5,6). Resolving this conflict between micro and macro observations is critical to understanding the role of wealth in coupled human-natural systems(7,8) and to anticipating the global impact of climate change(9,10). Here we unify these seemingly contradictory results by accounting for non-linearity at the macro scale. We show that overall economic productivity is non-linear in temperature for all countries, with productivity peaking at an annual average temperature of 13 degrees C and declining strongly at higher temperatures. The relationship is globally generalizable, unchanged since 1960, and apparent for agricultural and non-agricultural activity in both rich and poor countries. These results provide the first evidence that economic activity in all regions is coupled to the global climate and establish a new empirical foundation for modelling economic loss in response to climate change(11,12), with important implications. If future adaptation mimics past adaptation, unmitigated warming is expected to reshape the global economy by reducing average global incomes roughly 23% by 2100 and widening global income inequality, relative to scenarios without climate change. In contrast to prior estimates, expected global losses are approximately linear in global mean temperature, with median losses many times larger than leading models indicate.</t>
  </si>
  <si>
    <t>10.1038/nature15725</t>
  </si>
  <si>
    <r>
      <rPr>
        <rFont val="Arial"/>
        <color rgb="FF1155CC"/>
        <u/>
      </rPr>
      <t>http://dx.doi.org/10.1038/nature15725</t>
    </r>
  </si>
  <si>
    <t>WOS:000364396700045</t>
  </si>
  <si>
    <r>
      <rPr>
        <rFont val="Arial"/>
        <color rgb="FF1155CC"/>
        <u/>
      </rPr>
      <t>View Full Record in Web of Science</t>
    </r>
  </si>
  <si>
    <t>Alexander, P; Rounsevell, MDA; Dislich, C; Dodson, JR; Engström, K; Moran, D</t>
  </si>
  <si>
    <t>Drivers for global agricultural land use change: The nexus of diet, population, yield and bioenergy</t>
  </si>
  <si>
    <t>GLOBAL ENVIRONMENTAL CHANGE-HUMAN AND POLICY DIMENSIONS</t>
  </si>
  <si>
    <t>The nexus of population growth and changing diets has increased the demands placed on agriculture to supply food for human consumption, animal feed and fuel. Rising incomes lead to dietary changes, from staple crops, towards commodities with greater land requirements, e.g. meat and dairy products. Despite yield improvements partially offsetting increases in demand, agricultural land has still been expanding, causing potential harm to ecosystems, e.g. through deforestation. We use country-level panel data (1961-2011) to allocate the land areas used to produce food for human consumption, waste and biofuels, and to attribute the food production area changes to diet, population and yields drivers. The results show that the production of animal products dominates agricultural land use and land use change over the 50-year period, accounting for 65% of land use change. The rate of extensification of animal production was found to have reduced more recently, principally due to the smaller effect of population growth. The area used for bioenergy was shown to be relatively small, but formed a substantial contribution (36%) to net agricultural expansion in the most recent period. Nevertheless, in comparison to dietary shifts in animal products, bioenergy accounted for less than a tenth of the increase in demand for agricultural land. Population expansion has been the largest driver for agricultural land use change, but dietary changes are a significant and growing driver. China was a notable exception, where dietary transitions dominate food consumption changes, due to rapidly rising incomes. This suggests that future dietary changes will become the principal driver for land use change, pointing to the potential need for demand-side measures to regulate agricultural expansion. (C) 2015 Elsevier Ltd. All rights reserved.</t>
  </si>
  <si>
    <t>10.1016/j.gloenvcha.2015.08.011</t>
  </si>
  <si>
    <r>
      <rPr>
        <rFont val="Arial"/>
        <color rgb="FF1155CC"/>
        <u/>
      </rPr>
      <t>http://dx.doi.org/10.1016/j.gloenvcha.2015.08.011</t>
    </r>
  </si>
  <si>
    <t>Environmental Sciences; Environmental Studies; Geography</t>
  </si>
  <si>
    <t>WOS:000366767100014</t>
  </si>
  <si>
    <r>
      <rPr>
        <rFont val="Arial"/>
        <color rgb="FF1155CC"/>
        <u/>
      </rPr>
      <t>View Full Record in Web of Science</t>
    </r>
  </si>
  <si>
    <t>Williams, R; Wright, AJ; Ashe, E; Blight, LK; Bruintjes, R; Canessa, R; Clark, CW; Cullis-Suzuki, S; Dakin, DT; Erbe, C; Hammond, PS; Merchant, ND; O'Hara, PD; Purser, J; Radford, AN; Simpson, SD; Thomas, L; Wale, MA</t>
  </si>
  <si>
    <t>Impacts of anthropogenic noise on marine life: Publication patterns, new discoveries, and future directions in research and management</t>
  </si>
  <si>
    <t>OCEAN &amp; COASTAL MANAGEMENT</t>
  </si>
  <si>
    <t>Anthropogenic underwater noise is now recognized as a world-wide problem, and recent studies have shown a broad range of negative effects in a variety of taxa. Underwater noise from shipping is increasingly recognized as a significant and pervasive pollutant with the potential to impact marine ecosystems on a global scale. We reviewed six regional case studies as examples of recent research and management activities relating to ocean noise in a variety of taxonomic groups, locations, and approaches. However, as no six projects could ever cover all taxa, sites and noise sources, a brief bibliometric analysis places these case studies into the broader historical and topical context of the peer-reviewed ocean noise literature as a whole. The case studies highlighted emerging knowledge of impacts, including the ways that non-injurious effects can still accumulate at the population level, and detailed approaches to guide ocean noise management. They build a compelling case that a number of anthropogenic noise types can affect a variety of marine taxa. Meanwhile, the bibliometric analyses revealed an increasing diversity of ocean noise topics covered and journal outlets since the 1940s. This could be seen in terms of both the expansion of the literature from more physical interests to ecological impacts of noise, management and policy, and consideration of a widening range of taxa. However, if our scientific knowledge base is ever to get ahead of the curve of rapid industrialization of the ocean, we are going to have to identify naive populations and relatively pristine seas, and construct mechanistic models, so that we can predict impacts before they occur, and guide effective mitigation for the most vulnerable populations. (C) 2015 Elsevier Ltd.</t>
  </si>
  <si>
    <t>10.1016/j.ocecoaman.2015.05.021</t>
  </si>
  <si>
    <r>
      <rPr>
        <rFont val="Arial"/>
        <color rgb="FF1155CC"/>
        <u/>
      </rPr>
      <t>http://dx.doi.org/10.1016/j.ocecoaman.2015.05.021</t>
    </r>
  </si>
  <si>
    <t>Oceanography; Water Resources</t>
  </si>
  <si>
    <t>WOS:000364252300004</t>
  </si>
  <si>
    <r>
      <rPr>
        <rFont val="Arial"/>
        <color rgb="FF1155CC"/>
        <u/>
      </rPr>
      <t>View Full Record in Web of Science</t>
    </r>
  </si>
  <si>
    <t>Rochman, CM; Tahir, A; Williams, SL; Baxa, DV; Lam, R; Miller, JT; Teh, FC; Werorilangi, S; Teh, SJ</t>
  </si>
  <si>
    <t>Anthropogenic debris in seafood: Plastic debris and fibers from textiles in fish and bivalves sold for human consumption</t>
  </si>
  <si>
    <t>The ubiquity of anthropogenic debris in hundreds of species of wildlife and the toxicity of chemicals associated with it has begun to raise concerns regarding the presence of anthropogenic debris in seafood. We assessed the presence of anthropogenic debris in fishes and shellfish on sale for human consumption. We sampled from markets in Makassar, Indonesia, and from California, USA. All fish and shellfish were identified to species where possible. Anthropogenic debris was extracted from the digestive tracts of fish and whole shellfish using a 10% KOH solution and quantified under a dissecting microscope. In Indonesia, anthropogenic debris was found in 28% of individual fish and in 55% of all species. Similarly, in the USA, anthropogenic debris was found in 25% of individual fish and in 67% of all species. Anthropogenic debris was also found in 33% of individual shellfish sampled. All of the anthropogenic debris recovered from fish in Indonesia was plastic, whereas anthropogenic debris recovered from fish in the USA was primarily fibers. Variations in debris types likely reflect different sources and waste management strategies between countries. We report some of the first findings of plastic debris in fishes directly sold for human consumption raising concerns regarding human health.</t>
  </si>
  <si>
    <t>10.1038/srep14340</t>
  </si>
  <si>
    <r>
      <rPr>
        <rFont val="Arial"/>
        <color rgb="FF1155CC"/>
        <u/>
      </rPr>
      <t>http://dx.doi.org/10.1038/srep14340</t>
    </r>
  </si>
  <si>
    <t>WOS:000361664300001</t>
  </si>
  <si>
    <r>
      <rPr>
        <rFont val="Arial"/>
        <color rgb="FF1155CC"/>
        <u/>
      </rPr>
      <t>View Full Record in Web of Science</t>
    </r>
  </si>
  <si>
    <t>Lelieveld, J; Evans, JS; Fnais, M; Giannadaki, D; Pozzer, A</t>
  </si>
  <si>
    <t>The contribution of outdoor air pollution sources to premature mortality on a global scale</t>
  </si>
  <si>
    <t>Assessment of the global burden of disease is based on epidemiological cohort studies that connect premature mortality to a wide range of causes(1-5), including the long-term health impacts of ozone and fine particulate matter with a diameter smaller than 2.5 micrometres (PM2.5)(3-9). It has proved difficult to quantify premature mortality related to air pollution, notably in regions where air quality is not monitored, and also because the toxicity of particles from various sources may vary(10). Here we use a global atmospheric chemistry model to investigate the link between prematuremortality and seven emission source categories in urban and rural environments. In accord with the global burden of disease for 2010 (ref. 5), we calculate that outdoor air pollution, mostly by PM2.5, leads to 3.3 (95 per cent confidence interval 1.61-4.81) million premature deaths per year worldwide, predominantly in Asia. We primarily assume that all particles are equally toxic(5), but also include a sensitivity study that accounts for differential toxicity. We find that emissions from residential energy use such as heating and cooking, prevalent in India and China, have the largest impact on premature mortality globally, being even more dominant if carbonaceous particles are assumed to be most toxic. Whereas in much of the USA and in a few other countries emissions from traffic and power generation are important, in eastern USA, Europe, Russia and East Asia agricultural emissions make the largest relative contribution to PM2.5, with the estimate of overall health impact depending on assumptions regarding particle toxicity. Model projections based on a business-as-usual emission scenario indicate that the contribution of outdoor air pollution to premature mortality could double by 2050.</t>
  </si>
  <si>
    <t>10.1038/nature15371</t>
  </si>
  <si>
    <r>
      <rPr>
        <rFont val="Arial"/>
        <color rgb="FF1155CC"/>
        <u/>
      </rPr>
      <t>http://dx.doi.org/10.1038/nature15371</t>
    </r>
  </si>
  <si>
    <t>WOS:000361297900041</t>
  </si>
  <si>
    <r>
      <rPr>
        <rFont val="Arial"/>
        <color rgb="FF1155CC"/>
        <u/>
      </rPr>
      <t>View Full Record in Web of Science</t>
    </r>
  </si>
  <si>
    <t>King, AD; Donat, MG; Fischer, EM; Hawkins, E; Alexander, LV; Karoly, DJ; Dittus, AJ; Lewis, SC; Perkins, SE</t>
  </si>
  <si>
    <t>The timing of anthropogenic emergence in simulated climate extremes</t>
  </si>
  <si>
    <t>ENVIRONMENTAL RESEARCH LETTERS</t>
  </si>
  <si>
    <t>Determining the time of emergence of climates altered from their natural state by anthropogenic influences can help inform the development of adaptation and mitigation strategies to climate change. Previous studies have examined the time of emergence of climate averages. However, at the global scale, the emergence of changes in extreme events, which have the greatest societal impacts, has not been investigated before. Based on state-of-the-art climate models, we show that temperature extremes generally emerge slightly later from their quasi-natural climate state than seasonal means, due to greater variability in extremes. Nevertheless, according to model evidence, both hot and cold extremes have already emerged across many areas. Remarkably, even precipitation extremes that have very large variability are projected to emerge in the coming decades in Northern Hemisphere winters associated with a wettening trend. Based on our findings we expect local temperature and precipitation extremes to already differ significantly from their previous quasi-natural state at many locations or to do so in the near future. Our findings have implications for climate impacts and detection and attribution studies assessing observed changes in regional climate extremes by showing whether they will likely find a fingerprint of anthropogenic climate change.</t>
  </si>
  <si>
    <t>10.1088/1748-9326/10/9/094015</t>
  </si>
  <si>
    <r>
      <rPr>
        <rFont val="Arial"/>
        <color rgb="FF1155CC"/>
        <u/>
      </rPr>
      <t>http://dx.doi.org/10.1088/1748-9326/10/9/094015</t>
    </r>
  </si>
  <si>
    <t>Environmental Sciences; Meteorology &amp; Atmospheric Sciences</t>
  </si>
  <si>
    <t>WOS:000367141000018</t>
  </si>
  <si>
    <r>
      <rPr>
        <rFont val="Arial"/>
        <color rgb="FF1155CC"/>
        <u/>
      </rPr>
      <t>View Full Record in Web of Science</t>
    </r>
  </si>
  <si>
    <t>Gattuso, JP; Magnan, A; Billé, R; Cheung, WWL; Howes, EL; Joos, F; Allemand, D; Bopp, L; Cooley, SR; Eakin, CM; Hoegh-Guldberg, O; Kelly, RP; Pörtner, HO; Rogers, AD; Baxter, JM; Laffoley, D; Osborn, D; Rankovic, A; Rochette, J; Sumaila, UR; Treyer, S; Turley, C</t>
  </si>
  <si>
    <t>Contrasting futures for ocean and society from different anthropogenic CO2 emissions scenarios</t>
  </si>
  <si>
    <t>SCIENCE</t>
  </si>
  <si>
    <t>The ocean moderates anthropogenic climate change at the cost of profound alterations of its physics, chemistry, ecology, and services. Here, we evaluate and compare the risks of impacts on marine and coastal ecosystems-and the goods and services they provide-for growing cumulative carbon emissions under two contrasting emissions scenarios. The current emissions trajectory would rapidly and significantly alter many ecosystems and the associated services on which humans heavily depend. A reduced emissions scenario-consistent with the Copenhagen Accord's goal of a global temperature increase of less than 2 degrees C-is much more favorable to the ocean but still substantially alters important marine ecosystems and associated goods and services. The management options to address ocean impacts narrow as the ocean warms and acidifies. Consequently, any new climate regime that fails to minimize ocean impacts would be incomplete and inadequate.</t>
  </si>
  <si>
    <t>10.1126/science.aac4722</t>
  </si>
  <si>
    <r>
      <rPr>
        <rFont val="Arial"/>
        <color rgb="FF1155CC"/>
        <u/>
      </rPr>
      <t>http://dx.doi.org/10.1126/science.aac4722</t>
    </r>
  </si>
  <si>
    <t>WOS:000357280800052</t>
  </si>
  <si>
    <r>
      <rPr>
        <rFont val="Arial"/>
        <color rgb="FF1155CC"/>
        <u/>
      </rPr>
      <t>View Full Record in Web of Science</t>
    </r>
  </si>
  <si>
    <t>Halpern, BS; Frazier, M; Potapenko, J; Casey, KS; Koenig, K; Longo, C; Lowndes, JS; Rockwood, RC; Selig, ER; Selkoe, KA; Walbridge, S</t>
  </si>
  <si>
    <t>Spatial and temporal changes in cumulative human impacts on the world's ocean</t>
  </si>
  <si>
    <t>Human pressures on the ocean are thought to be increasing globally, yet we know little about their patterns of cumulative change, which pressures are most responsible for change, and which places are experiencing the greatest increases. Managers and policymakers require such information to make strategic decisions and monitor progress towards management objectives. Here we calculate and map recent change over 5 years in cumulative impacts to marine ecosystems globally from fishing, climate change, and ocean- and land-based stressors. Nearly 66% of the ocean and 77% of national jurisdictions show increased human impact, driven mostly by climate change pressures. Five percent of the ocean is heavily impacted with increasing pressures, requiring management attention. Ten percent has very low impact with decreasing pressures. Our results provide large-scale guidance about where to prioritize management efforts and affirm the importance of addressing climate change to maintain and improve the condition of marine ecosystems.</t>
  </si>
  <si>
    <t>10.1038/ncomms8615</t>
  </si>
  <si>
    <r>
      <rPr>
        <rFont val="Arial"/>
        <color rgb="FF1155CC"/>
        <u/>
      </rPr>
      <t>http://dx.doi.org/10.1038/ncomms8615</t>
    </r>
  </si>
  <si>
    <t>WOS:000358857000008</t>
  </si>
  <si>
    <r>
      <rPr>
        <rFont val="Arial"/>
        <color rgb="FF1155CC"/>
        <u/>
      </rPr>
      <t>View Full Record in Web of Science</t>
    </r>
  </si>
  <si>
    <t>Richey, AS; Thomas, BF; Lo, MH; Reager, JT; Famiglietti, JS; Voss, K; Swenson, S; Rodell, M</t>
  </si>
  <si>
    <t>Quantifying renewable groundwater stress with GRACE</t>
  </si>
  <si>
    <t>WATER RESOURCES RESEARCH</t>
  </si>
  <si>
    <t>Groundwater is an increasingly important water supply source globally. Understanding the amount of groundwater used versus the volume available is crucial to evaluate future water availability. We present a groundwater stress assessment to quantify the relationship between groundwater use and availability in the world's 37 largest aquifer systems. We quantify stress according to a ratio of groundwater use to availability, which we call the Renewable Groundwater Stress ratio. The impact of quantifying groundwater use based on nationally reported groundwater withdrawal statistics is compared to a novel approach to quantify use based on remote sensing observations from the Gravity Recovery and Climate Experiment (GRACE) satellite mission. Four characteristic stress regimes are defined: Overstressed, Variable Stress, Human-dominated Stress, and Unstressed. The regimes are a function of the sign of use (positive or negative) and the sign of groundwater availability, defined as mean annual recharge. The ability to mitigate and adapt to stressed conditions, where use exceeds sustainable water availability, is a function of economic capacity and land use patterns. Therefore, we qualitatively explore the relationship between stress and anthropogenic biomes. We find that estimates of groundwater stress based on withdrawal statistics are unable to capture the range of characteristic stress regimes, especially in regions dominated by sparsely populated biome types with limited cropland. GRACE-based estimates of use and stress can holistically quantify the impact of groundwater use on stress, resulting in both greater magnitudes of stress and more variability of stress between regions.</t>
  </si>
  <si>
    <t>10.1002/2015WR017349</t>
  </si>
  <si>
    <r>
      <rPr>
        <rFont val="Arial"/>
        <color rgb="FF1155CC"/>
        <u/>
      </rPr>
      <t>http://dx.doi.org/10.1002/2015WR017349</t>
    </r>
  </si>
  <si>
    <t>Environmental Sciences; Limnology; Water Resources</t>
  </si>
  <si>
    <t>WOS:000360080200019</t>
  </si>
  <si>
    <r>
      <rPr>
        <rFont val="Arial"/>
        <color rgb="FF1155CC"/>
        <u/>
      </rPr>
      <t>View Full Record in Web of Science</t>
    </r>
  </si>
  <si>
    <t>Capinha, C; Essl, F; Seebens, H; Moser, D; Pereira, HM</t>
  </si>
  <si>
    <t>The dispersal of alien species redefines biogeography in the Anthropocene</t>
  </si>
  <si>
    <t>It has been argued that globalization in human-mediated dispersal of species breaks down biogeographic boundaries, yet empirical tests are still missing. We used data on native and alien ranges of terrestrial gastropods to analyze dissimilarities in species composition among 56 globally distributed regions. We found that native ranges confirm the traditional biogeographic realms, reflecting natural dispersal limitations. However, the distributions of gastropods after human transport are primarily explained by the prevailing climate and, to a smaller extent, by distance and trade relationships. Our findings show that human-mediated dispersal is causing a breakdown of biogeographic barriers, and that climate and to some extent socioeconomic relationships will define biogeography in an era of global change.</t>
  </si>
  <si>
    <t>10.1126/science.aaa8913</t>
  </si>
  <si>
    <r>
      <rPr>
        <rFont val="Arial"/>
        <color rgb="FF1155CC"/>
        <u/>
      </rPr>
      <t>http://dx.doi.org/10.1126/science.aaa8913</t>
    </r>
  </si>
  <si>
    <t>WOS:000356011500053</t>
  </si>
  <si>
    <r>
      <rPr>
        <rFont val="Arial"/>
        <color rgb="FF1155CC"/>
        <u/>
      </rPr>
      <t>View Full Record in Web of Science</t>
    </r>
  </si>
  <si>
    <t>Busch, DS; O'Donnell, MJ; Hauri, C; Mach, KJ; Poach, M; Doney, SC; Signorini, SR</t>
  </si>
  <si>
    <t>Understanding, Characterizing, and Communicating Responses to Ocean Acidification CHALLENGES AND UNCERTAINTIES</t>
  </si>
  <si>
    <t>Over the past decade, ocean acidification (OA) has emerged as a major concern in ocean science. The field of OA is based on certainties-update of carbon dioxide into the global ocean alters its carbon chemistry, and many marine organisms, especially calcifiers, are sensitive to this change. However, the field must accommodate uncertainties about the seriousness of these impacts as it synthesizes and draws conclusions from multiple disciplines. There is pressure from stakeholders to expeditiously inform society about the extent to which OA will impact marine ecosystems and the people who depend on them. Ultimately, decisions about actions related to OA require evaluating risks about the likelihood and magnitude of these impacts. As the scientific literature accumulates, some of the uncertainty related to single-species sensitivity to OA is diminishing. Difficulties remain in scaling laboratory results to species and ecosystem responses in nature, though modeling exercises provide useful insight. As recognition of OA grows scientists' ability to communicate the certainties and uncertainties of our knowledge on OA is crucial for interaction with decision makers. In this regard, there are a number of valuable practices that can be drawn from other fields, especially the global climate change community. A generally accepted set of best practices that scientists follow in their discussions of uncertainty would be helpful for the community engaged in ocean acidification.</t>
  </si>
  <si>
    <t>10.5670/oceanog.2015.29</t>
  </si>
  <si>
    <r>
      <rPr>
        <rFont val="Arial"/>
        <color rgb="FF1155CC"/>
        <u/>
      </rPr>
      <t>http://dx.doi.org/10.5670/oceanog.2015.29</t>
    </r>
  </si>
  <si>
    <t>WOS:000357231700007</t>
  </si>
  <si>
    <r>
      <rPr>
        <rFont val="Arial"/>
        <color rgb="FF1155CC"/>
        <u/>
      </rPr>
      <t>View Full Record in Web of Science</t>
    </r>
  </si>
  <si>
    <t>Österblom, H; Jouffray, JB; Folke, C; Crona, B; Troell, M; Merrie, A; Rockström, J</t>
  </si>
  <si>
    <t>Transnational Corporations as 'Keystone Actors' in Marine Ecosystems</t>
  </si>
  <si>
    <t>PLOS ONE</t>
  </si>
  <si>
    <t>Keystone species have a disproportionate influence on the structure and function of ecosystems. Here we analyze whether a keystone-like pattern can be observed in the relationship between transnational corporations and marine ecosystems globally. We show how thirteen corporations control 11-16% of the global marine catch (9-13 million tons) and 19-40% of the largest and most valuable stocks, including species that play important roles in their respective ecosystem. They dominate all segments of seafood production, operate through an extensive global network of subsidiaries and are profoundly involved in fisheries and aquaculture decision-making. Based on our findings, we define these companies as keystone actors of the Anthropocene. The phenomenon of keystone actors represents an increasingly important feature of the human-dominated world. Sustainable leadership by keystone actors could result in cascading effects throughout the entire seafood industry and enable a critical transition towards improved management of marine living resources and ecosystems.</t>
  </si>
  <si>
    <t>10.1371/journal.pone.0127533</t>
  </si>
  <si>
    <r>
      <rPr>
        <rFont val="Arial"/>
        <color rgb="FF1155CC"/>
        <u/>
      </rPr>
      <t>http://dx.doi.org/10.1371/journal.pone.0127533</t>
    </r>
  </si>
  <si>
    <t>WOS:000355185600087</t>
  </si>
  <si>
    <r>
      <rPr>
        <rFont val="Arial"/>
        <color rgb="FF1155CC"/>
        <u/>
      </rPr>
      <t>View Full Record in Web of Science</t>
    </r>
  </si>
  <si>
    <t>Stehle, S; Schulz, R</t>
  </si>
  <si>
    <t>Agricultural insecticides threaten surface waters at the global scale</t>
  </si>
  <si>
    <t>Compared with nutrient levels and habitat degradation, the importance of agricultural pesticides in surface water may have been underestimated due to a lack of comprehensive quantitative analysis. Increasing pesticide contamination results in decreasing regional aquatic biodiversity, i.e., macroinvertebrate family richness is reduced by similar to 30% at pesticide concentrations equaling the legally accepted regulatory threshold levels (RTLs). This study provides a comprehensive metaanalysis of 838 peer-reviewed studies (&gt;2,500 sites in 73 countries) that evaluates, for the first time to our knowledge on a global scale, the exposure of surface waters to particularly toxic agricultural insecticides. We tested whether measured insecticide concentrations (MICs; i.e., quantified insecticide concentrations) exceed their RTLs and how risks depend on insecticide development over time and stringency of environmental regulation. Our analysis reveals that MICs occur rarely (i.e., an estimated 97.4% of analyses conducted found no MICs) and there is a complete lack of scientific monitoring data for similar to 90% of global cropland. Most importantly, of the 11,300 MICs, 52.4% (5,915 cases; 68.5% of the sites) exceeded the RTL for either surface water (RTLSW) or sediments. Thus, the biological integrity of global water resources is at a substantial risk. RTLSW exceedances depend on the catchment size, sampling regime, and sampling date; are significantly higher for newer-generation insecticides (i.e., pyrethroids); and are high even in countries with stringent environmental regulations. These results suggest the need for worldwide improvements to current pesticide regulations and agricultural pesticide application practices and for intensified research efforts on the presence and effects of pesticides under real-world conditions.</t>
  </si>
  <si>
    <t>10.1073/pnas.1500232112</t>
  </si>
  <si>
    <r>
      <rPr>
        <rFont val="Arial"/>
        <color rgb="FF1155CC"/>
        <u/>
      </rPr>
      <t>http://dx.doi.org/10.1073/pnas.1500232112</t>
    </r>
  </si>
  <si>
    <t>WOS:000353953800062</t>
  </si>
  <si>
    <r>
      <rPr>
        <rFont val="Arial"/>
        <color rgb="FF1155CC"/>
        <u/>
      </rPr>
      <t>View Full Record in Web of Science</t>
    </r>
  </si>
  <si>
    <t>Dalin, C; Qiu, H; Hanasaki, N; Mauzerall, DL; Rodriguez-Iturbe, I</t>
  </si>
  <si>
    <t>Balancing water resource conservation and food security in China</t>
  </si>
  <si>
    <t>China's economic growth is expected to continue into the next decades, accompanied by sustained urbanization and industrialization. The associated increase in demand for land, water resources, and rich foods will deepen the challenge of sustainably feeding the population and balancing agricultural and environmental policies. We combine a hydrologic model with an economic model to project China's future food trade patterns and embedded water resources by 2030 and to analyze the effects of targeted irrigation reductions on this system, notably on national agricultural water consumption and food self-sufficiency. We simulate interprovincial and international food trade with a general equilibrium welfare model and a linear programming optimization, and we obtain province-level estimates of commodities' virtual water content with a hydrologic model. We find that reducing irrigated land in regions highly dependent on scarce river flow and nonrenewable groundwater resources, such as Inner Mongolia and the greater Beijing area, can improve the efficiency of agriculture and trade regarding water resources. It can also avoid significant consumption of irrigation water across China (up to 14.8 km(3)/y, reduction by 14%), while incurring relatively small decreases in national food self-sufficiency (e.g., by 3% for wheat). Other researchers found that a national, rather than local, water policywould have similar effects on food production but would only reduce irrigation water consumption by 5%.</t>
  </si>
  <si>
    <t>10.1073/pnas.1504345112</t>
  </si>
  <si>
    <r>
      <rPr>
        <rFont val="Arial"/>
        <color rgb="FF1155CC"/>
        <u/>
      </rPr>
      <t>http://dx.doi.org/10.1073/pnas.1504345112</t>
    </r>
  </si>
  <si>
    <t>WOS:000352856800038</t>
  </si>
  <si>
    <r>
      <rPr>
        <rFont val="Arial"/>
        <color rgb="FF1155CC"/>
        <u/>
      </rPr>
      <t>View Full Record in Web of Science</t>
    </r>
  </si>
  <si>
    <t>Petrie, B; Barden, R; Kasprzyk-Hordern, B</t>
  </si>
  <si>
    <t>A review on emerging contaminants in wastewaters and the environment: Current knowledge, understudied areas and recommendations for future monitoring</t>
  </si>
  <si>
    <t>WATER RESEARCH</t>
  </si>
  <si>
    <t>This review identifies understudied areas of emerging contaminant (EC) research in wastewaters and the environment, and recommends direction for future monitoring. Non-regulated trace organic ECs including pharmaceuticals, illicit drugs and personal care products are focused on due to ongoing policy initiatives and the expectant broadening of environmental legislation. These ECs are ubiquitous in the aquatic environment, mainly derived from the discharge of municipal wastewater effluents. Their presence is of concern due to the possible ecological impact (e.g., endocrine disruption) to biota within the environment. To better understand their fate in wastewaters and in the environment, a standardised approach to sampling is needed. This ensures representative data is attained and facilitates a better understanding of spatial and temporal trends of EC occurrence. During, wastewater treatment, there is a lack of suspended particulate matter analysis due to further preparation requirements and a lack of good analytical approaches. This results in the under-reporting of several ECs entering wastewater treatment works (WwTWs) and the aquatic environment. Also, sludge can act as a concentrating medium for some chemicals during wastewater treatment. The majority of treated sludge is applied directly to agricultural land without analysis for ECs. As a result there is a paucity of information on the fate of ECs in soils and consequently, there has been no driver to investigate the toxicity to exposed terrestrial organisms. Therefore a more holistic approach to environmental monitoring is required, such that the fate and impact of ECs in all exposed environmental compartments are studied. The traditional analytical approach of applying targeted screening with low resolution mass spectrometry (e.g., triple quadrupoles) results in numerous chemicals such as transformation products going undetected. These can exhibit similar toxicity to the parent EC, demonstrating the necessity of using an integrated analytical approach which compliments targeted and non-targeted screening with biological assays to measure ecological impact. With respect to current :toxicity testing protocols, failure to consider the enantiomeric distribution of chiral compounds found in the environment, and the possible toxicological differences between enantiomers is concerning. Such information is essential for the development of more accurate environmental risk assessment. (C) 2014 The Authors. Published by Elsevier Ltd. This is an open access article under the CC BY license (http://creativecommons.org/licenses/by/3.0/).</t>
  </si>
  <si>
    <t>10.1016/j.watres.2014.08.053</t>
  </si>
  <si>
    <r>
      <rPr>
        <rFont val="Arial"/>
        <color rgb="FF1155CC"/>
        <u/>
      </rPr>
      <t>http://dx.doi.org/10.1016/j.watres.2014.08.053</t>
    </r>
  </si>
  <si>
    <t>Engineering, Environmental; Environmental Sciences; Water Resources</t>
  </si>
  <si>
    <t>WOS:000353605000002</t>
  </si>
  <si>
    <r>
      <rPr>
        <rFont val="Arial"/>
        <color rgb="FF1155CC"/>
        <u/>
      </rPr>
      <t>View Full Record in Web of Science</t>
    </r>
  </si>
  <si>
    <t>Aichele, R; Felbermayr, G</t>
  </si>
  <si>
    <t>KYOTO AND CARBON LEAKAGE: AN EMPIRICAL ANALYSIS OF THE CARBON CONTENT OF BILATERAL TRADE</t>
  </si>
  <si>
    <t>REVIEW OF ECONOMICS AND STATISTICS</t>
  </si>
  <si>
    <t>Has the Kyoto Protocol induced carbon leakage? We conduct the first empirical ex post evaluation of the protocol. We derive a theoretical gravity equation for the carbon dioxide content of trade, which accounts for intermediate inputs, both domestic and imported. The structure of our new panel database of the carbon content of sectoral bilateral trade flows allows controlling for the endogenous selection of countries into the Kyoto Protocol. Binding commitments under Kyoto have increased committed countries' embodied carbon imports from noncommitted countries by around 8% and the emission intensity of their imports by about 3%. Hence, Kyoto has indeed led to leakage.</t>
  </si>
  <si>
    <t>10.1162/REST_a_00438</t>
  </si>
  <si>
    <r>
      <rPr>
        <rFont val="Arial"/>
        <color rgb="FF1155CC"/>
        <u/>
      </rPr>
      <t>http://dx.doi.org/10.1162/REST_a_00438</t>
    </r>
  </si>
  <si>
    <t>Economics; Social Sciences, Mathematical Methods</t>
  </si>
  <si>
    <t>WOS:000350556700008</t>
  </si>
  <si>
    <r>
      <rPr>
        <rFont val="Arial"/>
        <color rgb="FF1155CC"/>
        <u/>
      </rPr>
      <t>View Full Record in Web of Science</t>
    </r>
  </si>
  <si>
    <t>Haddad, NM; Brudvig, LA; Clobert, J; Davies, KF; Gonzalez, A; Holt, RD; Lovejoy, TE; Sexton, JO; Austin, MP; Collins, CD; Cook, WM; Damschen, EI; Ewers, RM; Foster, BL; Jenkins, CN; King, AJ; Laurance, WF; Levey, DJ; Margules, CR; Melbourne, BA; Nicholls, AO; Orrock, JL; Song, DX; Townshend, JR</t>
  </si>
  <si>
    <t>Habitat fragmentation and its lasting impact on Earth's ecosystems</t>
  </si>
  <si>
    <t>We conducted an analysis of global forest cover to reveal that 70% of remaining forest is within 1 km of the forest's edge, subject to the degrading effects of fragmentation. A synthesis of fragmentation experiments spanning multiple biomes and scales, five continents, and 35 years demonstrates that habitat fragmentation reduces biodiversity by 13 to 75% and impairs key ecosystem functions by decreasing biomass and altering nutrient cycles. Effects are greatest in the smallest and most isolated fragments, and they magnify with the passage of time. These findings indicate an urgent need for conservation and restoration measures to improve landscape connectivity, which will reduce extinction rates and help maintain ecosystem services.</t>
  </si>
  <si>
    <t>10.1126/sciadv.1500052</t>
  </si>
  <si>
    <r>
      <rPr>
        <rFont val="Arial"/>
        <color rgb="FF1155CC"/>
        <u/>
      </rPr>
      <t>http://dx.doi.org/10.1126/sciadv.1500052</t>
    </r>
  </si>
  <si>
    <t>WOS:000216591000009</t>
  </si>
  <si>
    <r>
      <rPr>
        <rFont val="Arial"/>
        <color rgb="FF1155CC"/>
        <u/>
      </rPr>
      <t>View Full Record in Web of Science</t>
    </r>
  </si>
  <si>
    <t>Jambeck, JR; Geyer, R; Wilcox, C; Siegler, TR; Perryman, M; Andrady, A; Narayan, R; Law, KL</t>
  </si>
  <si>
    <t>Plastic waste inputs from land into the ocean</t>
  </si>
  <si>
    <t>Plastic debris in the marine environment is widely documented, but the quantity of plastic entering the ocean from waste generated on land is unknown. By linking worldwide data on solid waste, population density, and economic status, we estimated the mass of land-based plastic waste entering the ocean. We calculate that 275 million metric tons (MT) of plastic waste was generated in 192 coastal countries in 2010, with 4.8 to 12.7 million MT entering the ocean. Population size and the quality of waste management systems largely determine which countries contribute the greatest mass of uncaptured waste available to become plastic marine debris. Without waste management infrastructure improvements, the cumulative quantity of plastic waste available to enter the ocean from land is predicted to increase by an order of magnitude by 2025.</t>
  </si>
  <si>
    <t>10.1126/science.1260352</t>
  </si>
  <si>
    <r>
      <rPr>
        <rFont val="Arial"/>
        <color rgb="FF1155CC"/>
        <u/>
      </rPr>
      <t>http://dx.doi.org/10.1126/science.1260352</t>
    </r>
  </si>
  <si>
    <t>WOS:000349221300047</t>
  </si>
  <si>
    <r>
      <rPr>
        <rFont val="Arial"/>
        <color rgb="FF1155CC"/>
        <u/>
      </rPr>
      <t>View Full Record in Web of Science</t>
    </r>
  </si>
  <si>
    <t>Cai, WJ; Wang, GJ; Santoso, A; McPhaden, MJ; Wu, LX; Jin, FF; Timmermann, A; Collins, M; Vecchi, G; Lengaigne, M; England, MH; Dommenget, D; Takahashi, K; Guilyardi, E</t>
  </si>
  <si>
    <t>Increased frequency of extreme La Nina events under greenhouse warming</t>
  </si>
  <si>
    <t>NATURE CLIMATE CHANGE</t>
  </si>
  <si>
    <t>The El Nino/Southern Oscillation is Earth's most prominent source of interannual climate variability, alternating irregularly between El Nino and La Nina, and resulting in global disruption of weather patterns, ecosystems, fisheries and agriculture(1-5). The 1998-1999 extreme La Nina event that followed the 1997-1998 extreme El Nino event(6) switched extreme El Nino-induced severe droughts to devastating floods in western Pacific countries, and vice versa in the southwestern United States(4,7). During extreme La Nina events, cold sea surface conditions develop in the central Pacific(8,9), creating an enhanced temperature gradient from the Maritime continent to the central Pacific. Recent studies have revealed robust changes in El Nino characteristics in response to simulated future greenhouse warming(10-12), but how La Nina will change remains unclear. Here we present climate modelling evidence, from simulations conducted for the Coupled Model Intercomparison Project phase 5 (ref. 13), for a near doubling in the frequency of future extreme La Nina events, from one in every 23 years to one in every 13 years. This occurs because projected faster mean warming of the Maritime continent than the central Pacific, enhanced upper ocean vertical temperature gradients, and increased frequency of extreme El Nino events are conducive to development of the extreme La Nina events. Approximately 75% of the increase occurs in years following extreme El Nino events, thus projecting more frequent swings between opposite extremes from one year to the next.</t>
  </si>
  <si>
    <t>10.1038/NCLIMATE2492</t>
  </si>
  <si>
    <r>
      <rPr>
        <rFont val="Arial"/>
        <color rgb="FF1155CC"/>
        <u/>
      </rPr>
      <t>http://dx.doi.org/10.1038/NCLIMATE2492</t>
    </r>
  </si>
  <si>
    <t>Environmental Sciences; Environmental Studies; Meteorology &amp; Atmospheric Sciences</t>
  </si>
  <si>
    <t>WOS:000350327700022</t>
  </si>
  <si>
    <r>
      <rPr>
        <rFont val="Arial"/>
        <color rgb="FF1155CC"/>
        <u/>
      </rPr>
      <t>View Full Record in Web of Science</t>
    </r>
  </si>
  <si>
    <t>Mekonnen, MM; Pahlow, M; Aldaya, MM; Zarate, E; Hoekstra, AY</t>
  </si>
  <si>
    <t>Sustainability, Efficiency and Equitability of Water Consumption and Pollution in Latin America and the Caribbean</t>
  </si>
  <si>
    <t>SUSTAINABILITY</t>
  </si>
  <si>
    <t>This paper assesses the sustainability, efficiency and equity of water use in Latin America and the Caribbean (LAC) by means of a geographic Water Footprint Assessment (WFA). It aims to provide understanding of water use from both a production and consumption point of view. The study identifies priority basins and areas from the perspectives of blue water scarcity, water pollution and deforestation. Wheat, fodder crops and sugarcane are identified as priority products related to blue water scarcity. The domestic sector is the priority sector regarding water pollution from nitrogen. Soybean and pasture are priority products related to deforestation. We estimate that consumptive water use in crop production could be reduced by 37% and nitrogen-related water pollution by 44% if water footprints were reduced to certain specified benchmark levels. The average WF per consumer in the region is 28% larger than the global average and varies greatly, from 912 m(3)/year per capita in Nicaragua to 3468 m(3)/year in Bolivia. Ironically, the LAC region shows significant levels of undernourishment, although there is abundant water and food production in the region and substantial use of land and water for producing export crops like soybean.</t>
  </si>
  <si>
    <t>10.3390/su7022086</t>
  </si>
  <si>
    <r>
      <rPr>
        <rFont val="Arial"/>
        <color rgb="FF1155CC"/>
        <u/>
      </rPr>
      <t>http://dx.doi.org/10.3390/su7022086</t>
    </r>
  </si>
  <si>
    <t>Green &amp; Sustainable Science &amp; Technology; Environmental Sciences; Environmental Studies</t>
  </si>
  <si>
    <t>WOS:000350217700053</t>
  </si>
  <si>
    <r>
      <rPr>
        <rFont val="Arial"/>
        <color rgb="FF1155CC"/>
        <u/>
      </rPr>
      <t>View Full Record in Web of Science</t>
    </r>
  </si>
  <si>
    <t>Navarro-Ortega, A; Acuña, V; Bellin, A; Burek, P; Cassiani, G; Choukr-Allah, R; Dolédec, S; Elosegi, A; Ferrari, F; Ginebreda, A; Grathwohl, P; Jones, C; Rault, PK; Kok, K; Koundouri, P; Ludwig, RP; Merz, R; Milacic, R; Muñoz, I; Nikulin, G; Paniconi, C; Paunovic, M; Petrovic, M; Sabater, L; Sabater, S; Skoulikidis, NT; Slob, A; Teutsch, G; Voulvoulis, N; Barceló, D</t>
  </si>
  <si>
    <t>Managing the effects of multiple stressors on aquatic ecosystems under water scarcity. The GLOBAQUA project</t>
  </si>
  <si>
    <t>Water scarcity is a serious environmental problem in many European regions, and will likely increase in the near future as a consequence of increased abstraction and climate change. Water scarcity exacerbates the effects of multiple stressors, and thus results in decreased water quality. It impacts river ecosystems, threatens the services they provide, and it will force managers and policy-makers to change their current practices. The EU-FP7 project GLOBAQUA aims at identifying the prevalence, interaction and linkages between stressors, and to assess their effects on the chemical and ecological status of freshwater ecosystems in order to improve water management practice and policies. GLOBAQUA assembles a multidisciplinary team of 21 European plus 2 non-European scientific institutions, as well as water authorities and river basin managers. The project includes experts in hydrology, chemistry, biology, geomorphology, modelling, socio-economics, governance science, knowledge brokerage, and policy advocacy. GLOBAQUA studies six river basins (Ebro, Adige, Sava, Evrotas, Anglian and Souss Massa) affected by water scarcity, and aims to answer the following questions: how does water scarcity interact with other existing stressors in the study river basins? How will these interactions change according to the different scenarios of future global change? Which will be the foreseeable consequences for river ecosystems? How will these in turn affect the services the ecosystems provide? How should management and policies be adapted to minimise the ecological, economic and societal consequences? These questions will be approached by combining data-mining, field- and laboratory-based research, and modelling. Here, we outline the general structure of the project and the activities to be conducted within the fourteen work-packages of GLOBAQUA. (C) 2014 The Authors. Published by Elsevier B.V.</t>
  </si>
  <si>
    <t>10.1016/j.scitotenv.2014.06.081</t>
  </si>
  <si>
    <r>
      <rPr>
        <rFont val="Arial"/>
        <color rgb="FF1155CC"/>
        <u/>
      </rPr>
      <t>http://dx.doi.org/10.1016/j.scitotenv.2014.06.081</t>
    </r>
  </si>
  <si>
    <t>WOS:000345729000002</t>
  </si>
  <si>
    <r>
      <rPr>
        <rFont val="Arial"/>
        <color rgb="FF1155CC"/>
        <u/>
      </rPr>
      <t>View Full Record in Web of Science</t>
    </r>
  </si>
  <si>
    <t>van Vliet, J; de Groot, HLF; Rietveld, P; Verburg, PH</t>
  </si>
  <si>
    <t>Manifestations and underlying drivers of agricultural land use change in Europe</t>
  </si>
  <si>
    <t>LANDSCAPE AND URBAN PLANNING</t>
  </si>
  <si>
    <t>Agricultural land use in Europe has changed considerably in the last decades. However, our understanding of agricultural land use changes, especially changes in land use intensity, is limited because the evidence is fragmented. This paper presents a systematic review of case study evidence on manifestations and underlying drivers for agricultural land use change in Europe. We analyzed 137 studies that together report on 76 cases of intensification and 143 cases of disintensification. Observed changes were manifested as expansion or contraction of agricultural land as well as in changes of land management intensity, landscape elements, agricultural land use activity, and specialization/diversification. Economic, technological, institutional and location factors were frequently identified as underlying drivers, while demographic drivers and sociocultural drivers were mentioned less often. In addition, we found that farmers were very important as moderators between underlying drivers and manifestations of agricultural land use change. Farmer decisions differed between different farmer types, and according to their characteristics and attitudes. We found major land use change trajectories in relation to globalization of agricultural markets, the transition from a rural to an urban society, and the shift to post-socialism in central and eastern Europe. (C) 2014 Elsevier B.V. All rights reserved.</t>
  </si>
  <si>
    <t>10.1016/j.landurbplan.2014.09.001</t>
  </si>
  <si>
    <r>
      <rPr>
        <rFont val="Arial"/>
        <color rgb="FF1155CC"/>
        <u/>
      </rPr>
      <t>http://dx.doi.org/10.1016/j.landurbplan.2014.09.001</t>
    </r>
  </si>
  <si>
    <t>Ecology; Environmental Studies; Geography; Geography, Physical; Regional &amp; Urban Planning; Urban Studies</t>
  </si>
  <si>
    <t>WOS:000346540600003</t>
  </si>
  <si>
    <r>
      <rPr>
        <rFont val="Arial"/>
        <color rgb="FF1155CC"/>
        <u/>
      </rPr>
      <t>View Full Record in Web of Science</t>
    </r>
  </si>
  <si>
    <t>Eriksen, M; Lebreton, LCM; Carson, HS; Thiel, M; Moore, CJ; Borerro, JC; Galgani, F; Ryan, PG; Reisser, J</t>
  </si>
  <si>
    <t>Plastic Pollution in the World's Oceans: More than 5 Trillion Plastic Pieces Weighing over 250,000 Tons Afloat at Sea</t>
  </si>
  <si>
    <t>Plastic pollution is ubiquitous throughout the marine environment, yet estimates of the global abundance and weight of floating plastics have lacked data, particularly from the Southern Hemisphere and remote regions. Here we report an estimate of the total number of plastic particles and their weight floating in the world's oceans from 24 expeditions (2007-2013) across all five sub-tropical gyres, costal Australia, Bay of Bengal and the Mediterranean Sea conducting surface net tows (N=680) and visual survey transects of large plastic debris (N=891). Using an oceanographic model of floating debris dispersal calibrated by our data, and correcting for wind-driven vertical mixing, we estimate a minimum of 5.25 trillion particles weighing 268,940 tons. When comparing between four size classes, two microplastic &lt;4.75 mm and meso- and macroplastic &gt;4.75 mm, a tremendous loss of microplastics is observed from the sea surface compared to expected rates of fragmentation, suggesting there are mechanisms at play that remove &lt;4.75 mm plastic particles from the ocean surface.</t>
  </si>
  <si>
    <t>10.1371/journal.pone.0111913</t>
  </si>
  <si>
    <r>
      <rPr>
        <rFont val="Arial"/>
        <color rgb="FF1155CC"/>
        <u/>
      </rPr>
      <t>http://dx.doi.org/10.1371/journal.pone.0111913</t>
    </r>
  </si>
  <si>
    <t>WOS:000346611400007</t>
  </si>
  <si>
    <r>
      <rPr>
        <rFont val="Arial"/>
        <color rgb="FF1155CC"/>
        <u/>
      </rPr>
      <t>View Full Record in Web of Science</t>
    </r>
  </si>
  <si>
    <t>Brodin, T; Piovano, S; Fick, J; Klaminder, J; Heynen, M; Jonsson, M</t>
  </si>
  <si>
    <t>Ecological effects of pharmaceuticals in aquatic systems-impacts through behavioural alterations</t>
  </si>
  <si>
    <t>PHILOSOPHICAL TRANSACTIONS OF THE ROYAL SOCIETY B-BIOLOGICAL SCIENCES</t>
  </si>
  <si>
    <t>The study of animal behaviour is important for both ecology and ecotoxicology, yet research in these two fields is currently developing independently. Here, we synthesize the available knowledge on drug-induced behavioural alterations in fish, discuss potential ecological consequences and report results from an experiment in which we quantify both uptake and behavioural impact of a psychiatric drug on a predatory fish (Perca fluviatilis) and its invertebrate prey (Coenagrion hastulatum). We show that perch became more active while damselfly behaviour was unaffected, illustrating that behavioural effects of pharmaceuticals can differ between species. Furthermore, we demonstrate that prey consumption can be an important exposure route as on average 46% of the pharmaceutical in ingested prey accumulated in the predator. This suggests that investigations of exposure through bioconcentration, where trophic interactions and subsequent bioaccumulation of exposed individuals are ignored, underestimate exposure. Wildlife may therefore be exposed to higher levels of behaviourally altering pharmaceuticals than predictions based on commonly used exposure assays and pharmaceutical concentrations found in environmental monitoring programmes.</t>
  </si>
  <si>
    <t>10.1098/rstb.2013.0580</t>
  </si>
  <si>
    <r>
      <rPr>
        <rFont val="Arial"/>
        <color rgb="FF1155CC"/>
        <u/>
      </rPr>
      <t>http://dx.doi.org/10.1098/rstb.2013.0580</t>
    </r>
  </si>
  <si>
    <t>WOS:000343114500010</t>
  </si>
  <si>
    <r>
      <rPr>
        <rFont val="Arial"/>
        <color rgb="FF1155CC"/>
        <u/>
      </rPr>
      <t>View Full Record in Web of Science</t>
    </r>
  </si>
  <si>
    <t>De Longueville, F; Hountondji, Y; Ozer, P; Henry, S</t>
  </si>
  <si>
    <t>The Air Quality in African Rural Environments. Preliminary Implications for Health: The Case of Respiratory Disease in the Northern Benin</t>
  </si>
  <si>
    <t>WATER AIR AND SOIL POLLUTION</t>
  </si>
  <si>
    <t>Recently, the World Health Organization's International Association for Research on Cancer classified outdoor air pollution as carcinogenic to humans and puts air pollution in the same category as tobacco smoke, UVradiation, and plutonium. The ambient air is polluted by emissions from motor vehicles, industrial processes, power generation, household combustion of solid fuel, and other sources. Dust storms lead to particulate levels that exceed internationally recommended levels, especially near the Sahara. However, this source of air pollution appears to be under-studied, particularly in the literature devoted to human health impacts in West Africa. More than 50 % of the total dust emitted into the atmosphere comes from the Sahara. These aerosols contribute to increase the concentrations of particles smaller than 10 mu m (PM10), which are breathable particles. This study is the first designed to assess the real impact of Saharan dust on air quality and respiratory health of children in a region ofWest Africa. Dust events having affected the Northern Benin during the dry seasons between 2003 and 2007 were determined. The analyzed health data are the monthly rates of acute lower respiratory infections (ALRI). Over the entire study period, 61 days of dust events were observed in the region. They recorded on average a daily PM10 concentration of 1017 mu g m(-3), more than 18 times higher than that calculated on all days without dust events. The study also highlighted a mean increase of 12.5 % of ALRI rates during the months recording dust events. The use of daily health data should help to refine these initial results in the future.</t>
  </si>
  <si>
    <t>10.1007/s11270-014-2186-4</t>
  </si>
  <si>
    <r>
      <rPr>
        <rFont val="Arial"/>
        <color rgb="FF1155CC"/>
        <u/>
      </rPr>
      <t>http://dx.doi.org/10.1007/s11270-014-2186-4</t>
    </r>
  </si>
  <si>
    <t>Environmental Sciences; Meteorology &amp; Atmospheric Sciences; Water Resources</t>
  </si>
  <si>
    <t>WOS:000343913200027</t>
  </si>
  <si>
    <r>
      <rPr>
        <rFont val="Arial"/>
        <color rgb="FF1155CC"/>
        <u/>
      </rPr>
      <t>View Full Record in Web of Science</t>
    </r>
  </si>
  <si>
    <t>Lal, R</t>
  </si>
  <si>
    <t>Soil conservation and ecosystem services</t>
  </si>
  <si>
    <t>INTERNATIONAL SOIL AND WATER CONSERVATION RESEARCH</t>
  </si>
  <si>
    <t>Accelerated soil erosion, driven by anthropogenic activities such as conversion of natural ecosystems to agroecosystems and mechanical tillage, has numerous adverse impacts on ecosystem services. In addition to degrading soil quality and reducing agronomic/ biomass productivity on-site through a decrease in use-efficiency of inputs, off-site impacts of accelerated erosion include eutrophication and contamination, sedimentation of reservoirs and waterways, and emissions of greenhouse gases (e. g., CO2, CH4 and N2O). While advancing food and nutritional security, adoption of restorative land use and recommended management practices are important to strengthening numerous ecosystem services such as improving water quality and renewability, increasing below and above-ground biodiversity, enhancing soil resilience to climate change and extreme events, and mitigating climate change by sequestering C in soil and reducing the emission of CO2, CH4 and N2O. An effective control of accelerated erosion is essential to sustainable development and improving the environment.</t>
  </si>
  <si>
    <t>10.1016/S2095-6339(15)30021-6</t>
  </si>
  <si>
    <r>
      <rPr>
        <rFont val="Arial"/>
        <color rgb="FF1155CC"/>
        <u/>
      </rPr>
      <t>http://dx.doi.org/10.1016/S2095-6339(15)30021-6</t>
    </r>
  </si>
  <si>
    <t>Environmental Sciences; Soil Science; Water Resources</t>
  </si>
  <si>
    <t>WOS:000435740500003</t>
  </si>
  <si>
    <r>
      <rPr>
        <rFont val="Arial"/>
        <color rgb="FF1155CC"/>
        <u/>
      </rPr>
      <t>View Full Record in Web of Science</t>
    </r>
  </si>
  <si>
    <t>Malaj, E; von der Ohe, PC; Grote, M; Kühne, R; Mondy, CP; Usseglio-Polatera, P; Brack, W; Schäfer, RB</t>
  </si>
  <si>
    <t>Organic chemicals jeopardize the health of freshwater ecosystems on the continental scale</t>
  </si>
  <si>
    <t>Organic chemicals can contribute to local and regional losses of freshwater biodiversity and ecosystem services. However, their overall relevance regarding larger spatial scales remains unknown. Here, we present, to our knowledge, the first risk assessment of organic chemicals on the continental scale comprising 4,000 European monitoring sites. Organic chemicals were likely to exert acute lethal and chronic long-term effects on sensitive fish, invertebrate, or algae species in 14% and 42% of the sites, respectively. Of the 223 chemicals monitored, pesticides, tributyltin, polycyclic aromatic hydrocarbons, and brominated flame retardants were the major contributors to the chemical risk. Their presence was related to agricultural and urban areas in the upstream catchment. The risk of potential acute lethal and chronic long-term effects increased with the number of ecotoxicologically relevant chemicals analyzed at each site. As most monitoring programs considered in this study only included a subset of these chemicals, our assessment likely underestimates the actual risk. Increasing chemical risk was associated with deterioration in the quality status of fish and invertebrate communities. Our results clearly indicate that chemical pollution is a large-scale environmental problem and requires far-reaching, holistic mitigation measures to preserve and restore ecosystem health.</t>
  </si>
  <si>
    <t>10.1073/pnas.1321082111</t>
  </si>
  <si>
    <r>
      <rPr>
        <rFont val="Arial"/>
        <color rgb="FF1155CC"/>
        <u/>
      </rPr>
      <t>http://dx.doi.org/10.1073/pnas.1321082111</t>
    </r>
  </si>
  <si>
    <t>WOS:000338118900055</t>
  </si>
  <si>
    <r>
      <rPr>
        <rFont val="Arial"/>
        <color rgb="FF1155CC"/>
        <u/>
      </rPr>
      <t>View Full Record in Web of Science</t>
    </r>
  </si>
  <si>
    <t>Nepstad, D; McGrath, D; Stickler, C; Alencar, A; Azevedo, A; Swette, B; Bezerra, T; DiGiano, M; Shimada, J; da Motta, RS; Armijo, E; Castello, L; Brando, P; Hansen, MC; McGrath-Horn, M; Carvalho, O; Hess, L</t>
  </si>
  <si>
    <t>Slowing Amazon deforestation through public policy and interventions in beef and soy supply chains</t>
  </si>
  <si>
    <t>The recent 70% decline in deforestation in the Brazilian Amazon suggests that it is possible to manage the advance of a vast agricultural frontier. Enforcement of laws, interventions in soy and beef supply chains, restrictions on access to credit, and expansion of protected areas appear to have contributed to this decline, as did a decline in the demand for new deforestation. The supply chain interventions that fed into this deceleration are precariously dependent on corporate risk management, and public policies have relied excessively on punitive measures. Systems for delivering positive incentives for farmers to forgo deforestation have been designed but not fully implemented. Territorial approaches to deforestation have been effective and could consolidate progress in slowing deforestation while providing a framework for addressing other important dimensions of sustainable development.</t>
  </si>
  <si>
    <t>10.1126/science.1248525</t>
  </si>
  <si>
    <r>
      <rPr>
        <rFont val="Arial"/>
        <color rgb="FF1155CC"/>
        <u/>
      </rPr>
      <t>http://dx.doi.org/10.1126/science.1248525</t>
    </r>
  </si>
  <si>
    <t>WOS:000336791200038</t>
  </si>
  <si>
    <r>
      <rPr>
        <rFont val="Arial"/>
        <color rgb="FF1155CC"/>
        <u/>
      </rPr>
      <t>View Full Record in Web of Science</t>
    </r>
  </si>
  <si>
    <t>Franzke, CLE</t>
  </si>
  <si>
    <t>WARMING TRENDS Nonlinear climate change</t>
  </si>
  <si>
    <t>Editorial Material</t>
  </si>
  <si>
    <t>10.1038/nclimate2245</t>
  </si>
  <si>
    <r>
      <rPr>
        <rFont val="Arial"/>
        <color rgb="FF1155CC"/>
        <u/>
      </rPr>
      <t>http://dx.doi.org/10.1038/nclimate2245</t>
    </r>
  </si>
  <si>
    <t>WOS:000337138700011</t>
  </si>
  <si>
    <r>
      <rPr>
        <rFont val="Arial"/>
        <color rgb="FF1155CC"/>
        <u/>
      </rPr>
      <t>View Full Record in Web of Science</t>
    </r>
  </si>
  <si>
    <t>Moschet, C; Wittmer, I; Simovic, J; Junghans, M; Piazzoli, A; Singer, H; Stamm, C; Leu, C; Hollender, J</t>
  </si>
  <si>
    <t>How a Complete Pesticide Screening Changes the Assessment of Surface Water Quality</t>
  </si>
  <si>
    <t>ENVIRONMENTAL SCIENCE &amp; TECHNOLOGY</t>
  </si>
  <si>
    <t>A comprehensive assessment of pesticides in surface waters is challenging due to the large number of potential contaminants. Most scientific studies and routine monitoring programs include only 15-40 pesticides, which leads to error-prone interpretations. In the present study, an extensive analytical screening was carried out using liquid chromatography-high-resolution mass spectrometry, covering 86% of all polar organic pesticides sold in Switzerland and applied to agricultural or urban land (in total 249 compounds), plus 134 transformation products; each of which could be quantified in the low ng/L range. Five medium-sized rivers, containing large areas of diverse crops and urban settlements within the respective catchments, were sampled between March and July 2012. More than 100 parent compounds and 40 transformation products were detected in total, between 30 and compounds in each two-week composite sample in concentrations up to 1500 ng/L. The sum of pesticide concentrations was above 1000 ng/L in 78% of samples. The chronic environmental quality standard was exceeded for 19 single substances; using a mixture toxicity approach, exceedances occurred over the whole measurement period in all rivers. With scenario calculations including only 30-40 frequently measured pesticides, the number of detected substances and the mixture toxicity would be underestimated on average by a factor of 2. Thus, selecting a subset of substances to assess the surface water quality may be sufficient, but a comprehensive screening yields substantially more confidence.</t>
  </si>
  <si>
    <t>10.1021/es500371t</t>
  </si>
  <si>
    <r>
      <rPr>
        <rFont val="Arial"/>
        <color rgb="FF1155CC"/>
        <u/>
      </rPr>
      <t>http://dx.doi.org/10.1021/es500371t</t>
    </r>
  </si>
  <si>
    <t>Engineering, Environmental; Environmental Sciences</t>
  </si>
  <si>
    <t>WOS:000336415200011</t>
  </si>
  <si>
    <r>
      <rPr>
        <rFont val="Arial"/>
        <color rgb="FF1155CC"/>
        <u/>
      </rPr>
      <t>View Full Record in Web of Science</t>
    </r>
  </si>
  <si>
    <t>Haddeland, I; Heinke, J; Biemans, H; Eisner, S; Flörke, M; Hanasaki, N; Konzmann, M; Ludwig, F; Masaki, Y; Schewe, J; Stacke, T; Tessler, ZD; Wada, Y; Wisser, D</t>
  </si>
  <si>
    <t>Global water resources affected by human interventions and climate change</t>
  </si>
  <si>
    <t>Humans directly change the dynamics of the water cycle through dams constructed for water storage, and through water withdrawals for industrial, agricultural, or domestic purposes. Climate change is expected to additionally affect water supply and demand. Here, analyses of climate change and direct human impacts on the terrestrial water cycle are presented and compared using a multimodel approach. Seven global hydrological models have been forced with multiple climate projections, and with and without taking into account impacts of human interventions such as dams and water withdrawals on the hydrological cycle. Model results are analyzed for different levels of global warming, allowing for analyses in line with temperature targets for climate change mitigation. The results indicate that direct human impacts on the water cycle in some regions, e. g., parts of Asia and in the western United States, are of the same order of magnitude, or even exceed impacts to be expected for moderate levels of global warming (+2 K). Despite some spread in model projections, irrigation water consumption is generally projected to increase with higher global mean temperatures. Irrigation water scarcity is particularly large in parts of southern and eastern Asia, and is expected to become even larger in the future.</t>
  </si>
  <si>
    <t>10.1073/pnas.1222475110</t>
  </si>
  <si>
    <r>
      <rPr>
        <rFont val="Arial"/>
        <color rgb="FF1155CC"/>
        <u/>
      </rPr>
      <t>http://dx.doi.org/10.1073/pnas.1222475110</t>
    </r>
  </si>
  <si>
    <t>WOS:000332560300026</t>
  </si>
  <si>
    <r>
      <rPr>
        <rFont val="Arial"/>
        <color rgb="FF1155CC"/>
        <u/>
      </rPr>
      <t>View Full Record in Web of Science</t>
    </r>
  </si>
  <si>
    <t>Cazenave, A; Le Cozannet, G</t>
  </si>
  <si>
    <t>Sea level rise and its coastal impacts</t>
  </si>
  <si>
    <t>EARTHS FUTURE</t>
  </si>
  <si>
    <t>Global warming in response to accumulation of human-induced greenhouse gases inside the atmosphere has already caused several visible consequences, among them increase of the Earth's mean temperature and ocean heat content, melting of glaciers, and loss of ice from the Greenland and Antarctica ice sheets. Ocean warming and land ice melt in turn are causing sea level to rise. Sea level rise and its impacts on coastal zones have become a question of growing interest in the scientific community, as well as in the media and public. In this review paper, we summarize the most up-to-date knowledge about sea level rise and its causes, highlighting the regional variability that superimposes the global mean rise. We also present sea level projections for the 21st century under different warming scenarios. We next address the issue of the sea level rise impacts. We question whether there is already observational evidence of coastal impacts of sea level rise and highlight the fact that results differ from one location to another. This suggests that the response of coastal systems to sea level rise is highly dependent on local natural and human settings. We finally show that in spite of remaining uncertainties about future sea levels and related impacts, it becomes possible to provide preliminary assessment of regional impacts of sea level rise.</t>
  </si>
  <si>
    <t>10.1002/2013EF000188</t>
  </si>
  <si>
    <r>
      <rPr>
        <rFont val="Arial"/>
        <color rgb="FF1155CC"/>
        <u/>
      </rPr>
      <t>http://dx.doi.org/10.1002/2013EF000188</t>
    </r>
  </si>
  <si>
    <t>Environmental Sciences; Geosciences, Multidisciplinary; Meteorology &amp; Atmospheric Sciences</t>
  </si>
  <si>
    <t>WOS:000358125500001</t>
  </si>
  <si>
    <r>
      <rPr>
        <rFont val="Arial"/>
        <color rgb="FF1155CC"/>
        <u/>
      </rPr>
      <t>View Full Record in Web of Science</t>
    </r>
  </si>
  <si>
    <t>Rickson, RJ</t>
  </si>
  <si>
    <t>Can control of soil erosion mitigate water pollution by sediments?</t>
  </si>
  <si>
    <t>The detrimental impact of sediment and associated pollutants on water quality is widely acknowledged, with many watercourses in the UK failing to meet the standard of 'good ecological status'. Catchment sediment budgets show that hill slope erosion processes can be significant sources of waterborne sediment, with rates of erosion likely to increase given predicted future weather patterns. However, linking on-site erosion rates with off-site impacts is complicated because of the limited data on soil erosion rates in the UK and the dynamic nature of the source pathway receptor continuum over space and time. Even so, soil erosion control measures are designed to reduce sediment production (source) and mobilisation/transport (pathway) on hill slopes, with consequent mitigation of pollution incidents in watercourses (receptors). The purpose of this paper is to review the scientific evidence of the effectiveness of erosion control measures used in the UK to reduce sediment loads of hill slope origin in watercourses. Although over 73 soil erosion mitigation measures have been identified from the literature, empirical data on erosion control effectiveness are limited. Baseline comparisons for the 18 measures where data do exist reveal erosion control effectiveness is highly variable over time and between study locations. Given the limitations of the evidence base in terms of geographical coverage and duration of monitoring, performance of the different measures cannot be extrapolated to other areas. This uncertainty in effectiveness has implications for implementing erosion/sediment risk reduction policies, where quantified targets are stipulated, as is the case in the EU Freshwater Fish and draft Soil Framework Directives. Also, demonstrating technical effectiveness of erosion control measures alone will not encourage uptake by land managers: quantifying the costs and benefits of adopting erosion mitigation is equally important, but these are uncertain and difficult to express in monetary terms. (C) 2013 Elsevier B.V. All rights reserved.</t>
  </si>
  <si>
    <t>10.1016/j.scitotenv.2013.05.057</t>
  </si>
  <si>
    <r>
      <rPr>
        <rFont val="Arial"/>
        <color rgb="FF1155CC"/>
        <u/>
      </rPr>
      <t>http://dx.doi.org/10.1016/j.scitotenv.2013.05.057</t>
    </r>
  </si>
  <si>
    <t>WOS:000331776000125</t>
  </si>
  <si>
    <r>
      <rPr>
        <rFont val="Arial"/>
        <color rgb="FF1155CC"/>
        <u/>
      </rPr>
      <t>View Full Record in Web of Science</t>
    </r>
  </si>
  <si>
    <t>Gypens, N; Borges, AV</t>
  </si>
  <si>
    <t>Increase in dimethylsulfide (DMS) emissions due to eutrophication of coastal waters offsets their reduction due to ocean acidification</t>
  </si>
  <si>
    <t>Available information from manipulative experiments suggested that the emission of dimethylsulfide (DMS) would decrease in response to the accumulation of anthropogenic CO2 in the ocean (ocean acidification). However, in coastal environments, the carbonate chemistry of surface waters was also strongly modified by eutrophication and related changes in biological activity (increased primary production and change in phytoplankton dominance) during the last 50 years. Here, we tested the hypothesis that DMS emissions in marine coastal environments also strongly responded to eutrophication in addition to ocean acidification at decadal timescales. We used the R-MIRO-BIOGAS model in the eutrophied Southern Bight of the North Sea characterized by intense blooms of Phaeocystis that are high producers of dimethylsulfoniopropionate (DMSP), the precursor of DMS. We showed that, for the period from 1951 to 2007, eutrophication actually led to an increase of DMS emissions much stronger than the response of DMS emissions to ocean acidification.</t>
  </si>
  <si>
    <t>10.3389/fmars.2014.00004</t>
  </si>
  <si>
    <r>
      <rPr>
        <rFont val="Arial"/>
        <color rgb="FF1155CC"/>
        <u/>
      </rPr>
      <t>http://dx.doi.org/10.3389/fmars.2014.00004</t>
    </r>
  </si>
  <si>
    <t>WOS:000485310600004</t>
  </si>
  <si>
    <r>
      <rPr>
        <rFont val="Arial"/>
        <color rgb="FF1155CC"/>
        <u/>
      </rPr>
      <t>View Full Record in Web of Science</t>
    </r>
  </si>
  <si>
    <t>Kanemoto, K; Moran, D; Lenzen, M; Geschke, A</t>
  </si>
  <si>
    <t>International trade undermines national emission reduction targets: New evidence from air pollution</t>
  </si>
  <si>
    <t>Many developed countries in Annex B of the Kyoto Protocol have been able to report decreasing emissions, and some have officially fulfilled their CO2 reduction commitments. This is in part because current reporting and regulatory regimes allow these countries to displace emissions intensive production offshore. Using a new highly detailed account of emissions embodied in international trade we investigate this phenomenon of emissions leakage. We independently confirm previous findings that adjusting for trade, developed countries emissions have increased, not decreased. We find that the sectors successfully holding or lowering their domestic emissions are often the same as those increasing their imports of embodied CO2. We also find that the fastest growing flow paths of embodied CO2 largely originate outside the Kyoto Annex B signatory nations. Finally, we find that historically the same phenomenon of emissions displacement has already occurred for air pollution, with the result that despite aggressive legislation in major emitters total global air pollution emissions have increased. If regulatory policies do not account for embodied imports, global emissions are likely to rise even if developed countries emitters enforce strong national emissions targets. (C) 2013 Elsevier Ltd. All rights reserved.</t>
  </si>
  <si>
    <t>10.1016/j.gloenvcha.2013.09.008</t>
  </si>
  <si>
    <r>
      <rPr>
        <rFont val="Arial"/>
        <color rgb="FF1155CC"/>
        <u/>
      </rPr>
      <t>http://dx.doi.org/10.1016/j.gloenvcha.2013.09.008</t>
    </r>
  </si>
  <si>
    <t>WOS:000333506100007</t>
  </si>
  <si>
    <r>
      <rPr>
        <rFont val="Arial"/>
        <color rgb="FF1155CC"/>
        <u/>
      </rPr>
      <t>View Full Record in Web of Science</t>
    </r>
  </si>
  <si>
    <t>Sato, T; Qadir, M; Yamamoto, S; Endo, T; Zahoor, A</t>
  </si>
  <si>
    <t>Global, regional, and country level need for data on wastewater generation, treatment, and use</t>
  </si>
  <si>
    <t>AGRICULTURAL WATER MANAGEMENT</t>
  </si>
  <si>
    <t>Irrigation with wastewater supports agricultural production and the livelihoods of millions of smallholder farmers in many parts of the world. Considering the importance of better wastewater management at the local and national levels, there is a need for updated national data on wastewater generation, treatment, and use, which would also assist in regional and global wastewater assessments. While searching data and literature in published or electronic forms for 181 countries, we find that only 55 countries have data available on all three aspects of wastewater - generation, treatment, and use. The number of countries with one or two aspects of wastewater generation, treatment, and use is 69, while there is no information available from 57 countries. Of the available information, only 37% of the data could be categorized as recent (reported during 2008-2012). The available data suggest that high-income countries on average treat 70% of the generated wastewater, followed by upper-middle-income countries (38%), lower-middle-income countries (28%), and low-income countries, where only 8% of the wastewater generated is treated. The availability of current information on wastewater generation, treatment, and use is crucially important for policy makers, researchers, and practitioners, as well as public institutions, to develop national and local action plans aiming at safe and productive use of wastewater in agriculture, aquaculture, and agroforestry systems. The country level information aggregated at the regional and global levels would help in identifying the gaps in pertinent data availability and assessing the potential of wastewater in food, feed, and fish production at different scales. (C) 2013 Elsevier B.V. All rights reserved.</t>
  </si>
  <si>
    <t>10.1016/j.agwat.2013.08.007</t>
  </si>
  <si>
    <r>
      <rPr>
        <rFont val="Arial"/>
        <color rgb="FF1155CC"/>
        <u/>
      </rPr>
      <t>http://dx.doi.org/10.1016/j.agwat.2013.08.007</t>
    </r>
  </si>
  <si>
    <t>Agronomy; Water Resources</t>
  </si>
  <si>
    <t>WOS:000326559900001</t>
  </si>
  <si>
    <r>
      <rPr>
        <rFont val="Arial"/>
        <color rgb="FF1155CC"/>
        <u/>
      </rPr>
      <t>View Full Record in Web of Science</t>
    </r>
  </si>
  <si>
    <t>Six, KD; Kloster, S; Ilyina, T; Archer, SD; Zhang, K; Maier-Reimer, E</t>
  </si>
  <si>
    <t>Global warming amplified by reduced sulphur fluxes as a result of ocean acidification</t>
  </si>
  <si>
    <t>Climate change and decreasing seawater pH (ocean acidification)(1) have widely been considered as uncoupled consequences of the anthropogenic CO2 perturbation(2,3). Recently, experiments in seawater enclosures (mesocosms) showed that concentrations of dimethylsulphide (DMS), a biogenic sulphur compound, were markedly lower in a low-pH (e)nvironment4. Marine DMS emissions are the largest natural source of atmospheric sulphur(5) and changes in their strength have the potential to alter the Earth's radiation budget(6). Here we establish observational-based relationships between pH changes and DMS concentrations to estimate changes in future DMS emissions with Earth system model(7) climate simulations. Global DMS emissions decrease by about 18(+/-3)% in 2100 compared with pre-industrial times as a result of the combined effects of ocean acidification and climate change. The reduced DMS emissions induce a significant additional radiative forcing, of which 83% is attributed to the impact of ocean acidification, tantamount to an equilibrium temperature response between 0.23 and 0.48 K. Our results indicate that ocean acidification has the potential to exacerbate anthropogenic warming through a mechanism that is not considered at present in projections of future climate change.</t>
  </si>
  <si>
    <t>10.1038/NCLIMATE1981</t>
  </si>
  <si>
    <r>
      <rPr>
        <rFont val="Arial"/>
        <color rgb="FF1155CC"/>
        <u/>
      </rPr>
      <t>http://dx.doi.org/10.1038/NCLIMATE1981</t>
    </r>
  </si>
  <si>
    <t>WOS:000330125100016</t>
  </si>
  <si>
    <r>
      <rPr>
        <rFont val="Arial"/>
        <color rgb="FF1155CC"/>
        <u/>
      </rPr>
      <t>View Full Record in Web of Science</t>
    </r>
  </si>
  <si>
    <t>Hoornweg, D; Bhada-Tata, P; Kennedy, C</t>
  </si>
  <si>
    <t>Waste production must peak this century</t>
  </si>
  <si>
    <t>10.1038/502615a</t>
  </si>
  <si>
    <r>
      <rPr>
        <rFont val="Arial"/>
        <color rgb="FF1155CC"/>
        <u/>
      </rPr>
      <t>http://dx.doi.org/10.1038/502615a</t>
    </r>
  </si>
  <si>
    <t>WOS:000326293200021</t>
  </si>
  <si>
    <r>
      <rPr>
        <rFont val="Arial"/>
        <color rgb="FF1155CC"/>
        <u/>
      </rPr>
      <t>View Full Record in Web of Science</t>
    </r>
  </si>
  <si>
    <t>Meyfroidt, P; Lambin, EF; Erb, KH; Hertel, TW</t>
  </si>
  <si>
    <t>Globalization of land use: distant drivers of land change and geographic displacement of land use</t>
  </si>
  <si>
    <t>CURRENT OPINION IN ENVIRONMENTAL SUSTAINABILITY</t>
  </si>
  <si>
    <t>Several streams of research have recently converged to identify the growing importance of distant drivers of land change, interconnections between social-ecological systems that are separated geographically, and the indirect consequences of land use changes. Local to national-scale interventions to promote sustainable land use may have unintended effects owing to a displacement of land use within and across countries. Such leakage or 'indirect land use change' critically depends on international geographies of trade. Computing various material flows and environmental indicators embodied in international trade highlights the differences between producer and consumer-based biophysical accounting. Causal attribution of the links between material and monetary flows across countries, and actual land changes and environmental impacts at local level requires a combination of economic simulation models, statistical studies, place-based empirical studies, value chain analyses, and biophysical accounting.</t>
  </si>
  <si>
    <t>10.1016/j.cosust.2013.04.003</t>
  </si>
  <si>
    <r>
      <rPr>
        <rFont val="Arial"/>
        <color rgb="FF1155CC"/>
        <u/>
      </rPr>
      <t>http://dx.doi.org/10.1016/j.cosust.2013.04.003</t>
    </r>
  </si>
  <si>
    <t>Green &amp; Sustainable Science &amp; Technology; Environmental Sciences</t>
  </si>
  <si>
    <t>WOS:000325843700002</t>
  </si>
  <si>
    <r>
      <rPr>
        <rFont val="Arial"/>
        <color rgb="FF1155CC"/>
        <u/>
      </rPr>
      <t>View Full Record in Web of Science</t>
    </r>
  </si>
  <si>
    <t>Beketov, MA; Kefford, BJ; Schäfer, RB; Liess, M</t>
  </si>
  <si>
    <t>Pesticides reduce regional biodiversity of stream invertebrates</t>
  </si>
  <si>
    <t>The biodiversity crisis is one of the greatest challenges facing humanity, but our understanding of the drivers remains limited. Thus, after decades of studies and regulation efforts, it remains unknown whether to what degree and at what concentrations modern agricultural pesticides cause regional-scale species losses. We analyzed the effects of pesticides on the regional taxa richness of stream invertebrates in Europe (Germany and France) and Australia (southern Victoria). Pesticides caused statistically significant effects on both the species and family richness in both regions, with losses in taxa up to 42% of the recorded taxonomic pools. Furthermore, the effects in Europe were detected at concentrations that current legislation considers environmentally protective. Thus, the current ecological risk assessment of pesticides falls short of protecting biodiversity, and new approaches linking ecology and ecotoxicology are needed.</t>
  </si>
  <si>
    <t>10.1073/pnas.1305618110</t>
  </si>
  <si>
    <r>
      <rPr>
        <rFont val="Arial"/>
        <color rgb="FF1155CC"/>
        <u/>
      </rPr>
      <t>http://dx.doi.org/10.1073/pnas.1305618110</t>
    </r>
  </si>
  <si>
    <t>WOS:000321978000046</t>
  </si>
  <si>
    <r>
      <rPr>
        <rFont val="Arial"/>
        <color rgb="FF1155CC"/>
        <u/>
      </rPr>
      <t>View Full Record in Web of Science</t>
    </r>
  </si>
  <si>
    <t>Krausmann, F; Erb, KH; Gingrich, S; Haberl, H; Bondeau, A; Gaube, V; Lauk, C; Plutzar, C; Searchinger, TD</t>
  </si>
  <si>
    <t>Global human appropriation of net primary production doubled in the 20th century</t>
  </si>
  <si>
    <t>Global increases in population, consumption, and gross domestic product raise concerns about the sustainability of the current and future use of natural resources. The human appropriation of net primary production (HANPP) provides a useful measure of human intervention into the biosphere. The productive capacity of land is appropriated by harvesting or burning biomass and by converting natural ecosystems to managed lands with lower productivity. This work analyzes trends in HANPP from 1910 to 2005 and finds that although human population has grown fourfold and economic output 17-fold, global HANPP has only doubled. Despite this increase in efficiency, HANPP has still risen from 6.9 Gt of carbon per y in 1910 to 14.8 GtC/y in 2005, i.e., from 13% to 25% of the net primary production of potential vegetation. Biomass harvested per capita and year has slightly declined despite growth in consumption because of a decline in reliance on bioenergy and higher conversion efficiencies of primary biomass to products. The rise in efficiency is overwhelmingly due to increased crop yields, albeit frequently associated with substantial ecological costs, such as fossil energy inputs, soil degradation, and biodiversity loss. If humans can maintain the past trend lines in efficiency gains, we estimate that HANPP might only grow to 27-29% by 2050, but providing large amounts of bioenergy could increase global HANPP to 44%. This result calls for caution in refocusing the energy economy on land-based resources and for strategies that foster the continuation of increases in land-use efficiency without excessively increasing ecological costs of intensification.</t>
  </si>
  <si>
    <t>10.1073/pnas.1211349110</t>
  </si>
  <si>
    <r>
      <rPr>
        <rFont val="Arial"/>
        <color rgb="FF1155CC"/>
        <u/>
      </rPr>
      <t>http://dx.doi.org/10.1073/pnas.1211349110</t>
    </r>
  </si>
  <si>
    <t>WOS:000321500200066</t>
  </si>
  <si>
    <r>
      <rPr>
        <rFont val="Arial"/>
        <color rgb="FF1155CC"/>
        <u/>
      </rPr>
      <t>View Full Record in Web of Science</t>
    </r>
  </si>
  <si>
    <t>Van Dijk, TC; Van Staalduinen, MA; Van der Sluijs, JP</t>
  </si>
  <si>
    <t>Macro-Invertebrate Decline in Surface Water Polluted with Imidacloprid</t>
  </si>
  <si>
    <t>Imidacloprid is one of the most widely used insecticides in the world. Its concentration in surface water exceeds the water quality norms in many parts of the Netherlands. Several studies have demonstrated harmful effects of this neonicotinoid to a wide range of non-target species. Therefore we expected that surface water pollution with imidacloprid would negatively impact aquatic ecosystems. Availability of extensive monitoring data on the abundance of aquatic macro-invertebrate species, and on imidacloprid concentrations in surface water in the Netherlands enabled us to test this hypothesis. Our regression analysis showed a significant negative relationship (P&lt;0.001) between macro-invertebrate abundance and imidacloprid concentration for all species pooled. A significant negative relationship was also found for the orders Amphipoda, Basommatophora, Diptera, Ephemeroptera and Isopoda, and for several species separately. The order Odonata had a negative relationship very close to the significance threshold of 0.05 (P &lt;0.051). However, in accordance with previous research, a positive relationship was found for the order Actinedida. We used the monitoring field data to test whether the existing three water quality norms for imidacloprid in the Netherlands are protective in real conditions. Our data show that macrofauna abundance drops sharply between 13 and 67 ng l(-1). For aquatic ecosystem protection, two of the norms are not protective at all while the strictest norm of 13 ng l(-1) (MTR) seems somewhat protective. In addition to the existing experimental evidence on the negative effects of imidacloprid on invertebrate life, our study, based on data from large-scale field monitoring during multiple years, shows that serious concern about the far-reaching consequences of the abundant use of imidacloprid for aquatic ecosystems is justified.</t>
  </si>
  <si>
    <t>10.1371/journal.pone.0062374</t>
  </si>
  <si>
    <r>
      <rPr>
        <rFont val="Arial"/>
        <color rgb="FF1155CC"/>
        <u/>
      </rPr>
      <t>http://dx.doi.org/10.1371/journal.pone.0062374</t>
    </r>
  </si>
  <si>
    <t>WOS:000319167000043</t>
  </si>
  <si>
    <r>
      <rPr>
        <rFont val="Arial"/>
        <color rgb="FF1155CC"/>
        <u/>
      </rPr>
      <t>View Full Record in Web of Science</t>
    </r>
  </si>
  <si>
    <t>Chidumayo, EN; Gumbo, DJ</t>
  </si>
  <si>
    <t>The environmental impacts of charcoal production in tropical ecosystems of the world: A synthesis</t>
  </si>
  <si>
    <t>ENERGY FOR SUSTAINABLE DEVELOPMENT</t>
  </si>
  <si>
    <t>Charcoal production in tropical regions of the world is often perceived to have devastating ecological and environmental effects and governments, public forestry institutions and non government organizations have been particularly concerned about these charcoal-related impacts. The most commonly cited impact is deforestation, i.e., the clearance of forest or woodland. At a small spatial scale this may indeed be the case but on a larger landscape scale charcoal production most frequently results only in forest degradation. Much of the charcoal in tropical countries is commonly made in traditional earth and pit kilns with a wood-to-charcoal conversion rate of about 20% and in 2009 the contribution of charcoal production to deforestation in tropical countries with the highest rates of deforestation is estimated at less than 7%. A large proportion of the area utilized for charcoal production has the potential for rapid forest recovery especially with good post-harvest management. There are conflicting reports on the effects of deforestation on catchment hydrology with the majority of small catchment studies indicating increased runoff and low evapotranspiration while studies of large basins have shown no such changes. Emissions of greenhouse gases from charcoal production in tropical ecosystems in 2009 are estimated at 71.2 million t for carbon dioxide and 1.3 million t for methane. The failure of past charcoal policies to address environmental impacts and achieve sustainability can be attributed to erroneous assumptions and predictions by national and international organizations regarding wood-based fuels. Possible ways of enhancing charcoal policies' legitimacy and therefore effective implementation are multi-stakeholder participation and demonstration of coherence with globally recognized principles, goals and relevant international regimes, such as the Millennium Development Goals (MDGs). In this way charcoal production can significantly contribute to poverty reduction and environmental sustainability. (C) 2012 International Energy Initiative. Published by Elsevier Inc. All rights reserved.</t>
  </si>
  <si>
    <t>10.1016/j.esd.2012.07.004</t>
  </si>
  <si>
    <r>
      <rPr>
        <rFont val="Arial"/>
        <color rgb="FF1155CC"/>
        <u/>
      </rPr>
      <t>http://dx.doi.org/10.1016/j.esd.2012.07.004</t>
    </r>
  </si>
  <si>
    <t>Green &amp; Sustainable Science &amp; Technology; Energy &amp; Fuels</t>
  </si>
  <si>
    <t>WOS:000317091400003</t>
  </si>
  <si>
    <r>
      <rPr>
        <rFont val="Arial"/>
        <color rgb="FF1155CC"/>
        <u/>
      </rPr>
      <t>View Full Record in Web of Science</t>
    </r>
  </si>
  <si>
    <t>Ausubel, JH; Wernick, IK; Waggoner, PE</t>
  </si>
  <si>
    <t>Peak Farmland and the Prospect for Land Sparing</t>
  </si>
  <si>
    <t>POPULATION AND DEVELOPMENT REVIEW</t>
  </si>
  <si>
    <t>10.1111/j.1728-4457.2013.00561.x</t>
  </si>
  <si>
    <r>
      <rPr>
        <rFont val="Arial"/>
        <color rgb="FF1155CC"/>
        <u/>
      </rPr>
      <t>http://dx.doi.org/10.1111/j.1728-4457.2013.00561.x</t>
    </r>
  </si>
  <si>
    <t>Demography; Sociology</t>
  </si>
  <si>
    <t>WOS:000315224500015</t>
  </si>
  <si>
    <r>
      <rPr>
        <rFont val="Arial"/>
        <color rgb="FF1155CC"/>
        <u/>
      </rPr>
      <t>View Full Record in Web of Science</t>
    </r>
  </si>
  <si>
    <t>Klimont, Z; Smith, SJ; Cofala, J</t>
  </si>
  <si>
    <t>The last decade of global anthropogenic sulfur dioxide: 2000-2011 emissions</t>
  </si>
  <si>
    <t>The evolution of global and regional anthropogenic SO2 emissions in the last decade has been estimated through a bottom-up calculation. After increasing until about 2006, we estimate a declining trend continuing until 2011. However, there is strong spatial variability, with North America and Europe continuing to reduce emissions, with an increasing role of Asia and international shipping. China remains a key contributor, but the introduction of stricter emission limits followed by an ambitious program of installing flue gas desulfurization on power plants resulted in a significant decline in emissions from the energy sector and stabilization of total Chinese SO2 emissions. Comparable mitigation strategies are not yet present in several other Asian countries and industrial sectors in general, while emissions from international shipping are expected to start declining soon following an international agreement to reduce the sulfur content of fuel oil. The estimated trends in global SO2 emissions are within the range of representative concentration pathway (RCP) projections and the uncertainty previously estimated for the year 2005.</t>
  </si>
  <si>
    <t>10.1088/1748-9326/8/1/014003</t>
  </si>
  <si>
    <r>
      <rPr>
        <rFont val="Arial"/>
        <color rgb="FF1155CC"/>
        <u/>
      </rPr>
      <t>http://dx.doi.org/10.1088/1748-9326/8/1/014003</t>
    </r>
  </si>
  <si>
    <t>WOS:000316998300011</t>
  </si>
  <si>
    <r>
      <rPr>
        <rFont val="Arial"/>
        <color rgb="FF1155CC"/>
        <u/>
      </rPr>
      <t>View Full Record in Web of Science</t>
    </r>
  </si>
  <si>
    <t>Simberloff, D; Martin, JL; Genovesi, P; Maris, V; Wardle, DA; Aronson, J; Courchamp, F; Galil, B; García-Berthou, E; Pascal, M; Pysek, P; Sousa, R; Tabacchi, E; Vilà, M</t>
  </si>
  <si>
    <t>Impacts of biological invasions: what's what and the way forward</t>
  </si>
  <si>
    <t>TRENDS IN ECOLOGY &amp; EVOLUTION</t>
  </si>
  <si>
    <t>Study of the impacts of biological invasions, a pervasive component of global change, has generated remarkable understanding of the mechanisms and consequences of the spread of introduced populations. The growing field of invasion science, poised at a crossroads where ecology, social sciences, resource management, and public perception meet, is increasingly exposed to critical scrutiny from several perspectives. Although the rate of biological invasions, elucidation of their consequences, and knowledge about mitigation are growing rapidly, the very need for invasion science is disputed. Here, we highlight recent progress in understanding invasion impacts and management, and discuss the challenges that the discipline faces in its science and interactions with society.</t>
  </si>
  <si>
    <t>10.1016/j.tree.2012.07.013</t>
  </si>
  <si>
    <r>
      <rPr>
        <rFont val="Arial"/>
        <color rgb="FF1155CC"/>
        <u/>
      </rPr>
      <t>http://dx.doi.org/10.1016/j.tree.2012.07.013</t>
    </r>
  </si>
  <si>
    <t>Ecology; Evolutionary Biology; Genetics &amp; Heredity</t>
  </si>
  <si>
    <t>WOS:000314142100012</t>
  </si>
  <si>
    <r>
      <rPr>
        <rFont val="Arial"/>
        <color rgb="FF1155CC"/>
        <u/>
      </rPr>
      <t>View Full Record in Web of Science</t>
    </r>
  </si>
  <si>
    <t>S</t>
  </si>
  <si>
    <t>Stammer, D; Cazenave, A; Ponte, RM; Tamisiea, ME</t>
  </si>
  <si>
    <t>Causes for Contemporary Regional Sea Level Changes</t>
  </si>
  <si>
    <t>ANNUAL REVIEW OF MARINE SCIENCE, VOL 5</t>
  </si>
  <si>
    <t>Review; Book Chapter</t>
  </si>
  <si>
    <t>Regional sea level changes can deviate substantially from those of the global mean, can vary on a broad range of timescales, and in some regions can even lead to a reversal of long-term global mean sea level trends. The underlying causes are associated with dynamic variations in the ocean circulation as part of climate modes of variability and with an isostatic adjustment of Earth's crust to past and ongoing changes in polar ice masses and continental water storage. Relative to the coastline, sea level is also affected by processes such as earthquakes and anthropogenically induced subsidence. Present-day regional sea level changes appear to be caused primarily by natural climate variability. However, the imprint of anthropogenic effects on regional sea level-whether due to changes in the atmospheric forcing or to mass variations in the system-will grow with time as climate change progresses, and toward the end of the twenty-first century, regional sea level patterns will be a superposition of climate variability modes and natural and anthropogenically induced static sea level patterns. Attribution and predictions of ongoing and future sea level changes require an expanded and sustained climate observing system.</t>
  </si>
  <si>
    <t>10.1146/annurev-marine-121211-172406</t>
  </si>
  <si>
    <r>
      <rPr>
        <rFont val="Arial"/>
        <color rgb="FF1155CC"/>
        <u/>
      </rPr>
      <t>http://dx.doi.org/10.1146/annurev-marine-121211-172406</t>
    </r>
  </si>
  <si>
    <t>Geochemistry &amp; Geophysics; Marine &amp; Freshwater Biology; Oceanography</t>
  </si>
  <si>
    <t>WOS:000316390400003</t>
  </si>
  <si>
    <r>
      <rPr>
        <rFont val="Arial"/>
        <color rgb="FF1155CC"/>
        <u/>
      </rPr>
      <t>View Full Record in Web of Science</t>
    </r>
  </si>
  <si>
    <t>Houghton, RA</t>
  </si>
  <si>
    <t>Carbon emissions and the drivers of deforestation and forest degradation in the tropics</t>
  </si>
  <si>
    <t>The net emissions of carbon from deforestation and degradation in the tropics, including the draining and burning of peat swamps in SE Asia, averaged similar to 1.4 (+/- 0.5) PgC yr(-1) over the period 1990-2010. Most (60-90%) of the emissions were from deforestation; degradation (or reductions of biomass density within forests) is more difficult to document but results from harvest of wood and the re-clearing of fallow forests within the shifting cultivation cycle. The main driver of deforestation is agriculture, whether permanent or shifting, and whether for food crops or pasture. The relative contribution of deforestation and degradation to anthropogenic carbon emissions has been declining, but reducing emissions from land, along with reduced emissions from fossil fuels, could help stabilize the CO2 concentration of the atmosphere.</t>
  </si>
  <si>
    <t>10.1016/j.cosust.2012.06.006</t>
  </si>
  <si>
    <r>
      <rPr>
        <rFont val="Arial"/>
        <color rgb="FF1155CC"/>
        <u/>
      </rPr>
      <t>http://dx.doi.org/10.1016/j.cosust.2012.06.006</t>
    </r>
  </si>
  <si>
    <t>WOS:000312418600003</t>
  </si>
  <si>
    <r>
      <rPr>
        <rFont val="Arial"/>
        <color rgb="FF1155CC"/>
        <u/>
      </rPr>
      <t>View Full Record in Web of Science</t>
    </r>
  </si>
  <si>
    <t>Sallenger, AH; Doran, KS; Howd, PA</t>
  </si>
  <si>
    <t>Hotspot of accelerated sea-level rise on the Atlantic coast of North America</t>
  </si>
  <si>
    <t>Climate warming does not force sea-level rise (SLR) at the same rate everywhere. Rather, there are spatial variations of SLR superimposed on a global average rise. These variations are forced by dynamic processes(1-4), arising from circulation and variations in temperature and/or salinity, and by static equilibrium processes(5), arising from mass redistributions changing gravity and the Earth's rotation and shape. These sea-level variations form unique spatial patterns, yet there are very few observations verifying predicted patterns or fingerprints(6). Here, we present evidence of recently accelerated SLR in a unique 1,000-km-long hotspot on the highly populated North American Atlantic coast north of Cape Hatteras and show that it is consistent with a modelled fingerprint of dynamic SLR. Between 1950-1979 and 1980-2009, SLR rate increases in this northeast hotspot were similar to 3-4 times higher than the global average. Modelled dynamic plus steric SLR by 2100 at New York City ranges with Intergovernmental Panel on Climate Change scenario from 36 to 51 cm (ref. 3); lower emission scenarios project 24-36 cm (ref. 7). Extrapolations from data herein range from 20 to 29 cm. SLR superimposed on storm surge, wave run-up and set-up will increase the vulnerability of coastal cities to flooding, and beaches and wetlands to deterioration.</t>
  </si>
  <si>
    <t>10.1038/NCLIMATE1597</t>
  </si>
  <si>
    <r>
      <rPr>
        <rFont val="Arial"/>
        <color rgb="FF1155CC"/>
        <u/>
      </rPr>
      <t>http://dx.doi.org/10.1038/NCLIMATE1597</t>
    </r>
  </si>
  <si>
    <t>WOS:000312433700023</t>
  </si>
  <si>
    <r>
      <rPr>
        <rFont val="Arial"/>
        <color rgb="FF1155CC"/>
        <u/>
      </rPr>
      <t>View Full Record in Web of Science</t>
    </r>
  </si>
  <si>
    <t>Miettinen, J; Hooijer, A; Shi, CH; Tollenaar, D; Vernimmen, R; Liew, SC; Malins, C; Page, SE</t>
  </si>
  <si>
    <t>Extent of industrial plantations on Southeast Asian peatlands in 2010 with analysis of historical expansion and future projections</t>
  </si>
  <si>
    <t>GLOBAL CHANGE BIOLOGY BIOENERGY</t>
  </si>
  <si>
    <t>Tropical peatlands cover over 25 Mha in Southeast Asia and are estimated to contain around 70 Gt of carbon. Peat swamp forest ecosystems are an important part of the region's natural resources supporting unique flora and fauna endemic to Southeast Asia. Over recent years, industrial plantation development on peatland, especially for oil palm cultivation, has created intense debate due to its potentially adverse social and environmental effects. The lack of objective up-to-date information on the extent of industrial plantations has complicated quantification of their regional and global environmental consequences, both in terms of loss of forest and biodiversity as well as increases in carbon emissions. Based on visual interpretation of high-resolution (30 m) satellite images, we find that industrial plantations covered over 3.1 Mha (20%) of the peatlands of Peninsular Malaysia, Sumatra and Borneo in 2010, surpassing the area of Belgium and causing an annual carbon emission from peat decomposition of 230310 Mt CO2e. The majority (62%) of the plantations were located on the island of Sumatra, and over two-thirds (69%) of all industrial plantations were developed for oil palm cultivation, with the remainder mostly being Acacia plantations for paper pulp production. Historical analysis shows strong acceleration of plantation development in recent years: 70% of all industrial plantations have been established since 2000 and only 4% of the current plantation area existed in 1990. Business-as-usual projections of future conversion rates, based on historical rates over the past two decades, indicate that 69 Mha of peatland in insular Southeast Asia may be converted to plantations by the year 2020, unless land use planning policies or markets for products change. This would increase the annual carbon emission to somewhere between 380 and 920 Mt CO2e by 2020 depending on water management practices and the extent of plantations.</t>
  </si>
  <si>
    <t>10.1111/j.1757-1707.2012.01172.x</t>
  </si>
  <si>
    <r>
      <rPr>
        <rFont val="Arial"/>
        <color rgb="FF1155CC"/>
        <u/>
      </rPr>
      <t>http://dx.doi.org/10.1111/j.1757-1707.2012.01172.x</t>
    </r>
  </si>
  <si>
    <t>Agronomy; Biotechnology &amp; Applied Microbiology; Energy &amp; Fuels</t>
  </si>
  <si>
    <t>WOS:000309450100028</t>
  </si>
  <si>
    <r>
      <rPr>
        <rFont val="Arial"/>
        <color rgb="FF1155CC"/>
        <u/>
      </rPr>
      <t>View Full Record in Web of Science</t>
    </r>
  </si>
  <si>
    <t>Hosonuma, N; Herold, M; De Sy, V; De Fries, RS; Brockhaus, M; Verchot, L; Angelsen, A; Romijn, E</t>
  </si>
  <si>
    <t>An assessment of deforestation and forest degradation drivers in developing countries</t>
  </si>
  <si>
    <t>Countries are encouraged to identify drivers of deforestation and forest degradation in the development of national strategies and action plans for REDD+. In this letter we provide an assessment of proximate drivers of deforestation and forest degradation by synthesizing empirical data reported by countries as part of their REDD+ readiness activities, CIFOR country profiles, UNFCCC national communications and scientific literature. Based on deforestation rate and remaining forest cover 100 (sub) tropical non-Annex I countries were grouped into four forest transition phases. Driver data of 46 countries were summarized for each phase and by continent, and were used as a proxy to estimate drivers for the countries with missing data. The deforestation drivers are similar in Africa and Asia, while degradation drivers are more similar in Latin America and Asia. Commercial agriculture is the most important driver of deforestation, followed by subsistence agriculture. Timber extraction and logging drives most of the degradation, followed by fuelwood collection and charcoal production, uncontrolled fire and livestock grazing. The results reflect the most up to date and comprehensive overview of current national-level data availability on drivers, which is expected to improve over time within the frame of the UNFCCC REDD+ process.</t>
  </si>
  <si>
    <t>10.1088/1748-9326/7/4/044009</t>
  </si>
  <si>
    <r>
      <rPr>
        <rFont val="Arial"/>
        <color rgb="FF1155CC"/>
        <u/>
      </rPr>
      <t>http://dx.doi.org/10.1088/1748-9326/7/4/044009</t>
    </r>
  </si>
  <si>
    <t>WOS:000312696400013</t>
  </si>
  <si>
    <r>
      <rPr>
        <rFont val="Arial"/>
        <color rgb="FF1155CC"/>
        <u/>
      </rPr>
      <t>View Full Record in Web of Science</t>
    </r>
  </si>
  <si>
    <t>Alcantara, C; Kuemmerle, T; Prishchepov, AV; Radeloff, VC</t>
  </si>
  <si>
    <t>Mapping abandoned agriculture with multi-temporal MODIS satellite data</t>
  </si>
  <si>
    <t>REMOTE SENSING OF ENVIRONMENT</t>
  </si>
  <si>
    <t>Agriculture is expanding and intensifying in many areas of the world, but abandoned agriculture is also becoming more widespread. Unfortunately, data and methods to monitor abandoned agriculture accurately over large areas are lacking. Remote sensing methods may be able to fill this gap though, especially with the frequent observations provided by coarser-resolution sensors and new classification techniques. Past efforts to map abandoned agriculture relied mainly on Landsat data, making it hard to map large regions, and precluding the use of phenology information to identify abandoned agriculture. Our objective here was to test methods to map abandoned agriculture at broad scales with coarse-resolution satellite imagery and phenology data. We classified abandoned agriculture for one Moderate Resolution Imaging Spectroradiometer (MODIS) tile in Eastern Europe (-1,236,000 km(2)) where abandoned agriculture was widespread. Input data included Normalized Difference Vegetation Index (NDVI) and reflectance bands (NASA Global MODIS Terra and Aqua 16-Day Vegetation Indices for the years 2003 through 2008, -250-m resolution), as well as phenology metrics calculated with TIMESAT. The data were classified with Support Vector Machines (SVM). Training data were derived from several Landsat classifications of agricultural abandonment in the study area. A validation was conducted based on independently collected data. Our results showed that it is possible to map abandoned agriculture for large areas from MODIS data with an overall classification accuracy of 65%. Abandoned agriculture was widespread in our study area (15.1% of the total area, compared to 29.6% agriculture). We found strong differences in the MODIS data quality for different years, with data from 2005 resulting in the highest classification accuracy for the abandoned agriculture class (42.8% producer's accuracy). Classifications of MODIS NDVI data were almost as accurate as classifications based on a combination of both red and near-infrared reflectance data. MODIS NDVI data only from the growing-season resulted in similar classification accuracy as data for the full year. Using multiple years of MODIS data did not increase classification accuracy. Six phenology metrics derived with TIMESAT from the NDVI time series (2003-2008) alone were insufficient to detect abandoned agriculture, but phenology metrics improved classification accuracies when used in conjunction with NDVI time series by more than 8% over the use of NDVI data alone. The approach that we identified here is promising and suggests that it is possible to map abandoned agriculture at broad scales, which is relevant to gain a better understanding of this important land use change process. (C) 2012 Elsevier Inc. All rights reserved.</t>
  </si>
  <si>
    <t>10.1016/j.rse.2012.05.019</t>
  </si>
  <si>
    <r>
      <rPr>
        <rFont val="Arial"/>
        <color rgb="FF1155CC"/>
        <u/>
      </rPr>
      <t>http://dx.doi.org/10.1016/j.rse.2012.05.019</t>
    </r>
  </si>
  <si>
    <t>Environmental Sciences; Remote Sensing; Imaging Science &amp; Photographic Technology</t>
  </si>
  <si>
    <t>WOS:000311247700029</t>
  </si>
  <si>
    <r>
      <rPr>
        <rFont val="Arial"/>
        <color rgb="FF1155CC"/>
        <u/>
      </rPr>
      <t>View Full Record in Web of Science</t>
    </r>
  </si>
  <si>
    <t>Alverson, K</t>
  </si>
  <si>
    <t>VULNERABILITY, IMPACTS, AND ADAPTATION TO SEA LEVEL RISE TAKING AN ECOSYSTEM-BASED APPROACH</t>
  </si>
  <si>
    <t>10.5670/oceanog.2012.101</t>
  </si>
  <si>
    <r>
      <rPr>
        <rFont val="Arial"/>
        <color rgb="FF1155CC"/>
        <u/>
      </rPr>
      <t>http://dx.doi.org/10.5670/oceanog.2012.101</t>
    </r>
  </si>
  <si>
    <t>WOS:000308774600037</t>
  </si>
  <si>
    <r>
      <rPr>
        <rFont val="Arial"/>
        <color rgb="FF1155CC"/>
        <u/>
      </rPr>
      <t>View Full Record in Web of Science</t>
    </r>
  </si>
  <si>
    <t>Greaver, TL; Sullivan, TJ; Herrick, JD; Barber, MC; Baron, JS; Cosby, BJ; Deerhake, ME; Dennis, RL; Dubois, JJB; Goodale, CL; Herlihy, AT; Lawrence, GB; Liu, LL; Lynch, JA; Novak, KJ</t>
  </si>
  <si>
    <t>Ecological effects of nitrogen and sulfur air pollution in the US: what do we know?</t>
  </si>
  <si>
    <t>FRONTIERS IN ECOLOGY AND THE ENVIRONMENT</t>
  </si>
  <si>
    <t>Four decades after the passage of the US Clean Air Act, air-quality standards are set to protect ecosystems from damage caused by gas-phase nitrogen (N) and sulfur (S) compounds, but not from the deposition of these air pollutants to land and water. Here, we synthesize recent scientific literature on the ecological effects of N and S air pollution in the US. Deposition of N and S is the main driver of ecosystem acidification and contributes to nutrient enrichment in many natural systems. Although surface-water acidification has decreased in the US since 1990, it remains a problem in many regions. Perturbations to ecosystems caused by the nutrient effects of N deposition continue to emerge, although gas-phase concentrations are generally not high enough to cause phytotoxicity. In all, there is overwhelming evidence of a broad range of damaging effects to ecosystems in the US under current air-quality conditions.</t>
  </si>
  <si>
    <t>10.1890/110049</t>
  </si>
  <si>
    <r>
      <rPr>
        <rFont val="Arial"/>
        <color rgb="FF1155CC"/>
        <u/>
      </rPr>
      <t>http://dx.doi.org/10.1890/110049</t>
    </r>
  </si>
  <si>
    <t>Ecology; Environmental Sciences</t>
  </si>
  <si>
    <t>WOS:000309092700015</t>
  </si>
  <si>
    <r>
      <rPr>
        <rFont val="Arial"/>
        <color rgb="FF1155CC"/>
        <u/>
      </rPr>
      <t>View Full Record in Web of Science</t>
    </r>
  </si>
  <si>
    <t>Srebotnjak, T; Carr, G; de Sherbinin, A; Rickwood, C</t>
  </si>
  <si>
    <t>A global Water Quality Index and hot-deck imputation of missing data</t>
  </si>
  <si>
    <t>ECOLOGICAL INDICATORS</t>
  </si>
  <si>
    <t>Water is an essential resource for life on Earth and available freshwater resources are emerging as a limiting factor not only in quantity but also in quality for human development and ecological stability in a growing number of locations. Water quality is a significant criterion in matching water demand and supply. Securing adequate freshwater quality for both human and ecological needs is thus an important aspect of integrated environmental management and sustainable development. The 2008 Environmental Performance Index (EPI) published by the Yale Center for Environmental Law and Policy (YCELP) and the Center for International Earth Science Information Network (CIESIN) at Columbia University includes a Water Quality Index (WATQI). The WATQI provides a first global effort at reporting and estimating water quality on the basis of five commonly reported quality parameters: dissolved oxygen, electrical conductivity, pH value, and total nitrogen and phosphorus concentrations. This paper explains the motivation and methodology of the EPI WATQI and demonstrates how hot-deck imputation of missing values can expand its geographical coverage and better inform decision-makers on the types and extents of water quality problems in the context of limited globally comparable water quality monitoring data. (C) 2011 Elsevier Ltd. All rights reserved.</t>
  </si>
  <si>
    <t>10.1016/j.ecolind.2011.04.023</t>
  </si>
  <si>
    <r>
      <rPr>
        <rFont val="Arial"/>
        <color rgb="FF1155CC"/>
        <u/>
      </rPr>
      <t>http://dx.doi.org/10.1016/j.ecolind.2011.04.023</t>
    </r>
  </si>
  <si>
    <t>Biodiversity Conservation; Environmental Sciences</t>
  </si>
  <si>
    <t>WOS:000300208400013</t>
  </si>
  <si>
    <r>
      <rPr>
        <rFont val="Arial"/>
        <color rgb="FF1155CC"/>
        <u/>
      </rPr>
      <t>View Full Record in Web of Science</t>
    </r>
  </si>
  <si>
    <t>van Vliet, N; Mertz, O; Heinimann, A; Langanke, T; Pascual, U; Schmook, B; Adams, C; Schmidt-Vogt, D; Messerli, P; Leisz, S; Castella, JC; Jorgensen, L; Birch-Thomsen, T; Hett, C; Bruun, TB; Ickowitz, A; Vu, KC; Yasuyuki, K; Fox, J; Padoch, C; Dressler, W; Ziegler, AD</t>
  </si>
  <si>
    <t>Trends, drivers and impacts of changes in swidden cultivation in tropical forest-agriculture frontiers: A global assessment</t>
  </si>
  <si>
    <t>This meta-analysis of land-cover transformations of the past 10-15 years in tropical forest-agriculture frontiers world-wide shows that swidden agriculture decreases in landscapes with access to local, national and international markets that encourage cattle production and cash cropping, including biofuels. Conservation policies and practices also accelerate changes in swidden by restricting forest clearing and encouraging commercial agriculture. However, swidden remains important in many frontier areas where farmers have unequal or insecure access to investment and market opportunities, or where multi-functionality of land uses has been preserved as a strategy to adapt to current ecological, economic and political circumstances. In some areas swidden remains important simply because intensification is not a viable choice, for example when population densities and/or food market demands are low. The transformation of swidden landscapes into more intensive land uses has generally increased household incomes, but has also led to negative effects on the social and human capital of local communities to varying degrees. From an environmental perspective, the transition from swidden to other land uses often contributes to permanent deforestation, loss of biodiversity, increased weed pressure, declines in soil fertility, and accelerated soil erosion. Our prognosis is that, despite the global trend towards land use intensification, in many areas swidden will remain part of rural landscapes as the safety component of diversified systems, particularly in response to risks and uncertainties associated with more intensive land use systems. (C) 2011 Elsevier Ltd. All rights reserved.</t>
  </si>
  <si>
    <t>10.1016/j.gloenvcha.2011.10.009</t>
  </si>
  <si>
    <r>
      <rPr>
        <rFont val="Arial"/>
        <color rgb="FF1155CC"/>
        <u/>
      </rPr>
      <t>http://dx.doi.org/10.1016/j.gloenvcha.2011.10.009</t>
    </r>
  </si>
  <si>
    <t>WOS:000304290100012</t>
  </si>
  <si>
    <r>
      <rPr>
        <rFont val="Arial"/>
        <color rgb="FF1155CC"/>
        <u/>
      </rPr>
      <t>View Full Record in Web of Science</t>
    </r>
  </si>
  <si>
    <t>Rummukainen, M</t>
  </si>
  <si>
    <t>Changes in climate and weather extremes in the 21st century</t>
  </si>
  <si>
    <t>WILEY INTERDISCIPLINARY REVIEWS-CLIMATE CHANGE</t>
  </si>
  <si>
    <t>Climate and weather extremes are sporadically recurring events that may have major local or regional impacts on the society and the environment. These events are typically related to unusually high or low temperature, prolonged dry or wet conditions, heavy precipitation, or extreme winds. Extreme events are part of the overall climate and weather alongside average conditions and variability, and thus are not unexpected as such. Climate change is expected to affect not only means but also variability and extremes. Some inferences can be based on past and present observations, but analyses of especially rare events are hampered by the availability of long time series. Over time, depending on how far the on-going global warming takes us from the present and the past climate conditions, the weather and climate statistics may well come to shift in ways that are well outside observational data. This may lead to shifts in frequency, intensity and geographical distribution of different extremes. Indeed, projected changes in some extremes over the 21st century are quite robust, such as generally increasing warm and decreasing cold extremes. Possible changes in some other aspects, for example storms, remain much more uncertain. Science-based information both on robust findings and on relevant uncertainties on changing extremes can provide useful information for sectorial planning, disaster risk prevention and overall reduction of societal vulnerability related to climate and weather. WIREs Clim Change 2012, 3:115129. doi: 10.1002/wcc.160</t>
  </si>
  <si>
    <t>10.1002/wcc.160</t>
  </si>
  <si>
    <r>
      <rPr>
        <rFont val="Arial"/>
        <color rgb="FF1155CC"/>
        <u/>
      </rPr>
      <t>http://dx.doi.org/10.1002/wcc.160</t>
    </r>
  </si>
  <si>
    <t>Environmental Studies; Meteorology &amp; Atmospheric Sciences</t>
  </si>
  <si>
    <t>WOS:000301644400001</t>
  </si>
  <si>
    <r>
      <rPr>
        <rFont val="Arial"/>
        <color rgb="FF1155CC"/>
        <u/>
      </rPr>
      <t>View Full Record in Web of Science</t>
    </r>
  </si>
  <si>
    <t>Macedo, MN; DeFries, RS; Morton, DC; Stickler, CM; Galford, GL; Shimabukuro, YE</t>
  </si>
  <si>
    <t>Decoupling of deforestation and soy production in the southern Amazon during the late 2000s</t>
  </si>
  <si>
    <t>From 2006 to 2010, deforestation in the Amazon frontier state of Mato Grosso decreased to 30% of its historical average (1996-2005) whereas agricultural production reached an all-time high. This study combines satellite data with government deforestation and production statistics to assess land-use transitions and potential market and policy drivers associated with these trends. In the forested region of the state, increased soy production from 2001 to 2005 was entirely due to cropland expansion into previously cleared pasture areas (74%) or forests (26%). From 2006 to 2010, 78% of production increases were due to expansion (22% to yield increases), with 91% on previously cleared land. Cropland expansion fell from 10 to 2% of deforestation between the two periods, with pasture expansion accounting for most remaining deforestation. Declining deforestation coincided with a collapse of commodity markets and implementation of policy measures to reduce deforestation. Soybean profitability has since increased to pre-2006 levels whereas deforestation continued to decline, suggesting that antideforestation measures may have influenced the agricultural sector. We found little evidence of direct leakage of soy expansion into cerrado in Mato Grosso during the late 2000s, although indirect land-use changes and leakage to more distant regions are possible. This study provides evidence that reduced deforestation and increased agricultural production can occur simultaneously in tropical forest frontiers, provided that land is available and policies promote the efficient use of already-cleared lands (intensification) while restricting deforestation. It remains uncertain whether government- and industry-led policies can contain deforestation if future market conditions favor another boom in agricultural expansion.</t>
  </si>
  <si>
    <t>10.1073/pnas.1111374109</t>
  </si>
  <si>
    <r>
      <rPr>
        <rFont val="Arial"/>
        <color rgb="FF1155CC"/>
        <u/>
      </rPr>
      <t>http://dx.doi.org/10.1073/pnas.1111374109</t>
    </r>
  </si>
  <si>
    <t>WOS:000299412600068</t>
  </si>
  <si>
    <r>
      <rPr>
        <rFont val="Arial"/>
        <color rgb="FF1155CC"/>
        <u/>
      </rPr>
      <t>View Full Record in Web of Science</t>
    </r>
  </si>
  <si>
    <t>Hostert, P; Kuemmerle, T; Prishchepov, A; Sieber, A; Lambin, EF; Radeloff, VC</t>
  </si>
  <si>
    <t>Rapid land use change after socio-economic disturbances: the collapse of the Soviet Union versus Chernobyl</t>
  </si>
  <si>
    <t>Land use change is a principal force and inherent element of global environmental change, threatening biodiversity, natural ecosystems, and their services. However, our ability to anticipate future land use change is severely limited by a lack of understanding of how major socio-economic disturbances (e. g., wars, revolutions, policy changes, and economic crises) affect land use. Here we explored to what extent socio-economic disturbances can shift land use systems onto a different trajectory, and whether this can result in less intensive land use. Our results show that the collapse of the Soviet Union in 1991 caused a major reorganization in land use systems. The effects of this socio-economic disturbance were at least as drastic as those of the nuclear disaster in the Chernobyl region in 1986. While the magnitudes of land abandonment were similar in Ukraine and Belarus in the case of the nuclear disaster (28% and 36% of previously farmed land, respectively), the rates of land abandonment after the collapse of the Soviet Union in Ukraine were twice as high as those in Belarus. This highlights that national policies and institutions play an important role in mediating effects of socio-economic disturbances. The socio-economic disturbance that we studied caused major hardship for local populations, yet also presents opportunities for conservation, as natural ecosystems are recovering on large areas of former farmland. Our results illustrate the potential of socio-economic disturbances to revert land use intensification and the important role institutions and policies play in determining land use systems' resilience against such socio-economic disturbances.</t>
  </si>
  <si>
    <t>10.1088/1748-9326/6/4/045201</t>
  </si>
  <si>
    <r>
      <rPr>
        <rFont val="Arial"/>
        <color rgb="FF1155CC"/>
        <u/>
      </rPr>
      <t>http://dx.doi.org/10.1088/1748-9326/6/4/045201</t>
    </r>
  </si>
  <si>
    <t>WOS:000298674700039</t>
  </si>
  <si>
    <r>
      <rPr>
        <rFont val="Arial"/>
        <color rgb="FF1155CC"/>
        <u/>
      </rPr>
      <t>View Full Record in Web of Science</t>
    </r>
  </si>
  <si>
    <t>Ongondo, FO; Williams, ID; Cherrett, TJ</t>
  </si>
  <si>
    <t>How are WEEE doing? A global review of the management of electrical and electronic wastes</t>
  </si>
  <si>
    <t>WASTE MANAGEMENT</t>
  </si>
  <si>
    <t>This paper presents and critically analyses the current waste electrical and electronic equipment (WEEE) management practices in various countries and regions. Global trends in (i) the quantities and composition of WEEE; and (ii) the various strategies and practices adopted by selected countries to handle, regulate and prevent WEEE are comprehensively examined. The findings indicate that for (i), the quantities of WEEE generated are high and/or on the increase. IT and telecommunications equipment seem to be the dominant WEEE being generated, at least in terms of numbers, in Africa, in the poorer regions of Asia and in Latin/South America. However, the paper contends that the reported figures on quantities of WEEE generated may be grossly underestimated. For (ii), with the notable exception of Europe, many countries seem to be lacking or are slow in initiating, drafting and adopting WEEE regulations. Handling of WEEE in developing countries is typified by high rate of repair and reuse within a largely informal recycling sector. In both developed and developing nations, the landfilling of WEEE is still a concern. It has been established that stockpiling of unwanted electrical and electronic products is common in both the USA and less developed economies. The paper also identifies and discusses four common priority areas for WEEE across the globe, namely: (i) resource depletion; (ii) ethical concerns; (iii) health and environmental issues; and (iv) WEEE takeback strategies. Further, the paper discusses the future perspectives on WEEE generation, treatment, prevention and regulation. Four key conclusions are drawn from this review: global amounts of WEEE will continue unabated for some time due to emergence of new technologies and affordable electronics; informal recycling in developing nations has the potential of making a valuable contribution if their operations can be changed with strict safety standards as a priority; the pace of initiating and enacting WEEE specific legislation is very slow across the globe and in some cases non-existent; and globally, there is need for more accurate and current data on amounts and types of WEEE generated. (C) 2010 Elsevier Ltd. All rights reserved.</t>
  </si>
  <si>
    <t>10.1016/j.wasman.2010.10.023</t>
  </si>
  <si>
    <r>
      <rPr>
        <rFont val="Arial"/>
        <color rgb="FF1155CC"/>
        <u/>
      </rPr>
      <t>http://dx.doi.org/10.1016/j.wasman.2010.10.023</t>
    </r>
  </si>
  <si>
    <t>WOS:000288576800013</t>
  </si>
  <si>
    <r>
      <rPr>
        <rFont val="Arial"/>
        <color rgb="FF1155CC"/>
        <u/>
      </rPr>
      <t>View Full Record in Web of Science</t>
    </r>
  </si>
  <si>
    <t>Rask, KJ; Rask, N</t>
  </si>
  <si>
    <t>Economic development and food production-consumption balance: A growing global challenge</t>
  </si>
  <si>
    <t>FOOD POLICY</t>
  </si>
  <si>
    <t>Rising affluence in major developing countries (principally China and India) and increasing diversion of agricultural resources for energy production (USA and Brazil) sharply increase agricultural resource demand. Food consumption and production changes during development are analyzed using resource-based cereal-equivalent measures. Diet upgrades to livestock products require fivefold increases in per capita food resource use, reflecting a consistent pattern which is only marginally affected by land base. Food consumption increases exceed production during early development, leading to imports. Consumption eventually stabilizes at high incomes, but production falls short in land-scarce countries. Pork and poultry consumption increase the most; less efficient beef and dairy production command a majority of agricultural resources. (C) 2010 Elsevier Ltd. All rights reserved.</t>
  </si>
  <si>
    <t>10.1016/j.foodpol.2010.11.015</t>
  </si>
  <si>
    <r>
      <rPr>
        <rFont val="Arial"/>
        <color rgb="FF1155CC"/>
        <u/>
      </rPr>
      <t>http://dx.doi.org/10.1016/j.foodpol.2010.11.015</t>
    </r>
  </si>
  <si>
    <t>Agricultural Economics &amp; Policy; Economics; Food Science &amp; Technology; Nutrition &amp; Dietetics</t>
  </si>
  <si>
    <t>WOS:000289340500011</t>
  </si>
  <si>
    <r>
      <rPr>
        <rFont val="Arial"/>
        <color rgb="FF1155CC"/>
        <u/>
      </rPr>
      <t>View Full Record in Web of Science</t>
    </r>
  </si>
  <si>
    <t>Lambin, EF; Meyfroidt, P</t>
  </si>
  <si>
    <t>Global land use change, economic globalization, and the looming land scarcity</t>
  </si>
  <si>
    <t>A central challenge for sustainability is how to preserve forest ecosystems and the services that they provide us while enhancing food production. This challenge for developing countries confronts the force of economic globalization, which seeks cropland that is shrinking in availability and triggers deforestation. Four mechanisms-the displacement, rebound, cascade, and remittance effects-that are amplified by economic globalization accelerate land conversion. A few developing countries have managed a land use transition over the recent decades that simultaneously increased their forest cover and agricultural production. These countries have relied on various mixes of agricultural intensification, land use zoning, forest protection, increased reliance on imported food and wood products, the creation of off-farm jobs, foreign capital investments, and remittances. Sound policies and innovations can therefore reconcile forest preservation with food production. Globalization can be harnessed to increase land use efficiency rather than leading to uncontrolled land use expansion. To do so, land systems should be understood and modeled as open systems with large flows of goods, people, and capital that connect local land use with global-scale factors.</t>
  </si>
  <si>
    <t>10.1073/pnas.1100480108</t>
  </si>
  <si>
    <r>
      <rPr>
        <rFont val="Arial"/>
        <color rgb="FF1155CC"/>
        <u/>
      </rPr>
      <t>http://dx.doi.org/10.1073/pnas.1100480108</t>
    </r>
  </si>
  <si>
    <t>WOS:000287844400010</t>
  </si>
  <si>
    <r>
      <rPr>
        <rFont val="Arial"/>
        <color rgb="FF1155CC"/>
        <u/>
      </rPr>
      <t>View Full Record in Web of Science</t>
    </r>
  </si>
  <si>
    <t>Hegerl, G; Luterbacher, J; González-Rouco, F; Tett, SFB; Crowley, T; Xoplaki, E</t>
  </si>
  <si>
    <t>Influence of human and natural forcing on European seasonal temperatures</t>
  </si>
  <si>
    <t>NATURE GEOSCIENCE</t>
  </si>
  <si>
    <t>It is the regional and seasonal expression of climate change that determines the effect of greenhouse warming on ecosystems and society(1). Whereas anthropogenic influences on European temperatures have been detected over the twentieth century(2,3), it has been suggested that the impact of external influences on European temperatures before 1900 is negligible(4). Here we use reconstructions of seasonal European land temperature(5,6) and simulations with three global climate models(7-9) to show that external influences on climate-such as the concentrations of stratospheric volcanic aerosols or greenhouse gases, other anthropogenic effects and possibly changes in total solar irradiance-have had a discernible influence on European temperatures throughout the past five centuries. In particular, we find that external forcing contributes significantly (p &lt; 5%) to the reconstructed long-term variability of winter and spring temperatures and that it is responsible for a best guess of 75% of the observed winter warming since the late seventeenth century. This warming is largely attributable to greenhouse-gas forcing. Summer temperatures show detectable (p &lt; 5%) interdecadal variations in response to external forcing before 1900 only. Finally, throughout the record we detect highly significant summer cooling and significant winter warming following volcanic eruptions.</t>
  </si>
  <si>
    <t>10.1038/NGEO1057</t>
  </si>
  <si>
    <r>
      <rPr>
        <rFont val="Arial"/>
        <color rgb="FF1155CC"/>
        <u/>
      </rPr>
      <t>http://dx.doi.org/10.1038/NGEO1057</t>
    </r>
  </si>
  <si>
    <t>WOS:000286723300014</t>
  </si>
  <si>
    <r>
      <rPr>
        <rFont val="Arial"/>
        <color rgb="FF1155CC"/>
        <u/>
      </rPr>
      <t>View Full Record in Web of Science</t>
    </r>
  </si>
  <si>
    <t>Page, SE; Rieley, JO; Banks, CJ</t>
  </si>
  <si>
    <t>Global and regional importance of the tropical peatland carbon pool</t>
  </si>
  <si>
    <t>GLOBAL CHANGE BIOLOGY</t>
  </si>
  <si>
    <t>Accurate inventory of tropical peatland is important in order to (a) determine the magnitude of the carbon pool; (b) estimate the scale of transfers of peat-derived greenhouse gases to the atmosphere resulting from land use change; and (c) support carbon emissions reduction policies. We review available information on tropical peatland area and thickness and calculate peat volume and carbon content in order to determine their best estimates and ranges of variation. Our best estimate of tropical peatland area is 441 025 km2 (similar to 11% of global peatland area) of which 247 778 km2 (56%) is in Southeast Asia. We estimate the volume of tropical peat to be 1758 Gm3 (similar to 18-25% of global peat volume) with 1359 Gm3 in Southeast Asia (77% of all tropical peat). This new assessment reveals a larger tropical peatland carbon pool than previous estimates, with a best estimate of 88.6 Gt (range 81.7-91.9 Gt) equal to 15-19% of the global peat carbon pool. Of this, 68.5 Gt (77%) is in Southeast Asia, equal to 11-14% of global peat carbon. A single country, Indonesia, has the largest share of tropical peat carbon (57.4 Gt, 65%), followed by Malaysia (9.1 Gt, 10%). These data are used to provide revised estimates for Indonesian and Malaysian forest soil carbon pools of 77 and 15 Gt, respectively, and total forest carbon pools (biomass plus soil) of 97 and 19 Gt. Peat carbon contributes 60% to the total forest soil carbon pool in Malaysia and 74% in Indonesia. These results emphasize the prominent global and regional roles played by the tropical peat carbon pool and the importance of including this pool in national and regional assessments of terrestrial carbon stocks and the prediction of peat-derived greenhouse gas emissions.</t>
  </si>
  <si>
    <t>10.1111/j.1365-2486.2010.02279.x</t>
  </si>
  <si>
    <r>
      <rPr>
        <rFont val="Arial"/>
        <color rgb="FF1155CC"/>
        <u/>
      </rPr>
      <t>http://dx.doi.org/10.1111/j.1365-2486.2010.02279.x</t>
    </r>
  </si>
  <si>
    <t>WOS:000285878000013</t>
  </si>
  <si>
    <r>
      <rPr>
        <rFont val="Arial"/>
        <color rgb="FF1155CC"/>
        <u/>
      </rPr>
      <t>View Full Record in Web of Science</t>
    </r>
  </si>
  <si>
    <t>Carpenter, SR; Stanley, EH; Vander Zanden, MJ</t>
  </si>
  <si>
    <t>State of the World's Freshwater Ecosystems: Physical, Chemical, and Biological Changes</t>
  </si>
  <si>
    <t>ANNUAL REVIEW OF ENVIRONMENT AND RESOURCES, VOL 36</t>
  </si>
  <si>
    <t>Surface freshwaters-lakes, reservoirs, and rivers are among the most extensively altered ecosystems on Earth. Transformations include changes in the morphology of rivers and lakes, hydrology, biogeochemistry of nutrients and toxic substances, ecosystem metabolism and the storage of carbon (C), loss of native species, expansion of invasive species, and disease emergence. Drivers are climate change, hydrologic flow modification, land-use change, chemical inputs, aquatic invasive species, and harvest. Drivers and responses interact, and their relationships must be disentangled to understand the causes and consequences of change as well as the correctives for adverse change in any given watershed. Beyond its importance in terms of drinking water, freshwater supports human well-being in many ways related to food and fiber production, hydration of other ecosystems used by humans, dilution and degradation of pollutants, and cultural values. A natural capital framework can be used to assess freshwater ecosystem services, competing uses for freshwaters, and the processes that underpin the long-term maintenance of freshwaters. Upper limits for human consumption of freshwaters have been proposed, and consumptive use may approach these limits by the mid-century.</t>
  </si>
  <si>
    <t>10.1146/annurev-environ-021810-094524</t>
  </si>
  <si>
    <r>
      <rPr>
        <rFont val="Arial"/>
        <color rgb="FF1155CC"/>
        <u/>
      </rPr>
      <t>http://dx.doi.org/10.1146/annurev-environ-021810-094524</t>
    </r>
  </si>
  <si>
    <t>Environmental Sciences; Environmental Studies</t>
  </si>
  <si>
    <t>WOS:000299610900004</t>
  </si>
  <si>
    <r>
      <rPr>
        <rFont val="Arial"/>
        <color rgb="FF1155CC"/>
        <u/>
      </rPr>
      <t>View Full Record in Web of Science</t>
    </r>
  </si>
  <si>
    <t>Nelson, E; Sander, H; Hawthorne, P; Conte, M; Ennaanay, D; Wolny, S; Manson, S; Polasky, S</t>
  </si>
  <si>
    <t>Projecting Global Land-Use Change and Its Effect on Ecosystem Service Provision and Biodiversity with Simple Models</t>
  </si>
  <si>
    <t>Background: As the global human population grows and its consumption patterns change, additional land will be needed for living space and agricultural production. A critical question facing global society is how to meet growing human demands for living space, food, fuel, and other materials while sustaining ecosystem services and biodiversity [1]. Methodology/Principal Findings: We spatially allocate two scenarios of 2000 to 2015 global areal change in urban land and cropland at the grid cell-level and measure the impact of this change on the provision of ecosystem services and biodiversity. The models and techniques used to spatially allocate land-use/land-cover (LULC) change and evaluate its impact on ecosystems are relatively simple and transparent [2]. The difference in the magnitude and pattern of cropland expansion across the two scenarios engenders different tradeoffs among crop production, provision of species habitat, and other important ecosystem services such as biomass carbon storage. For example, in one scenario, 5.2 grams of carbon stored in biomass is released for every additional calorie of crop produced across the globe; under the other scenario this tradeoff rate is 13.7. By comparing scenarios and their impacts we can begin to identify the global pattern of cropland and irrigation development that is significant enough to meet future food needs but has less of an impact on ecosystem service and habitat provision. Conclusions/Significance: Urban area and croplands will expand in the future to meet human needs for living space, livelihoods, and food. In order to jointly provide desired levels of urban land, food production, and ecosystem service and species habitat provision the global society will have to become much more strategic in its allocation of intensively managed land uses. Here we illustrate a method for quickly and transparently evaluating the performance of potential global futures.</t>
  </si>
  <si>
    <t>10.1371/journal.pone.0014327</t>
  </si>
  <si>
    <r>
      <rPr>
        <rFont val="Arial"/>
        <color rgb="FF1155CC"/>
        <u/>
      </rPr>
      <t>http://dx.doi.org/10.1371/journal.pone.0014327</t>
    </r>
  </si>
  <si>
    <t>WOS:000285340000006</t>
  </si>
  <si>
    <r>
      <rPr>
        <rFont val="Arial"/>
        <color rgb="FF1155CC"/>
        <u/>
      </rPr>
      <t>View Full Record in Web of Science</t>
    </r>
  </si>
  <si>
    <t>Aukema, JE; McCullough, DG; Von Holle, B; Liebhold, AM; Britton, K; Frankel, SJ</t>
  </si>
  <si>
    <t>Historical Accumulation of Nonindigenous Forest Pests in the Continental United States</t>
  </si>
  <si>
    <t>BIOSCIENCE</t>
  </si>
  <si>
    <t>Nonindigenous forest insects and pathogens affect a range of ecosystems, industries, and property owners in the United States Evaluating temporal patterns in the accumulation of these nonindigenous forest pests can inform regulatory and policy decisions We compiled a comprehensive species list to assess the accumulation rates of nonindigenous forest insects and pathogens established in the United States More than 450 nonindigenous insects and at least 16 pathogens have colonized forest and urban trees since European settlement Approximately 25 established nonindigenous forest insects per year were detected in the United States between 1860 and 2006 At least 14% of these insects and all 16 pathogens have caused notable damage to trees Although sap feeders and foliage feeders dominated the comprehensive list, phloem- and wood-boring insects and foliage feeders were often more damaging than expected Detections of insects that feed on phloem or wood have increased markedly in recent years</t>
  </si>
  <si>
    <t>10.1525/bio.2010.60.11.5</t>
  </si>
  <si>
    <r>
      <rPr>
        <rFont val="Arial"/>
        <color rgb="FF1155CC"/>
        <u/>
      </rPr>
      <t>http://dx.doi.org/10.1525/bio.2010.60.11.5</t>
    </r>
  </si>
  <si>
    <t>WOS:000285328400005</t>
  </si>
  <si>
    <r>
      <rPr>
        <rFont val="Arial"/>
        <color rgb="FF1155CC"/>
        <u/>
      </rPr>
      <t>View Full Record in Web of Science</t>
    </r>
  </si>
  <si>
    <t>Pal, A; Gin, KYH; Lin, AYC; Reinhard, M</t>
  </si>
  <si>
    <t>Impacts of emerging organic contaminants on freshwater resources: Review of recent occurrences, sources, fate and effects</t>
  </si>
  <si>
    <t>Rapid urbanization and frequent disposal of wastewater to surface water cause widespread contamination of freshwater supplies with emerging contaminants such as pharmaceuticals insecticides surfactants endocrine disruptors including hormones Although these organic contaminants may be present at trace levels their adverse effects on aquatic life animals and even humans are a growing concern Numerous studies have been published on the occurrence and fate of emerging organic contaminants in different parts of the world spanning a wide range of sources and aquatic environments including freshwater catchments effluent wastewater streams lakes rivers reservoirs estuaries and marine waters This paper reviews recent studies on the occurrence and fate of frequently detected pharmaceuticals and hormones and identifies areas that merit further research (C) 2010 Elsevier BV All rights reserved</t>
  </si>
  <si>
    <t>10.1016/j.scitotenv.2010.09.026</t>
  </si>
  <si>
    <r>
      <rPr>
        <rFont val="Arial"/>
        <color rgb="FF1155CC"/>
        <u/>
      </rPr>
      <t>http://dx.doi.org/10.1016/j.scitotenv.2010.09.026</t>
    </r>
  </si>
  <si>
    <t>WOS:000285070800002</t>
  </si>
  <si>
    <r>
      <rPr>
        <rFont val="Arial"/>
        <color rgb="FF1155CC"/>
        <u/>
      </rPr>
      <t>View Full Record in Web of Science</t>
    </r>
  </si>
  <si>
    <t>Kroeker, KJ; Kordas, RL; Crim, RN; Singh, GG</t>
  </si>
  <si>
    <t>Meta-analysis reveals negative yet variable effects of ocean acidification on marine organisms</t>
  </si>
  <si>
    <t>ECOLOGY LETTERS</t>
  </si>
  <si>
    <t>P&gt;Ocean acidification is a pervasive stressor that could affect many marine organisms and cause profound ecological shifts. A variety of biological responses to ocean acidification have been measured across a range of taxa, but this information exists as case studies and has not been synthesized into meaningful comparisons amongst response variables and functional groups. We used meta-analytic techniques to explore the biological responses to ocean acidification, and found negative effects on survival, calcification, growth and reproduction. However, there was significant variation in the sensitivity of marine organisms. Calcifying organisms generally exhibited larger negative responses than non-calcifying organisms across numerous response variables, with the exception of crustaceans, which calcify but were not negatively affected. Calcification responses varied significantly amongst organisms using different mineral forms of calcium carbonate. Organisms using one of the more soluble forms of calcium carbonate (high-magnesium calcite) can be more resilient to ocean acidification than less soluble forms (calcite and aragonite). Additionally, there was variation in the sensitivities of different developmental stages, but this variation was dependent on the taxonomic group. Our analyses suggest that the biological effects of ocean acidification are generally large and negative, but the variation in sensitivity amongst organisms has important implications for ecosystem responses.</t>
  </si>
  <si>
    <t>10.1111/j.1461-0248.2010.01518.x</t>
  </si>
  <si>
    <r>
      <rPr>
        <rFont val="Arial"/>
        <color rgb="FF1155CC"/>
        <u/>
      </rPr>
      <t>http://dx.doi.org/10.1111/j.1461-0248.2010.01518.x</t>
    </r>
  </si>
  <si>
    <t>Ecology</t>
  </si>
  <si>
    <t>WOS:000283157500010</t>
  </si>
  <si>
    <r>
      <rPr>
        <rFont val="Arial"/>
        <color rgb="FF1155CC"/>
        <u/>
      </rPr>
      <t>View Full Record in Web of Science</t>
    </r>
  </si>
  <si>
    <t>Gibbs, HK; Ruesch, AS; Achard, F; Clayton, MK; Holmgren, P; Ramankutty, N; Foley, JA</t>
  </si>
  <si>
    <t>Tropical forests were the primary sources of new agricultural land in the 1980s and 1990s</t>
  </si>
  <si>
    <t>Global demand for agricultural products such as food, feed, and fuel is now a major driver of cropland and pasture expansion across much of the developing world. Whether these new agricultural lands replace forests, degraded forests, or grasslands greatly influences the environmental consequences of expansion. Although the general pattern is known, there still is no definitive quantification of these land-cover changes. Here we analyze the rich, pan-tropical database of classified Landsat scenes created by the Food and Agricultural Organization of the United Nations to examine pathways of agricultural expansion across the major tropical forest regions in the 1980s and 1990s and use this information to highlight the future land conversions that probably will be needed to meet mounting demand for agricultural products. Across the tropics, we find that between 1980 and 2000 more than 55% of new agricultural land came at the expense of intact forests, and another 28% came from disturbed forests. This study underscores the potential consequences of unabated agricultural expansion for forest conservation and carbon emissions.</t>
  </si>
  <si>
    <t>10.1073/pnas.0910275107</t>
  </si>
  <si>
    <r>
      <rPr>
        <rFont val="Arial"/>
        <color rgb="FF1155CC"/>
        <u/>
      </rPr>
      <t>http://dx.doi.org/10.1073/pnas.0910275107</t>
    </r>
  </si>
  <si>
    <t>WOS:000282003700063</t>
  </si>
  <si>
    <r>
      <rPr>
        <rFont val="Arial"/>
        <color rgb="FF1155CC"/>
        <u/>
      </rPr>
      <t>View Full Record in Web of Science</t>
    </r>
  </si>
  <si>
    <t>Law, KL; Moret-Ferguson, S; Maximenko, NA; Proskurowski, G; Peacock, EE; Hafner, J; Reddy, CM</t>
  </si>
  <si>
    <t>Plastic Accumulation in the North Atlantic Subtropical Gyre</t>
  </si>
  <si>
    <t>Plastic marine pollution is a major environmental concern, yet a quantitative description of the scope of this problem in the open ocean is lacking. Here, we present a time series of plastic content at the surface of the western North Atlantic Ocean and Caribbean Sea from 1986 to 2008. More than 60% of 6136 surface plankton net tows collected buoyant plastic pieces, typically millimeters in size. The highest concentration of plastic debris was observed in subtropical latitudes and associated with the observed large-scale convergence in surface currents predicted by Ekman dynamics. Despite a rapid increase in plastic production and disposal during this time period, no trend in plastic concentration was observed in the region of highest accumulation.</t>
  </si>
  <si>
    <t>10.1126/science.1192321</t>
  </si>
  <si>
    <r>
      <rPr>
        <rFont val="Arial"/>
        <color rgb="FF1155CC"/>
        <u/>
      </rPr>
      <t>http://dx.doi.org/10.1126/science.1192321</t>
    </r>
  </si>
  <si>
    <t>WOS:000281485600030</t>
  </si>
  <si>
    <r>
      <rPr>
        <rFont val="Arial"/>
        <color rgb="FF1155CC"/>
        <u/>
      </rPr>
      <t>View Full Record in Web of Science</t>
    </r>
  </si>
  <si>
    <t>Guler, Y; Ford, AT</t>
  </si>
  <si>
    <t>Anti-depressants make amphipods see the light</t>
  </si>
  <si>
    <t>AQUATIC TOXICOLOGY</t>
  </si>
  <si>
    <t>The effects of serotonin altering parasites, serotonin, the anti-depressant fluoxetine, plus two other highly prescribed pharmaceuticals (carbamazepine and diclofenac) on the behaviour of the marine amphipod, Echinogammarus marinus were investigated Acanthocephalan parasites are known to alter the swimming behaviour in their amphipod hosts through changes in serotonergic activity resulting in increased predation. Behavioural assays were adapted to record changes in phototaxis and geotaxis behaviour in male E marinus following 7, 14 and 21 days exposure to serotonin and each pharmaceutical compound at 4 concentrations compared to a control (between 10 ng/L and 10 mu g/L). E. marinus infected with acanthocephalans parasites had both significantly higher phototaxis and geotaxis scores than those of uninfected specimens Phototaxis and geotaxis behaviour increased significantly in a concentration-dependent manner with exposure to serotonin Fluoxetine significantly altered phototaxis and geotaxis activity in what appeared to be a non-monotonic concentration response curve with the greatest behavioural changes observed at 100 ng/L The main patterns of these behavioural responses were consistent between two trials and the 3 weeks exposure with specimens spending more time within the light and occurring higher in the water column No obvious trends could be concluded in the phototaxis and geotaxis scores from individuals exposed to carbamazepine or diclofenac as might be expected from their known mode of action From this study phototaxis and geotaxis behaviour have been observed to be affected by exposure to serotonin modulators Parasite studies have shown strong links between changes in behaviour and increased predation risk correlating with changes in serotonergic activity This study has highlighted the potential for highly prescribed anti-depressant drugs to change the behaviour of an ecologically relevant marine species in ways which could conceivably lead to population level effects (C) 2010 Elsevier B V All rights reserved</t>
  </si>
  <si>
    <t>10.1016/j.aquatox.2010.05.019</t>
  </si>
  <si>
    <r>
      <rPr>
        <rFont val="Arial"/>
        <color rgb="FF1155CC"/>
        <u/>
      </rPr>
      <t>http://dx.doi.org/10.1016/j.aquatox.2010.05.019</t>
    </r>
  </si>
  <si>
    <t>Marine &amp; Freshwater Biology; Toxicology</t>
  </si>
  <si>
    <t>WOS:000281493400010</t>
  </si>
  <si>
    <r>
      <rPr>
        <rFont val="Arial"/>
        <color rgb="FF1155CC"/>
        <u/>
      </rPr>
      <t>View Full Record in Web of Science</t>
    </r>
  </si>
  <si>
    <t>Ahrends, A; Burgess, ND; Milledge, SAH; Bulling, MT; Fisher, B; Smart, JCR; Clarke, GP; Mhoro, BE; Lewis, SL</t>
  </si>
  <si>
    <t>Predictable waves of sequential forest degradation and biodiversity loss spreading from an African city</t>
  </si>
  <si>
    <t>Tropical forest degradation emits carbon at a rate of similar to 0.5 Pg.y(-1), reduces biodiversity, and facilitates forest clearance. Understanding degradation drivers and patterns is therefore crucial to managing forests to mitigate climate change and reduce biodiversity loss. Putative patterns of degradation affecting forest stocks, carbon, and biodiversity have variously been described previously, but these have not been quantitatively assessed together or tested systematically. Economic theory predicts a systematic allocation of land to its highest use value in response to distance from centers of demand. We tested this theory to see if forest exploitation would expand through time and space as concentric waves, with each wave targeting lower value products. We used forest data along a transect from 10 to 220 km from Dar es Salaam (DES), Tanzania, collected at two points in time (1991 and 2005). Our predictions were confirmed: high-value logging expanded 9 km.y(-1), and an inner wave of lower value charcoal production 2 km.y(-1). This resource utilization is shown to reduce the public goods of carbon storage and species richness, which significantly increased with each kilometer from DES [carbon, 0.2 Mg.ha(-1); 0.1 species per sample area (0.4 ha)]. Our study suggests that tropical forest degradation can be modeled and predicted, with its attendant loss of some public goods. In sub-Saharan Africa, an area experiencing the highest rate of urban migration worldwide, coupled with a high dependence on forest based resources, predicting the spatiotemporal patterns of degradation can inform policies designed to extract resources without unsustainably reducing carbon storage and biodiversity.</t>
  </si>
  <si>
    <t>10.1073/pnas.0914471107</t>
  </si>
  <si>
    <r>
      <rPr>
        <rFont val="Arial"/>
        <color rgb="FF1155CC"/>
        <u/>
      </rPr>
      <t>http://dx.doi.org/10.1073/pnas.0914471107</t>
    </r>
  </si>
  <si>
    <t>WOS:000281287600010</t>
  </si>
  <si>
    <r>
      <rPr>
        <rFont val="Arial"/>
        <color rgb="FF1155CC"/>
        <u/>
      </rPr>
      <t>View Full Record in Web of Science</t>
    </r>
  </si>
  <si>
    <t>Robinson, C; Steinberg, DK; Anderson, TR; Arístegui, J; Carlson, CA; Frost, JR; Ghiglione, JF; Hernández-Léon, S; Jackson, GA; Koppelmann, R; Quéguiner, B; Ragueneau, O; Rassoulzadegan, F; Robison, BH; Tamburini, C; Tanaka, T; Wishner, KF; Zhang, J</t>
  </si>
  <si>
    <t>Mesopelagic zone ecology and biogeochemistry - a synthesis</t>
  </si>
  <si>
    <t>DEEP-SEA RESEARCH PART II-TOPICAL STUDIES IN OCEANOGRAPHY</t>
  </si>
  <si>
    <t>The mesopelagic zone is the oceanic region through which carbon and other elements must pass in order to reach deeper waters or the sea floor. However, the food web interactions that occur in the mesopelagic zone are difficult to measure and so, despite their crucial importance to global elemental cycles, are not very well known. Recent developments in technology and new approaches have advanced the study of the variability in and controls upon the distribution and diversity of organisms in the mesopelagic zone, including the roles of respiration, recycling, and repackaging of particulate and dissolved organic material. However, there are remarkably few syntheses of the ecology and biogeochemistry of the microbes and metazoa that permanently reside or habitually visit this 'twilight zone'. Without this synthesis, it is difficult to assess the impact of ongoing changes in ocean hydrography and chemistry, due to increasing atmospheric carbon dioxide levels, on the biological carbon pump. This paper reviews what is known about the distribution of microbes and metazoa in the mesopelagic zone in relation to their activity and impact on global biogeochemical cycles. Thus, gaps in our knowledge are identified and suggestions made for priority research programmes that will improve our ability to predict the effects of climate change on carbon sequestration. (C) 2010 Elsevier Ltd. All rights reserved.</t>
  </si>
  <si>
    <t>10.1016/j.dsr2.2010.02.018</t>
  </si>
  <si>
    <r>
      <rPr>
        <rFont val="Arial"/>
        <color rgb="FF1155CC"/>
        <u/>
      </rPr>
      <t>http://dx.doi.org/10.1016/j.dsr2.2010.02.018</t>
    </r>
  </si>
  <si>
    <t>WOS:000280377900008</t>
  </si>
  <si>
    <r>
      <rPr>
        <rFont val="Arial"/>
        <color rgb="FF1155CC"/>
        <u/>
      </rPr>
      <t>View Full Record in Web of Science</t>
    </r>
  </si>
  <si>
    <t>Hoegh-Guldberg, O; Bruno, JF</t>
  </si>
  <si>
    <t>The Impact of Climate Change on the World's Marine Ecosystems</t>
  </si>
  <si>
    <t>Marine ecosystems are centrally important to the biology of the planet, yet a comprehensive understanding of how anthropogenic climate change is affecting them has been poorly developed. Recent studies indicate that rapidly rising greenhouse gas concentrations are driving ocean systems toward conditions not seen for millions of years, with an associated risk of fundamental and irreversible ecological transformation. The impacts of anthropogenic climate change so far include decreased ocean productivity, altered food web dynamics, reduced abundance of habitat-forming species, shifting species distributions, and a greater incidence of disease. Although there is considerable uncertainty about the spatial and temporal details, climate change is clearly and fundamentally altering ocean ecosystems. Further change will continue to create enormous challenges and costs for societies worldwide, particularly those in developing countries.</t>
  </si>
  <si>
    <t>10.1126/science.1189930</t>
  </si>
  <si>
    <r>
      <rPr>
        <rFont val="Arial"/>
        <color rgb="FF1155CC"/>
        <u/>
      </rPr>
      <t>http://dx.doi.org/10.1126/science.1189930</t>
    </r>
  </si>
  <si>
    <t>WOS:000278859200037</t>
  </si>
  <si>
    <r>
      <rPr>
        <rFont val="Arial"/>
        <color rgb="FF1155CC"/>
        <u/>
      </rPr>
      <t>View Full Record in Web of Science</t>
    </r>
  </si>
  <si>
    <t>Nicholls, RJ; Cazenave, A</t>
  </si>
  <si>
    <t>Sea-Level Rise and Its Impact on Coastal Zones</t>
  </si>
  <si>
    <t>Global sea levels have risen through the 20th century. These rises will almost certainly accelerate through the 21st century and beyond because of global warming, but their magnitude remains uncertain. Key uncertainties include the possible role of the Greenland and West Antarctic ice sheets and the amplitude of regional changes in sea level. In many areas, nonclimatic components of relative sea-level change (mainly subsidence) can also be locally appreciable. Although the impacts of sea-level rise are potentially large, the application and success of adaptation are large uncertainties that require more assessment and consideration.</t>
  </si>
  <si>
    <t>10.1126/science.1185782</t>
  </si>
  <si>
    <r>
      <rPr>
        <rFont val="Arial"/>
        <color rgb="FF1155CC"/>
        <u/>
      </rPr>
      <t>http://dx.doi.org/10.1126/science.1185782</t>
    </r>
  </si>
  <si>
    <t>WOS:000278859200035</t>
  </si>
  <si>
    <r>
      <rPr>
        <rFont val="Arial"/>
        <color rgb="FF1155CC"/>
        <u/>
      </rPr>
      <t>View Full Record in Web of Science</t>
    </r>
  </si>
  <si>
    <t>van Donkelaar, A; Martin, RV; Brauer, M; Kahn, R; Levy, R; Verduzco, C; Villeneuve, PJ</t>
  </si>
  <si>
    <t>Global Estimates of Ambient Fine Particulate Matter Concentrations from Satellite-Based Aerosol Optical Depth: Development and Application</t>
  </si>
  <si>
    <t>ENVIRONMENTAL HEALTH PERSPECTIVES</t>
  </si>
  <si>
    <t>BACKGROUND: Epidemiologic and health impact studies of fine particulate matter with diameter &lt; 2.5 mu m (PM2.5) are limited by the lack of monitoring data, especially in developing countries. Satellite observations offer valuable global information about PM2.5 concentrations. OBJECTIVE: In this study, we developed a technique for estimating surface PM2.5 concentrations from satellite observations. METHODS: We mapped global ground-level PM2.5 concentrations using total column aerosol optical depth (AOD) from the MODIS (Moderate Resolution Imaging Spectroradiometer) and MISR (Multiangle Imaging Spectroradiometer) satellite instruments and coincident aerosol vertical profiles from the GEOS-Chem global chemical transport model. RESULTS: We determined that global estimates of long-term average (1 January 2001 to 31 December 2006) PM2.5 concentrations at approximately 10 km x 10 km resolution indicate a global population-weighted geometric mean PM2.5 concentration of 20 mu g/m(3). The World Health Organization Air Quality PM2.5 Interim Target-1 (35 mu g/m(3) annual average) is exceeded over central and eastern Asia for 38% and for 50% of the population, respectively. Annual mean PM2.5 concentrations exceed 80 mu g/m(3) over eastern China. Our evaluation of the satellite-derived estimate with ground-based in situ measurements indicates significant spatial agreement with North American measurements (r = 0.77; slope = 1.07; n = 1057) and with noncoincident measurements elsewhere (r = 0133; slope = 0.86; n = 244). The 1 SD of uncertainty in the satellite-derived PM2.5 is 25%, which is inferred from the AOD retrieval and from aerosol vertical profile errors and sampling. The global population-weighted mean uncertainty is 6.7 mu g/m(3). CONCLUSIONS: Satellite-derived total-column AOD, when combined with a chemical transport model, provides estimates of global long-term average PM2.5 concentrations.</t>
  </si>
  <si>
    <t>10.1289/ehp.0901623</t>
  </si>
  <si>
    <r>
      <rPr>
        <rFont val="Arial"/>
        <color rgb="FF1155CC"/>
        <u/>
      </rPr>
      <t>http://dx.doi.org/10.1289/ehp.0901623</t>
    </r>
  </si>
  <si>
    <t>Environmental Sciences; Public, Environmental &amp; Occupational Health; Toxicology</t>
  </si>
  <si>
    <t>WOS:000278591300031</t>
  </si>
  <si>
    <r>
      <rPr>
        <rFont val="Arial"/>
        <color rgb="FF1155CC"/>
        <u/>
      </rPr>
      <t>View Full Record in Web of Science</t>
    </r>
  </si>
  <si>
    <t>Butchart, SHM; Walpole, M; Collen, B; van Strien, A; Scharlemann, JPW; Almond, REA; Baillie, JEM; Bomhard, B; Brown, C; Bruno, J; Carpenter, KE; Carr, GM; Chanson, J; Chenery, AM; Csirke, J; Davidson, NC; Dentener, F; Foster, M; Galli, A; Galloway, JN; Genovesi, P; Gregory, RD; Hockings, M; Kapos, V; Lamarque, JF; Leverington, F; Loh, J; McGeoch, MA; McRae, L; Minasyan, A; Morcillo, MH; Oldfield, TEE; Pauly, D; Quader, S; Revenga, C; Sauer, JR; Skolnik, B; Spear, D; Stanwell-Smith, D; Stuart, SN; Symes, A; Tierney, M; Tyrrell, TD; Vié, JC; Watson, R</t>
  </si>
  <si>
    <t>Global Biodiversity: Indicators of Recent Declines</t>
  </si>
  <si>
    <t>In 2002, world leaders committed, through the Convention on Biological Diversity, to achieve a significant reduction in the rate of biodiversity loss by 2010. We compiled 31 indicators to report on progress toward this target. Most indicators of the state of biodiversity (covering species' population trends, extinction risk, habitat extent and condition, and community composition) showed declines, with no significant recent reductions in rate, whereas indicators of pressures on biodiversity (including resource consumption, invasive alien species, nitrogen pollution, overexploitation, and climate change impacts) showed increases. Despite some local successes and increasing responses (including extent and biodiversity coverage of protected areas, sustainable forest management, policy responses to invasive alien species, and biodiversity-related aid), the rate of biodiversity loss does not appear to be slowing.</t>
  </si>
  <si>
    <t>10.1126/science.1187512</t>
  </si>
  <si>
    <r>
      <rPr>
        <rFont val="Arial"/>
        <color rgb="FF1155CC"/>
        <u/>
      </rPr>
      <t>http://dx.doi.org/10.1126/science.1187512</t>
    </r>
  </si>
  <si>
    <t>WOS:000278104700046</t>
  </si>
  <si>
    <r>
      <rPr>
        <rFont val="Arial"/>
        <color rgb="FF1155CC"/>
        <u/>
      </rPr>
      <t>View Full Record in Web of Science</t>
    </r>
  </si>
  <si>
    <t>Quinton, JN; Govers, G; Van Oost, K; Bardgett, RD</t>
  </si>
  <si>
    <t>The impact of agricultural soil erosion on biogeochemical cycling</t>
  </si>
  <si>
    <t>Soils are the main terrestrial reservoir of nutrients, such as nitrogen and phosphorus, and of organic carbon. Synthesizing earlier studies, we find that the mobilization and deposition of agricultural soils can significantly alter nutrient and carbon cycling. Specifically, erosion can result in lateral fluxes of nitrogen and phosphorus that are similar in magnitude to those induced by fertilizer application and crop removal. Furthermore, the translocation and burial of soil reduces decomposition of soil organic carbon, and could lead to long-term carbon storage. The cycling of carbon, nitrogen and phosphorus are strongly interrelated. For example, erosion-induced burial of soils stabilizes soil nutrient and carbon pools, thereby increasing primary productivity and carbon uptake, and potentially reducing erosion. Our analysis shows soils as dynamic systems in time and space.</t>
  </si>
  <si>
    <t>10.1038/ngeo838</t>
  </si>
  <si>
    <r>
      <rPr>
        <rFont val="Arial"/>
        <color rgb="FF1155CC"/>
        <u/>
      </rPr>
      <t>http://dx.doi.org/10.1038/ngeo838</t>
    </r>
  </si>
  <si>
    <t>WOS:000277188500011</t>
  </si>
  <si>
    <r>
      <rPr>
        <rFont val="Arial"/>
        <color rgb="FF1155CC"/>
        <u/>
      </rPr>
      <t>View Full Record in Web of Science</t>
    </r>
  </si>
  <si>
    <t>Vilà, M; Basnou, C; Pysek, P; Josefsson, M; Genovesi, P; Gollasch, S; Nentwig, W; Olenin, S; Roques, A; Roy, D; Hulme, PE; Andriopoulos, P; Arianoutsou, M; Augustin, S; Bacher, S; Bazos, I; Bretagnolle, F; Chiron, F; Clergeau, P; Cochard, PO; Cocquempot, C; Coeur d'Acier, A; David, M; Delipetrou, P; Desprez-Loustau, ML; Didziulis, V; Dorkeld, F; Essl, F; Galil, BS; Gasquez, J; Georghiou, K; Hejda, M; Jarosik, V; Kark, S; Kokkoris, I; Kühn, I; Lambdon, PW; Lopez-Vaamonde, C; Marcer, A; Migeon, A; McLoughlin, M; Minchin, D; Navajas, M; Panov, VE; Pascal, M; Pergl, J; Perglová, I; Pino, J; Poboljsaj, K; Rabitsch, W; Rasplus, JY; Sauvard, D; Scalera, R; Sedlácek, O; Shirley, S; Winter, M; Yannitsaros, A; Yart, A; Zagatti, P; Zikos, A</t>
  </si>
  <si>
    <t>How well do we understand the impacts of alien species on ecosystem services? A pan-European, cross-taxa assessment</t>
  </si>
  <si>
    <t>Recent comprehensive data provided through the DAISIE project (www.europe-aliens.org) have facilitated the development of the first pan-European assessment of the impacts of alien plants, vertebrates, and invertebrates in terrestrial, freshwater, and marine environments on ecosystem services. There are 1094 species with documented ecological impacts and 1347 with economic impacts. The two taxonomic groups with the most species causing impacts are terrestrial invertebrates and terrestrial plants. The North Sea is the maritime region that suffers the most impacts. Across taxa and regions, ecological and economic impacts are highly correlated. Terrestrial invertebrates create greater economic impacts than ecological impacts, while the reverse is true for terrestrial plants. Alien species from all taxonomic groups affect supporting, provisioning, regulating, and cultural services and interfere with human well-being. Terrestrial vertebrates are responsible for the greatest range of impacts, and these are widely distributed across Europe. Here, we present a review of the financial costs, as the first step toward calculating an estimate of the economic consequences of alien species in Europe.</t>
  </si>
  <si>
    <t>10.1890/080083</t>
  </si>
  <si>
    <r>
      <rPr>
        <rFont val="Arial"/>
        <color rgb="FF1155CC"/>
        <u/>
      </rPr>
      <t>http://dx.doi.org/10.1890/080083</t>
    </r>
  </si>
  <si>
    <t>WOS:000276634200019</t>
  </si>
  <si>
    <r>
      <rPr>
        <rFont val="Arial"/>
        <color rgb="FF1155CC"/>
        <u/>
      </rPr>
      <t>View Full Record in Web of Science</t>
    </r>
  </si>
  <si>
    <t>Santos, LHMLM; Araújo, AN; Fachini, A; Pena, A; Delerue-Matos, C; Montenegro, MCBSM</t>
  </si>
  <si>
    <t>Ecotoxicological aspects related to the presence of pharmaceuticals in the aquatic environment</t>
  </si>
  <si>
    <t>JOURNAL OF HAZARDOUS MATERIALS</t>
  </si>
  <si>
    <t>Pharmaceuticals are biologically active and persistent substances which have been recognized as a continuing threat to environmental stability. Chronic ecotoxicity data as well as information on the current distribution levels in different environmental compartments continue to be sparse and are focused on those therapeutic classes that are more frequently prescribed and consumed. Nevertheless, they indicate the negative impact that these chemical contaminants may have on living organisms, ecosystems and ultimately, public health. This article reviews the different contamination sources as well as fate and both acute and chronic effects on non-target organisms. An extensive review of existing data in the form of tables, encompassing many therapeutic classes is presented. (C) 2009 Elsevier B.V. All rights reserved.</t>
  </si>
  <si>
    <t>10.1016/j.jhazmat.2009.10.100</t>
  </si>
  <si>
    <r>
      <rPr>
        <rFont val="Arial"/>
        <color rgb="FF1155CC"/>
        <u/>
      </rPr>
      <t>http://dx.doi.org/10.1016/j.jhazmat.2009.10.100</t>
    </r>
  </si>
  <si>
    <t>WOS:000274490400005</t>
  </si>
  <si>
    <r>
      <rPr>
        <rFont val="Arial"/>
        <color rgb="FF1155CC"/>
        <u/>
      </rPr>
      <t>View Full Record in Web of Science</t>
    </r>
  </si>
  <si>
    <t>Knutson, TR; McBride, JL; Chan, J; Emanuel, K; Holland, G; Landsea, C; Held, I; Kossin, JP; Srivastava, AK; Sugi, M</t>
  </si>
  <si>
    <t>Tropical cyclones and climate change</t>
  </si>
  <si>
    <t>Whether the characteristics of tropical cyclones have changed or will change in a warming climate - and if so, how - has been the subject of considerable investigation, often with conflicting results. Large amplitude fluctuations in the frequency and intensity of tropical cyclones greatly complicate both the detection of long-term trends and their attribution to rising levels of atmospheric greenhouse gases. Trend detection is further impeded by substantial limitations in the availability and quality of global historical records of tropical cyclones. Therefore, it remains uncertain whether past changes in tropical cyclone activity have exceeded the variability expected from natural causes. However, future projections based on theory and high-resolution dynamical models consistently indicate that greenhouse warming will cause the globally averaged intensity of tropical cyclones to shift towards stronger storms, with intensity increases of 2-11% by 2100. Existing modelling studies also consistently project decreases in the globally averaged frequency of tropical cyclones, by 6-34%. Balanced against this, higher resolution modelling studies typically project substantial increases in the frequency of the most intense cyclones, and increases of the order of 20% in the precipitation rate within 100 km of the storm centre. For all cyclone parameters, projected changes for individual basins show large variations between different modelling studies.</t>
  </si>
  <si>
    <t>10.1038/NGEO779</t>
  </si>
  <si>
    <r>
      <rPr>
        <rFont val="Arial"/>
        <color rgb="FF1155CC"/>
        <u/>
      </rPr>
      <t>http://dx.doi.org/10.1038/NGEO779</t>
    </r>
  </si>
  <si>
    <t>WOS:000274974700014</t>
  </si>
  <si>
    <r>
      <rPr>
        <rFont val="Arial"/>
        <color rgb="FF1155CC"/>
        <u/>
      </rPr>
      <t>View Full Record in Web of Science</t>
    </r>
  </si>
  <si>
    <t>Bender, MA; Knutson, TR; Tuleya, RE; Sirutis, JJ; Vecchi, GA; Garner, ST; Held, IM</t>
  </si>
  <si>
    <t>Modeled Impact of Anthropogenic Warming on the Frequency of Intense Atlantic Hurricanes</t>
  </si>
  <si>
    <t>Several recent models suggest that the frequency of Atlantic tropical cyclones could decrease as the climate warms. However, these models are unable to reproduce storms of category 3 or higher intensity. We explored the influence of future global warming on Atlantic hurricanes with a downscaling strategy by using an operational hurricane-prediction model that produces a realistic distribution of intense hurricane activity for present-day conditions. The model projects nearly a doubling of the frequency of category 4 and 5 storms by the end of the 21st century, despite a decrease in the overall frequency of tropical cyclones, when the downscaling is based on the ensemble mean of 18 global climate-change projections. The largest increase is projected to occur in the Western Atlantic, north of 20 degrees N.</t>
  </si>
  <si>
    <t>10.1126/science.1180568</t>
  </si>
  <si>
    <r>
      <rPr>
        <rFont val="Arial"/>
        <color rgb="FF1155CC"/>
        <u/>
      </rPr>
      <t>http://dx.doi.org/10.1126/science.1180568</t>
    </r>
  </si>
  <si>
    <t>WOS:000273783100035</t>
  </si>
  <si>
    <r>
      <rPr>
        <rFont val="Arial"/>
        <color rgb="FF1155CC"/>
        <u/>
      </rPr>
      <t>View Full Record in Web of Science</t>
    </r>
  </si>
  <si>
    <t>Cazenave, A; Llovel, W</t>
  </si>
  <si>
    <t>Contemporary Sea Level Rise</t>
  </si>
  <si>
    <t>ANNUAL REVIEW OF MARINE SCIENCE</t>
  </si>
  <si>
    <t>Measuring sea level change and understanding its causes has considerably improved in the recent years, essentially because new in situ and remote sensing observations have become available. Here we report on most recent results on contemporary sea level rise. We first present sea level observations from tide gauges over the twentieth century and from satellite altimetry since the early 1990s. We next discuss the most recent progress made in quantifying the processes causing sea level change on timescales ranging from years to decades, i.e., thermal expansion of the oceans, land ice mass loss, and land water-storage change. We show that for the 1993-2007 time span, the sum of climate-related contributions (2.85 +/- 0.35 mm year(-1)) is only slightly less than altimetry-based sea level rise (3.3 +/- 0.4 mm year(-1)): similar to 30% of the observed rate of rise is due to ocean thermal expansion and similar to 55% results from land ice melt. Recent acceleration in glacier melting and ice mass loss from the ice sheets increases the latter contribution up to 80% for the past five years. We also review the main causes of regional variability in sea level trends: The dominant contribution results from nonuniform changes in ocean thermal expansion.</t>
  </si>
  <si>
    <t>10.1146/annurev-marine-120308-081105</t>
  </si>
  <si>
    <r>
      <rPr>
        <rFont val="Arial"/>
        <color rgb="FF1155CC"/>
        <u/>
      </rPr>
      <t>http://dx.doi.org/10.1146/annurev-marine-120308-081105</t>
    </r>
  </si>
  <si>
    <t>WOS:000273985300006</t>
  </si>
  <si>
    <r>
      <rPr>
        <rFont val="Arial"/>
        <color rgb="FF1155CC"/>
        <u/>
      </rPr>
      <t>View Full Record in Web of Science</t>
    </r>
  </si>
  <si>
    <t>Pysek, P; Richardson, DM</t>
  </si>
  <si>
    <t>Invasive Species, Environmental Change and Management, and Health</t>
  </si>
  <si>
    <t>ANNUAL REVIEW OF ENVIRONMENT AND RESOURCES, VOL 35</t>
  </si>
  <si>
    <t>Invasive species are a major element of global change and are contributing to biodiversity loss, ecosystem degradation, and impairment of ecosystem services worldwide. Research is shedding new light on the ecological and economic consequences of invasions. New approaches are emerging for describing and evaluating impacts of invasive species, and for translating these impacts into monetary terms. The harmful effects of invasions are now widely recognized, and multiscale programs are in place in many parts of the world to reduce current and future impacts. There has been an upsurge in scientific research aimed at guiding management interventions. Among the activities that are receiving the most attention and that have the most promise for reducing problems are risk assessment, pathway and vector management, early detection, rapid response, and new approaches to mitigation and restoration. Screening protocols to reduce new introductions are becoming more accurate and have been shown cost-effective.</t>
  </si>
  <si>
    <t>10.1146/annurev-environ-033009-095548</t>
  </si>
  <si>
    <r>
      <rPr>
        <rFont val="Arial"/>
        <color rgb="FF1155CC"/>
        <u/>
      </rPr>
      <t>http://dx.doi.org/10.1146/annurev-environ-033009-095548</t>
    </r>
  </si>
  <si>
    <t>WOS:000284721100002</t>
  </si>
  <si>
    <r>
      <rPr>
        <rFont val="Arial"/>
        <color rgb="FF1155CC"/>
        <u/>
      </rPr>
      <t>View Full Record in Web of Science</t>
    </r>
  </si>
  <si>
    <t>Loarie, SR; Duffy, PB; Hamilton, H; Asner, GP; Field, CB; Ackerly, DD</t>
  </si>
  <si>
    <t>The velocity of climate change</t>
  </si>
  <si>
    <t>The ranges of plants and animals are moving in response to recent changes in climate(1). As temperatures rise, ecosystems with 'nowhere to go', such as mountains, are considered to be more threatened(2,3). However, species survival may depend as much on keeping pace with moving climates as the climate's ultimate persistence(4,5). Here we present a new index of the velocity of temperature change (km yr(-1)), derived from spatial gradients (degrees C km(-1)) and multimodel ensemble forecasts of rates of temperature increase (degrees C yr(-1)) in the twenty-first century. This index represents the instantaneous local velocity along Earth's surface needed to maintain constant temperatures, and has a global mean of 0.42 km yr(-1) (A1B emission scenario). Owing to topographic effects, the velocity of temperature change is lowest in mountainous biomes such as tropical and subtropical coniferous forests (0.08 km yr(-1)), temperate coniferous forest, and montane grasslands. Velocities are highest in flooded grasslands (1.26 km yr(-1)), mangroves and deserts. High velocities suggest that the climates of only 8% of global protected areas have residence times exceeding 100 years. Small protected areas exacerbate the problem in Mediterranean-type and temperate coniferous forest biomes. Large protected areas may mitigate the problem in desert biomes. These results indicate management strategies for minimizing biodiversity loss from climate change. Montane landscapes may effectively shelter many species into the next century. Elsewhere, reduced emissions, a much expanded network of protected areas(6), or efforts to increase species movement may be necessary(7).</t>
  </si>
  <si>
    <t>10.1038/nature08649</t>
  </si>
  <si>
    <r>
      <rPr>
        <rFont val="Arial"/>
        <color rgb="FF1155CC"/>
        <u/>
      </rPr>
      <t>http://dx.doi.org/10.1038/nature08649</t>
    </r>
  </si>
  <si>
    <t>WOS:000272996000046</t>
  </si>
  <si>
    <r>
      <rPr>
        <rFont val="Arial"/>
        <color rgb="FF1155CC"/>
        <u/>
      </rPr>
      <t>View Full Record in Web of Science</t>
    </r>
  </si>
  <si>
    <t>Brink, AB; Eva, HD</t>
  </si>
  <si>
    <t>Monitoring 25 years of land cover change dynamics in Africa: A sample based remote sensing approach</t>
  </si>
  <si>
    <t>APPLIED GEOGRAPHY</t>
  </si>
  <si>
    <t>The study examines the changes in sub-saharan's natural land covet resources for a 25 year period. We assess these changes in four broad land cover classes - forests, natural lion-forest vegetation, agriculture and barren - by using high spatial resolution Earth observing satellites. Two sets of sample Images. one 'historical' targeted at 1975 and a second 'recent' targeted at the year 2000. have been selected through a stratified random sampling technique over the study area. targeting a sampling rate of 1% in each of the strata. The results, presented at eco-region level and aggregated at sub-Saharan level, show a 57% increase in agriculture area at the expense of natural vegetation which has itself decreased by 21% over the period. with nearly 5 million hectares forest and non-forest natural vegetation lost per year. The impacts of these changes on the environment on one site and on the socio-economy on the other site are discussed and possible pressures oil human well being are highlighted. (c) 2008 Elsevier Ltd. All rights reserved</t>
  </si>
  <si>
    <t>10.1016/j.apgeog.2008.10.004</t>
  </si>
  <si>
    <r>
      <rPr>
        <rFont val="Arial"/>
        <color rgb="FF1155CC"/>
        <u/>
      </rPr>
      <t>http://dx.doi.org/10.1016/j.apgeog.2008.10.004</t>
    </r>
  </si>
  <si>
    <t>Geography</t>
  </si>
  <si>
    <t>WOS:000271256000004</t>
  </si>
  <si>
    <r>
      <rPr>
        <rFont val="Arial"/>
        <color rgb="FF1155CC"/>
        <u/>
      </rPr>
      <t>View Full Record in Web of Science</t>
    </r>
  </si>
  <si>
    <t>Haines-Young, R</t>
  </si>
  <si>
    <t>Land use and biodiversity relationships</t>
  </si>
  <si>
    <t>The relationships between land use and biodiversity are fundamental to understanding the links between people and their environment. Biodiversity can be measured in many ways. The concept covers not only the overall richness of species present in a particular area but also the diversity of genotypes, functional groups, communities, habitats and ecosystems there. As a result, the relationships between biodiversity in its broadest sense and land use can be complex and highly context dependent. Moreover, the relationships between them are often two-way, so that simple relationships between cause and effect can be difficult to identify. In some places, specific land uses or land management practices may be important in sustaining particular patterns of biodiversity. Elsewhere. the uses to which land can be put are highly dependent oil the biodiversity resources present. The review will consider how changes in the quantity, quality and spatial configuration of different aspects of land use can impact on different components of biodiversity, and what direct and indirect factors might drive these changes. The need to distinguish between land cover and land use will be discussed in relation to the economic and social drivers of land use change. The review will also consider whether framing biodiversity objectives involves society in placing constraints upon the types of land use and management practice that are possible, and will consider such arguments in relation to assessments of the costs of biodiversity loss. It Would seem that while considerable progress has been made in mapping Out plausible futures for land use and biodiversity at global and regional scales, closer integration of modelling, scenario and field-based monitoring is needed to strengthen the evidence base available to decision makers. Challenges that face us include how we take account of the qualitative changes in land cover, and the impacts Of Such modifications oil biodiversity and ecosystem services. Broader perspectives oil the Value of biodiversity and ecosystem services are also needed as the basis for developing adaptive and flexible approaches to policy and management. (C) 2009 Queen's Printer and Controller of HMSO. Published by Elsevier Ltd. All rights reserved.</t>
  </si>
  <si>
    <t>10.1016/j.landusepol.2009.08.009</t>
  </si>
  <si>
    <r>
      <rPr>
        <rFont val="Arial"/>
        <color rgb="FF1155CC"/>
        <u/>
      </rPr>
      <t>http://dx.doi.org/10.1016/j.landusepol.2009.08.009</t>
    </r>
  </si>
  <si>
    <t>WOS:000275223500020</t>
  </si>
  <si>
    <r>
      <rPr>
        <rFont val="Arial"/>
        <color rgb="FF1155CC"/>
        <u/>
      </rPr>
      <t>View Full Record in Web of Science</t>
    </r>
  </si>
  <si>
    <t>Worm, B; Hilborn, R; Baum, JK; Branch, TA; Collie, JS; Costello, C; Fogarty, MJ; Fulton, EA; Hutchings, JA; Jennings, S; Jensen, OP; Lotze, HK; Mace, PM; McClanahan, TR; Minto, C; Palumbi, SR; Parma, AM; Ricard, D; Rosenberg, AA; Watson, R; Zeller, D</t>
  </si>
  <si>
    <t>Rebuilding Global Fisheries</t>
  </si>
  <si>
    <t>After a long history of overexploitation, increasing efforts to restore marine ecosystems and rebuild fisheries are under way. Here, we analyze current trends from a fisheries and conservation perspective. In 5 of 10 well-studied ecosystems, the average exploitation rate has recently declined and is now at or below the rate predicted to achieve maximum sustainable yield for seven systems. Yet 63% of assessed fish stocks worldwide still require rebuilding, and even lower exploitation rates are needed to reverse the collapse of vulnerable species. Combined fisheries and conservation objectives can be achieved by merging diverse management actions, including catch restrictions, gear modification, and closed areas, depending on local context. Impacts of international fleets and the lack of alternatives to fishing complicate prospects for rebuilding fisheries in many poorer regions, highlighting the need for a global perspective on rebuilding marine resources.</t>
  </si>
  <si>
    <t>10.1126/science.1173146</t>
  </si>
  <si>
    <r>
      <rPr>
        <rFont val="Arial"/>
        <color rgb="FF1155CC"/>
        <u/>
      </rPr>
      <t>http://dx.doi.org/10.1126/science.1173146</t>
    </r>
  </si>
  <si>
    <t>WOS:000268493000042</t>
  </si>
  <si>
    <r>
      <rPr>
        <rFont val="Arial"/>
        <color rgb="FF1155CC"/>
        <u/>
      </rPr>
      <t>View Full Record in Web of Science</t>
    </r>
  </si>
  <si>
    <t>Barnes, DKA; Galgani, F; Thompson, RC; Barlaz, M</t>
  </si>
  <si>
    <t>Accumulation and fragmentation of plastic debris in global environments</t>
  </si>
  <si>
    <t>One of the most ubiquitous and long-lasting recent changes to the surface of our planet is the accumulation and fragmentation of plastics. Within just a few decades since mass production of plastic products commenced in the 1950s, plastic debris has accumulated in terrestrial environments, in the open ocean, on shorelines of even the most remote islands and in the deep sea. Annual clean-up operations, costing millions of pounds sterling, are now organized in many countries and on every continent. Here we document global plastics production and the accumulation of plastic waste. While plastics typically constitute approximately 10 per cent of discarded waste, they represent a much greater proportion of the debris accumulating on shorelines. Mega- and macro-plastics have accumulated in the highest densities in the Northern Hemisphere, adjacent to urban centres, in enclosed seas and at water convergences ( fronts). We report lower densities on remote island shores, on the continental shelf seabed and the lowest densities (but still a documented presence) in the deep sea and Southern Ocean. The longevity of plastic is estimated to be hundreds to thousands of years, but is likely to be far longer in deep sea and non-surface polar environments. Plastic debris poses considerable threat by choking and starving wildlife, distributing non-native and potentially harmful organisms, absorbing toxic chemicals and degrading to micro-plastics that may subsequently be ingested. Well-established annual surveys on coasts and at sea have shown that trends in mega- and macro-plastic accumulation rates are no longer uniformly increasing: rather stable, increasing and decreasing trends have all been reported. The average size of plastic particles in the environment seems to be decreasing, and the abundance and global distribution of micro-plastic fragments have increased over the last few decades. However, the environmental consequences of such microscopic debris are still poorly understood.</t>
  </si>
  <si>
    <t>10.1098/rstb.2008.0205</t>
  </si>
  <si>
    <r>
      <rPr>
        <rFont val="Arial"/>
        <color rgb="FF1155CC"/>
        <u/>
      </rPr>
      <t>http://dx.doi.org/10.1098/rstb.2008.0205</t>
    </r>
  </si>
  <si>
    <t>WOS:000267281600004</t>
  </si>
  <si>
    <r>
      <rPr>
        <rFont val="Arial"/>
        <color rgb="FF1155CC"/>
        <u/>
      </rPr>
      <t>View Full Record in Web of Science</t>
    </r>
  </si>
  <si>
    <t>Bradshaw, CJA; Sodhi, NS; Brook, BW</t>
  </si>
  <si>
    <t>Tropical turmoil: a biodiversity tragedy in progress</t>
  </si>
  <si>
    <t>All is not well for biodiversity in the tropics. Despite recent debate over the extent of future tropical extinctions and the effectiveness of reserve systems, the continued disappearance of habitat, soaring human population, and loss of vital ecosystem services demand immediate action. This crisis is worrying, given that tropical regions support over two-thirds of all known species and are populated by some of the world's poorest people, who have little recourse to lower environmental-impact lifestyles. Recent evidence has shown that - in addition to unabated rates of forest loss - coastal development, overexploitation of wildlife, catchment modification, and habitat conversion are threatening human well-being. We argue that the recent technical debate about likely extinctions masks the real issue - that, to prevent further loss of irreplaceable tropical biodiversity, we must err on the side of caution. We need to avoid inadvertently supporting political agendas that assume low future extinction rates, because this will result in further destruction of tropical biodiversity.</t>
  </si>
  <si>
    <t>10.1890/070193</t>
  </si>
  <si>
    <r>
      <rPr>
        <rFont val="Arial"/>
        <color rgb="FF1155CC"/>
        <u/>
      </rPr>
      <t>http://dx.doi.org/10.1890/070193</t>
    </r>
  </si>
  <si>
    <t>WOS:000263908400019</t>
  </si>
  <si>
    <r>
      <rPr>
        <rFont val="Arial"/>
        <color rgb="FF1155CC"/>
        <u/>
      </rPr>
      <t>View Full Record in Web of Science</t>
    </r>
  </si>
  <si>
    <t>Doney, SC; Fabry, VJ; Feely, RA; Kleypas, JA</t>
  </si>
  <si>
    <t>Ocean Acidification: The Other CO2 Problem</t>
  </si>
  <si>
    <t>Rising atmospheric carbon dioxide (CO2), primarily from human fossil fuel combustion, reduces ocean pH and causes wholesale shifts in seawater carbonate chemistry. The process of ocean acidification is well documented in field data, and the rate will accelerate over this century unless future CO2 emissions are curbed dramatically. Acidification alters seawater chemical speciation and biogeochemical cycles of many elements and compounds. One well-known effect is the lowering of calcium carbonate saturation states, which impacts shell-forming marine organisms from plankton to benthic molluses, echinoderms, and corals. Many calcifying species exhibit reduced calcification and growth rates in laboratory experiments under high-CO2 conditions. Ocean acidification also causes an increase in carbon fixation rates in some photosynthetic organisms (both calcifying and noncalcifying). The potential for marine organisms to adapt to increasing CO2 and broader implications for ocean ecosystems are not well known; both are high priorities for future research. Although ocean pH has varied in the geological past, paleo-events may be only imperfect analogs to current conditions.</t>
  </si>
  <si>
    <t>10.1146/annurev.marine.010908.163834</t>
  </si>
  <si>
    <r>
      <rPr>
        <rFont val="Arial"/>
        <color rgb="FF1155CC"/>
        <u/>
      </rPr>
      <t>http://dx.doi.org/10.1146/annurev.marine.010908.163834</t>
    </r>
  </si>
  <si>
    <t>WOS:000267421700008</t>
  </si>
  <si>
    <r>
      <rPr>
        <rFont val="Arial"/>
        <color rgb="FF1155CC"/>
        <u/>
      </rPr>
      <t>View Full Record in Web of Science</t>
    </r>
  </si>
  <si>
    <t>Luber, G; McGeehin, M</t>
  </si>
  <si>
    <t>Climate Change and Extreme Heat Events</t>
  </si>
  <si>
    <t>AMERICAN JOURNAL OF PREVENTIVE MEDICINE</t>
  </si>
  <si>
    <t>The association between climate change and the frequency and intensity of extreme heat events is now well established. General circulation models of climate change predict that heatwaves will become more frequent and intense, especially in the higher latitudes, affecting large metropolitan areas that are not well adapted to them. Exposure to extreme heat is already a significant public health problem and the primary cause of weather-related mortality in the U.S. This article reviews major epidemiologic risk factors associated with mortality from extreme heat exposure and discusses future drivers of heat-related mortality, including a warming climate, the urban heat island effect, and an aging population. In addition, it considers critical areas of an effective public health response including heat response plans, the use of remote sensing and GIS methodologies, and the importance of effective communications strategies.</t>
  </si>
  <si>
    <t>10.1016/j.amepre.2008.08.021</t>
  </si>
  <si>
    <r>
      <rPr>
        <rFont val="Arial"/>
        <color rgb="FF1155CC"/>
        <u/>
      </rPr>
      <t>http://dx.doi.org/10.1016/j.amepre.2008.08.021</t>
    </r>
  </si>
  <si>
    <t>Public, Environmental &amp; Occupational Health; Medicine, General &amp; Internal</t>
  </si>
  <si>
    <t>WOS:000260396600007</t>
  </si>
  <si>
    <r>
      <rPr>
        <rFont val="Arial"/>
        <color rgb="FF1155CC"/>
        <u/>
      </rPr>
      <t>View Full Record in Web of Science</t>
    </r>
  </si>
  <si>
    <t>Kuemmerle, T; Hostert, P; Radeloff, VC; van der Linden, S; Perzanowski, K; Kruhlov, I</t>
  </si>
  <si>
    <t>Cross-border comparison of post-socialist farmland abandonment in the Carpathians</t>
  </si>
  <si>
    <t>ECOSYSTEMS</t>
  </si>
  <si>
    <t>Agricultural areas are declining in many areas of the world, often because socio-economic and political changes make agriculture less profitable. The transition from centralized to market-oriented economies in Eastern Europe and the former Soviet Union after 1989 represented major economic and political changes, yet the resulting rates and spatial pattern of post-socialist farmland abandonment remain largely unknown. Remote sensing offers unique opportunities to map farmland abandonment, but automated assessments are challenging because phenology and crop types often vary substantially. We developed a change detection method based on support vector machines (SVM) to map farmland abandonment in the border triangle of Poland, Slovakia, and Ukraine in the Carpathians from Landsat TM/ETM+ images from 1986, 1988, and 2000. Our SVM-based approach yielded an accurate change map (overall accuracy = 90.9%; kappa = 0.82), underpinning the potential of SVM to map complex land-use change processes such as farmland abandonment. Farmland abandonment was widespread in the study area (16.1% of the farmland used in socialist times), likely due to decreasing profitability of agriculture after 1989. We also found substantial differences in abandonment among the countries (13.9% in Poland, 20.7% in Slovakia, and 13.3% in Ukraine), and between previously collectivized farmland and farmland that remained private during socialism in Poland. These differences are likely due to differences in socialist land ownership patterns, post-socialist land reform strategies, and rural population density.</t>
  </si>
  <si>
    <t>10.1007/s10021-008-9146-z</t>
  </si>
  <si>
    <r>
      <rPr>
        <rFont val="Arial"/>
        <color rgb="FF1155CC"/>
        <u/>
      </rPr>
      <t>http://dx.doi.org/10.1007/s10021-008-9146-z</t>
    </r>
  </si>
  <si>
    <t>WOS:000256529200009</t>
  </si>
  <si>
    <r>
      <rPr>
        <rFont val="Arial"/>
        <color rgb="FF1155CC"/>
        <u/>
      </rPr>
      <t>View Full Record in Web of Science</t>
    </r>
  </si>
  <si>
    <t>Lüthi, D; Le Floch, M; Bereiter, B; Blunier, T; Barnola, JM; Siegenthaler, U; Raynaud, D; Jouzel, J; Fischer, H; Kawamura, K; Stocker, TF</t>
  </si>
  <si>
    <t>High-resolution carbon dioxide concentration record 650,000-800,000 years before present</t>
  </si>
  <si>
    <t>Changes in past atmospheric carbon dioxide concentrations can be determined by measuring the composition of air trapped in ice cores from Antarctica. So far, the Antarctic Vostok and EPICA Dome C ice cores have provided a composite record of atmospheric carbon dioxide levels over the past 650,000 years(1-4). Here we present results of the lowest 200m of the Dome C ice core, extending the record of atmospheric carbon dioxide concentration by two complete glacial cycles to 800,000 yr before present. From previously published data(1-8) and the present work, we find that atmospheric carbon dioxide is strongly correlated with Antarctic temperature throughout eight glacial cycles but with significantly lower concentrations between 650,000 and 750,000 yr before present. Carbon dioxide levels are below 180 parts per million by volume ( p. p. m. v.) for a period of 3,000 yr during Marine Isotope Stage 16, possibly reflecting more pronounced oceanic carbon storage. We report the lowest carbon dioxide concentration measured in an ice core, which extends the pre-industrial range of carbon dioxide concentrations during the late Quaternary by about 10 p. p. m. v. to 172-300 p. p. m. v.</t>
  </si>
  <si>
    <t>10.1038/nature06949</t>
  </si>
  <si>
    <r>
      <rPr>
        <rFont val="Arial"/>
        <color rgb="FF1155CC"/>
        <u/>
      </rPr>
      <t>http://dx.doi.org/10.1038/nature06949</t>
    </r>
  </si>
  <si>
    <t>WOS:000255868400049</t>
  </si>
  <si>
    <r>
      <rPr>
        <rFont val="Arial"/>
        <color rgb="FF1155CC"/>
        <u/>
      </rPr>
      <t>View Full Record in Web of Science</t>
    </r>
  </si>
  <si>
    <t>Church, JA; White, NJ; Aarup, T; Wilson, WS; Woodworth, PL; Domingues, CM; Hunter, JR; Lambeck, K</t>
  </si>
  <si>
    <t>Understanding global sea levels: past, present and future</t>
  </si>
  <si>
    <t>SUSTAINABILITY SCIENCE</t>
  </si>
  <si>
    <t>The coastal zone has changed profoundly during the 20th century and, as a result, society is becoming increasingly vulnerable to the impact of sea-level rise and variability. This demands improved understanding to facilitate appropriate planning to minimise potential losses. With this in mind, the World Climate Research Programme organised a workshop (held in June 2006) to document current understanding and to identify research and observations required to reduce current uncertainties associated with sea-level rise and variability. While sea levels have varied by over 120 m during glacial/interglacial cycles, there has been little net rise over the past several millennia until the 19th century and early 20th century, when geological and tide-gauge data indicate an increase in the rate of sea-level rise. Recent satellite-altimeter data and tide-gauge data have indicated that sea levels are now rising at over 3 mm year(-1). The major contributions to 20th and 21st century sea-level rise are thought to be a result of ocean thermal expansion and the melting of glaciers and ice caps. Ice sheets are thought to have been a minor contributor to 20th century sea-level rise, but are potentially the largest contributor in the longer term. Sea levels are currently rising at the upper limit of the projections of the Third Assessment Report of the Intergovernmental Panel on Climate Change (TAR IPCC), and there is increasing concern of potentially large ice-sheet contributions during the 21st century and beyond, particularly if greenhouse gas emissions continue unabated. A suite of ongoing satellite and in situ observational activities need to be sustained and new activities supported. To the extent that we are able to sustain these observations, research programmes utilising the resulting data should be able to significantly improve our understanding and narrow projections of future sea-level rise and variability.</t>
  </si>
  <si>
    <t>10.1007/s11625-008-0042-4</t>
  </si>
  <si>
    <r>
      <rPr>
        <rFont val="Arial"/>
        <color rgb="FF1155CC"/>
        <u/>
      </rPr>
      <t>http://dx.doi.org/10.1007/s11625-008-0042-4</t>
    </r>
  </si>
  <si>
    <t>WOS:000264104000003</t>
  </si>
  <si>
    <r>
      <rPr>
        <rFont val="Arial"/>
        <color rgb="FF1155CC"/>
        <u/>
      </rPr>
      <t>View Full Record in Web of Science</t>
    </r>
  </si>
  <si>
    <t>Halpern, BS; Walbridge, S; Selkoe, KA; Kappel, CV; Micheli, F; D'Agrosa, C; Bruno, JF; Casey, KS; Ebert, C; Fox, HE; Fujita, R; Heinemann, D; Lenihan, HS; Madin, EMP; Perry, MT; Selig, ER; Spalding, M; Steneck, R; Watson, R</t>
  </si>
  <si>
    <t>A global map of human impact on marine ecosystems</t>
  </si>
  <si>
    <t>The management and conservation of the world's oceans require synthesis of spatial data on the distribution and intensity of human activities and the overlap of their impacts on marine ecosystems. We developed an ecosystem- specific, multiscale spatial model to synthesize 17 global data sets of anthropogenic drivers of ecological change for 20 marine ecosystems. Our analysis indicates that no area is unaffected by human influence and that a large fraction ( 41%) is strongly affected by multiple drivers. However, large areas of relatively little human impact remain, particularly near the poles. The analytical process and resulting maps provide flexible tools for regional and global efforts to allocate conservation resources; to implement ecosystem- based management; and to inform marine spatial planning, education, and basic research.</t>
  </si>
  <si>
    <t>10.1126/science.1149345</t>
  </si>
  <si>
    <r>
      <rPr>
        <rFont val="Arial"/>
        <color rgb="FF1155CC"/>
        <u/>
      </rPr>
      <t>http://dx.doi.org/10.1126/science.1149345</t>
    </r>
  </si>
  <si>
    <t>WOS:000253165700045</t>
  </si>
  <si>
    <r>
      <rPr>
        <rFont val="Arial"/>
        <color rgb="FF1155CC"/>
        <u/>
      </rPr>
      <t>View Full Record in Web of Science</t>
    </r>
  </si>
  <si>
    <t>Kidd, KA; Blanchfield, PJ; Mills, KH; Palace, VP; Evans, RE; Lazorchak, JM; Flick, RW</t>
  </si>
  <si>
    <t>Collapse of a fish population after exposure to a synthetic estrogen</t>
  </si>
  <si>
    <t>Municipal wastewaters are a complex mixture containing estrogens and estrogen mimics that are known to affect the reproductive health of wild fishes. Male fishes downstream of some wastewater out falls produce vitellogenin (VTG) (a protein normally synthesized by females during oocyte maturation) and early-stage eggs in their testes, and this feminization has been attributed to the presence of estrogenic substances such as natural estrogens [estrone or 17 beta-estradiol (E2)], the synthetic estrogen used in birth-control pills [17 alpha-ethynylestradiol (EE2)], or weaker estrogen mimics such as nonylphenol in the water. Despite widespread evidence that male fishes are being feminized, it is not known whether these low-level, chronic exposures adversely impact the sustainability of wild populations. We conducted a 7-year, wholelake experiment at the Experimental Lakes Area (ELA) in northwestern Ontario, Canada, and showed that chronic exposure of fathead minnow (Pimephalespromelas) to low concentrations (5-6 ng-L-1) of the potent 17 alpha-ethynylestradiol led to feminization of males through the production of vitellogenin mRNA and protein, impacts on gonadal development as evidenced by intersex in males and altered oogenesis in females, and, ultimately, a near extinction of this species from the lake. Our observations demonstrate that the concentrations of estrogens and their mimics observed in freshwaters can impact the sustainability of wild fish populations.</t>
  </si>
  <si>
    <t>10.1073/pnas.0609568104</t>
  </si>
  <si>
    <r>
      <rPr>
        <rFont val="Arial"/>
        <color rgb="FF1155CC"/>
        <u/>
      </rPr>
      <t>http://dx.doi.org/10.1073/pnas.0609568104</t>
    </r>
  </si>
  <si>
    <t>WOS:000246853700040</t>
  </si>
  <si>
    <r>
      <rPr>
        <rFont val="Arial"/>
        <color rgb="FF1155CC"/>
        <u/>
      </rPr>
      <t>View Full Record in Web of Science</t>
    </r>
  </si>
  <si>
    <t>Quinton, JN; Catt, JA</t>
  </si>
  <si>
    <t>Enrichment of heavy metals in sediment resulting from soil erosion on agricultural fields</t>
  </si>
  <si>
    <t>Heavy metal pollution of soil and water is often associated with industry, but in this paper we demonstrate that water erosion on agricultural soil which has received only agrochemicals has enriched sediment metal concentrations to toxic levels which breach many accepted standards for soils and sediments. Eight 0.1 ha erosion plots with different cultivation treatments were monitored over a 6 year period for surface runoff, soil loss, and Cr, Cu, Pb, and Ni concentrations. Mean concentrations of these heavy metals were up to 3.98 times higher in the sediment than in the parent soil and in some erosion events the sediment had 13.5 times the concentration of metals in the soil. All the sediment heavy metal concentrations were significantly correlated (p &lt; 0.01) with the clay and silt sized fractions of the sediment and with carbon content. The erosion was a highly selective process enriching the detached material in silt, clay, and organic carbon. This was particularly true in smaller erosion events. Sediment metal concentrations tended to follow the shape of runoff hydrographs, although the pattern changed from storm to storm.</t>
  </si>
  <si>
    <t>10.1021/es062147h</t>
  </si>
  <si>
    <r>
      <rPr>
        <rFont val="Arial"/>
        <color rgb="FF1155CC"/>
        <u/>
      </rPr>
      <t>http://dx.doi.org/10.1021/es062147h</t>
    </r>
  </si>
  <si>
    <t>WOS:000246371800023</t>
  </si>
  <si>
    <r>
      <rPr>
        <rFont val="Arial"/>
        <color rgb="FF1155CC"/>
        <u/>
      </rPr>
      <t>View Full Record in Web of Science</t>
    </r>
  </si>
  <si>
    <t>Munodawafa, A</t>
  </si>
  <si>
    <t>Assessing nutrient losses with soil erosion under different tillage systems and their implications on water quality</t>
  </si>
  <si>
    <t>PHYSICS AND CHEMISTRY OF THE EARTH</t>
  </si>
  <si>
    <t>An increased public perception of the role of agriculture in non-point source pollution has stimulated the need for information on the effect of conventional and sustainable agricultural management systems on water quality. While information on run-off and soil erosion is readily available in Zimbabwe, there is dearth of knowledge on the relative losses of nutrients as a result of soil erosion and their effect on water quality. This study sought to quantify the amount of nutrients lost as a result of soil erosion and thus enable conclusions to be drawn on the implications on water quality. Research work was carried out in the semi-arid region of Zimbabwe under granite-derived, inherently infertile sandy soils. Soil erosion was quantified under three tillage systems conventional tillage (CT); mulch ripping (MR); tied ridging (TR) over three years. Run-off and sediments were analysed for N, P and K. The results showed that N and K losses were significantly higher (p &lt; 0.00 1) under CT (15.8 and 34.5 kg ha(-1) yr(-1) respectively) compared to the MR (2.3 and 0. 6 kg ha(-1) yr(-1) respec tively) and TR (2.7 and 4.3 kg ha(-1) yr(-1) respectively). Due to the immobility of P and its small quantities in these soils, P losses were also low across all treatments (</t>
  </si>
  <si>
    <t>10.1016/j.pce.2007.07.033</t>
  </si>
  <si>
    <r>
      <rPr>
        <rFont val="Arial"/>
        <color rgb="FF1155CC"/>
        <u/>
      </rPr>
      <t>http://dx.doi.org/10.1016/j.pce.2007.07.033</t>
    </r>
  </si>
  <si>
    <t>Geosciences, Multidisciplinary; Meteorology &amp; Atmospheric Sciences; Water Resources</t>
  </si>
  <si>
    <t>WOS:000250159500021</t>
  </si>
  <si>
    <r>
      <rPr>
        <rFont val="Arial"/>
        <color rgb="FF1155CC"/>
        <u/>
      </rPr>
      <t>View Full Record in Web of Science</t>
    </r>
  </si>
  <si>
    <t>Church, JA; White, NJ; Hunter, JR</t>
  </si>
  <si>
    <t>Sea-level rise at tropical Pacific and Indian Ocean islands</t>
  </si>
  <si>
    <t>GLOBAL AND PLANETARY CHANGE</t>
  </si>
  <si>
    <t>Historical and projected sea-levels for islands in the tropical Pacific and Indian oceans are a subject of considerable interest and some controversy. The large variability (e.g. El Nino) signals and the shortness of many of the individual tide-gauge records contribute to uncertainty of historical rates of sea-level rise. Here, we determine rates of sea-level rise from tide gauges in the region. We also examine sea-level data from the TOPEX/Poseidon satellite altimeter and from a reconstruction of sea level in order to put the sparse (in space and time) tide-gauge data into context. For 1993 to 2001, all the data show large rates of sea-level rise over the western Pacific and eastern Indian Ocean (approaching 30 mm yr(-1)) and sea-level falls in the eastern Pacific and western Indian Ocean (approaching - 10 mm yr(-1)). Over the region 40 degrees S to 40 degrees N, 30 degrees E to 120 degrees W, the average rise is about 4 mm yr(-1). For 1950 to 2001, the average sea-level rise (relative to land) from the six longest tide-gauge records is 1.4 mm yr(-1). After correcting for glacial isostatic adjustment and atmospheric pressure effects, this rate is 2.0 min yr(-1), close to estimates of the global average and regional average rate of rise. The long tide-gauge records in the equatorial Pacific indicate that the variance of monthly averaged sea-level after 1970 is about twice that before 1970. We find no evidence for,the fall in sea level at the Maldives as postulated by Morner et al. (2004). Our best estimate of relative sea-level rise at Funafuti, Tuvalu is 2 +/- 1 min yr(-1) over the period 1950 to 2001. The analysis clearly indicates that sea-level in this region is rising. We expect that the continued and increasing rate of sea-level rise and any resulting increase in the frequency or intensity of extreme sea-level events will cause serious problems for the inhabitants of some of these islands during the 21st century. (C) 2006 Elsevier B.V. All rights reserved.</t>
  </si>
  <si>
    <t>10.1016/j.gloplacha.2006.04.001</t>
  </si>
  <si>
    <r>
      <rPr>
        <rFont val="Arial"/>
        <color rgb="FF1155CC"/>
        <u/>
      </rPr>
      <t>http://dx.doi.org/10.1016/j.gloplacha.2006.04.001</t>
    </r>
  </si>
  <si>
    <t>Geography, Physical; Geosciences, Multidisciplinary</t>
  </si>
  <si>
    <t>WOS:000240743000001</t>
  </si>
  <si>
    <r>
      <rPr>
        <rFont val="Arial"/>
        <color rgb="FF1155CC"/>
        <u/>
      </rPr>
      <t>View Full Record in Web of Science</t>
    </r>
  </si>
  <si>
    <t>Schandl, H; Eisenmenger, N</t>
  </si>
  <si>
    <t>Regional patterns in global resource extraction</t>
  </si>
  <si>
    <t>JOURNAL OF INDUSTRIAL ECOLOGY</t>
  </si>
  <si>
    <t>This article presents an account of global resource extraction for the year 1999 by material groups, world regions, and development status. The account is based on materials flow analysis methodology and provides benchmark information for political strategies toward sustainable resource management. It shows that currently around 50 thousand megatons of resources are extracted yearly on a global scale, which results in a yearly global average resource use of around 8 tonnes per capita. Assuming further growth in world regions not yet close to the levels of resource use in the industrial cores-such as India or China-numbers could easily double once these parts of the world come to fully incorporate the industrial mode of production and consumption. This article contributes to information on resource use indicators, complementing and enriching information from economic accounting in order to facilitate political measures toward a sustainable use of resources.</t>
  </si>
  <si>
    <t>10.1162/jiec.2006.10.4.133</t>
  </si>
  <si>
    <r>
      <rPr>
        <rFont val="Arial"/>
        <color rgb="FF1155CC"/>
        <u/>
      </rPr>
      <t>http://dx.doi.org/10.1162/jiec.2006.10.4.133</t>
    </r>
  </si>
  <si>
    <t>WOS:000242416200011</t>
  </si>
  <si>
    <r>
      <rPr>
        <rFont val="Arial"/>
        <color rgb="FF1155CC"/>
        <u/>
      </rPr>
      <t>View Full Record in Web of Science</t>
    </r>
  </si>
  <si>
    <t>Mitchell, JFB; Lowe, J; Wood, RA; Vellinga, M</t>
  </si>
  <si>
    <t>Extreme events due to human-induced climate change</t>
  </si>
  <si>
    <t>PHILOSOPHICAL TRANSACTIONS OF THE ROYAL SOCIETY A-MATHEMATICAL PHYSICAL AND ENGINEERING SCIENCES</t>
  </si>
  <si>
    <t>A recent assessment by the intergovernmental panel on climate change concluded that the Earth's climate would be 2-6 degrees C warmer than in the pre-industrial era by the end of the twenty-first century, due to human-induced increases in greenhouse gases. In the absence of other changes, this would lead to the warmest period on Earth for at least the last 1000 years, and probably the last 100 000 years. The large-scale warming is expected to be accompanied by increased frequency and/or intensity of extreme events, such as heatwaves, heavy rainfall, storms and coastal flooding. There are also several possibilities that this large change could initiate nonlinear climate responses which lead to even more extreme and rapid (on the time-scale of decades) climate change, including the collapse of the ocean 'conveyor belt' circulation, the collapse of major ice sheets or the release of large amounts of methane in high latitudes leading to further global warming. Although these catastrophic events are much more speculative than the direct warming due to increased greenhouse gases, their potential impacts are great and therefore should be included in any risk assessment of the impacts of anthropogenic climate change.</t>
  </si>
  <si>
    <t>10.1098/rsta.2006.1816</t>
  </si>
  <si>
    <r>
      <rPr>
        <rFont val="Arial"/>
        <color rgb="FF1155CC"/>
        <u/>
      </rPr>
      <t>http://dx.doi.org/10.1098/rsta.2006.1816</t>
    </r>
  </si>
  <si>
    <t>WOS:000239923700016</t>
  </si>
  <si>
    <r>
      <rPr>
        <rFont val="Arial"/>
        <color rgb="FF1155CC"/>
        <u/>
      </rPr>
      <t>View Full Record in Web of Science</t>
    </r>
  </si>
  <si>
    <t>Camargo, JA; Alonso, A</t>
  </si>
  <si>
    <t>Ecological and toxicological effects of inorganic nitrogen pollution in aquatic ecosystems: A global assessment</t>
  </si>
  <si>
    <t>ENVIRONMENT INTERNATIONAL</t>
  </si>
  <si>
    <t>We provide a global assessment, with detailed multi-scale data, of the ecological and toxicological effects generated by inorganic nitrogen pollution in aquatic ecosystems. Our synthesis of the published scientific literature shows three major environmental problems: (1) it can increase the concentration of hydrogen ions in freshwater ecosystems without much acid-neutralizing capacity, resulting in acidification of those systems; (2) it can stimulate or enhance the development, maintenance and proliferation of primary producers, resulting in eutrophication of aquatic ecosystems; (3) it can reach toxic levels that impair the ability of aquatic animals to survive, grow and reproduce. Inorganic nitrogen pollution of ground and surface waters can also induce adverse effects on human health and economy. Because reductions in SO2 emissions have reduced the atmospheric deposition of H2SO4 across large portions of North America and Europe, while emissions of NOx have gone unchecked, HNO3 is now playing an increasing role in the acidification of freshwater ecosystems. This acidification process has caused several adverse effects on primary and secondary producers, with significant biotic impoverishments, particularly concerning invertebrates and fishes, in many atmospherically acidified lakes and streams. The cultural eutrophication of freshwater, estuarine, and coastal marine ecosystems can cause ecological and toxicological effects that are either directly or indirectly related to the proliferation of primary producers. Extensive kills of both invertebrates and fishes are probably the most dramatic manifestation of hypoxia (or anoxia) in eutrophic and hypereutrophic aquatic ecosystems with low water turnover rates. The decline in dissolved oxygen concentrations can also promote the formation of reduced compounds, such as hydrogen sulphide, resulting in higher adverse (toxic) effects on aquatic animals. Additionally, the occurrence of toxic algae can significantly contribute to the extensive kills of aquatic animals. Cyanobacteria, dinoflagellates and diatoms appear to be major responsible that may be stimulated by inorganic nitrogen pollution. Among the different inorganic nitrogenous compounds (NH4+, NH3, NO2-, HNO2, NO3-) that aquatic animals can take up directly from the ambient water, unionized ammonia is the most toxic, while ammonium and nitrate ions are the least toxic. In general, seawater animals seem to be more tolerant to the toxicity of inorganic nitrogenous compounds than freshwater animals, probably because of the ameliorating effect of water salinity (sodium, chloride, calcium and other ions) on the tolerance of aquatic animals. Ingested nitrites and nitrates from polluted drinking waters can induce methemoglobinemia in humans, particularly in young infants, by blocking the oxygen-carrying capacity of hemoglobin. Ingested nitrites and nitrates also have a potential role in developing cancers of the digestive tract through their contribution to the formation of nitrosamines. In addition, some scientific evidences suggest that ingested nitrites and nitrates might result in mutagenicity, teratogenicity and birth defects, contribute to the risks of non-Hodgkin's lymphoma and bladder and ovarian cancers, play a role in the etiology of insulin-dependent diabetes mellitus and in the development of thyroid hypertrophy, or cause spontaneous abortions and respiratory tract infections. Indirect health hazards can occur as a consequence of algal toxins, causing nausea, vomiting, diarrhoea, pneumonia, gastroenteritis, hepatoenteritis, muscular cramps, and several poisoning syndromes (paralytic shellfish poisoning, neurotoxic shellfish poisoning, amnesic shellfish poisoning). Other indirect health hazards can also come from the potential relationship between inorganic nitrogen pollution and human infectious diseases (malaria, cholera). Human sickness and death, extensive kills of aquatic animals, and other negative effects, can have elevated costs on human economy, with the recreation and tourism industry suffering the most important economic impacts, at least locally. It is concluded that levels of total nitrogen lower than 0.5-1.0 mg TN/L could prevent aquatic ecosystems (excluding those ecosystems with naturally high N levels) from developing acidification and eutrophication, at least by inorganic nitrogen pollution. Those relatively low TN levels could also protect aquatic animals against the toxicity of inorganic nitrogenous compounds since, in the absence of eutrophication, surface waters usually present relatively high concentrations of dissolved oxygen, most inorganic reactive nitrogen being in the form of nitrate. Additionally, human health and economy would be safer from the adverse effects of inorganic nitrogen pollution. (c) 2006 Elsevier Ltd. All rights reserved.</t>
  </si>
  <si>
    <t>10.1016/j.envint.2006.05.002</t>
  </si>
  <si>
    <r>
      <rPr>
        <rFont val="Arial"/>
        <color rgb="FF1155CC"/>
        <u/>
      </rPr>
      <t>http://dx.doi.org/10.1016/j.envint.2006.05.002</t>
    </r>
  </si>
  <si>
    <t>WOS:000239095700015</t>
  </si>
  <si>
    <r>
      <rPr>
        <rFont val="Arial"/>
        <color rgb="FF1155CC"/>
        <u/>
      </rPr>
      <t>View Full Record in Web of Science</t>
    </r>
  </si>
  <si>
    <t>Hijmans, RJ; Cameron, SE; Parra, JL; Jones, PG; Jarvis, A</t>
  </si>
  <si>
    <t>Very high resolution interpolated climate surfaces for global land areas</t>
  </si>
  <si>
    <t>INTERNATIONAL JOURNAL OF CLIMATOLOGY</t>
  </si>
  <si>
    <t>We developed interpolated climate surfaces for global land areas (excluding Antarctica) at a spatial resolution of 30 arc s (often referred to as 1-km spatial resolution). The climate elements considered were monthly precipitation and mean, minimum, and maximum temperature. Input data were gathered from a variety of sources and, where possible, were restricted to records from the 1950-2000 period. We used the thin-plate smoothing spline algorithm implemented in the ANUSPLIN package for interpolation, using latitude, longitude, and elevation as independent variables. We quantified uncertainty arising from the input data and the interpolation by mapping weather station density, elevation bias in the weather stations, and elevation variation within grid cells and through data partitioning and cross validation. Elevation bias tended to be negative (stations lower than expected) at high latitudes but positive in the tropics. Uncertainty is highest in mountainous and in poorly sampled areas. Data partitioning showed high uncertainty of the surfaces on isolated islands, e.g. in the Pacific. Aggregating the elevation and climate data to 10 arc min resolution showed an enormous variation within grid cells, illustrating the value of high-resolution surfaces. A comparison with an existing data set at 10 arc min resolution showed overall agreement, but with significant variation in some regions. A comparison with two high-resolution data sets for the United States also identified areas with large local differences, particularly in mountainous areas. Compared to previous global climatologies, ours has the following advantages: the data are at a higher spatial resolution (400 times greater or more); more weather station records were used; improved elevation data were used; and more information about spatial patterns of uncertainty in the data is available. Owing to the overall low density of available climate stations, our surfaces do not capture of all variation that may occur at a resolution of 1 km, particularly of precipitation in mountainous areas. In future work, such variation might be captured through knowledge-based methods and inclusion of additional co-variates, particularly layers obtained through remote sensing. Copyright (c) 2005 Royal Meteorological Society.</t>
  </si>
  <si>
    <t>10.1002/joc.1276</t>
  </si>
  <si>
    <r>
      <rPr>
        <rFont val="Arial"/>
        <color rgb="FF1155CC"/>
        <u/>
      </rPr>
      <t>http://dx.doi.org/10.1002/joc.1276</t>
    </r>
  </si>
  <si>
    <t>WOS:000234519700002</t>
  </si>
  <si>
    <r>
      <rPr>
        <rFont val="Arial"/>
        <color rgb="FF1155CC"/>
        <u/>
      </rPr>
      <t>View Full Record in Web of Science</t>
    </r>
  </si>
  <si>
    <t>Foley, JA; DeFries, R; Asner, GP; Barford, C; Bonan, G; Carpenter, SR; Chapin, FS; Coe, MT; Daily, GC; Gibbs, HK; Helkowski, JH; Holloway, T; Howard, EA; Kucharik, CJ; Monfreda, C; Patz, JA; Prentice, IC; Ramankutty, N; Snyder, PK</t>
  </si>
  <si>
    <t>Global consequences of land use</t>
  </si>
  <si>
    <t>Land use has generally been considered a local environmental issue, but it is becoming a force of global importance. Worldwide changes to forests, farmlands, waterways, and air are being driven by the need to provide food, fiber, water, and shelter to more than six billion people. Global croplands, pastures, plantations, and urban areas have expanded in recent decades, accompanied by large increases in energy, water, and fertilizer consumption, along with considerable tosses of biodiversity. Such changes in land use have enabled humans to appropriate an increasing share of the planet's resources, but they also potentially undermine the capacity of ecosystems to sustain food production, maintain freshwater and forest resources, regulate climate and air quality, and ameliorate infectious diseases. We face the challenge of managing trade-offs between immediate human needs and maintaining the capacity of the biosphere to provide goods and services in the long term.</t>
  </si>
  <si>
    <t>10.1126/science.1111772</t>
  </si>
  <si>
    <r>
      <rPr>
        <rFont val="Arial"/>
        <color rgb="FF1155CC"/>
        <u/>
      </rPr>
      <t>http://dx.doi.org/10.1126/science.1111772</t>
    </r>
  </si>
  <si>
    <t>WOS:000230735200036</t>
  </si>
  <si>
    <r>
      <rPr>
        <rFont val="Arial"/>
        <color rgb="FF1155CC"/>
        <u/>
      </rPr>
      <t>View Full Record in Web of Science</t>
    </r>
  </si>
  <si>
    <t>Lawrence, D</t>
  </si>
  <si>
    <t>Biomass accumulation after 10-200 years of shifting cultivation in bornean rain forest</t>
  </si>
  <si>
    <t>ECOLOGY</t>
  </si>
  <si>
    <t>I examined the effect of repeated long-fallow shifting cultivation on biomass accumulation in a rain-forest landscape occupied for over 200 years in West Kalimantan, Indonesia, The diameters of stems &gt;5 cm dbh were measured in nine secondary forests using a stratified random design of nested plots (3000 m(2) per site). The stands were 9-12 years old and had experienced from I to 10 or more cycles of shifting cultivation. Accounting for differences in soil fertility, analysis of covariance (ANCOVA) demonstrated that aboveground live biomass increment (ABI, in megagrams per hectare per year) was significantly greater after four cycles than after six or more cycles. ABI was lowest after two cycles, highest after one or four cycles and intermediate after 6-10 cycles. Differences were driven by the density and biomass of trees &gt;10 cm dbh, which followed a similar pattern. Although the diameter increment and contribution to total biomass of trees &gt;10 cm dbh increased significantly with inherent soil fertility, variation in the rate of biomass accumulation depended primarily on the number of prior cultivation cycles. An ANCOVA with soil fertility as the main effect was not significant. One hypothesis to explain observed patterns of ABI associated with changes in tree density is a shift, over many cycles, in the dominance of seed-banking vs. resprouting species. Previous work has shown that total phosphorus did not decline after six or more cycles; however, a shift from available to occluded forms may be related to lower ABI in sites with the longest cultivation history. An 11% decline in ABI could substantially alter the carbon-sequestration value of secondary tropical forests as they enter their second century of persistent human disturbance.</t>
  </si>
  <si>
    <t>10.1890/03-0564</t>
  </si>
  <si>
    <r>
      <rPr>
        <rFont val="Arial"/>
        <color rgb="FF1155CC"/>
        <u/>
      </rPr>
      <t>http://dx.doi.org/10.1890/03-0564</t>
    </r>
  </si>
  <si>
    <t>WOS:000226791700004</t>
  </si>
  <si>
    <r>
      <rPr>
        <rFont val="Arial"/>
        <color rgb="FF1155CC"/>
        <u/>
      </rPr>
      <t>View Full Record in Web of Science</t>
    </r>
  </si>
  <si>
    <t>Cleuvers, M</t>
  </si>
  <si>
    <t>Mixture toxicity of the anti-inflammatory drugs diclofenac, ibuprofen, naproxen, and acetylsalicylic acid</t>
  </si>
  <si>
    <t>ECOTOXICOLOGY AND ENVIRONMENTAL SAFETY</t>
  </si>
  <si>
    <t>The ecotoxicity of the nonsteroidal anti-inflammatory drugs (NSAIDs) diclofenac, ibuprofen, naproxen, and acetylsalicylic acid (ASA) has been evaluated using acute Daphnia and algal tests. Toxicities were relatively low, with half-maximal effective concentration (EC50) values obtained using Daphnia in the range from 68 to 166 mg L-1 and from 72 to 626 mg L-1 in the algal test. Acute effects of these substances seem to be quite improbable. The quantitative structure-activity relationships (QSAR) approach showed that all substances act by nonpolar narcosis; thus, the higher the n-octanol/water partitioning coefficient (log K-ow) of the substances. the higher is their toxicity. Mixture toxicity of the compounds could be accurately predicted using the concept of concentration addition. Toxicity of the mixture was considerable, even at concentrations at which the single substances showed no or only very slight effects, with some deviations in the Daphnia test, which could be explained by incompatibility of the very steep dose-response curves and the probit analysis of the data. Because pharmaceuticals in the aquatic environment occur usually as Mixtures, an accurate prediction of the mixture toxicity is indispensable for environmental risk assessment. (C) 2003 Elsevier Inc. All rights reserved.</t>
  </si>
  <si>
    <t>10.1016/S0147-6513(03)00141-6</t>
  </si>
  <si>
    <r>
      <rPr>
        <rFont val="Arial"/>
        <color rgb="FF1155CC"/>
        <u/>
      </rPr>
      <t>http://dx.doi.org/10.1016/S0147-6513(03)00141-6</t>
    </r>
  </si>
  <si>
    <t>Environmental Sciences; Toxicology</t>
  </si>
  <si>
    <t>WOS:000224318700004</t>
  </si>
  <si>
    <r>
      <rPr>
        <rFont val="Arial"/>
        <color rgb="FF1155CC"/>
        <u/>
      </rPr>
      <t>View Full Record in Web of Science</t>
    </r>
  </si>
  <si>
    <t>Robinson, JG; Bennett, EL</t>
  </si>
  <si>
    <t>Having your wildlife and eating it too: an analysis of hunting sustainability across tropical ecosystems</t>
  </si>
  <si>
    <t>ANIMAL CONSERVATION</t>
  </si>
  <si>
    <t>Unsustainable hunting of wildlife or bushmeat for human consumption across the tropics threatens both wildlife populations and the livelihoods of people who depend on these resources. The probability that hunting can be sustainable depends in part on ecological conditions that affect the 'supply' of and 'demand' for wildlife resources. In this study, supply is estimated across a number of tropical ecosystem types by calculating the theoretical 'maximum sustainable offtake' in kg/km(2) for harvestable wildlife. Demand is estimated from observed harvests in kg/km(2). We examine how supply and demand vary across relatively undisturbed ecosystems, indexed by annual rainfall. Supply is potentially highest in dry forests and wetter savannah grasslands and decreases in moist forests and more xeric grasslands. Demand tends to exceed supply in moist forests and xeric grasslands. Analogous to this ecological variation along the rainfall gradient is the gradient created by the conversion of tropical forests by humans. We hypothesise that the wild meat supply is greater in secondary forests and forest-farm-fallow mosaics than in undisturbed forests and test this with available data. We conclude that the probability that hunting will be sustainable varies with ecosystem type and degree of human disturbance and should influence where land is zoned for protected areas and where for wildlife harvests.</t>
  </si>
  <si>
    <t>10.1017/S1367943004001532</t>
  </si>
  <si>
    <r>
      <rPr>
        <rFont val="Arial"/>
        <color rgb="FF1155CC"/>
        <u/>
      </rPr>
      <t>http://dx.doi.org/10.1017/S1367943004001532</t>
    </r>
  </si>
  <si>
    <t>Biodiversity Conservation; Ecology</t>
  </si>
  <si>
    <t>WOS:000225666800007</t>
  </si>
  <si>
    <r>
      <rPr>
        <rFont val="Arial"/>
        <color rgb="FF1155CC"/>
        <u/>
      </rPr>
      <t>View Full Record in Web of Science</t>
    </r>
  </si>
  <si>
    <t>Wood, EC; Tappan, GG; Hadj, A</t>
  </si>
  <si>
    <t>Understanding the drivers of agricultural land use change in south-central Senegal</t>
  </si>
  <si>
    <t>JOURNAL OF ARID ENVIRONMENTS</t>
  </si>
  <si>
    <t>Described is (1) the land use and land cover changes that have taken place in the Department of Velingara, an area of tropical dry woodland in south-central Senegal, (2) the biophysical and socio-economic drivers of those changes with an emphasis on transition to agricultural use, and (3) an assessment of the likelihood of intensification of agriculture in the Department. Results indicate that land devoted to agriculture, either in active cultivation or short-term fallow, is increasing. There is little evidence of agricultural intensification in most of Velingara, with extensification coming largely at the cost of reduction in both upland woodlands and riparian forest. (C) 2004 Elsevier Ltd. All rights reserved.</t>
  </si>
  <si>
    <t>10.1016/j.jaridenv.2004.03.022</t>
  </si>
  <si>
    <r>
      <rPr>
        <rFont val="Arial"/>
        <color rgb="FF1155CC"/>
        <u/>
      </rPr>
      <t>http://dx.doi.org/10.1016/j.jaridenv.2004.03.022</t>
    </r>
  </si>
  <si>
    <t>WOS:000223909700008</t>
  </si>
  <si>
    <r>
      <rPr>
        <rFont val="Arial"/>
        <color rgb="FF1155CC"/>
        <u/>
      </rPr>
      <t>View Full Record in Web of Science</t>
    </r>
  </si>
  <si>
    <t>Schneider, SH</t>
  </si>
  <si>
    <t>Abrupt non-linear climate change, irreversibility and surprise</t>
  </si>
  <si>
    <t>Any discussion of the benefits of greenhouse gas (GHG) mitigation measures should take into consideration the full range of possible climate change outcomes, including impacts that remain highly uncertain, like surprises and other climate irreversibilities. Real-world coupling between complex systems can cause them to exhibit new collective behaviours that are not clearly demonstrable by models that do not include such coupling. Through examples from ocean circulation and atmosphere-biosphere interactions, this paper demonstrates that external forcings such as increases in GHG concentrations can push complex systems from one equilibrium state to another, with non-linear abrupt change as a possible consequence. Furthermore, the harder and faster a system is perturbed, the higher the likelihood of such surprises-a conclusion that has significant bearing on the assessment of the potential benefits of the timing and stringency of GHG abatement measures. The paper concludes with a perspective on how to better incorporate uncertainty and surprise into integrated assessment models of climate change. (C) 2004 Elsevier Ltd. All rights reserved.</t>
  </si>
  <si>
    <t>10.1016/j.gloenvcha.2004.04.008</t>
  </si>
  <si>
    <r>
      <rPr>
        <rFont val="Arial"/>
        <color rgb="FF1155CC"/>
        <u/>
      </rPr>
      <t>http://dx.doi.org/10.1016/j.gloenvcha.2004.04.008</t>
    </r>
  </si>
  <si>
    <t>WOS:000223884300006</t>
  </si>
  <si>
    <r>
      <rPr>
        <rFont val="Arial"/>
        <color rgb="FF1155CC"/>
        <u/>
      </rPr>
      <t>View Full Record in Web of Science</t>
    </r>
  </si>
  <si>
    <t>Feely, RA; Sabine, CL; Lee, K; Berelson, W; Kleypas, J; Fabry, VJ; Millero, FJ</t>
  </si>
  <si>
    <t>Impact of anthropogenic CO2 on the CaCO3 system in the oceans</t>
  </si>
  <si>
    <t>Rising atmospheric carbon dioxide (CO2) concentrations over the past two centuries have led to greater CO2 uptake by the oceans. This acidification process has changed the saturation state of the oceans with respect to calcium carbonate (CaCO3) particles. Here we estimate the in situ CaCO3 dissolution rates for the global oceans from total alkalinity and chlorofluorocarbon data, and we also discuss the future impacts of anthropogenic CO2 on CaCO3 shell forming species. CaCO3 dissolution rates, ranging from 0.003 to 1.2 micromoles per kilogram per year, are observed beginning near the aragonite saturation horizon. The total water column CaCO3 dissolution rate for the global oceans is approximately 0.5 +/- 0.2 petagrams of CaCO3-C per year, which is approximately 45 to 65% of the export production of CaCO3.</t>
  </si>
  <si>
    <t>10.1126/science.1097329</t>
  </si>
  <si>
    <r>
      <rPr>
        <rFont val="Arial"/>
        <color rgb="FF1155CC"/>
        <u/>
      </rPr>
      <t>http://dx.doi.org/10.1126/science.1097329</t>
    </r>
  </si>
  <si>
    <t>WOS:000222662400029</t>
  </si>
  <si>
    <r>
      <rPr>
        <rFont val="Arial"/>
        <color rgb="FF1155CC"/>
        <u/>
      </rPr>
      <t>View Full Record in Web of Science</t>
    </r>
  </si>
  <si>
    <t>Ticktin, T</t>
  </si>
  <si>
    <t>The ecological implications of harvesting non-timber forest products</t>
  </si>
  <si>
    <t>JOURNAL OF APPLIED ECOLOGY</t>
  </si>
  <si>
    <t>1. The harvest of wild non-timber forest products (NTFP) represents an important source of income to millions of people world-wide. Despite growing concern over the conservation of these species, as well as their potential to foster forest conservation, information on the ecological implications of harvest is available only in disparate case studies. 2. Seventy studies that quantify the ecological effects of harvesting NTFP from plant species were reviewed, with the aims of assessing the current state of knowledge and drawing lessons that can provide guidelines for management as well as better directing future ecological research in this area. 3. The case studies illustrated that NTFP harvest can affect ecological processes at many levels, from individual and population to community and ecosystem. However, the majority of research was focused at a population level and on a limited subset of plant parts that are harvested. 4. Tolerance to harvest varies according to life history and the part of plant that is harvested. Moreover, the effects of harvest for any one species are mediated by variation in environmental conditions over space and time, and by human management practices. 5. In order to withstand heavy harvest, specific management practices in addition to gathering are necessary for many NTFP species. Management practices can be carried out at different spatial scales and some are highly effective in fostering population persistence. 6. Synthesis and applications. Substantial advances have been made towards identifying the ecological impacts of NTFP harvest. However, there is a need for longer-term studies that focus on multiple ecological levels (ranging from genes to ecosystems), that assess the mechanisms underlying impacts and that validate current models. Researchers and forest managers need to work with local harvesters in designing and evaluating management practices that can mitigate the negative effects of harvest.</t>
  </si>
  <si>
    <t>10.1111/j.1365-2664.2004.00859.x</t>
  </si>
  <si>
    <r>
      <rPr>
        <rFont val="Arial"/>
        <color rgb="FF1155CC"/>
        <u/>
      </rPr>
      <t>http://dx.doi.org/10.1111/j.1365-2664.2004.00859.x</t>
    </r>
  </si>
  <si>
    <t>WOS:000188541900002</t>
  </si>
  <si>
    <r>
      <rPr>
        <rFont val="Arial"/>
        <color rgb="FF1155CC"/>
        <u/>
      </rPr>
      <t>View Full Record in Web of Science</t>
    </r>
  </si>
  <si>
    <t>McBean, G</t>
  </si>
  <si>
    <t>Climate change and extreme weather: A basis for action</t>
  </si>
  <si>
    <t>NATURAL HAZARDS</t>
  </si>
  <si>
    <t>The economic and social costs of extreme weather-related events have been increasing around the globe. There is some debate over how much of this past increase has been due to social factors and how much due to changes in frequency or characteristics of extreme events. The Intergovernmental Panel on Climate Change (2001a) has affirmed that humans are having a role in changing the climate and will have a larger role in the future. Although the changes in extreme events are by their nature both difficult to detect and difficult to model, the consensus is that there will be changes in the future. Through a risk-based decision-making analysis, it is concluded that society should make the additional investments to reduce vulnerability to this increased risk.</t>
  </si>
  <si>
    <t>10.1023/B:NHAZ.0000020259.58716.0d</t>
  </si>
  <si>
    <r>
      <rPr>
        <rFont val="Arial"/>
        <color rgb="FF1155CC"/>
        <u/>
      </rPr>
      <t>http://dx.doi.org/10.1023/B:NHAZ.0000020259.58716.0d</t>
    </r>
  </si>
  <si>
    <t>WOS:000220303700010</t>
  </si>
  <si>
    <r>
      <rPr>
        <rFont val="Arial"/>
        <color rgb="FF1155CC"/>
        <u/>
      </rPr>
      <t>View Full Record in Web of Science</t>
    </r>
  </si>
  <si>
    <t>Doka, SE; McNicol, DK; Mallory, ML; Wong, I; Minns, CK; Yan, ND</t>
  </si>
  <si>
    <t>Assessing potential for recovery of biotic richness and indicator species due to changes in acidic deposition and lake pH in five areas of southeastern Canada</t>
  </si>
  <si>
    <t>ENVIRONMENTAL MONITORING AND ASSESSMENT</t>
  </si>
  <si>
    <t>Biological damage to sensitive aquatic ecosystems is among the most recognisable, deleterious effects of acidic deposition. We compiled a large spatial database of over 2000 waterbodies across southeastern Canada from various federal, provincial and academic sources. Data for zooplankton, fish, macroinvertebrate (benthos) and loon species richness and occurrence were used to construct statistical models for lakes with varying pH, dissolved organic carbon content and lake size. pH changes, as described and predicted using the Integrated Assessment Model ( Lam et al., 1998; Jeffries et al., 2000), were based on the range of emission reductions set forth in the Canada/US Air Quality Agreement (AQA). The scenarios tested include 1983, 1990, 1994 and 2010 sulphate deposition levels. Biotic models were developed for five regions in southeastern Canada (Algoma, Muskoka, and Sudbury, Ontario, southcentral Quebec, and Kejimkujik, Nova Scotia) using regression tree, multiple linear regression and logistic regression analyses to make predictions about recovery after emission reductions. The analyses produced different indicator species in different regions, although some species showed consistent trends across regions. Generally, the greatest predicted recovery occurred during the final phase of emission reductions between 1994 and 2010 across all taxonomic groups and regions. The Ontario regions, on average, were predicted to recover to a greater extent than either southcentral Quebec or the Kejimkujik area of Nova Scotia. Our results reconfirm that pH 5.5 - 6.0 is an important threshold below which damage to aquatic biota will remain a major local and regional environmental problem. This damage to biodiversity across trophic levels will persist well into the future if no further reductions in sulphate deposition are implemented.</t>
  </si>
  <si>
    <t>10.1023/A:1025548518991</t>
  </si>
  <si>
    <r>
      <rPr>
        <rFont val="Arial"/>
        <color rgb="FF1155CC"/>
        <u/>
      </rPr>
      <t>http://dx.doi.org/10.1023/A:1025548518991</t>
    </r>
  </si>
  <si>
    <t>WOS:000185100800004</t>
  </si>
  <si>
    <r>
      <rPr>
        <rFont val="Arial"/>
        <color rgb="FF1155CC"/>
        <u/>
      </rPr>
      <t>View Full Record in Web of Science</t>
    </r>
  </si>
  <si>
    <t>Liu, JG; Daily, GC; Ehrlich, PR; Luck, GW</t>
  </si>
  <si>
    <t>Effects of household dynamics on resource consumption and biodiversity</t>
  </si>
  <si>
    <t>Human population size and growth rate are often considered important drivers of biodiversity loss(1-6), whereas household dynamics are usually neglected. Aggregate demographic statistics may mask substantial changes in the size and number of households, and their effects on biodiversity. Household dynamics influence per capita consumption(7,8) and thus biodiversity through, for example, consumption of wood for fuel(9), habitat alteration for home building and associated activities(10-12), and greenhouse gas emissions(13). Here we report that growth in household numbers globally, and particularly in countries with biodiversity hotspots (areas rich in endemic species and threatened by human activities 14), was more rapid than aggregate population growth between 1985 and 2000. Even when population size declined, the number of households increased substantially. Had the average household size (that is, the number of occupants) remained static, there would have been 155 million fewer households in hotspot countries in 2000. Reduction in average household size alone will add a projected 233 million additional households to hotspot countries during the period 2000-15. Rapid increase in household numbers, often manifested as urban sprawl, and resultant higher per capita resource consumption in smaller households(15-19) pose serious challenges to biodiversity conservation.</t>
  </si>
  <si>
    <t>10.1038/nature01359</t>
  </si>
  <si>
    <r>
      <rPr>
        <rFont val="Arial"/>
        <color rgb="FF1155CC"/>
        <u/>
      </rPr>
      <t>http://dx.doi.org/10.1038/nature01359</t>
    </r>
  </si>
  <si>
    <t>WOS:000180670600044</t>
  </si>
  <si>
    <r>
      <rPr>
        <rFont val="Arial"/>
        <color rgb="FF1155CC"/>
        <u/>
      </rPr>
      <t>View Full Record in Web of Science</t>
    </r>
  </si>
  <si>
    <t>Pauly, D; Christensen, V; Guénette, S; Pitcher, TJ; Sumaila, UR; Walters, CJ; Watson, R; Zeller, D</t>
  </si>
  <si>
    <t>Towards sustainability in world fisheries</t>
  </si>
  <si>
    <t>Fisheries have rarely been 'sustainable'. Rather, fishing has induced serial depletions, long masked by improved technology, geographic expansion and exploitation of previously spurned species lower in the food web. With global catches declining since the late 1980s, continuation of present trends will lead to supply shortfall, for which aquaculture cannot be expected to compensate, and may well exacerbate. Reducing fishing capacity to appropriate levels will require strong reductions of subsidies. Zoning the oceans into unfished marine reserves and areas with limited levels of fishing effort would allow sustainable fisheries, based on resources embedded in functional, diverse ecosystems.</t>
  </si>
  <si>
    <t>10.1038/nature01017</t>
  </si>
  <si>
    <r>
      <rPr>
        <rFont val="Arial"/>
        <color rgb="FF1155CC"/>
        <u/>
      </rPr>
      <t>http://dx.doi.org/10.1038/nature01017</t>
    </r>
  </si>
  <si>
    <t>WOS:000177305600056</t>
  </si>
  <si>
    <r>
      <rPr>
        <rFont val="Arial"/>
        <color rgb="FF1155CC"/>
        <u/>
      </rPr>
      <t>View Full Record in Web of Science</t>
    </r>
  </si>
  <si>
    <t>Galbraith, H; Jones, R; Park, R; Clough, J; Herrod-Julius, S; Harrington, B; Page, G</t>
  </si>
  <si>
    <t>Global climate change and sea level rise: Potential losses of intertidal habitat for shorebirds</t>
  </si>
  <si>
    <t>WATERBIRDS</t>
  </si>
  <si>
    <t>Global warming is expected to result in an acceleration in Current rates of sea level rise, inundating many low-lying coastal arid intertidal areas. This could have important implications for organisms that depend on these sites, including shorebirds that rely on them for feeding habitat during their migrations and in winter. We modeled the potential changes in the extent of intertidal foraging habitat for shorebirds at five sites in the United States that currently-support internationally important numbers of migrating and wintering birds. Even assuming a conservative global warming scenario of 2degreesC within the next century (the most recent projections range between 1.4degreesC and 5.8degreesC), we project major intertidal habitat loss at four of the sites (Willapa Bay, Humboldt Bay, San Francisco Bay, arid Delaware Bay). Projected losses range between 20% and 70% of current intertidal habitat. Such losses might jeopardize the ability of these sites to continue to support their current shorebird numbers. The most Severe losses are likely to occur at sitcom where the coastline is unable to move inland because of steep topography or seawalls. The effects of sea level rise may be exacerbated by additional anthropogenic factors. In southern San Francisco Bay, for example, sea level rise may interact with land subsidence due to aquifer depletion, and the constraints imposed by existing seawalls on the landward migration of habitat, resulting in the greatest habitat loss. At the fifth site (Bolivar Flats) we project smaller losses as the intertidal habitat: are unconstrained by sea walls and will be able to migrate inland in response to rising sea level. Installation of additional coastal protection barriers at this site and others is likely to exacerbate the rate and extent of intertidal habitat loss.</t>
  </si>
  <si>
    <t>10.1675/1524-4695(2002)025[0173:GCCASL]2.0.CO;2</t>
  </si>
  <si>
    <r>
      <rPr>
        <rFont val="Arial"/>
        <color rgb="FF1155CC"/>
        <u/>
      </rPr>
      <t>http://dx.doi.org/10.1675/1524-4695(2002)025[0173:GCCASL]2.0.CO;2</t>
    </r>
  </si>
  <si>
    <t>WOS:000176179900006</t>
  </si>
  <si>
    <r>
      <rPr>
        <rFont val="Arial"/>
        <color rgb="FF1155CC"/>
        <u/>
      </rPr>
      <t>View Full Record in Web of Science</t>
    </r>
  </si>
  <si>
    <t>Lucht, W; Prentice, IC; Myneni, RB; Sitch, S; Friedlingstein, P; Cramer, W; Bousquet, P; Buermann, W; Smith, B</t>
  </si>
  <si>
    <t>Climatic control of the high-latitude vegetation greening trend and Pinatubo effect</t>
  </si>
  <si>
    <t>A biogeochemical model of vegetation using observed climate data predicts the high northern latitude greening trend over the past two decades observed by satellites and a marked setback in this trend after the Mount Pinatubo, volcano eruption in 1991. The observed trend toward earlier spring budburst and increased maximum leaf area is produced by the model as a consequence of biogeochemical vegetation responses mainly to changes in temperature. The post-Pinatubo decline in vegetation in 1992-1993 is apparent as the effect of temporary cooling caused by the eruption. High-latitude CO2 uptake during these years is predicted as a consequence of the differential response of heterotrophic respiration and net primary production.</t>
  </si>
  <si>
    <t>10.1126/science.1071828</t>
  </si>
  <si>
    <r>
      <rPr>
        <rFont val="Arial"/>
        <color rgb="FF1155CC"/>
        <u/>
      </rPr>
      <t>http://dx.doi.org/10.1126/science.1071828</t>
    </r>
  </si>
  <si>
    <t>WOS:000175976200058</t>
  </si>
  <si>
    <r>
      <rPr>
        <rFont val="Arial"/>
        <color rgb="FF1155CC"/>
        <u/>
      </rPr>
      <t>View Full Record in Web of Science</t>
    </r>
  </si>
  <si>
    <t>Barnes, DKA</t>
  </si>
  <si>
    <t>Biodiversity - Invasions by marine life on plastic debris</t>
  </si>
  <si>
    <t>10.1038/416808a</t>
  </si>
  <si>
    <r>
      <rPr>
        <rFont val="Arial"/>
        <color rgb="FF1155CC"/>
        <u/>
      </rPr>
      <t>http://dx.doi.org/10.1038/416808a</t>
    </r>
  </si>
  <si>
    <t>WOS:000175163800039</t>
  </si>
  <si>
    <r>
      <rPr>
        <rFont val="Arial"/>
        <color rgb="FF1155CC"/>
        <u/>
      </rPr>
      <t>View Full Record in Web of Science</t>
    </r>
  </si>
  <si>
    <t>Geist, HJ; Lambin, EF</t>
  </si>
  <si>
    <t>Proximate causes and underlying driving forces of tropical deforestation</t>
  </si>
  <si>
    <t>10.1641/0006-3568(2002)052[0143:PCAUDF]2.0.CO;2</t>
  </si>
  <si>
    <r>
      <rPr>
        <rFont val="Arial"/>
        <color rgb="FF1155CC"/>
        <u/>
      </rPr>
      <t>http://dx.doi.org/10.1641/0006-3568(2002)052[0143:PCAUDF]2.0.CO;2</t>
    </r>
  </si>
  <si>
    <t>WOS:000173839600005</t>
  </si>
  <si>
    <r>
      <rPr>
        <rFont val="Arial"/>
        <color rgb="FF1155CC"/>
        <u/>
      </rPr>
      <t>View Full Record in Web of Science</t>
    </r>
  </si>
  <si>
    <t>Skjelkvåle, BL; Stoddard, JL; Andersen, T</t>
  </si>
  <si>
    <t>Trends in surface water acidification in Europe and North America (1989-1998)</t>
  </si>
  <si>
    <t>During the last 20 years, emission reductions in Europe and North America have resulted in decreased atmospheric S-deposition of up to 50%, while N-deposition has stayed almost constant. Data from 98 ICP Waters sites were tested for trends in concentrations of major chemical components for the 10-year period 1989-1998 using the nonparametric seasonal Kendall test. The sites were grouped into regions and types for meta-analysis. All of the regions had highly significant downward trends in SO42-* concentrations. Nitrate concentrations, on the other hand: show no regional patterns of change. Concentrations of base cations declined in most regions. All regions showed tendencies of increasing DOC. The low ANC sites showed the largest rates of recovery. Neither the high NO3- or low NO3- groups of sites exhibited significant trends in NO3- concentrations. Alpine (non-forested) sites show clear and consistent signals of recovery in ANC and pH, and appropriate (relative to SO42-* trends) rates of base cation decline.</t>
  </si>
  <si>
    <t>10.1023/A:1013806223310</t>
  </si>
  <si>
    <r>
      <rPr>
        <rFont val="Arial"/>
        <color rgb="FF1155CC"/>
        <u/>
      </rPr>
      <t>http://dx.doi.org/10.1023/A:1013806223310</t>
    </r>
  </si>
  <si>
    <t>WOS:000172011900102</t>
  </si>
  <si>
    <r>
      <rPr>
        <rFont val="Arial"/>
        <color rgb="FF1155CC"/>
        <u/>
      </rPr>
      <t>View Full Record in Web of Science</t>
    </r>
  </si>
  <si>
    <t>Driscoll, CT; Lawrence, GB; Bulger, AJ; Butler, TJ; Cronan, CS; Eagar, C; Lambert, KF; Likens, GE; Stoddard, JL; Weathers, KC</t>
  </si>
  <si>
    <t>Acidic deposition in the northeastern United States: Sources and inputs, ecosystem effects, and management strategies</t>
  </si>
  <si>
    <t>10.1641/0006-3568(2001)051[0180:ADITNU]2.0.CO;2</t>
  </si>
  <si>
    <r>
      <rPr>
        <rFont val="Arial"/>
        <color rgb="FF1155CC"/>
        <u/>
      </rPr>
      <t>http://dx.doi.org/10.1641/0006-3568(2001)051[0180:ADITNU]2.0.CO;2</t>
    </r>
  </si>
  <si>
    <t>WOS:000168710400004</t>
  </si>
  <si>
    <r>
      <rPr>
        <rFont val="Arial"/>
        <color rgb="FF1155CC"/>
        <u/>
      </rPr>
      <t>View Full Record in Web of Science</t>
    </r>
  </si>
  <si>
    <t>Pretty, JN; Brett, C; Gee, D; Hine, RE; Mason, CF; Morison, JIL; Raven, H; Rayment, MD; van der Bijl, G</t>
  </si>
  <si>
    <t>An assessment of the total external costs of UK agriculture</t>
  </si>
  <si>
    <t>AGRICULTURAL SYSTEMS</t>
  </si>
  <si>
    <t>This trans-disciplinary study assesses total external environmental and health costs of modern agriculture in the UK. A wide range of datasets have been analysed to assess cost distribution across sectors. We calculate the annual total external costs of UK agriculture in 1996 to be pound 2343 m (range for 1990-1996: pound 1149-3907 m), equivalent to pound 208/ha of arable and permanent pasture. Significant costs arise from contamination of drinking water with pesticides (pound 120 m/year), nitrate (pound 16 m), Cryptosporidium (pound 23 m) and phosphate and soil (pound 55 m), from damage to wildlife, habitats, hedgerows and drystone walls (pound 125 m), from emissions of gases (pound 1113 m), from soil erosion and organic carbon losses (pound 106 m), from food poisoning (pound 169 m), and from bovine spongiform encephalopathy (BSE) (pound 607 m). This study has only estimated those externalities that give rise to financial costs, and so is likely to underestimate the total negative impacts of modern agriculture. These data help to identify policy priorities, particularly over the most efficient way to internalise these external costs into prices. This would imply a redirection of public subsidies towards encouraging those positive externalities under-provided in the market place, combined with a mix of advisory and institutional mechanisms, regulatory and legal measures, and economic instruments to correct negative externalities. Further work examining the marginal costs and benefits of UK agriculture would help to inform future policy development. (C) 2000 Elsevier Science Ltd. All rights reserved.</t>
  </si>
  <si>
    <t>10.1016/S0308-521X(00)00031-7</t>
  </si>
  <si>
    <r>
      <rPr>
        <rFont val="Arial"/>
        <color rgb="FF1155CC"/>
        <u/>
      </rPr>
      <t>http://dx.doi.org/10.1016/S0308-521X(00)00031-7</t>
    </r>
  </si>
  <si>
    <t>Agriculture, Multidisciplinary</t>
  </si>
  <si>
    <t>WOS:000089669800003</t>
  </si>
  <si>
    <r>
      <rPr>
        <rFont val="Arial"/>
        <color rgb="FF1155CC"/>
        <u/>
      </rPr>
      <t>View Full Record in Web of Science</t>
    </r>
  </si>
  <si>
    <t>Lemly, AD; Kingsford, RT; Thompson, JR</t>
  </si>
  <si>
    <t>Irrigated agriculture and wildlife conservation: Conflict on a global scale</t>
  </si>
  <si>
    <t>ENVIRONMENTAL MANAGEMENT</t>
  </si>
  <si>
    <t>The demand for water to support irrigated agriculture has led to the demise of wetlands and their associated wildlife for decades. This thirst for water is so pervasive that many wetlands considered to be hemispheric reserves for waterbirds have been heavily affected; for example, the California and Nevada wetlands in North America, the Macquarie Marshes in Australia, and the Aral Sea in central Asia. These and other major wetlands have lost most of their historic supplies of water and some have also experienced serious impacts from contaminated subsurface irrigation drainage. Now mere shadows of what they once were in terms of biodiversity and wildlife production, many of the so-called wetlands of international importance are no longer the key conservation strongholds they were in the past. The conflict between irrigated agriculture and wildlife conservation has reached a critical point on a global scale. Not only has local wildlife suffered, including the extinction of highly insular species, but a ripple effect has impacted migratory birds worldwide. Human societies reliant on wetlands for their livelihoods are also bearing the cost. Ironically, most of the degradation of these key wetlands occurred during a period of time when public environmental awareness and scientific assertion of the need for wildlife conservation was at an all-time high. However, designation of certain wetlands as reserves for wildlife by international review boards has not slowed their continued degradation. To reverse this trend, land and water managers and policy makers must assess the true economic costs of wetland loss and, depending on the outcome of the assessment. use the information as a basis for establishing legally enforceable water rights that protect wetlands from agricultural development.</t>
  </si>
  <si>
    <t>10.1007/s002679910039</t>
  </si>
  <si>
    <r>
      <rPr>
        <rFont val="Arial"/>
        <color rgb="FF1155CC"/>
        <u/>
      </rPr>
      <t>http://dx.doi.org/10.1007/s002679910039</t>
    </r>
  </si>
  <si>
    <t>WOS:000086118000003</t>
  </si>
  <si>
    <r>
      <rPr>
        <rFont val="Arial"/>
        <color rgb="FF1155CC"/>
        <u/>
      </rPr>
      <t>View Full Record in Web of Science</t>
    </r>
  </si>
  <si>
    <t>Stoddard, JL; Jeffries, DS; Lükewille, A; Clair, TA; Dillon, PJ; Driscoll, CT; Forsius, M; Johannessen, M; Kahl, JS; Kellogg, JH; Kemp, A; Mannio, J; Monteith, DT; Murdoch, PS; Patrick, S; Rebsdorf, A; Skjelkvåle, BL; Stainton, MP; Traaen, T; van Dam, H; Webster, KE; Wieting, J; Wilander, A</t>
  </si>
  <si>
    <t>Regional trends in aquatic recovery from acidification in North America and Europe</t>
  </si>
  <si>
    <t>Rates of acidic deposition from the atmosphere ('acid rain') have decreased throughout the 1980s and 1990s across large portions of North America and Europe(1,2). Many recent studies have attributed observed reversals in surface-water acidification at national(3) and regional(4) scales to the declining deposition. To test whether emissions regulations have led to widespread recovery in surface-water chemistry, we analysed regional trends between 1980 and 1995 in indicators of acidification (sulphate, nitrate and base-cation concentrations, and measured (Gran) alkalinity) for 205 lakes and streams in eight regions of North America and Europe. Dramatic differences in trend direction and strength for the two decades are apparent. In concordance with general temporal trends in acidic deposition, lake and stream sulphate concentrations decreased in all regions with the exception of Great Britain; all but one of these regions exhibited stronger downward trends in the 1990s than in the 1980s. In contrast, regional declines in lake and stream nitrate concentrations were rare and, when detected, were very small. Recovery in alkalinity, expected wherever strong regional declines in sulphate concentrations have occurred, was observed in all regions of Europe, especially in the 1990s, but in only one region (of five) in North America. We attribute the lack of recovery in three regions (south/central Ontario, the Adirondack/Catskill mountains and midwestern North America) to strong regional declines in base-cation concentrations that exceed the decreases in sulphate concentrations.</t>
  </si>
  <si>
    <t>10.1038/44114</t>
  </si>
  <si>
    <r>
      <rPr>
        <rFont val="Arial"/>
        <color rgb="FF1155CC"/>
        <u/>
      </rPr>
      <t>http://dx.doi.org/10.1038/44114</t>
    </r>
  </si>
  <si>
    <t>WOS:000083054900046</t>
  </si>
  <si>
    <r>
      <rPr>
        <rFont val="Arial"/>
        <color rgb="FF1155CC"/>
        <u/>
      </rPr>
      <t>View Full Record in Web of Science</t>
    </r>
  </si>
  <si>
    <t>Lambin, EF</t>
  </si>
  <si>
    <t>Monitoring forest degradation in tropical regions by remote sensing: some methodological issues</t>
  </si>
  <si>
    <t>GLOBAL ECOLOGY AND BIOGEOGRAPHY</t>
  </si>
  <si>
    <t>Key issues related to the monitoring by remote sensing of open forest degradation in a tropical context are discussed. Degradation of forest-cover is often a complex process, with some degree of ecological reversibility and a strong interaction with climatic fluctuations. Only a representation of land cover as a continuous field of several biophysical variables can lead to an accurate detection of forest degradation. For this purpose, repetitive measurements of spectral, spatial and temporal indicators of the land surface have to be performed. Each set of indicators brings a specific type of information on the land cover. These indicators must therefore be combined to achieve a comprehensive description of the surface processes. The detection of inter-annual changes in landscape spatial structure is more likely to reveal long term and long lasting land-cover changes, while spectral indicators are more sensitive to fluctuations in primary productivity associated with climatic fluctuations. Different monitoring systems may be optimal for different ecosystems. A long: time series of observations is always required. The monitoring of the spatio-temporal distribution of biomass burning may also give indications of open forest degradation.</t>
  </si>
  <si>
    <t>10.1046/j.1365-2699.1999.00123.x</t>
  </si>
  <si>
    <r>
      <rPr>
        <rFont val="Arial"/>
        <color rgb="FF1155CC"/>
        <u/>
      </rPr>
      <t>http://dx.doi.org/10.1046/j.1365-2699.1999.00123.x</t>
    </r>
  </si>
  <si>
    <t>Ecology; Geography, Physical</t>
  </si>
  <si>
    <t>WOS:000084868000003</t>
  </si>
  <si>
    <r>
      <rPr>
        <rFont val="Arial"/>
        <color rgb="FF1155CC"/>
        <u/>
      </rPr>
      <t>View Full Record in Web of Science</t>
    </r>
  </si>
  <si>
    <t>Likens, GE; Driscoll, CT; Buso, DC; Siccama, TG; Johnson, CE; Lovett, GM; Fahey, TJ; Reiners, WA; Ryan, DF; Martin, CW; Bailey, SW</t>
  </si>
  <si>
    <t>The biogeochemistry of calcium at Hubbard Brook</t>
  </si>
  <si>
    <t>BIOGEOCHEMISTRY</t>
  </si>
  <si>
    <t>A synthesis of the biogeochemistry of Ca was done during 1963-1992 in reference and human-manipulated forest ecosystems of the Hubbard Brook Experimental Forest (HBEF), NH. Results showed that there has been a marked decline in concentration and input of Ca in bulk precipitation, an overall decline in concentration and output of Ca in stream water, and marked depletion of Ca in soils of the HBEF since 1963. The decline in streamwater Ca was related strongly to a decline in SO(4),(2-)+NO(3),(-) in stream water during the period. The soil depletion of Ca was the result of leaching due to inputs of acid rain during the past 50 yr or so, to decreasing atmospheric inputs of Ca, and to changing amounts of net storage of Ca in biomass. As a result of the depletion of Ca, forest ecosystems at HBEF are much more sensitive to continuing inputs of strong acids in atmospheric deposition than expected based on long-term patterns of sulfur biogeochemistry. The Ca concentration and input in bulk precipitation ranged from a low of 1.0 mu mol/l and 15 mol/ha-yr in 1986-87 to a high of 8.0 mu mol/l and 77 mol/ha-yr in 1964-65, with a long-term mean of 2.74 mu mol/l during 1963-92. Average total atmospheric deposition was 61 and 29 mol/ha-yr in 1964-69 and 1987-92, respectively. Dry deposition is difficult to measure, but was estimated to be about 20% of total input in atmospheric deposition. Streamwater concentration reached a low of 21 mu mol/l in 1991-92 and a high of 41 mu mol/l in 1969-70, but outputs of Ca were lowest in 1964-65 (121 mol/ha-yr) and peaked in 1973-74 (475 mol/ha-yr). Gross outputs of Ca in stream water were positively and significantly related to streamflow, but the slope of this relation changed with time as Ca was depleted from the soil, and as the inputs of sulfate declined in both atmospheric deposition and stream water. Gross outputs of Ca in stream water consistently exceeded inputs in bulk precipitation. No seasonal pattern was observed for either bulk precipitation or stream water concentrations of Ca. Net soil release varied from 390 to 230 mol/ha-yr during 1964-69 and 1987-92, respectively. Of this amount, weathering release of Ca, based on plagioclase composition of the soil, was estimated at about 50 mol/ha-yr. Net biomass storage of Ca decreased from 202 to 54 mol/ha-yr, and throughfall plus streamflow decreased from 220 to 110 mol/ha-yr in 1964-69 and 1987-92, respectively. These ecosystem response patterns were related to acidification and to decreases in net biomass accretion during the study. Calcium return to soil by fine root turnover was about 270 mol/ha-yr, with 190 mol/ha-yr returning to the forest floor and 80 mol/ha-yr to the mineral soil. A lower content of Ca was observed with increasing elevation for most of the components of the watershed-ecosystems at HBEF. Possibly as a result, mortality of sugar maple increased significantly during 1982 to 1992 at high elevations of the HBEF. Interactions between biotic and abiotic control mechanisms were evident through elevational differences in soil cation exchange capacity (the exchangeable Ca concentration in soils was significantly and directly related to the organic matter content of the soils), in soil/till depth, and in soil water and in stream water concentrations at the HBEF, all of which tended to decrease with elevation. The exchangeable pool of Ca in the soil is about 6500 mol/ha, and its turnover time is quite rapid, about 3 yr. Nevertheless, the exchangeable pools of Ca at HBEF have been depleted markedly during the past 50 years or so, greater-than-21,125 mol/ha during 1940-1995. The annual gross uptake of trees is about 26-30% of the exchangeable pool in the soil. Some 7 to 8 times more Ca is cycled through trees than is lost in stream water each year, and resorption of Ca by trees is negligible at HBEF. Of the current inputs to the available nutrient compartment of the forest ecosystem, some 50% was provided by net soil release, 24% by leaching from the canopy, 20% by root exudates and 6% by atmospheric deposition. Clear cutting released large amounts of Ca to stream water, primarily because increased nitrification in the soil generated increased acidity and NO;, a mobile anion in drainage water; even larger amounts of Ca can be lost from the ecosystem in harvested timber products. The magnitude of Ca loss due to whole-tree harvest and acid rain leaching is comparable for forests similar to the HBEF, but losses from harvest must be superimposed on losses due to acid rain.</t>
  </si>
  <si>
    <t>10.1023/A:1005984620681</t>
  </si>
  <si>
    <r>
      <rPr>
        <rFont val="Arial"/>
        <color rgb="FF1155CC"/>
        <u/>
      </rPr>
      <t>http://dx.doi.org/10.1023/A:1005984620681</t>
    </r>
  </si>
  <si>
    <t>Environmental Sciences; Geosciences, Multidisciplinary</t>
  </si>
  <si>
    <t>WOS:000072671100001</t>
  </si>
  <si>
    <r>
      <rPr>
        <rFont val="Arial"/>
        <color rgb="FF1155CC"/>
        <u/>
      </rPr>
      <t>View Full Record in Web of Science</t>
    </r>
  </si>
  <si>
    <t>LAWRENCE, GB; FULLER, RD; DRISCOLL, CT</t>
  </si>
  <si>
    <t>RELEASE OF ALUMINUM FOLLOWING WHOLE-TREE HARVESTING AT THE HUBBARD-BROOK-EXPERIMENTAL-FOREST, NEW-HAMPSHIRE</t>
  </si>
  <si>
    <t>JOURNAL OF ENVIRONMENTAL QUALITY</t>
  </si>
  <si>
    <t>From fall, 1983, through spring, 1984, an experimental watershed at the Hubbard Brook Experimental Forest in New Hampshire was commercially whole-tree harvested. Stream chemistry was monitored along an elevational gradient for approximately 1 yr prior to and 2 yr following the treatment in both the experimental watershed and an adjacent reference watershed. Whole-tree harvesting initially resulted in a large increase in stream NO3- and basic cation (Ca2+, Mg2+, Na+, and K+) concentrations and a decrease in stream sulfate concentrations. A decrease in pH and increase in Al concentrations followed. Elevational trends in stream chemistry were qualitatively similar before and after the cut, although the absolute concentrations of solutes changed markedly. These responses are explained by increased soil nitrification coupled with decreased vegetative uptake following the whole-tree harvest. Acidity generated by nitrification facilitated the mobilization of basic cations and increased anion adsorption. When NO3- production exceeded the release of basic cations, stream pH declined and Al concentrations increased. Aluminum was released in an entirely inorganic form resulting in potentially toxic concentrations in streamwater.</t>
  </si>
  <si>
    <t>10.2134/jeq1987.00472425001600040016x</t>
  </si>
  <si>
    <r>
      <rPr>
        <rFont val="Arial"/>
        <color rgb="FF1155CC"/>
        <u/>
      </rPr>
      <t>http://dx.doi.org/10.2134/jeq1987.00472425001600040016x</t>
    </r>
  </si>
  <si>
    <t>WOS:A1987K900200016</t>
  </si>
  <si>
    <r>
      <rPr>
        <rFont val="Arial"/>
        <color rgb="FF1155CC"/>
        <u/>
      </rPr>
      <t>View Full Record in Web of Science</t>
    </r>
  </si>
  <si>
    <t>AU</t>
  </si>
  <si>
    <t>SO</t>
  </si>
  <si>
    <t>PY</t>
  </si>
  <si>
    <t>TI</t>
  </si>
  <si>
    <t>AB</t>
  </si>
  <si>
    <t>DI</t>
  </si>
  <si>
    <t>DU</t>
  </si>
  <si>
    <t>RD</t>
  </si>
  <si>
    <t>SD</t>
  </si>
  <si>
    <t>RK</t>
  </si>
  <si>
    <t>UI</t>
  </si>
  <si>
    <t>LK</t>
  </si>
  <si>
    <t>Indicator targeted by the search procedure</t>
  </si>
  <si>
    <t>Checked by</t>
  </si>
  <si>
    <t>Reports explicitly or implicitly on changes in state of nature</t>
  </si>
  <si>
    <t>More than a single direct driver</t>
  </si>
  <si>
    <t>Current or past (not future) impact of drivers</t>
  </si>
  <si>
    <t>One or more predefined indicators</t>
  </si>
  <si>
    <t>Suitability check done?</t>
  </si>
  <si>
    <t>Suitability</t>
  </si>
  <si>
    <t>Assessed by</t>
  </si>
  <si>
    <t>Type of analysis</t>
  </si>
  <si>
    <r>
      <rPr>
        <rFont val="Calibri"/>
        <color theme="1"/>
        <sz val="12.0"/>
      </rPr>
      <t xml:space="preserve">Indicator(s) targeted </t>
    </r>
    <r>
      <rPr>
        <rFont val="Calibri"/>
        <b/>
        <color theme="1"/>
        <sz val="12.0"/>
      </rPr>
      <t>directly</t>
    </r>
    <r>
      <rPr>
        <rFont val="Calibri"/>
        <color theme="1"/>
        <sz val="12.0"/>
      </rPr>
      <t xml:space="preserve"> and </t>
    </r>
    <r>
      <rPr>
        <rFont val="Calibri"/>
        <b/>
        <color theme="1"/>
        <sz val="12.0"/>
      </rPr>
      <t>explicitly</t>
    </r>
  </si>
  <si>
    <r>
      <rPr>
        <rFont val="Calibri"/>
        <color theme="1"/>
        <sz val="12.0"/>
      </rPr>
      <t xml:space="preserve">Indicator(s) targeted but </t>
    </r>
    <r>
      <rPr>
        <rFont val="Calibri"/>
        <b/>
        <color theme="1"/>
        <sz val="12.0"/>
        <u/>
      </rPr>
      <t>not</t>
    </r>
    <r>
      <rPr>
        <rFont val="Calibri"/>
        <color theme="1"/>
        <sz val="12.0"/>
      </rPr>
      <t xml:space="preserve"> directly and explicitly</t>
    </r>
  </si>
  <si>
    <t>Assessment of temporal change in indicator(s)</t>
  </si>
  <si>
    <t>Spatial coverage</t>
  </si>
  <si>
    <t>IPBES region(s) at least partly covered</t>
  </si>
  <si>
    <t>Realm(s) analysed</t>
  </si>
  <si>
    <t>Number of driver(s) analysed/assessed</t>
  </si>
  <si>
    <r>
      <rPr>
        <rFont val="Calibri"/>
        <color theme="1"/>
        <sz val="12.0"/>
      </rPr>
      <t xml:space="preserve">Assessment of </t>
    </r>
    <r>
      <rPr>
        <rFont val="Calibri"/>
        <i/>
        <color theme="1"/>
        <sz val="12.0"/>
      </rPr>
      <t xml:space="preserve">climate change </t>
    </r>
    <r>
      <rPr>
        <rFont val="Calibri"/>
        <color theme="1"/>
        <sz val="12.0"/>
      </rPr>
      <t>impact</t>
    </r>
  </si>
  <si>
    <r>
      <rPr>
        <rFont val="Calibri"/>
        <color theme="1"/>
        <sz val="12.0"/>
      </rPr>
      <t xml:space="preserve">Assessment of </t>
    </r>
    <r>
      <rPr>
        <rFont val="Calibri"/>
        <i/>
        <color theme="1"/>
        <sz val="12.0"/>
      </rPr>
      <t xml:space="preserve">land/sea use change </t>
    </r>
    <r>
      <rPr>
        <rFont val="Calibri"/>
        <color theme="1"/>
        <sz val="12.0"/>
      </rPr>
      <t>impact</t>
    </r>
  </si>
  <si>
    <r>
      <rPr>
        <rFont val="Calibri"/>
        <color theme="1"/>
        <sz val="12.0"/>
      </rPr>
      <t xml:space="preserve">Assessment of </t>
    </r>
    <r>
      <rPr>
        <rFont val="Calibri"/>
        <i/>
        <color theme="1"/>
        <sz val="12.0"/>
      </rPr>
      <t xml:space="preserve">resource extraction </t>
    </r>
    <r>
      <rPr>
        <rFont val="Calibri"/>
        <color theme="1"/>
        <sz val="12.0"/>
      </rPr>
      <t>impact</t>
    </r>
  </si>
  <si>
    <r>
      <rPr>
        <rFont val="Calibri"/>
        <color theme="1"/>
        <sz val="12.0"/>
      </rPr>
      <t xml:space="preserve">Assessment of </t>
    </r>
    <r>
      <rPr>
        <rFont val="Calibri"/>
        <i/>
        <color theme="1"/>
        <sz val="12.0"/>
      </rPr>
      <t xml:space="preserve">invasive alien species </t>
    </r>
    <r>
      <rPr>
        <rFont val="Calibri"/>
        <color theme="1"/>
        <sz val="12.0"/>
      </rPr>
      <t>impact</t>
    </r>
  </si>
  <si>
    <r>
      <rPr>
        <rFont val="Calibri"/>
        <color theme="1"/>
        <sz val="12.0"/>
      </rPr>
      <t xml:space="preserve">Assessment of </t>
    </r>
    <r>
      <rPr>
        <rFont val="Calibri"/>
        <i/>
        <color theme="1"/>
        <sz val="12.0"/>
      </rPr>
      <t xml:space="preserve">pollution </t>
    </r>
    <r>
      <rPr>
        <rFont val="Calibri"/>
        <color theme="1"/>
        <sz val="12.0"/>
      </rPr>
      <t>impact</t>
    </r>
  </si>
  <si>
    <r>
      <rPr>
        <rFont val="Calibri"/>
        <color theme="1"/>
        <sz val="12.0"/>
      </rPr>
      <t xml:space="preserve">Assessment of </t>
    </r>
    <r>
      <rPr>
        <rFont val="Calibri"/>
        <i/>
        <color theme="1"/>
        <sz val="12.0"/>
      </rPr>
      <t xml:space="preserve">other driver(s) </t>
    </r>
    <r>
      <rPr>
        <rFont val="Calibri"/>
        <color theme="1"/>
        <sz val="12.0"/>
      </rPr>
      <t>impact</t>
    </r>
  </si>
  <si>
    <t xml:space="preserve">Type of assessment of the impact of direct drivers </t>
  </si>
  <si>
    <t>Level of assessment of the impact of direct drivers (within-driver assessment)</t>
  </si>
  <si>
    <t>Level of assessment of the relative impacts of direct drivers (among-driver assessment)</t>
  </si>
  <si>
    <t>Level of assessment of the interactive impacts of direct drivers (interactions between drivers)</t>
  </si>
  <si>
    <t>Priority assessment done?</t>
  </si>
  <si>
    <t>Priority</t>
  </si>
  <si>
    <t>Comments</t>
  </si>
  <si>
    <t>Olowokudejo, J. D.; Oyebanji, O. O.</t>
  </si>
  <si>
    <t>International Journal of Biodiversity and Conservation</t>
  </si>
  <si>
    <t>Floral diversity of the littoral vegetation of Southeastern Nigeria.</t>
  </si>
  <si>
    <t>An investigation of the floral diversity of the littoral vegetation of Akwa-Ibom State coastline of South eastern Nigeria was carried out using quadrat and transects techniques. The results revealed three (3) vegetation types viz: coastal/shoreline, mangrove and secondary forest vegetation. Although, the most encountered ecosystem was the mangrove yet, coastal vegetation had the highest flora diversity of 100 (47%) as compared to mangrove and secondary forest with 87 (41%) and 27 (12%) species, respectively. A total of 147 taxa belonging to 134 genera and 58 families were recorded from the study area. The dominant family was Fabaceae with 17 species (29.3%), while the dominant genus was Ipomoea with 5 species (3.73%). Of these taxa, 59 occurred in more than one vegetation type while 11 were present in all the three (3) vegetation types. Phanerophytes are the dominant life form covering 36% (53 species) of the encountered species. Similarly, diversity index revealed the highest diversity of species in the coastal ecosystem with Shannon-wiener's, Simpson's and Margalef values of 0.99, 4.61 and 21.67, respectively. Correlation matrix and Jaccard similarity coefficient value (0.35) was high between the coastal and mangrove pairs; however, it depicts a minimal significant difference in the species composition within the three ecosystems at 0.05% probability level. Also, PCA scatter plot established less variation between the coastal and mangrove vegetation. Also, 16 economic plants were encountered during the study with uses ranging from edible fruits, spices, vegetables, root crop, and medicine, to palm wine. Factors affecting species distribution are introduction of alien species (Nypa fruticans), canalization, dredging, over exploitation of mangrove and pollution. Conservation status of these taxa according to IUCN 2014-2 showed that no endangered species was encountered during the study. However, conservation of this littoral vegetation is highly imperative in other to stabilize the ecosystem dynamics, protect the biodiversity, prevent or reduce potential effects of ecological disasters such as flooding and erosion.</t>
  </si>
  <si>
    <t>10.5897/IJBC2016.1027</t>
  </si>
  <si>
    <t/>
  </si>
  <si>
    <t>IUC-11</t>
  </si>
  <si>
    <t>IUC</t>
  </si>
  <si>
    <t>PJ</t>
  </si>
  <si>
    <t>Yes</t>
  </si>
  <si>
    <t>empirical data</t>
  </si>
  <si>
    <t>one of the indicators</t>
  </si>
  <si>
    <t>none</t>
  </si>
  <si>
    <t>indirect</t>
  </si>
  <si>
    <t>local</t>
  </si>
  <si>
    <t>Africa</t>
  </si>
  <si>
    <t>Freshwater/Marine</t>
  </si>
  <si>
    <t>No</t>
  </si>
  <si>
    <t>n.a.</t>
  </si>
  <si>
    <t>qualitative (direction)</t>
  </si>
  <si>
    <t>ordinal scale</t>
  </si>
  <si>
    <t>Duran, A.; Shantz, A. A.; Burkepile, D. E.; Collado-Vides, L.; Ferrer, V. M.; Palma, L.; Ramos, A.; Gonzalez-Diaz, P.</t>
  </si>
  <si>
    <t>BULLETIN OF MARINE SCIENCE</t>
  </si>
  <si>
    <t>Fishing, pollution, climate change, and the long-term decline of coral reefs off Havana, Cuba</t>
  </si>
  <si>
    <t>Understanding temporal and spatial variation of coral reef communities allows us to analyze the relative effects of local stressors, such as fishing and eutrophication, and global stressors, such as ocean warming. To test for spatial and temporal changes in coral reef communities, we combined recent benthic and fish surveys from 2016 with long-term data, dating back to the late 1990s, from four zones located at different distances from Central Havana, Cuba's largest population center. These changes may indicate the shifting importance of local vs global stressors affecting reef communities. Regardless of the distance from Havana, we found that coral cover was uniformly low (approximately 10%), whereas macroalgal abundance was often high (approximately 65%). Similarly, fish biomass was low across zones, particularly for herbivorous fishes (approximately 12 g m -2 ) that are critical ecological drivers of reef structure and coral resilience. Analyses of longer-term trends revealed that coral cover near Havana has been below about 10% since at least 1995, potentially because of local stressors. In contrast, reefs farther from Havana maintained relatively high coral cover (approximately 30%) until the early 2000s, but declined more recently to approximately 15%, putting them near the Caribbean-wide average. These distinct spatial and temporal trajectories of reef communities may be the result of the expansion of local stressors away from Havana as the human population increased, or as fishers ventured farther away to exploit new resources. Alternatively, the more recent decline of reefs farther from population centers may have resulted from increasingly frequent global stressors, such as bleaching events and hurricanes.</t>
  </si>
  <si>
    <t>10.5343/bms.2017.1061</t>
  </si>
  <si>
    <t>LSA-85</t>
  </si>
  <si>
    <t>LSA</t>
  </si>
  <si>
    <t>direct (quantitative)</t>
  </si>
  <si>
    <t>Americas</t>
  </si>
  <si>
    <t>Marine</t>
  </si>
  <si>
    <t>effect-based</t>
  </si>
  <si>
    <t>quantitative (magnitude)</t>
  </si>
  <si>
    <t>Pilli, Roberto; Grassi, Giacomo; Kurz, Werner A.; Fiorese, Giulia; Cescatti, Alessandro</t>
  </si>
  <si>
    <t>BIOGEOSCIENCES</t>
  </si>
  <si>
    <t>The European forest sector: past and future carbon budget and fluxes under different management scenarios</t>
  </si>
  <si>
    <t>The comprehensive analysis of carbon stocks and fluxes of managed European forests is a prerequisite to quantify their role in biomass production and climate change mitigation. We applied the Carbon Budget Model (CBM) to 26 European countries, parameterized with country information on the historical forest age structure, management practices, harvest regimes and the main natural disturbances. We modeled the C stocks for the five forest pools plus harvested wood products (HWPs) and the fluxes among these pools from 2000 to 2030. The aim is to quantify, using a consistent modeling framework for all 26 countries, the main C fluxes as affected by land-use changes, natural disturbances and forest management and to assess the impact of specific harvest and afforestation scenarios after 2012 on the mitigation potential of the EU forest sector. Substitution effects and the possible impacts of climate are not included in this analysis. Results show that for the historical period from 2000 to 2012 the net primary productivity (NPP) of the forest pools at the EU level is on average equal to 639 Tg Cyr(-1). The losses are dominated by heterotrophic respiration (409 Tg Cyr(-1)) and removals (110 Tg Cyr(-1)), with direct fire emissions being only 1 Tg Cyr(-1), leading to a net carbon stock change (i.e., sink) of 110 Tg Cyr(-1). Fellings also transferred 28 Tg Cyr(-1) of harvest residues from biomass to dead organic matter pools. The average annual net sector exchange (NSE) of the forest system, including HWP, equals a sink of 122 Tg C yr(-1) (i.e., about 19% of the NPP) for the historical period, and in 2030 it reaches 126, 101 and 151 TgC yr(-1), assuming constant, increasing (C 20 %) and decreasing (20 %) scenarios, respectively, of both harvest and afforestation rates compared to the historical period. Under the constant harvest rate scenario, our findings show an incipient aging process of the forests existing in 1990: although NPP increases ( +7 %), heterotrophic respiration increases at a greater rate ( +13 %) and this leads to a decrease in the sink in the forest pools ( 6 %) in 2030 compared to the historical period. By comparing the evolution of the biomass as a function of the NPP (i.e., the turnover time) for each country, we highlighted at least three groups of countries and turnover times. This means that, contrary to the assumptions proposed by other authors, this relationship cannot be assumed as a constant for all the EU countries, but specific conditions, such as the harvest rate, the current age structure and the forest composition, may contribute to the country-specific evolution of biomass stocks.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t>
  </si>
  <si>
    <t>10.5194/bg-14-2387-2017</t>
  </si>
  <si>
    <t>NPP-5</t>
  </si>
  <si>
    <t>NPP</t>
  </si>
  <si>
    <t>YT</t>
  </si>
  <si>
    <t>regional</t>
  </si>
  <si>
    <t>Europe and Central Asia</t>
  </si>
  <si>
    <t>Terrestrial</t>
  </si>
  <si>
    <t>ratio scale</t>
  </si>
  <si>
    <t>Adite, A.; Toko, I. I.; Gbankoto, A.</t>
  </si>
  <si>
    <t>Journal of Environmental Protection</t>
  </si>
  <si>
    <t>Fish assemblages in the degraded mangrove ecosystems of the coastal zone, Benin, West Africa: implications for ecosystem restoration and resources conservation.</t>
  </si>
  <si>
    <t>Mangrove forests are unique habitats in their function as potential food source and nurseries, and support an important fisheries resource. In the Benin coastal zone, the mangrove fishes have been surveyed to investigate fish species diversity, community structures and ecosystem degradation impacts in order to protect and to improve the mangrove fish resources. Results from wet, high-water and dry season samplings revealed that the two dominant mangrove species, Rizophora racemosa and Avicennia africana, are being intensively degraded for domestic use such as firewood and house building. Fifty one (51) fish species belonging to 25 families were recorded with Eleotridae (7 species), Cichlidae (5 species), and Mugilidae (5 species), the most speciose families. Dominant trophic guilds were detritivores (54.57%) and planktinovores/microcarnivores (30.41%). Six (6) species, Sarotherodon melanotheron, Dormitator lebretonis, Gerres melanopterus, Hemichromis fasciatus, Ethmalosa fimbriata, and Aplocheilichthys spilauchen, dominated the samples and accounted for about 80.27%. Sarotherodon melanotheron constituted the major dominant species and accounted numerically for about 29% of the total catches and 46.7% of the total biomass. The Margalef index of species richness ranged between 2.42 and 4.43, the Shannon-Weaver index of species diversity between 1.39 and 2.27, and the evenness between 0.50 and 0.62. Lower indices were observed for the highly degraded and the moderately degraded sites whereas higher indices were recorded for the less degraded and the restored sites. Species richness, species diversity and dominant species abundance were positively correlated with depth and transparency and negatively correlated with temperature. Multi-species fisheries dominate the coastal zone with Sarotherodon melanotheron, Dormitator lebretonis, Gerres melanopterus, Ethmalosa fimbriata, Liza falcipinus, Mugil sp. and Chrysichthys nigrodigitatus, the major species in the commercial catches. In addition to the mangrove destruction, the hydro electrical dam have greatly modified the Mono River flooding regime, water quality and the fish composition of the Benin coastal lagoon system. An integrated approach of the mangrove resource management/conservation, including intensive mangrove restoration, management of key fish species, freshwater prawns (Macrobrachiun sp.), peneids shrimps, mangrove oysters (Crassostrea sp.), and crabs (Callinectes sp., Cardiosoma sp.), and habitat protection is required for ecosystem recovery and sustainable exploitation.</t>
  </si>
  <si>
    <t>10.4236/jep.2013.412168</t>
  </si>
  <si>
    <t>MFC-28</t>
  </si>
  <si>
    <t>MFC</t>
  </si>
  <si>
    <t>LC</t>
  </si>
  <si>
    <t>more than one of the indicators</t>
  </si>
  <si>
    <t>Terrestrial/Marine</t>
  </si>
  <si>
    <t>qualitative</t>
  </si>
  <si>
    <t>Guo, Qiang; Fu, Bihong; Shi, Pilong; Cudahy, Thomas; Zhang, Jing; Xu, Huan</t>
  </si>
  <si>
    <t>REMOTE SENSING</t>
  </si>
  <si>
    <t>Satellite Monitoring the Spatial-Temporal Dynamics of Desertification in Response to Climate Change and Human Activities across the Ordos Plateau, China</t>
  </si>
  <si>
    <t>The Ordos Plateau, a typical semi-arid area in northern China, has experienced severe wind erosion events that have stripped the agriculturally important finer fraction of the topsoil and caused dust events that often impact the air quality in northern China and the surrounding regions. Both climate change and human activities have been considered key factors in the desertification process. This study used multi-spectral Landsat Thematic Mapper (TM), Enhanced Thematic Mapper Plus (ETM+) and Operational Land Imager (OLI) remote sensing data collected in 2000, 2006, 2010 and 2015 to generate a temporal series of the modified soil-adjusted vegetation index (MSAVI), bare soil index (BSI) and albedo products in the Ordos Plateau. Based on these satellite products and the decision tree method, we quantitatively assessed the desertification status over the past 15 years since 2000. Furthermore, a quantitative method was used to assess the roles of driving forces in desertification dynamics using net primary productivity (NPP) as a commensurable indicator. The results showed that the area of non-desertification land increased from 6647 km(2) in 2000 to 15,961 km(2) in 2015, while the area of severe desertification land decreased from 16,161 km(2) in 2000 to 8,331 km(2) in 2015. During the period 2006-2015, the effect of human activities, especially the ecological recovery projects implemented in northern China, was the main cause of desertification reversion in this region. Therefore, ecological recovery projects are still required to promote harmonious development between nature and human society in ecologically fragile regions like the Ordos Plateau.</t>
  </si>
  <si>
    <t>10.3390/rs9060525</t>
  </si>
  <si>
    <t>NPP-12</t>
  </si>
  <si>
    <t>Asia-Pacific</t>
  </si>
  <si>
    <t>Fu, Yingchun; Lu, Xueyu; Zhao, Yaolong; Zeng, Xiantie; Xia, Lili</t>
  </si>
  <si>
    <t>Assessment Impacts of Weather and Land Use/Land Cover (LULC) Change on Urban Vegetation Net Primary Productivity (NPP): A Case Study in Guangzhou, China</t>
  </si>
  <si>
    <t>Net primary productivity (NPP) can indicate vegetation ecosystem services ability and reflect variation response to climate change and human activities. This study applied MODIS-1 km NPP products to investigate the NPP variation from 2001 to 2006, a fast urban expansion and adjustment period in Guangzhou, China, and quantify the impacts of weather and land use/land cover (LULC) changes, respectively. The results showed that the NPP mean value increased at a rate of 11.6 gCm(-2)yr(-1) during the initial three years and decreased at an accelerated rate of 31.0 gCm(-2)yr(-1) during the final three years, resulting in a total NPP loss of approximately 167 x 10(6) gC. The spatiotemporal of NPP varied obviously in the central area, suburb and exurb of Guangzhou driven by three patterns of weather and LULC changes. By the interactive effects and the weather variation dominated effects, NPP of most areas changed slightly with dynamic index less than 5% of NPP mean value in the central area and the suburb. The LULC change dominated effects caused obvious NPP reduction, by more than 15% of the NPP mean value, which occurred in some areas of the suburb and extended to the exurb with the outward urban sprawl. Importantly, conversion from wood grassland, shrublands and even forests to croplands occupied by urban landscapes proved to be a main process in the conversion from high-NPP coverage to low-NPP coverage, thereby leading to the rapid degradation of urban carbon stock capacity in urban fringe areas. It is helpful for government to monitor urban ecological health and safety and make relevant policies.</t>
  </si>
  <si>
    <t>10.3390/rs5084125</t>
  </si>
  <si>
    <t>NPP-37</t>
  </si>
  <si>
    <t>MW</t>
  </si>
  <si>
    <t>quantitative</t>
  </si>
  <si>
    <t>Ghosh, Manoj Kumer; Kumar, Lalit; Roy, Chandan</t>
  </si>
  <si>
    <t>FORESTS</t>
  </si>
  <si>
    <t>Mapping Long-Term Changes in Mangrove Species Composition and Distribution in the Sundarbans</t>
  </si>
  <si>
    <t>The Sundarbans mangrove forest is an important resource for the people of the Ganges Delta. It plays an important role in the local as well as global ecosystem by absorbing carbon dioxide and other pollutants from air and water, offering protection to millions of people in the Ganges Delta against cyclone and water surges, stabilizing the shore line, trapping sediment and nutrients, purifying water, and providing services for human beings, such as fuel wood, medicine, food, and construction materials. However, this mangrove ecosystem is under threat, mainly due to climate change and anthropogenic factors. Anthropogenic and climate change-induced degradation, such as over-exploitation of timber and pollution, sea level rise, coastal erosion, increasing salinity, effects of increasing number of cyclones and higher levels of storm surges function as recurrent threats to mangroves in the Sundarbans. In this situation, regular and detailed information on mangrove species composition, their spatial distribution and the changes taking place over time is very important for a thorough understanding of mangrove biodiversity, and this information can also lead to the adoption of management practices designed for the maximum sustainable yield of the Sundarbans forest resources. We employed a maximum likelihood classifier technique to classify images recorded by the Landsat satellite series and used post classification comparison techniques to detect changes at the species level. The image classification resulted in overall accuracies of 72%, 83%, 79% and 89% for the images of 1977, 1989, 2000 and 2015, respectively. We identified five major mangrove species and detected changes over the 38-year (1977-2015) study period. During this period, both Heritiera fomes and Excoecaria agallocha decreased by 9.9%, while Ceriops decandra, Sonneratia apelatala, and Xylocarpus mekongensis increased by 12.9%, 380.4% and 57.3%, respectively.</t>
  </si>
  <si>
    <t>10.3390/f7120305</t>
  </si>
  <si>
    <t>MFC-76</t>
  </si>
  <si>
    <t>prevalence-based</t>
  </si>
  <si>
    <t>Maharaj, Ravi R.; Lam, Vicky W. Y.; Pauly, Daniel; Cheung, William W. L.</t>
  </si>
  <si>
    <t>MARINE ECOLOGY PROGRESS SERIES</t>
  </si>
  <si>
    <t>Regional variability in the sensitivity of Caribbean reef fish assemblages to ocean warming</t>
  </si>
  <si>
    <t>Ocean warming is expected to impact biodiversity and fisheries in the tropics through shifts in species' distributions, leading to local extinctions and changes in species composition of catches. However, regional-scale patterns may differ from global trends due to the influence of important environmental factors such as ocean warming, fishing and habitat availability. Here, we used the mean temperature of the catch to test the hypothesis that, for the period of 1971 to 2010, regional variation in species-turnover of exploited reef fish assemblages among 9 Caribbean countries can be explained by differences in the rate of warming, species' thermal preferences, changes in trophic structure due to fishing and potential reef habitat across the region. Sea surface temperature and the mean temperature of the catch displayed rates of increase of 0.14 and 0.19 degrees C decade(-1) respectively, on par with the global average and higher when compared to the global average for all tropical fisheries. These rates also varied across the 9 Caribbean countries, ranging from 0.04 to 0.18 degrees C decade(-1) for sea surface temperature and 0.10 to 0.62 degrees C decade(-1) for the mean temperature of the catch. The negative interaction between potential reef habitats in each country and sea surface temperature in relation to the mean temperature of the catch suggests possible moderating effects of available habitats on the sensitivity of fish communities to warming. In addition, the negative relationship of trophic level with the mean temperature of the catch suggests that fishing increases their vulnerability. Findings from this study can help elucidate factors driving variations in the sensitivity of exploited fish communities to warming, and have implications for the management of living marine resources in the Caribbean region.</t>
  </si>
  <si>
    <t>10.3354/meps12462</t>
  </si>
  <si>
    <t>LCC-132</t>
  </si>
  <si>
    <t>LCC</t>
  </si>
  <si>
    <t>DB</t>
  </si>
  <si>
    <t>trait-based</t>
  </si>
  <si>
    <t>Brown, Christopher J.; Jupiter, Stacy D.; Lin, Hsien-Yung; Albert, Simon; Klein, Carissa; Maina, Joseph M.; Tulloch, Vivitskaia J. D.; Wenger, Amelia S.; Mumby, Peter J.</t>
  </si>
  <si>
    <t>Habitat change mediates the response of coral reef fish populations to terrestrial run-off</t>
  </si>
  <si>
    <t>Coastal fish populations are typically threatened by multiple human activities, including fishing pressure and run-off of terrestrial pollution. Linking multiple threats to their impacts on fish populations is challenging because the threats may influence a species directly, or indirectly, via its habitats and its interactions with other species. Here we examine spatial variation in abundance of coral reef fish across gradients of fishing pressure and turbidity in Fiji. We explicitly account for multiple pathways of influence to test the alternative hypotheses that (1) habitat moderates predation by providing shelter, so habitat loss only affects prey fish populations if there are abundant predators, (2) habitat change co-drives biomass of both prey and predator functional groups. We examined responses of 7 fish functional groups and found that habitat change co-drives both predator and prey responses to turbidity. Abundances of all functional groups were associated with changes in habitat cover; however, the responses of their habitats to turbidity were mixed. Planktivore and piscivore abundance were lower in areas of high turbidity, because cover of their preferred habitats was lower. Invertivore, browser and grazer abundance did not change strongly over the turbidity gradient, because different components of their habitats exhibited both increases and decreases with turbidity. The effects of turbidity on fish populations were minor in areas where fish populations were already depleted by fishing. These findings suggest that terrestrial run-off modifies the composition of reef fish communities indirectly by affecting the benthic habitats that reef fish use.</t>
  </si>
  <si>
    <t>10.3354/meps12221</t>
  </si>
  <si>
    <t>PRF-19</t>
  </si>
  <si>
    <t>PRF</t>
  </si>
  <si>
    <t>Casini, Michele; Bartolino, Valerio; Molinero, Juan Carlos; Kornilovs, Georgs</t>
  </si>
  <si>
    <t>Linking fisheries, trophic interactions and climate: threshold dynamics drive herring Clupea harengus growth in the central Baltic Sea</t>
  </si>
  <si>
    <t>How multiple stressors influence fish stock dynamics is a crucial question in ecology in general and in fisheries science in particular. Using time-series covering a 30 yr period, we show that the body growth of the central Baltic Sea herring Clupea harengus, both in terms of condition and weight-at-age (WAA), has shifted from being mainly driven by hydro-climatic forces to an interspecific density-dependent control. The shift in the mechanisms of regulation of herring growth is triggered by the abundance of sprat, the main food competitor for herring. Abundances of sprat above the threshold of similar to 18 x 10(10) ind. decouple herring growth from hydro-climatic factors (i.e. salinity), and become the main driver of herring growth variations. At high sprat densities, herring growth is considerably lower than at low sprat levels, regardless of the salinity conditions, indicative of hysteresis in the response of herring growth to salinity changes. The threshold dynamic accurately explains the changes in herring growth during the past 3 decades and in turn contributes to elucidate the parallel drastic drop in herring spawning stock biomass. Studying the interplay between different stressors can provide fundamental information for the management of exploited resources. The management of the central Baltic herring stock should be adaptive and take into consideration the dual response of herring growth to hydro-climatic forces and food-web structure for a sound ecosystem approach to fisheries.</t>
  </si>
  <si>
    <t>10.3354/meps08592</t>
  </si>
  <si>
    <t>MLF-63</t>
  </si>
  <si>
    <t>MLF</t>
  </si>
  <si>
    <t>NT</t>
  </si>
  <si>
    <t>Wolf, Nicholas; Mangel, Marc</t>
  </si>
  <si>
    <t>ECOLOGICAL APPLICATIONS</t>
  </si>
  <si>
    <t>MULTIPLE HYPOTHESIS TESTING AND THE DECLINING-POPULATION PARADIGM IN STELLER SEA LIONS</t>
  </si>
  <si>
    <t>We describe a novel spatially and temporally detailed approach for determining the cause or causes of a population decline, using the western Alaskan population of Steller sea lions (Eumetopias jubatus) as an example. Existing methods are mostly based on regression, which limits their utility when there are multiple hypotheses to consider and the data are sparse and noisy. Our likelihood-based approach is unbiased with regard to sample size, and its posterior probability landscape allows for the separate consideration of magnitude and certainty for multiple factors simultaneously. As applied to Steller sea lions, the approach uses a stochastic population model in which the vital rates (fecundity, pup survival, non-pup survival) at a particular rookery in each year are functions of one or more local conditions (total prey availability, species composition of available prey,fisheries activity, predation risk indices). Three vital rates and four scaling functions produce twelve nonexclusive hypotheses, of which we considered 10; we assumed a priori that fecundity would not be affected by fishery activities or predation. The likelihood of all the rookery- and year-specific census data was calculated by averaging across sample paths, using backward iteration and a beta-binomial structure for observation error. We computed the joint maximum likelihood estimates (MLE) of parameters associated with each hypothesis and constructed marginal likelihood curves to examine the support for each effect. We found strong support for a positive effect of total prey availability on pup recruitment, negative effects of prey species composition (pollock fraction) on fecundity and pup survival, and a positive effect of harbor seal density (our inverse proxy for predation risk) on non-pup survival. These results suggest a natural framework for adaptive management; for example, the areas around some of the rookeries could be designated as experimental zones where fishery quotas are contingent upon the results of pre-fishing season survey trawls. We contrast our results with those of previous studies, demonstrating the importance of testing multiple hypotheses simultaneously and quantitatively when investigating the causes of a population decline.</t>
  </si>
  <si>
    <t>10.1890/07-1254.1</t>
  </si>
  <si>
    <t>PRF-136</t>
  </si>
  <si>
    <t>Lacerda, L. D. de; Menezes, M. O. T. de; Molisani, M. M.</t>
  </si>
  <si>
    <t>Biota Neotropica</t>
  </si>
  <si>
    <t>Changes in mangrove extension at the Pacoti River estuary, CE, NE Brazil due to regional environmental changes between 1958 and 2004.</t>
  </si>
  <si>
    <t>Regional land use changes at the Pacoti River basin, Ceara State, NE Brazil resulted in doubling the mangrove area from 1958 (0.71 km2) to 2004 (1.44 km2). Most of the increase was due to the replacing of salt marsh vegetation inland, but also along newly formed islands and enlarged river banks. Drastic reduction in freshwater supply and sediment accumulation due to river damming were probably the major drivers of the increased mangrove cover. However, changes due to global climate changes can not be ruled out.</t>
  </si>
  <si>
    <t>10.1590/S1676-06032007000300007</t>
  </si>
  <si>
    <t>MFC-37</t>
  </si>
  <si>
    <t>Anderson, Robert; Morrall, Clare; Jossart, Jonathan; Nimrod, Steve; Bolda, Emily; Musser, Katie; Berg, Craig; Balza, Robert</t>
  </si>
  <si>
    <t>REVISTA DE BIOLOGIA TROPICAL</t>
  </si>
  <si>
    <t>Marine Protected Area monitoring in the nearshore waters of Grenada, Eastern Caribbean: benthic cover and fish populations</t>
  </si>
  <si>
    <t>Grenada is highly dependent on coral reefs as a source of food and to support tourism. Local and global environmental stressors threaten these reefs. Legislation was created for this MPA in 2001, permanent mooring buoys were deployed in 2009 and enforcement of fishing restrictions began in 2010. Initiatives to address point and nonpoint source pollution from the land have recently begun, aimed at reducing stress on reef area. This study documents benthic cover and fish populations associated with reefs in a Marine Protected Area (MPA) along Grenada's southwest coast from 2008 through 2012. Both Point Line Intercept and Photo Quadrat methods were used to assess benthic cover along permanent 30m transects (8 in and 12 outside the area) annually. Fish and Diadema antillarum urchin relative abundance were determined based on 2m wide belt surveys along the same transects. The predominant substrate cover was algae, ranging from 41% in 2009 to 74.2% in 2011. A general trend of increasing algal cover was noted. Combined annual survey results prior (2008-2010) and after controls were implemented (2011-2012) showed a significant increase in algal cover. The predominant algal form was macroalgae comprising 65.4% - 90.8% of total algae. Live hard coral percent cover ranged from 8.7% to 21.1%. Little annual variation was observed in percent live coral cover. Branching corals (34.1% - 52.3% of total living hard coral) were the most common. Of the 19 living hard coral species identified, Porites porites (21%-23%) and Porites astreoides (20%) dominated percentage composition. Madracis mirabilis contributed 21% of total live hard coral outside the MPA but only 8.7% in the MPA. Of the 63 species of fish identified in the study areas Chromis spp. (71.5% - 46%) was the dominant group. Wrasse had a significant increase from 6.9% in 2008 to 21.5% in 2010 inside the MPA with a similar increase peaking in 2011 outside the MPA. There was a noticeable (though not statistically significant) increase in piscivorous fishes in the MPA in 2012. This is a promising indication that fishing restrictions in the MPA may be having an effect. Diadema antillarum density was low, ranging from 4.58 to 0.21 urchins/100m(2) outside and 0.28 to 0.10 urchins/100m(2) inside despite a stocking attempt in the area in 2011.</t>
  </si>
  <si>
    <t>10.15517/rbt.v62i0.15922</t>
  </si>
  <si>
    <t>LCC-167</t>
  </si>
  <si>
    <t>CG</t>
  </si>
  <si>
    <t>Brummitt, Neil A.; Bachman, Steven P.; Griffiths-Lee, Janine; Lutz, Maiko; Moat, Justin F.; Farjon, Aljos; Donaldson, John S.; Hilton-Taylor, Craig; Meagher, Thomas R.; Albuquerque, Sara; Aletrari, Elina; Andrews, A. Kei; Atchison, Guy; Baloch, Elisabeth; Barlozzini, Barbara; Brunazzi, Alice; Carretero, Julia; Celesti, Marco; Chadburn, Helen; Cianfoni, Eduardo; Cockel, Chris; Coldwell, Vanessa; Concetti, Benedetta; Contu, Sara; Crook, Vicki; Dyson, Philippa; Gardiner, Lauren; Ghanim, Nadia; Greene, Hannah; Groom, Alice; Harker, Ruth; Hopkins, Della; Khela, Sonia; Lakeman-Fraser, Poppy; Lindon, Heather; Lockwood, Helen; Loftus, Christine; Lombrici, Debora; Lopez-Poveda, Lucia; Lyon, James; Malcolm-Tompkins, Patricia; McGregor, Kirsty; Moreno, Laura; Murray, Linda; Nazar, Keara; Power, Emily; Tuijtelaars, Mireya Quiton; Salter, Ruth; Segrott, Robert; Thacker, Hannah; Thomas, Leighton J.; Tingvoll, Sarah; Watkinson, Gemma; Wojtaszekova, Katerina; Lughadha, Eimear M. Nic</t>
  </si>
  <si>
    <t>Green Plants in the Red: A Baseline Global Assessment for the IUCN Sampled Red List Index for Plants</t>
  </si>
  <si>
    <t>Plants provide fundamental support systems for life on Earth and are the basis for all terrestrial ecosystems; a decline in plant diversity will be detrimental to all other groups of organisms including humans. Decline in plant diversity has been hard to quantify, due to the huge numbers of known and yet to be discovered species and the lack of an adequate baseline assessment of extinction risk against which to track changes. The biodiversity of many remote parts of the world remains poorly known, and the rate of new assessments of extinction risk for individual plant species approximates the rate at which new plant species are described. Thus the question 'How threatened are plants?' is still very difficult to answer accurately. While completing assessments for each species of plant remains a distant prospect, by assessing a randomly selected sample of species the Sampled Red List Index for Plants gives, for the first time, an accurate view of how threatened plants are across the world. It represents the first key phase of ongoing efforts to monitor the status of the world's plants. More than 20% of plant species assessed are threatened with extinction, and the habitat with the most threatened species is overwhelmingly tropical rain forest, where the greatest threat to plants is anthropogenic habitat conversion, for arable and livestock agriculture, and harvesting of natural resources. Gymnosperms (e.g. conifers and cycads) are the most threatened group, while a third of plant species included in this study have yet to receive an assessment or are so poorly known that we cannot yet ascertain whether they are threatened or not. This study provides a baseline assessment from which trends in the status of plant biodiversity can be measured and periodically reassessed.</t>
  </si>
  <si>
    <t>10.1371/journal.pone.0135152</t>
  </si>
  <si>
    <t>RLI-9</t>
  </si>
  <si>
    <t>RLI</t>
  </si>
  <si>
    <t>review</t>
  </si>
  <si>
    <t>global</t>
  </si>
  <si>
    <t>All regions</t>
  </si>
  <si>
    <t>All realms</t>
  </si>
  <si>
    <t>De Grave, Sammy; Smith, Kevin G.; Adeler, Nils A.; Allen, Dave J.; Alvarez, Fernando; Anker, Arthur; Cai, Yixiong; Carrizo, Savrina F.; Klotz, Werner; Mantelatto, Fernando L.; Page, Timothy J.; Shy, Jhy-Yun; Luis Villalobos, Jose; Wowor, Daisy</t>
  </si>
  <si>
    <t>Dead Shrimp Blues: A Global Assessment of Extinction Risk in Freshwater Shrimps (Crustacea: Decapoda: Caridea)</t>
  </si>
  <si>
    <t>We present the first global assessment of extinction risk for a major group of freshwater invertebrates, caridean shrimps. The risk of extinction for all 763 species was assessed using the IUCN Red List criteria that include geographic ranges, habitats, ecology and past and present threats. The Indo-Malayan region holds over half of global species diversity, with a peak in Indo-China and southern China. Shrimps primarily inhabit flowing water; however, a significant subterranean component is present, which is more threatened than the surface fauna. Two species are extinct with a further 10 possibly extinct, and almost one third of species are either threatened or Near Threatened (NT). Threats to freshwater shrimps include agricultural and urban pollution impact over two-thirds of threatened and NT species. Invasive species and climate change have the greatest overall impact of all threats (based on combined timing, scope and severity of threats).</t>
  </si>
  <si>
    <t>10.1371/journal.pone.0120198</t>
  </si>
  <si>
    <t>IUC-14</t>
  </si>
  <si>
    <t>Rodrigues, Ana S. L.; Brooks, Thomas M.; Butchart, Stuart H. M.; Chanson, Janice; Cox, Neil; Hoffmann, Michael; Stuart, Simon N.</t>
  </si>
  <si>
    <t>Spatially Explicit Trends in the Global Conservation Status of Vertebrates</t>
  </si>
  <si>
    <t>The world's governments have committed to preventing the extinction of threatened species and improving their conservation status by 2020. However, biodiversity is not evenly distributed across space, and neither are the drivers of its decline, and so different regions face very different challenges. Here, we quantify the contribution of regions and countries towards recent global trends in vertebrate conservation status (as measured by the Red List Index), to guide action towards the 2020 target. We found that. 50% of the global deterioration in the conservation status of birds, mammals and amphibians is concentrated in,1% of the surface area, 39/1098 ecoregions (4%) and eight/195 countries (4%) - Australia, China, Colombia, Ecuador, Indonesia, Malaysia, Mexico, and the United States. These countries hold a third of global diversity in these vertebrate groups, partially explaining why they concentrate most of the losses. Yet, other megadiverse countries - most notably Brazil (responsible for 10% of species but just 1% of deterioration), plus India and Madagascar - performed better in conserving their share of global vertebrate diversity. Very few countries, mostly island nations (e.g. Cook Islands, Fiji, Mauritius, Seychelles, and Tonga), have achieved net improvements. Per capita wealth does not explain these patterns, with two of the richest countries - United States and Australia - fairing conspicuously poorly. Different countries were affected by different combinations of threats. Reducing global rates of biodiversity loss will require investment in the regions and countries with the highest responsibility for the world's biodiversity, focusing on conserving those species and areas most in peril and on reducing the drivers with the highest impacts.</t>
  </si>
  <si>
    <t>10.1371/journal.pone.0113934</t>
  </si>
  <si>
    <t>RLI-54</t>
  </si>
  <si>
    <t>van Asselen, Sanneke; Verburg, Peter H.; Vermaat, Jan E.; Janse, Jan H.</t>
  </si>
  <si>
    <t>Drivers of Wetland Conversion: a Global Meta-Analysis</t>
  </si>
  <si>
    <t>Meta-analysis of case studies has become an important tool for synthesizing case study findings in land change. Meta-analyses of deforestation, urbanization, desertification and change in shifting cultivation systems have been published. This present study adds to this literature, with an analysis of the proximate causes and underlying forces of wetland conversion at a global scale using two complementary approaches of systematic review. Firstly, a meta-analysis of 105 case-study papers describing wetland conversion was performed, showing that different combinations of multiple-factor proximate causes, and underlying forces, drive wetland conversion. Agricultural development has been the main proximate cause of wetland conversion, and economic growth and population density are the most frequently identified underlying forces. Secondly, to add a more quantitative component to the study, a logistic meta-regression analysis was performed to estimate the likelihood of wetland conversion worldwide, using globally-consistent biophysical and socioeconomic location factor maps. Significant factors explaining wetland conversion, in order of importance, are market influence, total wetland area (lower conversion probability), mean annual temperature and cropland or built-up area. The regression analyses results support the outcomes of the meta-analysis of the processes of conversion mentioned in the individual case studies. In other meta-analyses of land change, similar factors (e. g., agricultural development, population growth, market/economic factors) are also identified as important causes of various types of land change (e. g., deforestation, desertification). Meta-analysis helps to identify commonalities across the various local case studies and identify which variables may lead to individual cases to behave differently. The meta-regression provides maps indicating the likelihood of wetland conversion worldwide based on the location factors that have determined historic conversions.</t>
  </si>
  <si>
    <t>10.1371/journal.pone.0081292</t>
  </si>
  <si>
    <t>MSA-31</t>
  </si>
  <si>
    <t>MSA</t>
  </si>
  <si>
    <t>meta-analysis</t>
  </si>
  <si>
    <t>Terrestrial/Freshwater</t>
  </si>
  <si>
    <t>Liu, J. Y.</t>
  </si>
  <si>
    <t>Status of Marine Biodiversity of the China Seas</t>
  </si>
  <si>
    <t>China's seas cover nearly 5 million square kilometers extending from the tropical to the temperate climate zones and bordering on 32,000 km of coastline, including islands. Comprehensive systematic study of the marine biodiversity within this region began in the early 1950s with the establishment of the Qingdao Marine Biological Laboratory of the Chinese Academy of Sciences. Since that time scientists have carried out intensive multidisciplinary research on marine life in the China seas and have recorded 22,629 species belonging to 46 phyla. The marine flora and fauna of the China seas are characterized by high biodiversity, including tropical and subtropical elements of the Indo-West Pacific warm-water fauna in the South and East China seas, and temperate elements of North Pacific temperate fauna mainly in the Yellow Sea. The southern South China Sea fauna is characterized by typical tropical elements paralleled with the Philippine-New Guinea-Indonesia Coral triangle typical tropical faunal center. This paper summarizes advances in studies of marine biodiversity in China's seas and discusses current research mainly on characteristics and changes in marine biodiversity, including the monitoring, assessment, and conservation of endangered species and particularly the strengthening of effective management. Studies of (1) a tidal flat in a semi-enclosed embayment, (2) the impact of global climate change on a cold-water ecosystem, (3) coral reefs of Hainan Island and Xisha-Nansha atolls, (4) mangrove forests of the South China Sea, (5) a threatened seagrass field, and (6) an example of stock enhancement practices of the Chinese shrimp fishery are briefly introduced. Besides the overexploitation of living resources (more than 12.4 million tons yielded in 2007), the major threat to the biodiversity of the China seas is environmental deterioration (pollution, coastal construction), particularly in the brackish waters of estuarine environments, which are characterized by high productivity and represent spawning and nursery areas for several economically important species. In the long term, climate change is also a major threat. Finally, challenges in marine biodiversity studies are briefly discussed along with suggestions to strengthen the field. Since 2004, China has participated in the Census of Marine Life, through which advances in the study of zooplankton and zoobenthos biodiversity were finally summarized.</t>
  </si>
  <si>
    <t>10.1371/journal.pone.0050719</t>
  </si>
  <si>
    <t>LCC-4</t>
  </si>
  <si>
    <t>AG</t>
  </si>
  <si>
    <t>Comeros-Raynal, Mia T.; Choat, John Howard; Polidoro, Beth A.; Clements, Kendall D.; Abesamis, Rene; Craig, Matthew T.; Lazuardi, Muhammad Erdi; McIlwain, Jennifer; Muljadi, Andreas; Myers, Robert F.; Nanola, Cleto L., Jr.; Pardede, Shinta; Rocha, Luiz A.; Russell, Barry; Sanciangco, Jonnell C.; Stockwell, Brian; Harwell, Heather; Carpenter, Kent E.</t>
  </si>
  <si>
    <t>The Likelihood of Extinction of Iconic and Dominant Herbivores and Detritivores of Coral Reefs: The Parrotfishes and Surgeonfishes</t>
  </si>
  <si>
    <t>Parrotfishes and surgeonfishes perform important functional roles in the dynamics of coral reef systems. This is a consequence of their varied feeding behaviors ranging from targeted consumption of living plant material (primarily surgeonfishes) to feeding on detrital aggregates that are either scraped from the reef surface or excavated from the deeper reef substratum (primarily parrotfishes). Increased fishing pressure and widespread habitat destruction have led to population declines for several species of these two groups. Species-specific data on global distribution, population status, life history characteristics, and major threats were compiled for each of the 179 known species of parrotfishes and surgeonfishes to determine the likelihood of extinction of each species under the Categories and Criteria of the IUCN Red List of Threatened Species. Due in part to the extensive distributions of most species and the life history traits exhibited in these two families, only three (1.7%) of the species are listed at an elevated risk of global extinction. The majority of the parrotfishes and surgeonfishes (86%) are listed as Least Concern, 10% are listed as Data Deficient and 1% are listed as Near Threatened. The risk of localized extinction, however, is higher in some areas, particularly in the Coral Triangle region. The relatively low proportion of species globally listed in threatened Categories is highly encouraging, and some conservation successes are attributed to concentrated conservation efforts. However, with the growing realization of man's profound impact on the planet, conservation actions such as improved marine reserve networks, more stringent fishing regulations, and continued monitoring of the population status at the species and community levels are imperative for the prevention of species loss in these groups of important and iconic coral reef fishes.</t>
  </si>
  <si>
    <t>10.1371/journal.pone.0039825</t>
  </si>
  <si>
    <t>LCC-195</t>
  </si>
  <si>
    <t>Americas/Africa/Asia-Pacific</t>
  </si>
  <si>
    <t>Schleuning, Matthias; Farwig, Nina; Peters, Marcell K.; Bergsdorf, Thomas; Bleher, Baerbel; Brandl, Roland; Dalitz, Helmut; Fischer, Georg; Freund, Wolfram; Gikungu, Mary W.; Hagen, Melanie; Garcia, Francisco Hita; Kagezi, Godfrey H.; Kaib, Manfred; Kraemer, Manfred; Lung, Tobias; Naumann, Clas M.; Schaab, Gertrud; Templin, Mathias; Uster, Dana; Waegele, J. Wolfgang; Boehning-Gaese, Katrin</t>
  </si>
  <si>
    <t>Forest Fragmentation and Selective Logging Have Inconsistent Effects on Multiple Animal-Mediated Ecosystem Processes in a Tropical Forest</t>
  </si>
  <si>
    <t>Forest fragmentation and selective logging are two main drivers of global environmental change and modify biodiversity and environmental conditions in many tropical forests. The consequences of these changes for the functioning of tropical forest ecosystems have rarely been explored in a comprehensive approach. In a Kenyan rainforest, we studied six animal-mediated ecosystem processes and recorded species richness and community composition of all animal taxa involved in these processes. We used linear models and a formal meta-analysis to test whether forest fragmentation and selective logging affected ecosystem processes and biodiversity and used structural equation models to disentangle direct from biodiversity-related indirect effects of human disturbance on multiple ecosystem processes. Fragmentation increased decomposition and reduced antbird predation, while selective logging consistently increased pollination, seed dispersal and army-ant raiding. Fragmentation modified species richness or community composition of five taxa, whereas selective logging did not affect any component of biodiversity. Changes in the abundance of functionally important species were related to lower predation by antbirds and higher decomposition rates in small forest fragments. The positive effects of selective logging on bee pollination, bird seed dispersal and army-ant raiding were direct, i.e. not related to changes in biodiversity, and were probably due to behavioural changes of these highly mobile animal taxa. We conclude that animal-mediated ecosystem processes respond in distinct ways to different types of human disturbance in Kakamega Forest. Our findings suggest that forest fragmentation affects ecosystem processes indirectly by changes in biodiversity, whereas selective logging influences processes directly by modifying local environmental conditions and resource distributions. The positive to neutral effects of selective logging on ecosystem processes show that the functionality of tropical forests can be maintained in moderately disturbed forest fragments. Conservation concepts for tropical forests should thus include not only remaining pristine forests but also functionally viable forest remnants.</t>
  </si>
  <si>
    <t>10.1371/journal.pone.0027785</t>
  </si>
  <si>
    <t>BSR-140</t>
  </si>
  <si>
    <t>BSR</t>
  </si>
  <si>
    <t>Polidoro, Beth A.; Carpenter, Kent E.; Collins, Lorna; Duke, Norman C.; Ellison, Aaron M.; Ellison, Joanna C.; Farnsworth, Elizabeth J.; Fernando, Edwino S.; Kathiresan, Kandasamy; Koedam, Nico E.; Livingstone, Suzanne R.; Miyagi, Toyohiko; Moore, Gregg E.; Vien Ngoc Nam; Ong, Jin Eong; Primavera, Jurgenne H.; Salmo, Severino G., III; Sanciangco, Jonnell C.; Sukardjo, Sukristijono; Wang, Yamin; Yong, Jean Wan Hong</t>
  </si>
  <si>
    <t>The Loss of Species: Mangrove Extinction Risk and Geographic Areas of Global Concern</t>
  </si>
  <si>
    <t>Mangrove species are uniquely adapted to tropical and subtropical coasts, and although relatively low in number of species, mangrove forests provide at least US $1.6 billion each year in ecosystem services and support coastal livelihoods worldwide. Globally, mangrove areas are declining rapidly as they are cleared for coastal development and aquaculture and logged for timber and fuel production. Little is known about the effects of mangrove area loss on individual mangrove species and local or regional populations. To address this gap, species-specific information on global distribution, population status, life history traits, and major threats were compiled for each of the 70 known species of mangroves. Each species' probability of extinction was assessed under the Categories and Criteria of the IUCN Red List of Threatened Species. Eleven of the 70 mangrove species (16%) are at elevated threat of extinction. Particular areas of geographical concern include the Atlantic and Pacific coasts of Central America, where as many as 40% of mangroves species present are threatened with extinction. Across the globe, mangrove species found primarily in the high intertidal and upstream estuarine zones, which often have specific freshwater requirements and patchy distributions, are the most threatened because they are often the first cleared for development of aquaculture and agriculture. The loss of mangrove species will have devastating economic and environmental consequences for coastal communities, especially in those areas with low mangrove diversity and high mangrove area or species loss. Several species at high risk of extinction may disappear well before the next decade if existing protective measures are not enforced.</t>
  </si>
  <si>
    <t>10.1371/journal.pone.0010095</t>
  </si>
  <si>
    <t>RLI-50</t>
  </si>
  <si>
    <t>Americas/Asia-Pacific</t>
  </si>
  <si>
    <t>This study includes all mangrove species worldwide.</t>
  </si>
  <si>
    <t>Graham, Nicholas A. J.; McClanahan, Tim R.; MacNeil, M. Aaron; Wilson, Shaun K.; Polunin, Nicholas V. C.; Jennings, Simon; Chabanet, Pascale; Clark, Susan; Spalding, Mark D.; Letourneur, Yves; Bigot, Lionel; Galzin, Rene; Ohman, Marcus C.; Garpe, Kajsa C.; Edwards, Alasdair J.; Sheppard, Charles R. C.</t>
  </si>
  <si>
    <t>Climate Warming, Marine Protected Areas and the Ocean-Scale Integrity of Coral Reef Ecosystems</t>
  </si>
  <si>
    <t>Coral reefs have emerged as one of the ecosystems most vulnerable to climate variation and change. While the contribution of a warming climate to the loss of live coral cover has been well documented across large spatial and temporal scales, the associated effects on fish have not. Here, we respond to recent and repeated calls to assess the importance of local management in conserving coral reefs in the context of global climate change. Such information is important, as coral reef fish assemblages are the most species dense vertebrate communities on earth, contributing critical ecosystem functions and providing crucial ecosystem services to human societies in tropical countries. Our assessment of the impacts of the 1998 mass bleaching event on coral cover, reef structural complexity, and reef associated fishes spans 7 countries, 66 sites and 26 degrees of latitude in the Indian Ocean. Using Bayesian meta-analysis we show that changes in the size structure, diversity and trophic composition of the reef fish community have followed coral declines. Although the ocean scale integrity of these coral reef ecosystems has been lost, it is positive to see the effects are spatially variable at multiple scales, with impacts and vulnerability affected by geography but not management regime. Existing no-take marine protected areas still support high biomass of fish, however they had no positive affect on the ecosystem response to large-scale disturbance. This suggests a need for future conservation and management efforts to identify and protect regional refugia, which should be integrated into existing management frameworks and combined with policies to improve system-wide resilience to climate variation and change.</t>
  </si>
  <si>
    <t>10.1371/journal.pone.0003039</t>
  </si>
  <si>
    <t>LSR-95</t>
  </si>
  <si>
    <t>LSR</t>
  </si>
  <si>
    <t>Africa/Asia-Pacific</t>
  </si>
  <si>
    <t>Lorenzo, Consuelo; Rioja-Paradela, Tamara M.; Carrillo-Reyes, Arturo</t>
  </si>
  <si>
    <t>Therya</t>
  </si>
  <si>
    <t>State of knowledge and conservation of endangered and critically endangered lagomorphs worldwide</t>
  </si>
  <si>
    <t>&lt;sec&gt;&lt;title&gt;INTRODUCTION:&lt;/title&gt;&lt;p&gt; Lagomorphs (rabbits, hares, and pikas) are widely distributed in every continent of the world, except Antarctica. They include 91 species: 31 rabbits of the genera &lt;italic&gt;Brachylagus, Bunolagus, Caprolagus, Nesolagus, Pentalagus, Poelagus, Prolagus, Pronolagus, Romerolagus, and Sylvilagus&lt;/italic&gt;; 32 hares of the genus &lt;italic&gt;Lepus&lt;/italic&gt; and 28 pikas of the genus &lt;italic&gt;Ochotona&lt;/italic&gt;. According to the International Union for Conservation of Nature (IUCN 2014), the list of threatened species of lagomorphs includes one extinct, three critically endangered, ten endangered, five near threatened, five vulnerable, 61 of least concern, and six with deficient data. Although a rich diversity of lagomorphs and endemic species exists, some of the wild populations have been declining at an accelerated rate, product of human activities and climate change. In order to evaluate specific conservation actions for species at risk in the near future, the aim of this study is to determine the state of knowledge of endangered and critically endangered species and conservation proposals based on recent studies. This work should serve as a starting point for proposing management and habitat conservation plans for these species and filling the information gaps to address them as soon as possible.&lt;/p&gt;&lt;/sec&gt;&lt;sec&gt;&lt;title&gt;METHODS:&lt;/title&gt;&lt;p&gt; We performed an analysis of the recent trends in the state of knowledge of worldwide endangered and critically endangered lagomorphs, based on the compilation of the recent bibliographic citations in the IUCN list of endangered species (2014), the Lagomorphs Specialist Group of the IUCN web page, and on published studies focusing on these species. Each study was divided into various topics to know those that need to be addressed. We show detailed information for species that are at risk of extinction in the near future (critically endangered and endangered categories), describing the threats to their populations and existing conservation proposals.&lt;/p&gt;&lt;/sec&gt;&lt;sec&gt;&lt;title&gt;RESULTS:&lt;/title&gt;&lt;p&gt; A total of 13 endangered and critically endangered species of lagomorphs have been the subject of study with a total of 78 contributions, of which the most frequently represented (25) refer to phylogeny, systematics, taxonomy, and evolution, followed by conservation (18), and ecology (14); the least represented are studies of reproduction and morphology with only one each. The critically endangered and endangered species have restricted distributions and in general, their threat factors are introduction of exotic species; habitat loss due to development of human settlements and productive activities; induced fires for the growth of new grass shoots for livestock; poaching; and the presence of predators and feral dogs.&lt;/p&gt;&lt;/sec&gt;&lt;sec&gt;&lt;title&gt;DISCUSSION AND CONCLUSIONS:&lt;/title&gt;&lt;p&gt; Worldwide human activities have affected the survival of species of lagomorphs, especially those with restricted distributions. Less than 55 % (7 species) of the total number of species of endangered and critically endangered lagomorphs has been subject of specific study in recent works (2011 to date); moreover, in some cases only one publication was found. Although recent efforts have generated knowledge about the state of conservation and threat factors of some species of endemic lagomorphs, more detailed and long-term studies are needed to propose management and conservation of their habitats in collaboration with society and different academic and institutional sectors.&lt;/p&gt;&lt;/sec&gt;</t>
  </si>
  <si>
    <t>10.12933/therya-15-225</t>
  </si>
  <si>
    <t>IUC-16</t>
  </si>
  <si>
    <t>Only Endangered and Critically Endangered species are considered in this study</t>
  </si>
  <si>
    <t>Wang, Xiaodan; Kuang, Fenliang; Tan, Kun; Ma, Zhijun</t>
  </si>
  <si>
    <t>AVIAN RESEARCH</t>
  </si>
  <si>
    <t>Population trends, threats, and conservation recommendations for waterbirds in China</t>
  </si>
  <si>
    <t>Background: China is one of the countries with abundant waterbird diversity. Over the past decades, China's waterbirds have suffered increasing threats from direct and indirect human activities. It is important to clarify the population trends of and threats to waterbirds as well as to put forward conservation recommendations.Methods: We collected data of population trends of a total of 260 waterbird species in China from Wetlands International database. We calculated the number of species with increasing, declining, stable, and unknown trends. We collected threatened levels of waterbirds from the Red List of China's Vertebrates (2016), which was compiled according to the IUCN criteria of threatened species. Based on literature review, we refined the major threats to the threatened waterbird species in China.Results: Of the total 260 waterbird species in China, 84 species (32.3%) exhibited declining, 35 species (13.5%) kept stable, and 16 species (6.2%) showed increasing trends. Population trends were unknown for 125 species (48.1%). There was no significant difference in population trends between the migratory (32.4% decline) and resident (31.8% decline) species or among waterbirds distributed exclusively along coasts (28.6% decline), inland (36.6% decline), and both coasts and inland (32.5% decline). A total of 38 species (15.1% of the total) were listed as threatened species and 27 species (10.8% of the total) Near Threatened species. Habitat loss was the major threat to waterbirds, with 32 of the total 38 (84.2%) threatened species being affected. In addition, 73.7% (28 species), 71.1% (27 species), and 57.9% (22 species) of the threatened species were affected by human disturbance, environmental pollution, and illegal hunting, respectively.Conclusions: We propose recommendations for waterbird conservation, including (1) strengthening conservation of nature wetlands and restoration of degraded wetlands, (2) enhancing public awareness on waterbird conservation, (3) improving the enforcement of Wildlife Protection Law and cracking down on illegal hunting, (4) carrying out long-term waterbird surveys to clarify population dynamics, (5) restoring populations of highly-threatened species through artificial intervention, and (6) promoting international and regional exchanges and cooperation to share information in waterbirds and their conservation.</t>
  </si>
  <si>
    <t>10.1186/s40657-018-0106-9</t>
  </si>
  <si>
    <t>IUC-8</t>
  </si>
  <si>
    <t>Helms, Jackson A.; Woerner, Christopher R.; Fawzi, Nurul, I; MacDonald, Andrew; Juliansyah; Pohnan, Erica; Webb, Kinari</t>
  </si>
  <si>
    <t>TROPICAL CONSERVATION SCIENCE</t>
  </si>
  <si>
    <t>Rapid Response of Bird Communities to Small-Scale Reforestation in Indonesian Borneo</t>
  </si>
  <si>
    <t>The island of Borneo suffers from one of the highest deforestation rates in the world, primarily due to agriculture, logging, and other human activities. This habitat loss may be partly mitigated by reforestation programs in degraded landscapes, especially anthropogenic grasslands that have little conservation or economic value. By monitoring native bird communities, we evaluated the success of two small (&lt;20 ha) community reforestation projects in Gunung Palung National Park in Indonesian Borneo. Birds responded rapidly following reforestation, with species richness doubling over 7 years at one site, and increasing by 29% in just 3 years at the other Final tallies (63-70 species per site) were comparable to those obtained in older secondary forests elsewhere in Borneo. Anthropogenic fire is the primary threat to reforestation success, but intensive fire prevention allows bird communities to recover from temporary setbacks. Absence of fire was thus the most important factor in recovery, and we detected no effect of replanted area on bird species richness. Our results suggest that by engaging local communities and ensuring long-term maintenance, even small reforestation sites in Borneo can provide immediate benefits for native biodiversity.</t>
  </si>
  <si>
    <t>10.1177/1940082918769460</t>
  </si>
  <si>
    <t>BSR-66</t>
  </si>
  <si>
    <t>Macko, Stephen A.</t>
  </si>
  <si>
    <t>FREEDOM OF NAVIGATION AND GLOBALIZATION</t>
  </si>
  <si>
    <t>Global Ocean Challenges</t>
  </si>
  <si>
    <t>The ocean influences nearly all activities on the planet, serving as a source of nutrition, energy and pathway for transport of resources while buffering the scale of variations in climate. It is also the portion of the planet that is perhaps in greatest need of data to address issues of the dramatic changes that are happening globally. Some of the changes are clearly the result of human inaction and lack of foresight Fisheries, on which one sixth of human protein nutrition is derived, are in a state of near collapse for some species in the near term, owing to oveyishing and mismanagement of a sustainable infrastructure. Lack of cautious application of new technologies and oversight has led to increasing levels of pollutants, sometimes catastrophically, as was evidenced in the recent Deepwater Horizon oil spill in the Gulf of Mexico. Global warming is influencing many aspects of the ocean system and will have collateral impacts beyond simply raising the temperature of the planet: Navigation and influence on transport are chief in our envisioning eventual impacts, and need to he anticipated, based on the hest of models and data. Sea level rise and the associated coastal erosion, modifying waterways and ports, call fir adaptive planning. Climate change could easily he seen to affect ocean circulation, wind dynamics, storm production and associated storm surges. Loss of sea ice in the Arctic will open new avenues which are economically and energetically more efficient for transport. With warming, and heightened destruction of ice sheets will likely come increased hazards from sea ice in shipping lanes. The rate of loss of the ice sheets such as that of Greenland is only beginning to he understood, and appears to be increasing. Sea ice coverage in the Arctic was the lowest on record in the summer of 2012, and the area, of surface melt on the Greenland Ice Sheet was recorded at the highest, at 97%, since satellite images have documented its status. Diminishing ice cover will also influence an increase of fishing efforts and exploration for fossil fuels in the high Arctic. Without precise data on the sizes offish stocks, the effects on commercial fisheries are complex, and beg for fundamental knowledge. Additionally with the loss of sea ice, diminishing ice-based productivity may lead to a loss of diversity and modification of sustainable trophic structure in Arctic food webs. As a consequence of increased fossil fuel exploration, extraction and transport, the risk of contamination is heightened and at present only minimal preparation for impact and cleanup exists for this eventuality in ragile Arctic environments. The addition of massive amounts of carbon dioxide to the atmosphere and oceans, has changed the ocean chemistry increasing the acidity or lowering the p11. Sound propagation in a more acid ocean may affect navigation as well as migration patterns of marine mammals and fish. Acidification influence on calcareous organisms at primal)) production levels could lead to catastrophic effects on the higher organisms of the food chains. The collateral impacts of the changing ocean in a period of global warming urgently require further study in order to enable adaptation and reduce vulnerability. Only through an appreciation for the past and a comprehensive understanding of the present, can we anticipate the future. The potential for that vision of the ocean lies with the cooperation among all nations.</t>
  </si>
  <si>
    <t>10.1153/9789004284081_018</t>
  </si>
  <si>
    <t>FSS-111</t>
  </si>
  <si>
    <t>FSS</t>
  </si>
  <si>
    <t>unclear</t>
  </si>
  <si>
    <t>Dobiesz, NE; McLeish, DA; Eshenroder, RL; Bence, JR; Mohr, LC; Ebener, MP; Nalepa, TF; Woldt, AP; Johnson, JE; Argyle, RL; Makarewicz, JC</t>
  </si>
  <si>
    <t>CANADIAN JOURNAL OF FISHERIES AND AQUATIC SCIENCES</t>
  </si>
  <si>
    <t>Ecology of the Lake Huron fish community, 1970-1999</t>
  </si>
  <si>
    <t>We review the status of the Lake Huron fish community between 1970 and 1999 and explore the effects of key stressors. Offshore waters changed little in terms of nutrient enrichment, while phosphorus levels declined in inner Saginaw Bay. Introduced mussels (Dreissena spp.) proliferated and may have caused a decline in Diporeia spp. This introduction could have caused a decline in lake whitefish (Coregonus clupeaformis) growth and condition, with serious repercussions for commercial fisheries. Bythotrephes, an exotic predatory cladoceran, and other new exotics may be influencing the fish community. Sea lampreys (Petromyzon marinus) remained prevalent, but intensive control efforts on the St. Mary's River may reduce their predation on salmonines. Overfishing was less of a problem than in the past, although fishing continued to reduce the amount of lake trout (Salvelinus namaycush) spawning biomass resulting from hatchery-reared fish planted to rehabilitate this species. Massive stocking programs have increased the abundance of top predators, but lake trout were rehabilitated in only one area. Successful lake trout rehabilitation may require lower densities of introduced pelagic prey fish than were seen in the 1990s, along with continued stocking of hatchery-reared lake trout and control of sea lamprey. Such reductions in prey fish could limit Pacific salmon (Oncorhynchus spp.) fisheries.</t>
  </si>
  <si>
    <t>10.1139/F05-061</t>
  </si>
  <si>
    <t>PRF-9</t>
  </si>
  <si>
    <t>Freshwater</t>
  </si>
  <si>
    <t>Vilmi, Annika; Alahuhta, Janne; Hjort, Jan; Karna, Olli-Matti; Leinonen, Kirsti; Rocha, Mariana Perez; Tolonen, Katri E.; Tolonen, Kimmo T.; Heino, Jani</t>
  </si>
  <si>
    <t>ENVIRONMENTAL REVIEWS</t>
  </si>
  <si>
    <t>Geography of global change and species richness in the North</t>
  </si>
  <si>
    <t>Different components of global change (e.g., climate change, land use, pollution, and introduced species) continue to alter biodiversity worldwide. As northern regions are still relatively undisturbed and will likely face clear increases in temperature in the near-future, we examined the signs of biodiversity change due to anthropogenic stressors using a systematic review of previous studies. Our aim was to map where, in which way, and owing to which stressor biodiversity in northern regions has changed. We made a systematic literature search covering the years between 2000 and 2015 to obtain a comprehensive selection of recent research. As species richness was clearly the most commonly used indicator of biodiversity, we only concentrated on this aspect of biodiversity. We compared different biological groups, regions, and ecosystems. In the majority of the cases, anthropogenic stressors had decreased species richness, or had no effects on it, while increasing or multiple effects of stressors on species richness were less common. Freshwater ecosystems were most sensitive to anthropogenic stressors, as species richness often decreased owing to these stressors. The effects of land use on richness were covered relatively widely in the selected set of articles, but the effects of other components of global change on species richness require further attention. Despite the fact that pollution was not as commonly studied stressor as land use, it was the most harmful stressor type affecting species richness. Geographically, most studies were located in boreal Canada or Fennoscandia, while no studies were executed in vast circumpolar areas where the temperature rise has been greatest and the projected climate change is likely to be fast. Overall, we could find an alarmingly small set of studies that described the effects of actual anthropogenic stressors in real-life circumstances in northern high latitudes.</t>
  </si>
  <si>
    <t>10.1139/er-2016-0085</t>
  </si>
  <si>
    <t>BSR-1</t>
  </si>
  <si>
    <t>direct (qualitative)</t>
  </si>
  <si>
    <t>Americas/Europe and Central Asia</t>
  </si>
  <si>
    <t>Scarpitta, Antoine Becker; Bardat, Jacques; Lalanne, Arnault; Vellend, Mark</t>
  </si>
  <si>
    <t>JOURNAL OF VEGETATION SCIENCE</t>
  </si>
  <si>
    <t>Long-term community change: bryophytes are more responsive than vascular plants to nitrogen deposition and warming</t>
  </si>
  <si>
    <t>Aims: Many studies of vegetation change over multiple decades have focused on vascular plants, but very few on bryophytes, despite the importance of bryophytes for overall plant biodiversity and ecosystem functioning. Using a repeated survey of vascular plants and bryophytes in a forest ecosystem, we tested predictions of the hypotheses that: (1) vegetation change has been driven by N deposition and climate warming, and (2) bryophytes are more responsive to environmental change than vascular plants.Location: Lowland temperate forest, northwest France.Methods: In forest plots initially surveyed in 1976, we re-surveyed both vascular plants and bryophytes in 2009 and 2012, respectively. We analysed changes in a-diversity, beta-diversity, and species composition, and we used community-weighted mean values of species affinities for temperature, light, pH, soil moisture and N to assess the temporal responses potentially caused by warming, N deposition, or possibly a changing light regime.Results: We observed significantly increased species richness of bryophytes and decreased richness of vascular plants. Community affinities to N, pH and temperature increased significantly for bryophytes, but not for vascular plants, although the change over time in N affinities for vascular plants was qualitatively in the predicted direction. Bryophytes showed a higher magnitude of temporal community change than vascular plants, both in terms of overall species composition and environmental affinities, indicating a higher responsiveness of bryophytes to environmental change.Conclusion: Overall, the result of more marked temporal community change for bryophytes suggests that the many studies of changes in vascular plant communities over time might underestimate the sensitivity of the broader plant community (including cryptogams) to environmental change.</t>
  </si>
  <si>
    <t>10.1111/jvs.12579</t>
  </si>
  <si>
    <t>LST-183</t>
  </si>
  <si>
    <t>LST</t>
  </si>
  <si>
    <t>Bhatta, Kuber P.; Vetaas, Ole R.</t>
  </si>
  <si>
    <t>Does tree canopy closure moderate the effect of climate warming on plant species composition of temperate Himalayan oak forest?</t>
  </si>
  <si>
    <t>Question: We ask H there are significant changes in plant species composition after 20 yr of documented temperature increase (similar to 1 degrees C), and if the temporal changes are different in closed temperate oak forest compared to semi-open canopy. Answers to these questions may indicate if climate warming and/or canopy closure, controlled by land-use regime, is the main driver of any documented compositional changes in the forest between 1993 and 2013.Location: Phulchoki Mountain, centralHimalaya (Nepal).Methods: We resampled 64 plots of 100 m(2) after 20 yr and recorded all terrestrial vascular plants and percentage canopy cover in each sample plot. We analysed the compositional changes in terms of species abundance, frequency and spatial translocation in relation to atmospheric temperature and canopy cover using univariate and multivariate statistics,Results: We find clear changes in the species composition, with abundance of almost half of the studied species having increased and one-quarter of the species having decreased over the past two decades, The changes vary artiong life forms: trees increased, whereas decreasing species were mainly herbaceous or shrubs, Similarly, shade-tolerant species increased, whereas those adapted to open habitat decreased. The compositional changes are mainly explained through the increased regional temperature, with a significant buffering effect of tree canopy cover. A significant increase in low-elevation (warm-adapted) species is detected, but this thermophilization is only found in the semi-open forest.Conclusions: Fine sc le temporal changes in the temperate oak forests are mainly driven by macroclimate warming, although change land-use regime also has a profound direct effect by governing canopy closure that, in turn, moderates the effect of climate warming. Tree canopy cover governs the relative abundances of different species based on their adaptive characteristics, such as shade tolerance and life-form traits. The magnitude of the temporal vegetation change would therefore be dependent on both the degree of regional climate warming and forest canopy closure.</t>
  </si>
  <si>
    <t>10.1111/jvs.12423</t>
  </si>
  <si>
    <t>LSA-199</t>
  </si>
  <si>
    <t>Rosselli, Loreta; Gary Stiles, F.; Camargo, Pedro A.</t>
  </si>
  <si>
    <t>JOURNAL OF FIELD ORNITHOLOGY</t>
  </si>
  <si>
    <t>Changes in the avifauna in a high Andean cloud forest in Colombia over a 24-year period</t>
  </si>
  <si>
    <t>The upper altitude ecosystems of the Andes are among the most threatened by climate change. Computer models suggest that a large percentage of species in these ecosystems will be at risk of extinction and that avian communities will suffer disruption and impoverishment. Studies in other Andean countries lend some support to these predictions, but there are no quantitative data from Colombia appropriate to test these models. In 1991-1992, we conducted a bird survey in a high Andean cloud forest to gather information about the species present and their abundance. We attempted to replicate this earlier study 24yr later to detect any changes in the avifauna and determine possible causes for those changes. From June 2015 to May 2016, we made bimonthly trips to the study site and identified all birds detected either visually or by voice along a number of trails. We supplemented our observational data by also capturing birds in mist-nets. Community species richness and composition as well as the overall abundance of birds changed little from 1991-1992 to 2015-2016, but nearly 30% of bird species changed in abundance. Changes in the presence or abundance of nine or 10 species reflected upward shifts in elevational limits potentially due to climate change. However, most changes in abundance appeared to reflect changes in the vegetation of the study area due to successional changes in forest and subparamo habitats and a large number of relatively recent treefalls of old canopy trees with heavy epiphyte loads and subsequent changes in the understory vegetation. Our results suggest that the effects of climate change on the avifauna in our study area at a high-altitude site in Colombia are apparently occurring more slowly than predicted by recent computer models, although we conclude that the possible effects of climate change should definitely be considered in future studies. However, single-site studies such as ours have limitations in documenting elevation shifts; the most conclusive and quantitative evidence for elevational shifts comes from long-term studies conducted over a wide range of elevations. As such, we recommend establishment of such a monitoring program in Colombia because data obtained from such a program might be important in designing measures to mitigate the effects of climate change and conserve biodiversity.</t>
  </si>
  <si>
    <t>10.1111/jofo.12204</t>
  </si>
  <si>
    <t>BSR-87</t>
  </si>
  <si>
    <t>Liu, Xuan; Petitpierre, Blaise; Broennimann, Olivier; Li, Xianping; Guisan, Antoine; Li, Yiming</t>
  </si>
  <si>
    <t>JOURNAL OF BIOGEOGRAPHY</t>
  </si>
  <si>
    <t>Realized climatic niches are conserved along maximum temperatures among herpetofaunal invaders</t>
  </si>
  <si>
    <t>AimThe conservatism of the realized climatic niche is a pivotal assumption for predicting invasion risk under present and future climates. To date, however, no studies have identified the particular dimensions of realized climatic niches that are spatially and temporally conserved for a whole taxonomic group on a global scale. Understanding realized niche dynamics along each individual climatic variable separately is a key consideration for improving forecasts of invasive species distributions and anticipating future range expansions.LocationGlobal.MethodsUsing 181 successful invasion events for 128 alien herpetofaunal species across the globe, we applied a robust niche dynamics framework and analysed the conservatism of the realized climatic niche and its influencing factors along 19 temperature and precipitation variables.ResultsWe found that the magnitude of the niche expansion along the maximum temperature of the warmest month (or warmest quarter) was, on average, the lowest compared with the niche expansion magnitude along the minimum, average, range and seasonal temperature characteristics and all precipitation variables. Furthermore, the niche shift along the maximum temperature was only negatively correlated with native range size and was unrelated to residence time, species traits, introduction propagule pressure, topographic heterogeneity or equatorwards and polewards range expansion.Main conclusionsWe provide the first evidence that the realized climatic niche of alien herpetofaunal species is generally most conserved along maximum temperatures. This finding highlights the importance of preferentially choosing conserved climatic niche parameters to develop robust predictions of biological invasions or shifts in species ranges in response to climate change.</t>
  </si>
  <si>
    <t>10.1111/jbi.12808</t>
  </si>
  <si>
    <t>LSR-124</t>
  </si>
  <si>
    <t>Vayreda, Jordi; Gracia, Marc; Martinez-Vilalta, Jordi; Retana, Javier</t>
  </si>
  <si>
    <t>Patterns and drivers of regeneration of tree species in forests of peninsular Spain</t>
  </si>
  <si>
    <t>Aim Our study aimed to identify and explore the main factors that influence tree recruitment of multiple species at a regional scale across peninsular Spain, an understanding of which is essential for predicting future forest species composition in the face of ongoing environmental change. The study focused on the dynamics of the key transition phase from saplings to adult trees. Location The forests of peninsular Spain. Methods We used the extensive network of plots sampled in two consecutive Spanish national forest inventories (&gt;30,000 plots) to identify the factors that determine regeneration patterns of the 10 most abundant forest species of Spain at relatively large temporal (c. 10years) and spatial scales (across Spain): five coniferous species of Pinus (pines) and five broadleaved species of the genera Fagus and Quercus. We fitted separate generalized linear models for the pine species and the broadleaved species to assess the response of sapling abundance and ingrowth rate to the spatial variability of climate (temperature, water availability and recent warming), forest structure (tree density, understorey and overstorey canopy cover, and basal area change) and disturbances (previous forest logging, wildfires and grazing). Results Mean sapling abundance was four times higher for broadleaved species than for pines, while mean annual ingrowth was twice as high. Sapling abundance and ingrowth rate were mainly determined by stand structure, both in pines and broadleaved trees. The direct effects of disturbances and climate were comparatively smaller, and there was no detectable effect of recent warming. Main conclusions The higher values of ingrowth rate of broadleaved species can be explained by their ability to maintain a higher sapling bank due to their greater shade tolerance. This differential response of pines and broadleaved species to canopy closure suggests a probable increase in broadleaved species at the expense of pines. This transition could occur earlier in stands with faster canopy closure dynamics. Spatially explicit, mixed-species demographic models incorporating both the ingrowth and the tree mortality components are needed for predicting the composition of future forests.</t>
  </si>
  <si>
    <t>10.1111/jbi.12105</t>
  </si>
  <si>
    <t>LSA-154</t>
  </si>
  <si>
    <t>Fox, Richard</t>
  </si>
  <si>
    <t>INSECT CONSERVATION AND DIVERSITY</t>
  </si>
  <si>
    <t>The decline of moths in Great Britain: a review of possible causes</t>
  </si>
  <si>
    <t>. 1. Population declines among insects are inadequately quantified, yet of vital importance to national and global biodiversity assessments and have significant implications for ecosystem services. 2. Substantial declines in abundance and distribution have been reported recently within a species-rich insect taxon, macro-moths, in Great Britain and other European countries. These declines are of concern because moths are important primary consumers and prey items for a wide range of other taxa, as well as contributing to ecosystem services such as pollination. 3. I summarise these declines and review potential drivers of change. Direct evidence for causes of moth declines is extremely limited, but correlative studies and extrapolation from closely related taxa suggest that habitat degradation (particularly because of agricultural intensification and changing silviculture) and climate change are likely to be major drivers. There is currently little evidence of negative population-level effects on moths caused by chemical or light pollution, non-native species or direct exploitation. 4. I make suggestions for future research with a focus on quantifying impacts of land management practices, light pollution and climate change on moth population dynamics and developing evidence-based measures that can be incorporated into agri-environment schemes and other policy initiatives to help reverse the widespread decline of moths in Great Britain and beyond.</t>
  </si>
  <si>
    <t>10.1111/j.1752-4598.2012.00186.x</t>
  </si>
  <si>
    <t>BSR-24</t>
  </si>
  <si>
    <t>Dalton, C. M.; Mokiao-Lee, A.; Sakihara, T. S.; Weber, M. G.; Roco, C. A.; Han, Z.; Dudley, B.; MacKenzie, R. A.; Hairston, N. G., Jr.</t>
  </si>
  <si>
    <t>OIKOS</t>
  </si>
  <si>
    <t>Density- and trait-mediated top-down effects modify bottom-up control of a highly endemic tropical aquatic food web</t>
  </si>
  <si>
    <t>Benthic invertebrates mediate bottomup and topdown influences in aquatic food webs, and changes in the abundance or traits of invertebrates can alter the strength of topdown effects. Studies assessing the role of invertebrate abundance and behavior as controls on food web structure are rare at the whole ecosystem scale. Here we use a comparative approach to investigate bottomup and topdown influences on whole anchialine pond ecosystems in coastal Hawaii. In these ponds, a single species of endemic atyid shrimp (Halocaridina rubra) is believed to structure epilithon communities. Many Hawaiian anchialine ponds and their endemic fauna, however, have been greatly altered by bottomup (increased nutrient enrichment) and topdown (introduced fish predators) disturbances from human development. We present the results of a survey of dissolved nutrient concentrations, epilithon biomass and composition, and H. rubra abundance and behavior in anchialine ponds with and without invasive predatory fish along a nutrient concentration gradient on the North Kona coast of Hawaii. We use linear models to assess 1) the effects of nutrient loading and fish introductions on pond food web structure and 2) the role of shrimp density and behavior in effecting that change. We find evidence for bottomup food web control, in that nutrients were associated with increased epilithon biomass, autotrophy and nutrient content as well as increased abundance and size of H. rubra. We also find evidence for topdown control, as ponds with invasive predatory fish had higher epilithon biomass, productivity, and nutrient content. Topdown effects were transmitted by both altered H. rubra abundance, which changed the biomass of epilithon, and H. rubra behavior, which changed the composition of the epilithon. Our study extends experimental findings on bottomup and topdown control to the whole ecosystem scale and finds evidence for qualitatively different effects of trait- and density-mediated change in topdown influences.</t>
  </si>
  <si>
    <t>10.1111/j.1600-0706.2012.20696.x</t>
  </si>
  <si>
    <t>PFB-16</t>
  </si>
  <si>
    <t>PFB</t>
  </si>
  <si>
    <t>Ohlberger, Jan; Otero, Jaime; Edeline, Eric; Winfield, Ian J.; Stenseth, Nils Chr; Vollestad, L. Asbjorn</t>
  </si>
  <si>
    <t>Biotic and abiotic effects on cohort size distributions in fish</t>
  </si>
  <si>
    <t>Intraspecific variation in body size is common in animals and plants. Body size affects trophic interactions like foraging ability and vulnerability to predation, which in turn affect individual fitness as well as population stability and extinction risk. Experimental and theoretical work has shown that the size distribution of individuals within cohorts is strongly influenced by intraspecific competition for resources, often leading to skewed frequency distributions. However, little is known about the effects of environmental factors such as climate and eutrophication on the cohort size-structure of natural populations. We use a long-term time series of scientific monitoring of a freshwater fish (European perch Perca fluviatilis) to investigate the effects of density dependence, predation, nutrient availability, climate and the timing of spawning on the cohort size distributions. We find that the mean length of the fish is best predicted by the extrinsic factors phosphorus concentration and summer temperature, and the densities of the different age-classes, whereas the skewness of the length distribution is best predicted by phosphorus concentration, summer temperature, abundance of small fish, and the timing of spawning. Higher nutrient levels, temperatures and densities of small fish increase food availability and thus reduce competition, which is reflected in increased mean length and decreased skewness. The timing of spawning affects skewness presumably through changes in the initial size variation of the cohort and the length of the first growth season. Our results indicate that higher temperatures increase the mean length and decrease skewness due to the concurrent eutrophication of the lake. The study thereby highlights the potential impact of human-induced environmental change on the size structure of fish populations. More studies are needed to understand better the complex mechanisms through which these factors alter the intensity of intraspecific competition in fish communities.</t>
  </si>
  <si>
    <t>10.1111/j.1600-0706.2012.19858.x</t>
  </si>
  <si>
    <t>MLF-15</t>
  </si>
  <si>
    <t>Laurance, William F.; Useche, Diana C.</t>
  </si>
  <si>
    <t>CONSERVATION BIOLOGY</t>
  </si>
  <si>
    <t>Environmental Synergisms and Extinctions of Tropical Species</t>
  </si>
  <si>
    <t>Environmental synergisms may pose the greatest threat to tropical biodiversity. Using recently updated data sets from the International Union for Conservation of Nature (IUCN) Red List, we evaluated the incidence of perceived threats to all known mammal, bird, and amphibian species in tropical forests. Vulnerable, endangered, and extinct species were collectively far more likely to be imperiled by combinations of threats than expected by chance. Among 45 possible pairwise combinations of 10 different threats, 69%, 93%, and 71% were significantly more frequent than expected for threatened mammals, birds, and amphibians, respectively, even with a stringent Bonferroni-corrected probability value (p = 0.003). Based on this analysis, we identified five key environmental synergisms in the tropics and speculate on the existence of others. The most important involve interactions between habitat loss or alteration (from agriculture, urban sprawl, infrastructure, or logging) and other anthropogenic disturbances such as hunting, fire, exotic-species invasions, or pollution. Climatic change and emerging pathogens also can interact with other threats. We assert that environmental synergisms are more likely the norm than the exception for threatened species and ecosystems, can vary markedly in nature among geographic regions and taxa, and may be exceedingly difficult to predict in terms of their ultimate impacts. The perils posed by environmental synergisms highlight the need for a precautionary approach to tropical biodiversity conservation.</t>
  </si>
  <si>
    <t>10.1111/j.1523-1739.2009.01336.x</t>
  </si>
  <si>
    <t>IUC-3</t>
  </si>
  <si>
    <t>McGeoch, Melodie A.; Butchart, Stuart H. M.; Spear, Dian; Marais, Elrike; Kleynhans, Elizabeth J.; Symes, Andy; Chanson, Janice; Hoffmann, Michael</t>
  </si>
  <si>
    <t>DIVERSITY AND DISTRIBUTIONS</t>
  </si>
  <si>
    <t>Global indicators of biological invasion: species numbers, biodiversity impact and policy responses</t>
  </si>
  <si>
    <t>Aim Invasive alien species (IAS) pose a significant threat to biodiversity. The Convention on Biological Diversity's 2010 Biodiversity Target, and the associated indicator for IAS, has stimulated globally coordinated efforts to quantify patterns in the extent of biological invasion, its impact on biodiversity and policy responses. Here, we report on the outcome of indicators of alien invasion at a global scale.Location Global.Methods We developed four indicators in a pressure-state-response framework, i.e. number of documented IAS (pressure), trends in the impact of IAS on biodiversity (state) and trends in international agreements and national policy adoption relevant to reducing IAS threats to biodiversity (response). These measures were considered best suited to providing globally representative, standardized and sustainable indicators by 2010.Results We show that the number of documented IAS is a significant underestimate, because its value is negatively affected by country development status and positively by research effort and information availability. The Red List Index demonstrates that IAS pressure is driving declines in species diversity, with the overall impact apparently increasing. The policy response trend has nonetheless been positive for the last several decades, although only half of countries that are signatory to the Convention on Biological Diversity (CBD) have IAS-relevant national legislation. Although IAS pressure has apparently driven the policy response, this has clearly not been sufficient and/or adequately implemented to reduce biodiversity impact.Main conclusion For this indicator of threat to biodiversity, the 2010 Biodiversity Target has thus not been achieved. The results nonetheless provide clear direction for bridging the current divide between information available on IAS and that needed for policy and management for the prevention and control of IAS. It further highlights the need for measures to ensure that policy is effectively implemented, such that it translates into reduced IAS pressure and impact on biodiversity beyond 2010.</t>
  </si>
  <si>
    <t>10.1111/j.1472-4642.2009.00633.x</t>
  </si>
  <si>
    <t>RLI-43</t>
  </si>
  <si>
    <t>Anadon, J. D.; Sanchez-Zapata, J. A.; Carrete, M.; Donazar, J. A.; Hiraldo, F.</t>
  </si>
  <si>
    <t>Large-scale human effects on an arid African raptor community</t>
  </si>
  <si>
    <t>In the current scenario of biodiversity crisis there is a growing need for identifying causes of changes in biodiversity at large scales. Here we assess factors driving raptor community structure in the Sahel, a region suffering a wide range of environmental degradation and a vital area for European migrant birds. Using road surveys, we estimated the effects of population size, human settlement patterns (e.g. urban vs. nomadic) and land use on the raptor community, taking into account the major natural role played by productivity. Total raptor richness values were similar to those described for other steppe regions of the world, with one super-abundant migrant species, the black kite Milvus migrans; however, richness of resident raptors was strikingly lower than expected, with most large body-size African species (both eagles and vultures) absent. Raptor richness was strongly correlated with human activities in a scale-dependent fashion. At a 25 km resolution, raptor richness was driven by habitat and productivity, with a positive response to crops. At a smaller scale, human population was positively related with wintering species richness but negatively with richness of resident ones, perhaps as a consequence of non-agricultural activities such as direct harvesting and different forms of habitat degradation (e.g. overgrazing or firewood collection). Subsistence economies in systems with low natural environmental heterogeneity and with a human population over carrying capacity, such as the Sahel, may lead to exhausted biological systems even in the absence of intensive agricultural or urban land-use changes, as shown by the deeply impoverished sedentary raptor community. Our results suggest that, because habitat and productivity seem to play a relevant role in driving species richness, climate change may have a major effect on the raptor community of the Sahel.</t>
  </si>
  <si>
    <t>10.1111/j.1469-1795.2010.00369.x</t>
  </si>
  <si>
    <t>BSR-4</t>
  </si>
  <si>
    <t>Last, Peter R.; White, William T.; Gledhill, Daniel C.; Hobday, Alistair J.; Brown, Rebecca; Edgar, Graham J.; Pecl, Gretta</t>
  </si>
  <si>
    <t>Long-term shifts in abundance and distribution of a temperate fish fauna: a response to climate change and fishing practices</t>
  </si>
  <si>
    <t>AimSouth-eastern Australia is a climate change hotspot with well-documented recent changes in its physical marine environment. The impact on and temporal responses of the biota to change are less well understood, but appear to be due to influences of climate, as well as the non-climate related past and continuing human impacts. We attempt to resolve the agents of change by examining major temporal and distributional shifts in the fish fauna and making a tentative attribution of causal factors.LocationTemperate seas of south-eastern Australia.MethodsMixed data sources synthesized from published accounts, scientific surveys, spearfishing and angling competitions, commercial catches and underwater photographic records, from the 'late 1800s' to the 'present', were examined to determine shifts in coastal fish distributions.ResultsForty-five species, representing 27 families (about 30% of the inshore fish families occurring in the region), exhibited major distributional shifts thought to be climate related. These are distributed across the following categories: species previously rare or unlisted (12), with expanded ranges (23) and/or abundance increases (30), expanded populations in south-eastern Tasmania (16) and extra-limital vagrants (4). Another 9 species, representing 7 families, experienced longer-term changes (since the 1800s) probably due to anthropogenic factors, such as habitat alteration and fishing pressure: species now extinct locally (3), recovering (3), threatened (2) or with remnant populations (1). One species is a temporary resident periodically recruited from New Zealand. Of fishes exhibiting an obvious poleward movement, most are reef dwellers from three Australian biogeographic categories: widespread southern, western warm temperate (Flindersian) or eastern warm temperate (Peronian) species.Main conclusionsSome of the region's largest predatory reef fishes have become extinct in Tasmanian seas since the 'late 1800s', most likely as a result of poor fishing practices. In more recent times, there have been major changes in the distribution patterns of Tasmanian fishes that correspond to dramatic warming observed in the local marine environment.</t>
  </si>
  <si>
    <t>10.1111/j.1466-8238.2010.00575.x</t>
  </si>
  <si>
    <t>LSA-111</t>
  </si>
  <si>
    <t>Eyre, Teresa J.; Maron, Martine; Mathieson, Michael T.; Haseler, Murray</t>
  </si>
  <si>
    <t>AUSTRAL ECOLOGY</t>
  </si>
  <si>
    <t>Impacts of grazing, selective logging and hyper-aggressors on diurnal bird fauna in intact forest landscapes of the Brigalow Belt, Queensland</t>
  </si>
  <si>
    <t>The impact of forest management on diurnal bird assemblages and abundance was investigated in contiguous tracts of eucalypt forest in the Brigalow Belt Bioregion, south central Queensland. Sites were located across three levels of livestock grazing intensity and three levels of selective logging intensity within the most extensive habitat type, Corymbia citriodora-dominant forest. We recorded a high rate of incidence and large numbers of the hyper-aggressive noisy miner Manorina melanocephala (Passeriformes: Meliphagidae) at the majority of our survey sites, a phenomenon rarely reported in non-cleared landscapes. As shown by numerous studies in fragmented landscapes, the distribution of this species in our study had a substantial negative effect upon the distribution of small passerine species. Noisy miners exerted the strongest influence upon small passerine abundance, and masked any forest management effects. However, key habitat features important for small passerines were identified, including a relatively high density of large trees and stems in the midstorey. Selective logging appeared to exert a minimal effect upon noisy miner abundance, whereas grazing intensity had a profound, positive influence. Noisy miners were most abundant in intensively grazed forest with minimal midstorey and a low volume of coarse woody debris. Higher road density in the forest landscape also corresponded with increased numbers of noisy miners. Reduction in grazing pressure in Brigalow Belt forests has the potential to benefit small passerine assemblages across large areas through moderating noisy miner abundance. The strong relationship between noisy miners and small passerines suggests that noisy miner abundance could act as an easily measured indicator of forest condition, potentially contributing to monitoring of forest management outcomes.</t>
  </si>
  <si>
    <t>10.1111/j.1442-9993.2009.01979.x</t>
  </si>
  <si>
    <t>IFL-85</t>
  </si>
  <si>
    <t>IFL</t>
  </si>
  <si>
    <t>Haberle, Simon G.; Tibby, John; Dimitriadis, Sophia; Heijnis, Henk</t>
  </si>
  <si>
    <t>JOURNAL OF ECOLOGY</t>
  </si>
  <si>
    <t>The impact of European occupation on terrestrial and aquatic ecosystem dynamics in an Australian tropical rain forest</t>
  </si>
  <si>
    <t>1 The long-term impact of changes in land use, fire and climate on species diversity in Australia are only just beginning to be understood. We combined fine-resolution palaeoecological proxies for terrestrial and aquatic ecosystems to investigate the responses of a tropical rain forest catchment over the last 700 years.2 Sediment cores were sampled at 1-cm intervals to a depth of 100 cm from Lake Euramoo on the Atherton Tableland of north-east Queensland, dated and analysed for pollen, charcoal, diatom, chironomid and inorganic content.3 The pollen and charcoal record shows a rapid loss of forest diversity (particularly the long-lived taxa Agathis and Podocarpus) and increased burning coinciding with the arrival of European settlers. The aquatic environment is also subject to rapid changes at this time, with a possible increase in pH and subsequent shifts in local algal and insect communities. This event was outside the historic range of variability in both rain forest and aquatic communities.4 The present mosaic of vegetation types is a complex function of environmental changes operating across a range of spatial and temporal scales: millennial climate change, short-term climatic variations associated with El Nino events and, most significantly, a shift from indigenous to 'European' land-use practices, including clearance and burning activities associated with the timber and farming industry between about AD 1880 and 1920.5 The establishment of a World Heritage reserve around the lake catchment and the suppression of fire over the last 50 years have not yet restored the terrestrial or aquatic ecosystem to its pre-European state and are unlikely to, given the current predictions of future climate change. This supports the notion that ecological and climate thresholds are not necessarily the same, and that the effects of crossing them are not necessarily reversible. Retrospective studies of the historic range of variability within small catchments can provide an understanding of the limits of natural and human-induced variability that can inform management decisions and resource planning.</t>
  </si>
  <si>
    <t>10.1111/j.1365-2745.2006.01140.x</t>
  </si>
  <si>
    <t>LSR-185</t>
  </si>
  <si>
    <t>Vaughan, Ian P.; Ormerod, Steve J.</t>
  </si>
  <si>
    <t>Large-scale, long-term trends in British river macroinvertebrates</t>
  </si>
  <si>
    <t>Rivers are among the world's most modified ecosystems, with poor water quality representing a prominent problem for over 200 similar to years, especially in urban areas. In Western Europe, however, industrial decline, tighter regulation and improved wastewater treatment have combined over recent decades to create conditions conducive to extensive restoration and positive biological change. Here, we evaluate the river macroinvertebrate fauna of England and Wales in relation to water quality, physical habitat and climate over almost two decades. We predicted that biological recovery would be characterized by: (i) greater taxon richness and prevalence of pollution-sensitive taxa, (ii) larger changes in more heavily urbanized catchments, and (iii) temporal trends in assemblage structure that correlated with improving water quality. Family level richness increased on average by nearly 20% during 19912008, accompanied by a widespread shift towards taxa characteristic of well-oxygenated and less polluted waters. Changes were largest in the most urbanized catchments. A combination of natural gradients and anthropogenic pressures explained the variation among sites, whereas temporal changes correlated with improving water quality and variations in discharge. Positive trends were not universal, however, and there was localized deterioration in some streams draining upland areas and in the lowland south east. Our results are consistent with a large-scale ecological recovery of English and Welsh rivers since 1990, probably continuing a trend from the mid-20th century. Based on these results, we suggest: (i) freshwater communities are resilient to long-term anthropogenic pressures, (ii) biodiversity benefits can arise from investment and long-term restoration intended largely to enhance ecosystem services such as drinking water and sanitary concerns, and (iii) long-term monitoring data collected for statutory purposesbased in this case on nearly 50 similar to 000 samplescan address scientific questions at spatial and temporal extents seldom achieved in research programmes.</t>
  </si>
  <si>
    <t>10.1111/j.1365-2486.2012.02662.x</t>
  </si>
  <si>
    <t>LSR-33</t>
  </si>
  <si>
    <t>Greig, Hamish S.; Kratina, Pavel; Thompson, Patrick L.; Palen, Wendy J.; Richardson, John S.; Shurin, Jonathan B.</t>
  </si>
  <si>
    <t>Warming, eutrophication, and predator loss amplify subsidies between aquatic and terrestrial ecosystems</t>
  </si>
  <si>
    <t>The exchange of organisms and energy among ecosystems has major impacts on food web structure and dynamics, yet little is known about how climate warming combines with other pervasive anthropogenic perturbations to affect such exchanges. We used an outdoor freshwater mesocosm experiment to investigate the interactive effects of warming, eutrophication, and changes in top predators on the flux of biomass between aquatic and terrestrial ecosystems. We demonstrated that predatory fish decoupled aquatic and terrestrial ecosystems by reducing the emergence of aquatic organisms and suppressing the decomposition of terrestrial plant detritus. In contrast, warming and nutrients enhanced cross-ecosystem exchanges by increasing emergence and decomposition, and these effects were strongest in the absence of predators. Furthermore, we found that warming advanced while predators delayed the phenology of insect emergence. Our results demonstrate that anthropogenic perturbations may extend well beyond ecosystem boundaries by influencing cross-ecosystem subsidies. We find that these changes are sufficient to substantially impact recipient communities and potentially alter the carbon balance between aquatic and terrestrial ecosystems and the atmosphere.</t>
  </si>
  <si>
    <t>10.1111/j.1365-2486.2011.02540.x</t>
  </si>
  <si>
    <t>PFB-18</t>
  </si>
  <si>
    <t>other</t>
  </si>
  <si>
    <t>This is a  laboratory manipulation study. I am not sure if we should include it in the analysis, as it's not recording actual events ocurring in the field.</t>
  </si>
  <si>
    <t>Zhou, W.; Li, J. L.; Mu, S. J.; Gang, C. C.; Sun, Z. G.</t>
  </si>
  <si>
    <t>GRASS AND FORAGE SCIENCE</t>
  </si>
  <si>
    <t>Effects of ecological restoration-induced land-use change and improved management on grassland net primary productivity in the Shiyanghe River Basin, north-west China</t>
  </si>
  <si>
    <t>To address severe grassland degradation, the Chinese government implemented national restoration programmes, which in turn drove a research focus towards assessment of the environmental effectiveness of such initiatives. In this study, net primary productivity (NPP) was used as an indicator for assessing the impacts of land use and cover change (LUCC), improved land-use management and climate change on the grassland ecosystem of the Shiyanghe River Basin. NPP was calculated on the basis of the Carnegie-Ames-Stanford Approach model, which is driven by a Moderate Resolution Imaging Spectroradiometer (MODIS) normalized difference vegetation index and meteorological data. The LUCC data for 2001 and 2009 were derived from MODIS land-cover data. During the study period, the net increase in grassland development was 51055km(2), with 804% of the newly developed grasslands attributed to desert-to-grassland conversion. The total NPP of grasslands in 2009 increased by 65962Gg C compared with that in 2001. The contributions of human activity and climate change to total NPP increase were 133 and -33% respectively. Land conversion and improved management measures directly increased grassland NPP. These factors are dominant positive driving forces, whereas warm and dry climates impose adverse effects on grassland restoration in the study site.</t>
  </si>
  <si>
    <t>10.1111/gfs.12073</t>
  </si>
  <si>
    <t>NPP-143</t>
  </si>
  <si>
    <t>models + data</t>
  </si>
  <si>
    <t>Kuczynski, Lucie; Legendre, Pierre; Grenouillet, Gael</t>
  </si>
  <si>
    <t>Concomitant impacts of climate change, fragmentation and non-native species have led to reorganization of fish communities since the 1980s</t>
  </si>
  <si>
    <t>Aim: In response to climate change, species distribution shifts resulting from local extinctions, colonizations and variations in population abundances potentially lead to community-level reorganizations. Here, we assess changes over time in stream fish communities, quantify the extent to which these changes are attributable to population declines or increases and identify their main drivers.Location: France.Time period: 1980-2012.Major taxa studied: Stream fish species.Methods: We used abundance-monitoring data to quantify changes in composition and uniqueness for 332 stream fish communities between a cold historical period (1980-1993) and a warm contemporary period (2004-2012). Then, we used a model-averaging procedure to test the impacts of factors related to climate, land use and non-native species density and their interacting effects in shaping community reorganization.Results: We observed biotic homogenization over time in stream fish communities, although some communities experienced differentiation. Changes in composition mainly resulted from population declines and were favoured by an increase in temperature seasonality and in non-native species density. Population declines decreased with fragmentation and changes in non-native species density, whereas population increases were negatively driven by changes in precipitation and positively by fragmentation. Our results provide evidence that environmental changes can interact with other factors (e.g., upstream-downstream, fragmentation intensity) to determine community reorganization.Main conclusions: In the context of global change, fish assemblage reorganizations mainly result from population declines of species. These reorganizations are spatially structured and driven by both climatic and human-related stressors. Here, we emphasize the need to take into account several components of global change, because the interplay between stressors might play a key role in the ongoing biodiversity changes.</t>
  </si>
  <si>
    <t>10.1111/geb.12690</t>
  </si>
  <si>
    <t>LSA-28</t>
  </si>
  <si>
    <t>Lichtenberg, Elinor M.; Kennedy, Christina M.; Kremen, Claire; Batary, Peter; Berendse, Frank; Bommarco, Riccardo; Bosque-Perez, Nilsa A.; Carvalheiro, Luisa G.; Snyder, William E.; Williams, Neal M.; Winfree, Rachael; Klatt, Bjoern K.; Astrom, Sandra; Benjamin, Faye; Brittain, Claire; Chaplin-Kramer, Rebecca; Clough, Yann; Danforth, Bryan; Diekoetter, Tim; Eigenbrode, Sanford D.; Ekroos, Johan; Elle, Elizabeth; Freitas, Breno M.; Fukuda, Yuki; Gaines-Day, Hannah R.; Grab, Heather; Gratton, Claudio; Holzschuh, Andrea; Isaacs, Rufus; Isaia, Marco; Jha, Shalene; Jonason, Dennis; Jones, Vincent P.; Klein, Alexandra-Maria; Krauss, Jochen; Letourneau, Deborah K.; Macfadyen, Sarina; Mallinger, Rachel E.; Martin, Emily A.; Martinez, Eliana; Memmott, Jane; Morandin, Lora; Neame, Lisa; Otieno, Mark; Park, Mia G.; Pfiffner, Lukas; Pocock, Michael J. O.; Ponce, Carlos; Potts, Simon G.; Poveda, Katja; Ramos, Mariangie; Rosenheim, Jay A.; Rundlof, Maj; Sardinas, Hillary; Saunders, Manu E.; Schon, Nicole L.; Sciligo, Amber R.; Sidhu, C. Sheena; Steffan-Dewenter, Ingolf; Tscharntke, Teja; Vesely, Milan; Weisser, Wolfgang W.; Wilson, Julianna K.; Crowder, David W.</t>
  </si>
  <si>
    <t>A global synthesis of the effects of diversified farming systems on arthropod diversity within fields and across agricultural landscapes</t>
  </si>
  <si>
    <t>Agricultural intensification is a leading cause of global biodiversity loss, which can reduce the provisioning of ecosystem services in managed ecosystems. Organic farming and plant diversification are farm management schemes that may mitigate potential ecological harm by increasing species richness and boosting related ecosystem services to agroecosystems. What remains unclear is the extent to which farm management schemes affect biodiversity components other than species richness, and whether impacts differ across spatial scales and landscape contexts. Using a global metadataset, we quantified the effects of organic farming and plant diversification on abundance, local diversity (communities within fields), and regional diversity (communities across fields) of arthropod pollinators, predators, herbivores, and detritivores. Both organic farming and higher in-field plant diversity enhanced arthropod abundance, particularly for rare taxa. This resulted in increased richness but decreased evenness. While these responses were stronger at local relative to regional scales, richness and abundance increased at both scales, and richness on farms embedded in complex relative to simple landscapes. Overall, both organic farming and in-field plant diversification exerted the strongest effects on pollinators and predators, suggesting these management schemes can facilitate ecosystem service providers without augmenting herbivore (pest) populations. Our results suggest that organic farming and plant diversification promote diverse arthropod metacommunities that may provide temporal and spatial stability of ecosystem service provisioning. Conserving diverse plant and arthropod communities in farming systems therefore requires sustainable practices that operate both within fields and across landscapes.</t>
  </si>
  <si>
    <t>10.1111/gcb.13714</t>
  </si>
  <si>
    <t>LSA-115</t>
  </si>
  <si>
    <t>Knop, Eva</t>
  </si>
  <si>
    <t>Biotic homogenization of three insect groups due to urbanization</t>
  </si>
  <si>
    <t>Cities are growing rapidly, thereby expected to cause a large-scale global biotic homogenization. Evidence for the homogenization hypothesis is mostly derived from plants and birds, whereas arthropods have so far been neglected. Here, I tested the homogenization hypothesis with three insect indicator groups, namely true bugs, leafhoppers, and beetles. In particular, I was interested whether insect species community composition differs between urban and rural areas, whether they are more similar between cities than between rural areas, and whether the found pattern is explained by true species turnover, species diversity gradients and geographic distance, by non-native or specialist species, respectively. I analyzed insect species communities sampled on birch trees in a total of six Swiss cities and six rural areas nearby. In all indicator groups, urban and rural community composition was significantly dissimilar due to native species turnover. Further, for bug and leafhopper communities, I found evidence for large-scale homogenization due to urbanization, which was driven by reduced species turnover of specialist species in cities. Species turnover of beetle communities was similar between cities and rural areas. Interestingly, when specialist species of beetles were excluded from the analyses, cities were more dissimilar than rural areas, suggesting biotic differentiation of beetle communities in cities. Non-native species did not affect species turnover of the insect groups. However, given non-native arthropod species are increasing rapidly, their homogenizing effect might be detected more often in future. Overall, the results show that urbanization has a negative large-scale impact on the diversity specialist species of the investigated insect groups. Specific measures in cities targeted at increasing the persistence of specialist species typical for the respective biogeographic region could help to stop the loss of biodiversity.</t>
  </si>
  <si>
    <t>10.1111/gcb.13091</t>
  </si>
  <si>
    <t>BSR-190</t>
  </si>
  <si>
    <t>Bernhardt-Roemermann, Markus; Baeten, Lander; Craven, Dylan; De Frenne, Pieter; Hedl, Radim; Lenoir, Jonathan; Bert, Didier; Brunet, Jorg; Chudomelova, Marketa; Decocq, Guillaume; Dierschke, Hartmut; Dirnboeck, Thomas; Doerfler, Inken; Heinken, Thilo; Hermy, Martin; Hommel, Patrick; Jaroszewicz, Bogdan; Keczynski, Andrzej; Kelly, Daniel L.; Kirby, Keith J.; Kopecky, Martin; Macek, Martin; Malis, Frantisek; Mirtl, Michael; Mitchell, Fraser J. G.; Naaf, Tobias; Newman, Miles; Peterken, George; Petrik, Petr; Schmidt, Wolfgang; Standovar, Tibor; Toth, Zoltan; Van Calster, Hans; Verstraeten, Gorik; Vladovic, Jozef; Vild, Ondrej; Wulf, Monika; Verheyen, Kris</t>
  </si>
  <si>
    <t>Drivers of temporal changes in temperate forest plant diversity vary across spatial scales</t>
  </si>
  <si>
    <t>Global biodiversity is affected by numerous environmental drivers. Yet, the extent to which global environmental changes contribute to changes in local diversity is poorly understood. We investigated biodiversity changes in a meta-analysis of 39 resurvey studies in European temperate forests (3988 vegetation records in total, 17-75years between the two surveys) by assessing the importance of (i) coarse-resolution (i.e., among sites) vs. fine-resolution (i.e., within sites) environmental differences and (ii) changing environmental conditions between surveys. Our results clarify the mechanisms underlying the direction and magnitude of local-scale biodiversity changes. While not detecting any net local diversity loss, we observed considerable among-site variation, partly explained by temporal changes in light availability (a local driver) and density of large herbivores (a regional driver). Furthermore, strong evidence was found that presurvey levels of nitrogen deposition determined subsequent diversity changes. We conclude that models forecasting future biodiversity changes should consider coarse-resolution environmental changes, account for differences in baseline environmental conditions and for local changes in fine-resolution environmental conditions.</t>
  </si>
  <si>
    <t>10.1111/gcb.12993</t>
  </si>
  <si>
    <t>LSR-58</t>
  </si>
  <si>
    <t>continental</t>
  </si>
  <si>
    <t>Piao, Shilong; Yin, Guodong; Tan, Jianguang; Cheng, Lei; Huang, Mengtian; Li, Yue; Liu, Ronggao; Mao, Jiafu; Myneni, Ranga B.; Peng, Shushi; Poulter, Ben; Shi, Xiaoying; Xiao, Zhiqiang; Zeng, Ning; Zeng, ZhenZhong; Wang, Yingping</t>
  </si>
  <si>
    <t>Detection and attribution of vegetation greening trend in China over the last 30 years</t>
  </si>
  <si>
    <t>The reliable detection and attribution of changes in vegetation growth is a prerequisite for the development of strategies for the sustainable management of ecosystems. This is an extraordinary challenge. To our knowledge, this study is the first to comprehensively detect and attribute a greening trend in China over the last three decades. We use three different satellite-derived Leaf Area Index (LAI) datasets for detection as well as five different process-based ecosystem models for attribution. Rising atmospheric CO2 concentration and nitrogen deposition are identified as the most likely causes of the greening trend in China, explaining 85% and 41% of the average growing-season LAI trend (LAI(GS)) estimated by satellite datasets (average trend of 0.0070yr(-1), ranging from 0.0035yr(-1) to 0.0127yr(-1)), respectively. The contribution of nitrogen deposition is more clearly seen in southern China than in the north of the country. Models disagree about the contribution of climate change alone to the trend in LAI(GS) at the country scale (one model shows a significant increasing trend, whereas two others show significant decreasing trends). However, the models generally agree on the negative impacts of climate change in north China and Inner Mongolia and the positive impact in the Qinghai-Xizang plateau. Provincial forest area change tends to be significantly correlated with the trend of LAI(GS) (P&lt;0.05), and marginally significantly (P=0.07) correlated with the residual of LAI(GS) trend, calculated as the trend observed by satellite minus that estimated by models through considering the effects of climate change, rising CO2 concentration and nitrogen deposition, across different provinces. This result highlights the important role of China's afforestation program in explaining the spatial patterns of trend in vegetation growth.</t>
  </si>
  <si>
    <t>10.1111/gcb.12795</t>
  </si>
  <si>
    <t>LAI-195</t>
  </si>
  <si>
    <t>LAI</t>
  </si>
  <si>
    <t>Zhang, Yuzhen; Liang, Shunlin</t>
  </si>
  <si>
    <t>Changes in forest biomass and linkage to climate and forest disturbances over Northeastern China</t>
  </si>
  <si>
    <t>The forests of northeastern China store nearly half of the country's total biomass carbon stocks. In this study, we investigated the changes in forest biomass by using satellite observations and found that a significant increase in forest biomass took place between 2001 and 2010. To determine the possible reasons for this change, several statistical methods were used to analyze the correlations between forest biomass dynamics and forest disturbances (i.e. fires, insect damage, logging, and afforestation and reforestation), climatic factors, and forest development. Results showed that forest development was the most important contributor to the increasing trend of forest biomass from 2001 to 2010, and climate controls were the secondary important factor. Among the four types of forest disturbance considered in this study, forest recovery from fires, and afforestation and reforestation during the past few decades played an important role in short-term biomass dynamics. This study provided observational evidence and valuable information for the relationships between forest biomass and climate as well as forest disturbances.</t>
  </si>
  <si>
    <t>10.1111/gcb.12588</t>
  </si>
  <si>
    <t>NPP-142</t>
  </si>
  <si>
    <t>Gregory, Stephen D.; Nevoux, Marie; Riley, William D.; Beaumont, William R. C.; Jeannot, Nicholas; Lauridsen, Rasmus B.; Marchand, Frederic; Scott, Luke J.; Roussel, Jean-Marc</t>
  </si>
  <si>
    <t>Patterns on a parr: Drivers of long-term salmon parr length in UK and French rivers depend on geographical scale</t>
  </si>
  <si>
    <t>Understanding the geographical scales at which environmental variables affect an individual's body size, and thus their mortality risk, can inform management strategies to help conserve wild populations under climate change. Yet, our current understanding of these relationships is based on studies done at different scales that report inconsistent findings. We predicted that temperature-related variables (e.g. winter temperature) influence body size at a regional scale, that is, affecting individuals in geographically independent catchments similarly, whereas non-temperature-related variables (e.g. conspecific competitor density) exert a local influence, that is, affecting individuals in geographically independent catchments differently. We developed statistical models to test our predictions using body length measures of a large and long-term sample of juvenile Atlantic salmon (Salmo salar) from three rivers in the U.K. and France. We developed mixture models to predict the individual juvenile salmon ages objectively from their body length. We then developed linear mixed models to describe inter-annual changes in mean length of the youngest (age 0) cohort of juvenile salmon from river-specific seasonal variables, and tested whether they exerted their influence at a local or regional scale. All models accounted for spatio-temporal differences in sampling protocols and individual reproductive strategy. We estimated and interpreted coefficients using Bayesian theory. Our findings supported our predictions. Juvenile salmon were longer in years of higher overwinter water temperature and this effect was best parameterised as a single regional coefficient applicable to all three rivers. Similarly, spring mean temperature was best parameterised with a single regional nonlinear coefficient. In contrast, juvenile salmon were shorter in years of high densities of competing conspecifics and their interaction with total mean discharge and these effects were represented by local river-specific coefficients. Summer droughts had a negative effect on juvenile salmon length but was best parameterised as a single regional coefficient, contrary to our expectations. We show that environmental variables affect biological processes at different but predictable geographical scales. Temperature-related variables affect body sizes of exothermic animals at a regional scale, whereas non-temperature variables, such as the density of conspecific competitors and water abstraction, exert their influence at a local scale. These findings highlight the importance of integrating local and regional management plans to mitigate the impacts of climate change on the body size, and ultimately the conservation, of exothermic species.</t>
  </si>
  <si>
    <t>10.1111/fwb.12929</t>
  </si>
  <si>
    <t>MLF-9</t>
  </si>
  <si>
    <t>Berthon, Vincent; Alric, Benjamin; Rimet, Frederic; Perga, Marie-Elodie</t>
  </si>
  <si>
    <t>Sensitivity and responses of diatoms to climate warming in lakes heavily influenced by humans</t>
  </si>
  <si>
    <t>1. Diatom communities have been shown to respond strongly to current climate warming in remote lakes, while evidence remains equivocal for lakes under strong local human pressures.2. Temporal dynamics of planktonic diatoms in three subalpine lakes (Geneva, Annecy and Bourget) reconstructed from palaeolimnological approaches were used to assess the relative effects of phosphorus concentrations, fisheries management practices and climate warming in structuring communities over the last century.3. Changes in total phosphorous concentration (TP), air temperature and fish predation pressure could explain the temporal dynamics of most diatom species in the sediment records. TP was found to be not only the main driver of changes in community composition but also an important factor modulating diatom sensitivity and responses to climate warming.4. The diatom community of Lake Bourget showed the highest vulnerability and direct responses to climate warming, favouring spring species that can resist earlier stratification in mesotrophic lakes (such as Asterionella formosa, Aulacoseira islandica and Stephanodiscus parvus) and summer species that can make the best trade-off between decreasing nutrient concentrations and increased water column stability (Diatoma tenuis, A. islandica). In Lake Geneva, climate warming also contributed to shaping diatom communities but through an indirect pathway; fisheries management practices and climate warming interacted to reinforce top-down control, favouring large, colonial inedible species (Stephanodicus binderanus and A. formosa). For Lake Annecy, the most nutrient limited of the three lakes studied, no changes in diatom community structure were directly related to warmer air temperatures over the last 25 years.5. All three lakes have been subjected to the same climate variability. Yet the magnitude and responses of their diatom communities to climate warming were dissimilar and strongly modulated by differences in lake trophic status and fish management practices.</t>
  </si>
  <si>
    <t>10.1111/fwb.12380</t>
  </si>
  <si>
    <t>LST-5</t>
  </si>
  <si>
    <t>Hagerthey, Scot E.; Cook, Mark I.; Mac Kobza, R.; Newman, Susan; Bellinger, Brent J.</t>
  </si>
  <si>
    <t>Aquatic faunal responses to an induced regime shift in the phosphorus-impacted Everglades</t>
  </si>
  <si>
    <t>Wetland eutrophication increases the susceptibility of native communities to invasion by opportunistic plant species, which then commonly form monotypic stands. Wetland aquatic fauna are negatively affected by associated changes of eutrophication in the physiochemical environment, habitat structural complexity and ecological interactions. In addition to reducing external nutrient loads, it is predicted that efforts that reduce the resilience of the altered ecosystem are required to accelerate ecosystem recovery. We assessed small fish and decapod crustacean responses to a 3-year ecosystem scale experiment that tested the effectiveness of chemical treatment and controlled burning as a management strategy to accelerate the recovery of eutrophic Everglades marsh. The management strategy resulted in the removal, on average, of 91% and 81% of the emergent macrophyte cover in two regions differing in enrichment effects. The resulting open-water habitats were characterised by higher dissolved oxygen concentrations, greater periphyton and submersed aquatic vegetation and increased structural complexity. The average combined density and biomass of small fish and decapod crustaceans did not differ significantly between dense emergent vegetation and created openings but regional and water year differences occurred. More importantly, community composition did differ between treatments, with the crayfish Procambarus fallax dominating in dense vegetation and small fish Gambusia holbrooki, Jordanella floridae and Poecilia latipinna and grass shrimp Palaemonetes paludosus dominating in open water. We compared the whole body carbon (C), nitrogen (N) and phosphorus (P) contents (%) and C:N:P stoichiometry among small fish and decapod crustaceans. Fish had greater whole body C and P contents (low C:P) compared with the two crustaceans. While the management action did not alter the quantity (mgcarbonm-2) or energy (kcalm-2) of fauna, the resultant shift in composition was coincident with an increase in the nutrient quality (mgPm-2 and low C:P) of fauna. Faunal community composition of the created open-water habitats in the eutrophic Everglades was similar to the oligotrophic Everglades; however, density and biomass were significantly lower for the oligotrophic region. Moreover, intraspecific comparisons showed that small fish and decapod crustaceans from the oligotrophic region were smaller and had lower whole body phosphorus contents than organisms from eutrophic regions. This suggests that phosphorus limitation in the Everglades extends beyond autotrophs to include consumers. The high density of emergent macrophytes typically formed in eutrophic wetlands creates a physical barrier to predators, limiting the trophic transfer of energy. The combination of burning and chemical treatment not only maintained the abundance and biomass of aquatic fauna, but produced a compositional shift towards higher quality prey for wading birds and predatory fishes. We recognise that the contrasting nature between the created openings in the eutrophic and oligotrophic Everglades highlights major structural and functional differences in natural sloughs versus enriched created sloughs', but we suggest that active management efforts to accelerate the recovery of P-impacted regions could provide temporary benefits to Everglades wildlife by improving access to abundant, high-quality prey.</t>
  </si>
  <si>
    <t>10.1111/fwb.12353</t>
  </si>
  <si>
    <t>PFB-42</t>
  </si>
  <si>
    <t>Lindegren, Martin; Van Deurs, Mikael; MacKenzie, Brian R.; Clausen, Lotte Worsoe; Christensen, Asbjorn; Rindorf, Anna</t>
  </si>
  <si>
    <t>FISHERIES OCEANOGRAPHY</t>
  </si>
  <si>
    <t>Productivity and recovery of forage fish under climate change and fishing: North Sea sandeel as a case study</t>
  </si>
  <si>
    <t>Forage fish occupy a central position in marine food-webs worldwide by mediating the transfer of energy and organic matter from lower to higher trophic levels. The lesser sandeel (Ammodytes marinus) is one of the ecologically and economically most important forage fish species in the North-east Atlantic, acting as a key prey for predatory fish and sea birds, as well as supporting a large commercial fishery. In this case study, we investigate the underlying factors affecting recruitment and how these in turn affect productivity of the North Sea sandeel using long-term data and modelling. Our results demonstrate how sandeel productivity in the central North Sea (Dogger Bank) depends on a combination of external and internal regulatory factors, including fishing and climate effects, as well as density dependence and food availability of the preferred zooplankton prey (Calanus finmarchicus and Temora longicornis). Furthermore, our model scenarios suggest that while fishing largely contributed to the abrupt stock decline during the late 1990s and the following period of low biomass, a complete recovery of the stock to the highly productive levels of the early 1980s would only be possible through changes in the surrounding ecosystem, involving lower temperatures and improved feeding conditions. To that end, we stress the need for ecosystem-based management accounting for multiple internal and external factors occurring within the broader context of the ecosystem in which forage fish species, such as sandeel, play an important and integral part.</t>
  </si>
  <si>
    <t>10.1111/fog.12246</t>
  </si>
  <si>
    <t>PFB-53</t>
  </si>
  <si>
    <t>Park, Isaac W.; Hooper, Jennifer; Flegal, James M.; Jenerette, G. Darrel</t>
  </si>
  <si>
    <t>Impacts of climate, disturbance and topography on distribution of herbaceous cover in Southern California chaparral: Insights from a remote-sensing method</t>
  </si>
  <si>
    <t>Aim: While chaparral communities have historically been considered resistant to invasion and type conversion into grasslands, interacting global changes such as increased drought and anthropogenic disturbance may have reduced this resistance. Existing monitoring methods are not well-suited to evaluate the distribution of invasive herbs and grasses within chaparral at regional scales. In this study, we determine the extent of invasions by forbs and grasses into formerly chaparral vegetation and evaluate contributions of moisture, disturbance and anthropogenic activity and topography to the distribution of herbaceous cover throughout chaparral-dominated communities.Location: The Angeles National Forest (ANF), California, USA.Methods: We developed a remote-sensing method to estimate the distribution of herbaceous cover within chaparral by leveraging intra-annual phenological differences in normalized difference vegetation index (NDVI) between herbaceous forbs and grasses and evergreen shrublands using Landsat remote-sensing imagery. The distribution of herbaceous cover was then related to multiple spatially explicit variables describing individual and interactive effects of local moisture availability and anthropogenic disturbance.Results: Herbaceous cover represents approximately 31% of the ANF within the elevation range typically dominated by chaparral. Disturbance-related and anthropogenic factors explained 17% of observed variation, while differences in moisture availability explained 47% of observed variation in herbaceous cover and were associated with increased invasive cover.Main conclusions: Landscapes historically dominated by chaparral may exhibit high degrees of herbaceous cover. While fire frequency and other anthropogenic disturbances are likely the primary catalyst for invasion of chaparral by herbaceous species, this study shows that moisture availability is a more important factor in determining which locations are successfully invaded. These results indicate that chaparral vulnerability to invasion in southern California may increase in the next century due to reduced precipitation associated with projected climate change.</t>
  </si>
  <si>
    <t>10.1111/ddi.12693</t>
  </si>
  <si>
    <t>LAI-139</t>
  </si>
  <si>
    <t>Ducatez, Simon; Shine, Richard</t>
  </si>
  <si>
    <t>CONSERVATION LETTERS</t>
  </si>
  <si>
    <t>Drivers of Extinction Risk in Terrestrial Vertebrates</t>
  </si>
  <si>
    <t>Rising rates of extinction create an urgent need to identify the mechanisms and drivers of endangerment. One critical question is whether major phylogenetic lineages are equally at risk to the same threats. We used the IUCN Red List classification to explore the effect of four major threatening processes (habitat alteration, invasive species, climate change and overexploitation) on 7,441 species in four terrestrial vertebrate classes. As expected, species rated as vulnerable to a higher number of threats were also at greater risk of extinction. However, this pattern differed strongly among classes. Notably, invasive species and climate change were strongly associated with increased risk of extinction in birds but not mammals. These large-scale differences might be artifacts of differing methodologies used by class specialists to classify species vulnerability; or might reflect biological differences. That ambiguity needs to be resolved, because it has strong implications for the assessment and amelioration of threatening processes.</t>
  </si>
  <si>
    <t>10.1111/conl.12258</t>
  </si>
  <si>
    <t>IUC-40</t>
  </si>
  <si>
    <t>Wenger, Amelia S.; Williamson, David H.; da Silva, Eduardo T.; Ceccarelli, Daniela M.; Browne, Nicola K.; Petus, Caroline; Devlin, Michelle J.</t>
  </si>
  <si>
    <t>Effects of reduced water quality on coral reefs in and out of no-take marine reserves</t>
  </si>
  <si>
    <t>Near-shore marine environments are increasingly subjected to reduced water quality, and their ability to withstand it is critical to their persistence. The potential role marine reserves may play in mitigating the effects of reduced water quality has received little attention. We investigated the spatial and temporal variability in live coral and macro-algal cover and water quality during moderate and major flooding events of the Fitzroy River within the Keppel Bay region of the Great Barrier Reef Marine Park from 2007 to 2013. We used 7 years of remote sensing data on water quality and data from long-term monitoring of coral reefs to quantify exposure of coral reefs to flood plumes. We used a distance linear model to partition the contribution of abiotic and biotic factors, including zoning, as drivers of the observed changes in coral and macro-algae cover. Moderate flood plumes from 2007 to 2009 did not affect coral cover on reefs in the Keppel Islands, suggesting the reef has intrinsic resistance against short-term exposure to reduced water quality. However, from 2009 to 2013, live coral cover declined by approximate to 50% following several weeks of exposure to turbid, low salinity water from major flood plume events in 2011 and subsequent moderate events in 2012 and 2013. Although the flooding events in 2012 and 2013 were smaller than the flooding events between 2007 to 2009, the ability of the reefs to withstand these moderate floods was lost, as evidenced by a approximate to 20% decline in coral cover between 2011 to 2013. Although zoning (no-take reserve or fished) was identified a significant driver of coral cover, we recorded consistently lower coral cover on reserve reefs than on fished reefs throughout the study period and significantly lower cover in 2011. Our findings suggest that even reefs with an inherent resistance to reduced water quality are not able to withstand repeated disturbance events. The limitations of reserves in mitigating the effects of reduced water quality on near-shore coral reefs underscores the importance of integrated management approaches that combine effective land-based management with networks of no-take reserves.</t>
  </si>
  <si>
    <t>10.1111/cobi.12576</t>
  </si>
  <si>
    <t>LCC-33</t>
  </si>
  <si>
    <t>Lindenmayer, David B.; McBurney, Lachlan; Blair, David; Wood, Jeff; Banks, Sam C.</t>
  </si>
  <si>
    <t>From unburnt to salvage logged: Quantifying bird responses to different levels of disturbance severity</t>
  </si>
  <si>
    <t>1. Forests world-wide are increasingly subject to natural and human disturbances, including wildfires and logging of varying intensity and frequency. Understanding how biodiversity responds to different kinds and combinations of natural and human disturbance is critical to enhanced forest management.2. We completed an 8-year study of bird responses across a spectrum of disturbance types in Australian mountain ash (Eucalyptus regnans) forests following wildfires in 2009.3. We found evidence of a gradient in bird species richness over the study duration. It was highest in unlogged and unburned (least disturbed) sites, decreasing through burnt unlogged forest (subject to high or low intensity fire), lower still in logged forest, and lowest in the most disturbed sites (subject to salvage logging without island retention). Retention of uncut islands within logged areas increased bird species richness above that found in areas that had been clearcut.4. The greatest rate of increase per year after disturbance in bird species richness was on sites burnt by high-severity fire but which were not subject to any form of logging. The level of disturbance affected the composition of the bird assemblage. Sites that were unlogged and unburned were more likely to support species that were larger, more mobile, and nested at greater heights above the ground.5. Synthesis and applications. All forms of logging on burned sites impaired recovery in bird species richness relative to sites subject to high-severity fire. Alterations in stand structure and plant species composition (and hence modification in bird habitat suitability) due to logging are the most likely reasons for reduced bird species richness and delayed patterns of recovery. This study highlights the importance for native bird species of retaining patches of unlogged forest not only within otherwise clearcut forest, but also in areas that are burned and subject to salvage logging. We therefore suggest that the adoption of retention harvesting be expanded to include stands disturbed by wildfires.</t>
  </si>
  <si>
    <t>10.1111/1365-2664.13137</t>
  </si>
  <si>
    <t>BSR-68</t>
  </si>
  <si>
    <t>Hoffmann, Michael; Belant, Jerrold L.; Chanson, Janice S.; Cox, Neil A.; Lamoreux, John; Rodrigues, Ana S. L.; Schipper, Jan; Stuart, Simon N.</t>
  </si>
  <si>
    <t>The changing fates of the world's mammals</t>
  </si>
  <si>
    <t>A recent complete assessment of the conservation status of 5487 mammal species demonstrated that at least one-fifth are at risk of extinction in the wild. We retrospectively identified genuine changes in extinction risk for mammals between 1996 and 2008 to calculate changes in the International Union for Conservation of Nature (IUCN) Red List Index (RLI). Species-level trends in the conservation status of mammalian diversity reveal that extinction risk in large-bodied species is increasing, and that the rate of deterioration has been most accelerated in the Indomalayan and Australasian realms. Expanding agriculture and hunting have been the main drivers of increased extinction risk in mammals. Site-based protection and management, legislation, and captive-breeding and reintroduction programmes have led to improvements in 24 species. We contextualize these changes, and explain why both deteriorations and improvements may be under-reported. Although this study highlights where conservation actions are leading to improvements, it fails to account for instances where conservation has prevented further deteriorations in the status of the world's mammals. The continued utility of the RLI is dependent on sustained investment to ensure repeated assessments of mammals over time and to facilitate future calculations of the RLI and measurement against global targets.</t>
  </si>
  <si>
    <t>10.1098/rstb.2011.0116</t>
  </si>
  <si>
    <t>RLI-31</t>
  </si>
  <si>
    <t>Morris, Rebecca J.</t>
  </si>
  <si>
    <t>Anthropogenic impacts on tropical forest biodiversity: a network structure and ecosystem functioning perspective</t>
  </si>
  <si>
    <t>Huge areas of diverse tropical forest are lost or degraded every year with dramatic consequences for biodiversity. Deforestation and fragmentation, over-exploitation, invasive species and climate change are the main drivers of tropical forest biodiversity loss. Most studies investigating these threats have focused on changes in species richness or species diversity. However, if we are to understand the absolute and long-term effects of anthropogenic impacts on tropical forests, we should also consider the interactions between species, how those species are organized in networks, and the function that those species perform. I discuss our current knowledge of network structure and ecosystem functioning, highlighting empirical examples of their response to anthropogenic impacts. I consider the future prospects for tropical forest biodiversity, focusing on biodiversity and ecosystem functioning in secondary forest. Finally, I propose directions for future research to help us better understand the effects of anthropogenic impacts on tropical forest biodiversity.</t>
  </si>
  <si>
    <t>10.1098/rstb.2010.0273</t>
  </si>
  <si>
    <t>BSR-6</t>
  </si>
  <si>
    <t>Shackell, Nancy L.; Frank, Kenneth T.; Fisher, Jonathan A. D.; Petrie, Brian; Leggett, William C.</t>
  </si>
  <si>
    <t>PROCEEDINGS OF THE ROYAL SOCIETY B-BIOLOGICAL SCIENCES</t>
  </si>
  <si>
    <t>Decline in top predator body size and changing climate alter trophic structure in an oceanic ecosystem</t>
  </si>
  <si>
    <t>Globally, overfishing large-bodied groundfish populations has resulted in substantial increases in their prey populations. Where it has been examined, the effects of overfishing have cascaded down the food chain. In an intensively fished area on the western Scotian Shelf, Northwest Atlantic, the biomass of prey species increased exponentially (doubling time of 11 years) even though the aggregate biomass of their predators remained stable over 38 years. Concomitant reductions in herbivorous zooplankton and increases in phytoplankton were also evident. This anomalous trophic pattern led us to examine how declines in predator body size (approx. 60% in body mass since the early 1970s) and climatic regime influenced lower trophic levels. The increase in prey biomass was associated primarily with declines in predator body size and secondarily to an increase in stratification. Sea surface temperature and predator biomass had no influence. A regression model explained 65 per cent of prey biomass variability. Trait-mediated effects, namely a reduction in predator size, resulted in a weakening of top predation pressure. Increased stratification may have enhanced growing conditions for prey fish. Size-selective harvesting under changing climatic conditions initiated a trophic restructuring of the food chain, the effects of which may have influenced three trophic levels.</t>
  </si>
  <si>
    <t>10.1098/rspb.2009.1020</t>
  </si>
  <si>
    <t>PRF-41</t>
  </si>
  <si>
    <t>Barausse, Alberto; Correale, Vittoria; Curkovic, Aleksia; Finotto, Licia; Riginella, Emilio; Visentin, Eleonora; Mazzoldi, Carlotta</t>
  </si>
  <si>
    <t>ICES JOURNAL OF MARINE SCIENCE</t>
  </si>
  <si>
    <t>The role of fisheries and the environment in driving the decline of elasmobranchs in the northern Adriatic Sea</t>
  </si>
  <si>
    <t>Elasmobranch populations are declining worldwide, calling for urgent assessment of fishery exploitation and application of effective conservation strategies. Here, we applied a novel approach, integrating long-term time-series of landings (1945-2012) and extensive surveys at the fishmarket of Chioggia, Italy, home of the major fishing fleet of the northern Adriatic Sea, to evaluate the status of elasmobranch populations and fisheries in the one of the most fished Mediterranean basins. The time-series highlight a dramatic decline in elasmobranch landings, particularly for skates and catsharks (Scyliorhinus spp.), whose current catch rates are 2.4 and 10.6% of the average 1940s levels, respectively. These data likely reflect similar large reductions in abundance, as indicated by the analysis of catch-per unit-effort time-series. The biomass of landed skates and catsharks showed regular fluctuations that disappeared after the collapse of the landings. Elasmobranch market composition, assessed through the sampling of 11 900 specimens from 2006 to 2013, included 14 species, but was dominated by just two: Mustelus mustelus and M. punctulatus, which represented more than 60% of the catch. The proportion of sexually immature individuals was generally very high, up to 83% of landed females and 71% of landed males, depending on the species. Although some correlations were detected between landings and local hydrography or climatic indices, the analyses of landings and surveys at the fish market identified fishery exploitation as the main driver of the striking, long-term elasmobranch decline in the northern Adriatic Sea, calling for urgent management actions to improve the conservation status of these fish.</t>
  </si>
  <si>
    <t>10.1093/icesjms/fst222</t>
  </si>
  <si>
    <t>LSA-56</t>
  </si>
  <si>
    <t>Olsson, Jens; Bergstrom, Lena; Gardmark, Anna</t>
  </si>
  <si>
    <t>Abiotic drivers of coastal fish community change during four decades in the Baltic Sea</t>
  </si>
  <si>
    <t>Evidence for long-term change of marine ecosystems is increasing worldwide. Coastal areas harbour the socio-economically and ecologically most vital aquatic ecosystems, but are under increasing anthropogenic pressure. Little is known, however, about how environmental perturbations affect the development of coastal systems. In this paper, datasets of coastal fish communities covering almost four decades (early/mid 1970s to 2008) in three different basins of the Baltic Sea were analysed. There were clear changes in species composition over time in all but one dataset and coherence among basins in the timing of change. Changes were mainly associated with variables related to climate (water temperature, salinity, and North Atlantic Oscillation index), but less so with those reflecting nutrient status (nutrient concentrations and loading). Despite the importance of local water temperature, regional climatic variables were more important for the temporal development of communities. The results indicate that Baltic coastal fish communities have undergone large structural changes governed by processes acting on both local and regional scales. The findings suggest that ecological targets should be set accounting for long-term changes in community structure and that a common management of coastal and offshore ecosystems would be beneficial.</t>
  </si>
  <si>
    <t>10.1093/icesjms/fss072</t>
  </si>
  <si>
    <t>LST-28</t>
  </si>
  <si>
    <t>Coleman, Felicia C.; Koenig, Christopher C.</t>
  </si>
  <si>
    <t>INTEGRATIVE AND COMPARATIVE BIOLOGY</t>
  </si>
  <si>
    <t>The Effects of Fishing, Climate Change, and Other Anthropogenic Disturbances on Red Grouper and Other Reef Fishes in the Gulf of Mexico</t>
  </si>
  <si>
    <t>In this article, we consider the potential effects of anthropogenic disturbances on marine fish species known or suspected to be habitat engineers. The three species of interest inhabit different marine habitats at different life stages, and therefore can have significant influences across the sea floor at broad spatial scales. The primary species include the shallow-water Atlantic goliath grouper (Epinephelus itajara), which inhabits mangrove root systems as juveniles, and caves, shipwrecks, and rocky reefs as adults; red grouper (E. morio), which excavates habitat throughout its benthic life in Karst regions of the Gulf of Mexico and western Atlantic, from the coast to the shelf-edge; and tilefish (Lopholatilus chamaeleonticeps), a species that lives on the continental slope and constructs elaborate, pueblo-esque burrows. The anthropogenic disturbances of greatest interest in the Gulf of Mexico include fishing, hypoxia, red tide, oil and gas exploration, and climatic change. We suggest that to understand the broader effects of both natural and anthropogenic disturbances on biomass and productivity in these species requires that we first understand the strength of interactions between them and the other species residing within their communities (e.g., predators, prey, commensals, and mutualists).</t>
  </si>
  <si>
    <t>10.1093/icb/icq072</t>
  </si>
  <si>
    <t>LCC-68</t>
  </si>
  <si>
    <t>Turubanova, Svetlana; Potapov, Peter V.; Tyukavina, Alexandra; Hansen, Matthew C.</t>
  </si>
  <si>
    <t>Ongoing primary forest loss in Brazil, Democratic Republic of the Congo, and Indonesia</t>
  </si>
  <si>
    <t>Humid tropical forests provide numerous global ecosystem services, but are under continuing threat of clearing from economic drivers. Here, we report primary humid tropical forest extent for the year 2001, and primary forest loss and distance to loss from 2002-2014 for the largest rainforest countries of Brazil, Democratic Republic of the Congo (DRC), and Indonesia. Brazil's total area of primary forest loss is more than twice that of Indonesia and five times that of DRC. Despite unprecedented success in slowing deforestation along its forest frontier, Brazil's most remote forests are increasingly nearer to loss, as extractive activities such as logging and mining intrude upon previously intact forests. In absolute terms, DRC has the lowest area of primary forest loss; however, its forests are increasingly encroached upon as smallholder agriculturalists move into remaining forests, often to escape conflict and insecurity. The decrease in DRC forests' distance to loss as a function of area of forest loss was five times that of Brazil or Indonesia. In 2014, Indonesia had the least area of remaining primary forest. Despite an announced moratorium on concession licenses in 2011, Indonesia exhibited a rate of primary forest loss twice that of DRC and triple that of Brazil by the end of the study period. Forest loss dynamics in Indonesia range from industrial-scale clearing of coastal peatlands to logging of interior montane rainforests. While results illustrate considerable variation in forest loss dynamics between the three countries, the dominant narrative is of ongoing exploitation of primary humid tropical forests.</t>
  </si>
  <si>
    <t>10.1088/1748-9326/aacd1c</t>
  </si>
  <si>
    <t>IFL-54</t>
  </si>
  <si>
    <t>Rappaport, Danielle I.; Morton, Douglas C.; Longo, Marcos; Keller, Michael; Dubayah, Ralph; dos-Santos, Maiza Nara</t>
  </si>
  <si>
    <t>Quantifying long-term changes in carbon stocks and forest structure from Amazon forest degradation</t>
  </si>
  <si>
    <t>Despite sustained declines in Amazon deforestation, forest degradation from logging and fire continues to threaten carbon stocks, habitat, and biodiversity in frontier forests along the Amazon arc of deforestation. Limited data on the magnitude of carbon losses and rates of carbon recovery following forest degradation have hindered carbon accounting efforts and contributed to incomplete national reporting to reduce emissions from deforestation and forest degradation (REDD+). We combined annual time series of Landsat imagery and high-density airborne lidar data to characterize the variability, magnitude, and persistence of Amazon forest degradation impacts on aboveground carbon density (ACD) and canopy structure. On average, degraded forests contained 45.1% of the carbon stocks in intact forests, and differences persisted even after 15 years of regrowth. In comparison to logging, understory fires resulted in the largest and longest-lasting differences in ACD. Heterogeneity in burned forest structure varied by fire severity and frequency. Forests with a history of one, two, and three or more fires retained only 54.4%, 25.2%, and 7.6% of intact ACD, respectively, when measured after a year of regrowth. Unlike the additive impact of successive fires, selective logging before burning did not explain additional variability in modeled ACD loss and recovery of burned forests. Airborne lidar also provides quantitative measures of habitat structure that can aid the estimation of co-benefits of avoided degradation. Notably, forest carbon stocks recovered faster than attributes of canopy structure that are critical for biodiversity in tropical forests, including the abundance of tall trees. We provide the first comprehensive look-up table of emissions factors for specific degradation pathways at standard reporting intervals in the Amazon. Estimated carbon loss and recovery trajectories provide an important foundation for assessing the long-term contributions from forest degradation to regional carbon cycling and advance our understanding of the current state of frontier forests.</t>
  </si>
  <si>
    <t>10.1088/1748-9326/aac331</t>
  </si>
  <si>
    <t>IFL-1</t>
  </si>
  <si>
    <t>Zhuravleva, I.; Turubanova, S.; Potapov, P.; Hansen, M.; Tyukavina, A.; Minnemeyer, S.; Laporte, N.; Goetz, S.; Verbelen, F.; Thies, C.</t>
  </si>
  <si>
    <t>Satellite-based primary forest degradation assessment in the Democratic Republic of the Congo, 2000-2010</t>
  </si>
  <si>
    <t>Primary forest extent, loss and degradation within the Democratic Republic of the Congo (DRC) were quantified from 2000 to 2010 by combining directly mapped forest cover extent and loss data (CARPE) with indirectly mapped forest degradation data (intact forest landscapes, IFL). Landsat data were used to derive both map inputs, and data from the GLAS (Geoscience Laser Altimetry System) sensor were employed to validate the discrimination of primary intact and primary degraded forests. In the year 2000, primary humid tropical forests occupied 104 455 kha of the country, with 61% of these forests classified as intact. From 2000 to 2010, 1.02% of primary forest cover was lost due to clearing, and almost 2% of intact primary forests were degraded due to alteration and fragmentation. While primary forest clearing increased by a factor of two between 2000-2005 and 2005-2010, the degradation of intact forests slightly decreased. Fragmentation and selective logging were the leading causes of intact forest degradation, accounting for 91% of IFL area change. The 10 year forest degradation rate within designated logging permit areas was 3.8 times higher compared to other primary forest areas. Within protected areas the forest degradation rate was 3.7 times lower than in other primary forest areas. Forest degradation rates were high in the vicinity of major urban areas. Given the observed forest degradation rates, we infer that the degradation of intact forests could increase up to two-fold over the next decade.</t>
  </si>
  <si>
    <t>10.1088/1748-9326/8/2/024034</t>
  </si>
  <si>
    <t>IFL-76</t>
  </si>
  <si>
    <t>Rodriguez, Marco A.; Winemiller, Kirk O.; Lewis, William M., Jr.; Baechle, Donald C. Taphorn</t>
  </si>
  <si>
    <t>AQUATIC ECOSYSTEM HEALTH &amp; MANAGEMENT</t>
  </si>
  <si>
    <t>The freshwater habitats, fishes, and fisheries of the Orinoco River basin</t>
  </si>
  <si>
    <t>The Orinoco River of Venezuela and Colombia is one of the great rivers of the world, ranking third by discharge after the Amazon and the Congo. In the Orinoco basin, riverine and floodplain habitats, including riparian forests, play key roles in the conservation of biodiversity and support commercial, sport, and subsistence fisheries. The basin three major floodplains regulate the amplitude and duration of floods, maintain fertile agricultural terrain, provide habitat for numerous terrestrial and aquatic species, and support the fishery. The fish fauna, which includes some 1, 000 species, encompasses a great deal of ecological diversity in terms of geographic distributions, habitat affinities, functional morphology, and reproductive and feeding strategies. The Orinoco fishery is still multispecific, with around 80 different species found in the fish markets at different times of year Current estimates indicate that annual sustainable yield is 40,000-45, 000 metric tons. Fish culture in the region is underdeveloped despite decades of research and promotion. There is no serious commercial trade for ornamental fishes. Large regions of the Orinoco basin are still in a relatively pristine state, but aquatic resources are increasingly threatened by habitat destruction, overharvesting, pollution, and hydrological perturbation. Scientific understanding of diversity hotspots, critical habitats, and conservation status of fishes in the basin is currently insufficient to satisfy management needs. Compliance to fishery regulations is low and fishing is drastically modifying the relative abundance, population structure, and distribution of fish stocks. However many sectors of the Orinoco basin are unexploited or only lightly exploited, and fish stocks can recover quickly if given the opportunity. Stricter enforcement of current fishery regulations would reduce the likelihood of stock collapses and other possibly irreversible, changes in the fishery.</t>
  </si>
  <si>
    <t>10.1080/14634980701350686</t>
  </si>
  <si>
    <t>FSS-138</t>
  </si>
  <si>
    <t>Giblin, Shawn M.</t>
  </si>
  <si>
    <t>JOURNAL OF FRESHWATER ECOLOGY</t>
  </si>
  <si>
    <t>Identifying and quantifying environmental thresholds for ecological shifts in a large semi-regulated river</t>
  </si>
  <si>
    <t>Ecological shifts, between a clear macrophyte-dominated state and a turbid state dominated by phytoplankton and high inorganic suspended solids, have been well described in shallow lake ecosystems. While few documented examples exist in rivers, models predict regime shifts, especially in regulated rivers with high water retention time. Here I quantified ecological shifts in a large, semi-regulated floodplain river during a transition from a turbid-to a clear-water state using water quality, aquatic vegetation and fisheries data from a rigorous, standardized long-term data set. My findings indicate that significant changes occurred in total suspended solids concentration, aquatic macrophyte abundance, native and non-native fish biomass, fish functional feeding guild patterns, fish habitat guild assemblages and fish spawning guild assemblage patterns over a nearly 20-year period in Navigation Pool 8 of the Upper Mississippi River. Transitions in physical and biological indicators were examined to identify mechanisms underlying the ecological shifts. Environmental variables driving fish assemblage changes were identified (total suspended solids and aquatic vegetation) and management-relevant thresholds are presented. Awareness of management thresholds is critical for resource managers to implement measures to prevent the river from moving to a degraded state characterized by high non-native fish abundance and low predatory fish species abundance.</t>
  </si>
  <si>
    <t>10.1080/02705060.2017.1319431</t>
  </si>
  <si>
    <t>PFB-7</t>
  </si>
  <si>
    <t>Le Bris, Arnault; Mills, Katherine E.; Wahle, Richard A.; Chen, Yong; Alexander, Michael A.; Allyn, Andrew J.; Schuetz, Justin G.; Scott, James D.; Pershing, Andrew J.</t>
  </si>
  <si>
    <t>Climate vulnerability and resilience in the most valuable North American fishery</t>
  </si>
  <si>
    <t>Managing natural resources in an era of increasing climate impacts requires accounting for the synergistic effects of climate, ecosystem changes, and harvesting on resource productivity. Coincident with recent exceptional warming of the northwest Atlantic Ocean and removal of large predatory fish, the American lobster has become the most valuable fishery resource in North America. Using a model that links ocean temperature, predator density, and fishing to population productivity, we show that harvester-driven conservation efforts to protect large lobsters prepared the Gulf of Maine lobster fishery to capitalize on favorable ecosystem conditions, resulting in the record-breaking landings recently observed in the region. In contrast, in the warmer southern New England region, the absence of similar conservation efforts precipitated warming-induced recruitment failure that led to the collapse of the fishery. Population projections under expected warming suggest that the American lobster fishery is vulnerable to future temperature increases, but continued efforts to preserve the stock's reproductive potential can dampen the negative impacts of warming. This study demonstrates that, even though global climate change is severely impacting marine ecosystems, widely adopted, proactive conservation measures can increase the resilience of commercial fisheries to climate change.</t>
  </si>
  <si>
    <t>10.1073/pnas.1711122115</t>
  </si>
  <si>
    <t>PFB-52</t>
  </si>
  <si>
    <t>Perry, J. J.; Kutt, A. S.; Garnett, S. T.; Crowley, G. M.; Vanderduys, E. P.; Perkins, G. C.</t>
  </si>
  <si>
    <t>EMU</t>
  </si>
  <si>
    <t>Changes in the avifauna of Cape York Peninsula over a period of 9 years: the relative effects of fire, vegetation type and climate</t>
  </si>
  <si>
    <t>An essential component of conservation science is repeated surveys over time to monitor species that might be responding to local factors, such as land management, or more broadly to global change. A systematic survey of the avifauna of Cape York Peninsula was conducted in the late 1990s and early 2000s providing an ideal basal dataset for measuring change in the avifauna. A subset (n&gt;600) of these sites, primarily within savanna landscapes, was selected for re-survey in 2008 to investigate changes in bird communities on Cape York Peninsula. Changes in mean species richness varied across the study area (decreases in 59 grid cells and increases in 43) with no apparent pattern. Significant change in reporting rates was recorded in 30 species. Four sedentary and highly detectable species declined (Bar-shouldered Dove, Brown Treecreeper, Sulphur-crested Cockatoo and Pale-headed Rosella) and five increased (Peaceful Dove, Pheasant Coucal, Weebill, White-throated Honeyeater and Yellow Oriole). Habitat preference for the species that showed change remained relatively stable between the two survey periods. Some species that were recorded in very low numbers in the original survey and are considered to be threatened (Brown Treecreeper, Black-faced Woodswallow) remained in very low numbers or decreased in our survey suggesting that there has been no regional recovery of these species. Long-term monitoring can describe important patterns of species change over time, though in the case of large, highly seasonal environments like the tropical savannas, signals of change may manifest over decades rather than annually.</t>
  </si>
  <si>
    <t>10.1071/MU10009</t>
  </si>
  <si>
    <t>BSR-138</t>
  </si>
  <si>
    <t>Ollinger, SV; Aber, JD; Reich, PB; Freuder, RJ</t>
  </si>
  <si>
    <t>Interactive effects of nitrogen deposition, tropospheric ozone, elevated CO2 and land use history on the carbon dynamics of northern hardwood forests</t>
  </si>
  <si>
    <t>Temperate forests are affected by a wide variety of environmental factors that stem from human industrial and agricultural activities. In the north-eastern US, important change agents include tropospheric ozone, atmospheric nitrogen deposition, elevated CO2 , and historical human land use. Although each of these has received attention for its effects on forest carbon dynamics, integrated analyses that examine their combined effects are rare. To examine the relative importance of all of these factors on current forest growth and carbon balances, we included them individually and in combination in a forest ecosystem model that was applied over the period of 1700-2000 under different scenarios of air pollution and land use history.Results suggest that historical increases in CO2 and N deposition have stimulated forest growth and carbon uptake, but to different degrees following agriculture and timber harvesting. These differences resulted from the effects of each land use scenario on soil C and N pools and on the resulting degree of growth limitations by carbon vs. nitrogen. Including tropospheric ozone in the simulations offset a substantial portion of the increases caused by CO2 and N deposition. This result is particularly relevant given that ozone pollution is widespread across much of the world and because broad-scale spatial patterns of ozone are coupled with patterns of nitrogen oxide emissions. This was demonstrated across the study region by a significant correlation between ozone exposure and rates of N deposition and suggests that the reduction of N-induced carbon sinks by ozone may be a common phenomenon in other regions.Collectively, the combined effects of all physical and chemical factors we addressed produced growth estimates that were surprisingly similar to estimates obtained in the absence of any form of disturbance. The implication of this result is that intact forests may show relatively little evidence of altered growth since preindustrial times despite substantial changes in their physical and chemical environment.</t>
  </si>
  <si>
    <t>10.1046/j.1365-2486.2002.00482.x</t>
  </si>
  <si>
    <t>IFL-99</t>
  </si>
  <si>
    <t>Qie, Lan; Lewis, Simon L.; Sullivan, Martin J. P.; Lopez-Gonzalez, Gabriela; Pickavance, Georgia C.; Sunderland, Terry; Ashton, Peter; Hubau, Wannes; Abu Salim, Kamariah; Aiba, Shin-Ichiro; Banin, Lindsay F.; Berry, Nicholas; Brearley, Francis Q.; Burslem, David F. R. P.; Dancak, Martin; Davies, Stuart J.; Fredriksson, Gabriella; Hamer, Keith C.; Hedl, Radim; Kho, Lip Khoon; Kitayama, Kanehiro; Krisnawati, Haruni; Lhota, Stanislav; Malhi, Yadvinder; Maycock, Colin; Metali, Faizah; Mirmanto, Edi; Nagy, Laszlo; Nilus, Reuben; Ong, Robert; Pendry, Colin A.; Poulsen, Axel Dalberg; Primack, Richard B.; Rutishauser, Ervan; Samsoedin, Ismayadi; Saragih, Bernaulus; Sist, Plinio; Slik, J. W. Ferry; Sukri, Rahayu Sukmaria; Svatek, Martin; Tan, Sylvester; Tjoa, Aiyen; van Nieuwstadt, Mark; Vernimmen, Ronald R. E.; Yassir, Ishak; Susan Kidd, Petra; Fitriadi, Muhammad; Ideris, Nur Khalish Hafizhah; Serudin, Rafizah Mat; Lim, Layla Syaznie Abdullah; Saparudin, Muhammad Shahruney; Phillips, Oliver L.</t>
  </si>
  <si>
    <t>Long-term carbon sink in Borneo's forests halted by drought and vulnerable to edge effects</t>
  </si>
  <si>
    <t>Less than half of anthropogenic carbon dioxide emissions remain in the atmosphere. While carbon balance models imply large carbon uptake in tropical forests, direct on-the-ground observations are still lacking in Southeast Asia. Here, using long-term plot monitoring records of up to half a century, we find that intact forests in Borneo gained 0.43 Mg C ha(-1) per year (95% CI 0.14-0.72, mean period 1988-2010) above-ground live biomass. These results closely match those from African and Amazonian plot networks, suggesting that the world's remaining intact tropical forests are now en masse out-of-equilibrium. Although both pantropical and long-term, the sink in remaining intact forests appears vulnerable to climate and land use changes. Across Borneo the 1997-1998 El Nino drought temporarily halted the carbon sink by increasing tree mortality, while fragmentation persistently offset the sink and turned many edge-affected forests into a carbon source to the atmosphere.</t>
  </si>
  <si>
    <t>10.1038/s41467-017-01997-0</t>
  </si>
  <si>
    <t>IFL-58</t>
  </si>
  <si>
    <t>Amano, Tatsuya; Szekely, Tamas; Sandel, Brody; Nagy, Szabolcs; Mundkur, Taej; Langendoen, Tom; Blanco, Daniel; Soykan, Candan U.; Sutherland, William J.</t>
  </si>
  <si>
    <t>Successful conservation of global waterbird populations depends on effective governance</t>
  </si>
  <si>
    <t>Understanding global patterns of biodiversity change is crucial for conservation research, policies and practices. However, for most ecosystems, the lack of systematically collected data at a global level limits our understanding of biodiversity changes and their localscale drivers. Here we address this challenge by focusing on wetlands, which are among the most biodiverse and productive of any environments(1,2) and which provide essential ecosystem services(3,4), but are also amongst the most seriously threatened ecosystems(3,5). Using birds as an indicator taxon of wetland biodiversity, we model time-series abundance data for 461 waterbird species at 25,769 survey sites across the globe. We show that the strongest predictor of changes in waterbird abundance, and of conservation efforts having beneficial effects, is the effective governance of a country. In areas in which governance is on average less effective, such as western and central Asia, sub-Saharan Africa and South America, waterbird declines are particularly pronounced; a higher protected area coverage of wetland environments facilitates waterbird increases, but only in countries with more effective governance. Our findings highlight that sociopolitical instability can lead to biodiversity loss and undermine the benefit of existing conservation efforts, such as the expansion of protected area coverage. Furthermore, data deficiencies in areas with less effective governance could lead to underestimations of the extent of the current biodiversity crisis.</t>
  </si>
  <si>
    <t>10.1038/nature25139</t>
  </si>
  <si>
    <t>LSA-189</t>
  </si>
  <si>
    <t>Nemani, RR; Running, SW; Pielke, RA; CHase, TN</t>
  </si>
  <si>
    <t>JOURNAL OF GEOPHYSICAL RESEARCH-ATMOSPHERES</t>
  </si>
  <si>
    <t>Global vegetation cover changes from coarse resolution satellite data</t>
  </si>
  <si>
    <t>Land cover plays a key role in various biophysical processes related to global climate and terrestrial biogeochemistry. Although global land cover has dramatically changed over the last few centuries, until now there has been no consistent way of quantifying the changes globally. In this study we used long-term climate and soils data along with coarse resolution satellite observations to quantify the magnitude and spatial extent of large-scale land cover changes attributable to anthropogenic processes. Differences between potential leaf area index (LAI), derived from climate-soil-leaf area equilibrium, and actual leaf area index obtained from satellite data are used to estimate changes in land cover. Further, changes in LAI between potential and actual conditions are linked to climate by expressing them as possible changes in radiometric surface temperatures (T-r) resulting from changes in surface energy partitioning. As expected, areas with high population densities, such as India, China, and western Europe showed large reductions in LAI. Changes in global land cover expressed as summer, midafternoon T-r, ranged from -8 degrees to +16 degrees C. Deforestation resulted in an increase in T while irrigated agriculture reduced the T-r. Many of the current general circulation models (GCMs) use potential vegetation maps to represent global vegetation. Our results indicate that there are widespread changes in global land cover due to deforestation and agriculture below the resolution of many GCMs, and these changes could have a significant impact on climate. Potential and actual LAI data sets are available for climate modelers at 0.5 degrees x 0.5 degrees resolution to study the possible impacts of land cover changes on global temperatures and circulation patterns.</t>
  </si>
  <si>
    <t>10.1029/95JD02138</t>
  </si>
  <si>
    <t>LAI-128</t>
  </si>
  <si>
    <t>Zhang, Fangmin; Chen, Jing M.; Pan, Yude; Birdsey, Richard A.; Shen, Shuanghe; Ju, Weimin; He, Liming</t>
  </si>
  <si>
    <t>JOURNAL OF GEOPHYSICAL RESEARCH-BIOGEOSCIENCES</t>
  </si>
  <si>
    <t>Attributing carbon changes in conterminous U.S. forests to disturbance and non-disturbance factors from 1901 to 2010</t>
  </si>
  <si>
    <t>Recent climate variability (increasing temperature, droughts) and atmospheric composition changes (nitrogen deposition, rising CO2 concentration) along with harvesting, wildfires, and insect infestations have had significant effects on U. S. forest carbon (C) uptake. In this study, we attribute C changes in the conterminous U. S. forests to disturbance and non-disturbance factors with the help of forest inventory data, a continental stand age map, and an updated Integrated Terrestrial Ecosystem Carbon Cycle model (InTEC). We grouped factors into disturbances (harvesting, fire, insect infestation) and non-disturbances (CO2 concentration, N deposition, and climate variability) and estimated their subsequent impacts on forest regrowth patterns. Results showed that on average, the C sink in the conterminous U. S. forests from 1950 to 2010 was 206 Tg C yr(-1) with 87% (180 Tg C yr(-1)) of the sink in living biomass. Compared with the simulation of all factors combined, the estimated C sink would be reduced by 95 Tg C yr(-1) if disturbance factors were omitted, and reduced by 50 Tg C yr(-1) if non-disturbance factors were omitted. Our study also showed diverse regional patterns of C sinks related to the importance of driving factors. During 1980-2010, disturbance effects dominated the C changes in the South and Rocky Mountain regions, were almost equal to non-disturbance effects in the North region, and had minor effects compared with non-disturbance effects in the West Coast region.</t>
  </si>
  <si>
    <t>10.1029/2011JG001930</t>
  </si>
  <si>
    <t>NPP-20</t>
  </si>
  <si>
    <t>Tian, Hanqin; Melillo, Jerry; Lu, Chaoqun; Kicklighter, David; Liu, Mingliang; Ren, Wei; Xu, Xiaofeng; Chen, Guangsheng; Zhang, Chi; Pan, Shufen; Liu, Jiyuan; Running, Steven</t>
  </si>
  <si>
    <t>GLOBAL BIOGEOCHEMICAL CYCLES</t>
  </si>
  <si>
    <t>China's terrestrial carbon balance: Contributions from multiple global change factors</t>
  </si>
  <si>
    <t>The magnitude, spatial, and temporal patterns of the terrestrial carbon sink and the underlying mechanisms remain uncertain and need to be investigated. China is important in determining the global carbon balance in terms of both carbon emission and carbon uptake. Of particular importance to climate-change policy and carbon management is the ability to evaluate the relative contributions of multiple environmental factors to net carbon source and sink in China's terrestrial ecosystems. Here the effects of multiple environmental factors (climate, atmospheric CO2, ozone pollution, nitrogen deposition, nitrogen fertilizer application, and land cover/land use change) on net carbon balance in terrestrial ecosystems of China for the period 1961-2005 were modeled with newly developed, detailed historical information of these changes. For this period, results from two models indicated a mean land sink of 0.21 Pg C per year, with a multimodel range from 0.18 to 0.24 Pg C per year. The models' results are consistent with field observations and national inventory data and provide insights into the biogeochemical mechanisms responsible for the carbon sink in China's land ecosystems. In the simulations, nitrogen deposition and fertilizer applications together accounted for 61 percent of the net carbon storage in China's land ecosystems in recent decades, with atmospheric CO2 increases and land use also functioning to stimulate carbon storage. The size of the modeled carbon sink over the period 1961-2005 was reduced by both ozone pollution and climate change. The modeled carbon sink in response to per unit nitrogen deposition shows a leveling off or a decline in some areas in recent years, although the nitrogen input levels have continued to increase.</t>
  </si>
  <si>
    <t>10.1029/2010GB003838</t>
  </si>
  <si>
    <t>NPP-168</t>
  </si>
  <si>
    <t>Frolking, S.; Palace, M. W.; Clark, D. B.; Chambers, J. Q.; Shugart, H. H.; Hurtt, G. C.</t>
  </si>
  <si>
    <t>Forest disturbance and recovery: A general review in the context of spaceborne remote sensing of impacts on aboveground biomass and canopy structure</t>
  </si>
  <si>
    <t>Abrupt forest disturbances generating gaps &gt;0.001 km(2) impact roughly 0.4-0.7 million km(2) a(-1). Fire, windstorms, logging, and shifting cultivation are dominant disturbances; minor contributors are land conversion, flooding, landslides, and avalanches. All can have substantial impacts on canopy biomass and structure. Quantifying disturbance location, extent, severity, and the fate of disturbed biomass will improve carbon budget estimates and lead to better initialization, parameterization, and/or testing of forest carbon c ycle models. Spaceborne remote sensing maps large-scale forest disturbance occurrence, location, and extent, particularly with moderate- and fine-scale resolution passive optical/near-infrared (NIR) instruments. High-resolution remote sensing (e. g., similar to 1 m passive optical/NIR, or small footprint lidar) can map crown geometry and gaps, but has rarely been systematically applied to study small-scale disturbance and natural mortality gap dynamics over large regions. Reducing uncertainty in disturbance and recovery impacts on global forest carbon balance requires quantification of (1) predisturbance forest biomass; (2) disturbance impact on standing biomass and its fate; and (3) rate of biomass accumulation during recovery. Active remote sensing data (e. g., lidar, radar) are more directly indicative of canopy biomass and many structural properties than passive instrument data; a new generation of instruments designed to generate global coverage/sampling of canopy biomass and structure can improve our ability to quantify the carbon balance of Earth's forests. Generating a high-quality quantitative assessment of disturbance impacts on canopy biomass and structure with spaceborne remote sensing requires comprehensive, well designed, and well coordinated field programs collecting high-quality ground-based data and linkages to dynamical models that can use this information.</t>
  </si>
  <si>
    <t>10.1029/2008JG000911</t>
  </si>
  <si>
    <t>NPP-47</t>
  </si>
  <si>
    <t>Woltmann, S</t>
  </si>
  <si>
    <t>BIODIVERSITY AND CONSERVATION</t>
  </si>
  <si>
    <t>Bird community responses to disturbance in a forestry concession in lowland Bolivia</t>
  </si>
  <si>
    <t>Bird community characteristics of three sites with different levels of disturbance were studied using transect surveys during the dry season in a subtropical humid forest in Bolivia. One area had been unintentionally burned 4 years prior and selectively harvested (DIS) 1 year prior to sampling. A second area had been selectively harvested 1 year prior to sampling and had no recent history of fire (HAR). Species richness, as assessed by species-time curves and rarefaction, was higher in both altered areas than in undisturbed forest (INT). In general, frugivores and omnivores were more abundant in both altered areas compared to intact forest. Canopy frugivores, understory omnivores and multiple-strata omnivores were most abundant in HAR. Canopy frugivores, near-ground insectivores, understory and multiple-strata omnivores were least abundant in INT, although INT had the highest abundances of canopy insectivores and near-ground omnivores. Richness and abundance of widespread species with low habitat specificity was higher in both areas that experienced disturbance compared to intact forest. Differences in bird community structure between disturbed and intact forest at this site are attributed primarily to the addition of widespread species with less narrow habitat requirements, and possibly to changes in the distribution of different food types.</t>
  </si>
  <si>
    <t>10.1023/A:1024147529295</t>
  </si>
  <si>
    <t>IFL-97</t>
  </si>
  <si>
    <t>McGarigal, K; Romme, WH; Crist, M; Roworth, E</t>
  </si>
  <si>
    <t>LANDSCAPE ECOLOGY</t>
  </si>
  <si>
    <t>Cumulative effects of roads and logging on landscape structure in the San Juan Mountains, Colorado (USA)</t>
  </si>
  <si>
    <t>In the southern Rocky Mountains of temperate North America, the effects of Euro-American activities on disturbance regimes and landscape patterns have been less ubiquitous and less straightforward in high-elevation landscapes than in low-elevation landscapes. Despite apparently little change in the natural disturbance regime, there is increasing concern that forest management activities related mainly to timber harvest and to the extensive network of roads constructed to support timber harvest, fire control, and recreation since the late 1800s have altered disturbance regimes and landscape structure. We investigated the magnitude of change in landscape structure resulting from roads and logging since the onset of timber harvest activities in 1950. We found limited evidence for significant impacts in our study area when all lands within the landscape were considered. The relatively minor changes we observed reflected the vast buffering capacity of the large proportion of lands managed for purposes other than timber (e.g., wilderness). Significant changes in landscape structure and fragmentation of mature forest were, however, evident on lands designated as suitable timberlands. Roughly half of the mature coniferous forest was converted to young stands; mean patch size and core area declined by 40% and 25%, respectively, and contrast-weighted edge density increased 2- to 3-fold. Overall, roads had a greater impact on landscape structure than logging in our study area. Indeed, the 3-fold increase in road density between 1950-1993 accounted for most of the changes in landscape configuration associated with mean patch size, edge density, and core area. The extent of area evaluated and the period over which change was evaluated had a large impact on the magnitude of change detected and our conclusions regarding the ecological significance of those changes. Specifically, the cumulative impact on landscape structure was negligible over a 10-year period, but was notable over a 40-year period. In addition, the magnitude of change in landscape structure between 1950-1993 varied as a function of landscape extent. At the scale of the 228 000 ha landscape, change in landscape structure was trivial, suggesting that the landscape was capable of fully incorporating the disturbances with minimal impact. However, at intermediate scales of 1000-10 000 ha landscapes, change in landscape structure was quite evident, suggesting that there may be an optimal range of scales for detecting changes in landscape structure within the study area.</t>
  </si>
  <si>
    <t>10.1023/A:1011185409347</t>
  </si>
  <si>
    <t>ERW-121</t>
  </si>
  <si>
    <t>ERW</t>
  </si>
  <si>
    <t>OgutuOhwayo, R; Hecky, RE; Cohen, AS; Kaufman, L</t>
  </si>
  <si>
    <t>ENVIRONMENTAL BIOLOGY OF FISHES</t>
  </si>
  <si>
    <t>Human impacts on the African Great Lakes</t>
  </si>
  <si>
    <t>The African Great Lakes are important sources of fishes and water for domestic use, are used as avenues of transport, and receive agricultural, domestic and industrial effluents and atmospheric residues. Some of these lakes have speciose fish faunas of great interest to science. The catchment areas of some of the lakes are highly populated and user conflicts have increased the demands on the lakes' resources. There have been drastic reductions in fish stocks in most of the lakes due to overfishing. Introductions of new fish species, though followed by increases in fish catches, have been accompanied by a decline and in some cases extinction of native fish species. Some of the lakes have been invaded by the water hyacinth, Eichhornia crassipes. Agricultural activities, deforestation and devegetation of the catchment areas have increased siltation, and led to loss of suitable habitats and biodiversity. There are increased nutrient inputs from agriculture, sewage and industrial discharges and combustion processes which can cause eutrophication. There are also increased threats of toxic pollution from industrial waste discharge, mining, pesticides, and oil residues and spills. Climatic changes may also affect thermal stability of the lakes. These factors threaten availability of dietary protein, clean water and biodiversity. National and international efforts are required to manage the fisheries, guide the introduction of exotics, conserve biodiversity, control the water hyacinth, control eutrophication, reduce input of contaminants and manage climate change.</t>
  </si>
  <si>
    <t>10.1023/A:1007320932349</t>
  </si>
  <si>
    <t>FSS-11</t>
  </si>
  <si>
    <t>Wilting, Harry C.; Schipper, Aafke M.; Bakkenes, Michel; Meijer, Johan R.; Huijbregts, Mark A. J.</t>
  </si>
  <si>
    <t>Quantifying Biodiversity Losses Due to Human Consumption: A Global-Scale Footprint Analysis</t>
  </si>
  <si>
    <t>It is increasingly recognized that human consumption leads to considerable losses of biodiversity. This study is the first to systematically quantify these losses in relation to land use and greenhouse gas (GHG) emissions associated with the production and consumption of (inter)nationally traded goods and services by presenting consumption-based biodiversity losses, in short biodiversity footprint, for 45 countries and world regions globally. Our results showed that (i) the biodiversity loss per citizen shows large variations among countries, with higher values when per-capita income increases; (ii) the share of biodiversity losses due to GHG emissions in the biodiversity footprint increases with income; (iii) food consumption is the most important driver of biodiversity loss in most of the countries and regions, with a global average of 40%; (iv) more than 50% of the biodiversity loss associated with consumption in developed economies occurs outside their territorial boundaries; and (v) the biodiversity footprint per dollar consumed is lower for wealthier countries. The insights provided by our analysis might support policymakers in developing adequate responses to avert further losses of biodiversity when population and incomes increase. Both the mitigation of GHG emissions and land use related reduction options in production and consumption should be considered in strategies to protect mean species abundance consumption global biodiversity.</t>
  </si>
  <si>
    <t>10.1021/acs.est.6b05296</t>
  </si>
  <si>
    <t>MSA-27</t>
  </si>
  <si>
    <t>Croxall, John P.; Butchart, Stuart H. M.; Lascelles, Ben; Stattersfield, Alison J.; Sullivan, Ben; Symes, Andy; Taylor, Phil</t>
  </si>
  <si>
    <t>BIRD CONSERVATION INTERNATIONAL</t>
  </si>
  <si>
    <t>Seabird conservation status, threats and priority actions: a global assessment</t>
  </si>
  <si>
    <t>We review the conservation status of, and threats to, all 346 species of seabirds, based on BirdLife International's data and assessments for the 2010 IUCN Red List. We show that overall, seabirds are more threatened than other comparable groups of birds and that their status has deteriorated faster over recent decades. The principal current threats at sea are posed by commercial fisheries (through competition and mortality on fishing gear) and pollution, whereas on land, alien invasive predators, habitat degradation and human disturbance are the main threats. Direct exploitation remains a problem for some species both at sea and ashore. The priority actions needed involve: a) formal and effective site protection, especially for Important Bird Area (IBA) breeding sites and for marine IBA feeding and aggregation sites, as part of national, regional and global networks of Marine Protected Areas; b) removal of invasive, especially predatory, alien species (a list of priority sites is provided), as part of habitat and species recovery initiatives; and c) reduction of bycatch to negligible levels, as part of comprehensive implementation of ecosystem approaches to fisheries. The main knowledge gaps and research priorities relate to the three topics above but new work is needed on impacts of aquaculture, energy generation operations and climate change (especially effects on the distribution of prey species and rise in sea level). We summarise the relevant national and international jurisdictional responsibilities, especially in relation to endemic and globally threatened species.</t>
  </si>
  <si>
    <t>10.1017/S0959270912000020</t>
  </si>
  <si>
    <t>IUC-2</t>
  </si>
  <si>
    <t>Kirby, Jeff S.; Stattersfield, Alison J.; Butchart, Stuart H. M.; Evans, Michael I.; Grimmett, Richard F. A.; Jones, Victoria R.; O'Sullivan, John; Tucker, Graham M.; Newton, Ian</t>
  </si>
  <si>
    <t>Key conservation issues for migratory land- and waterbird species on the world's major flyways</t>
  </si>
  <si>
    <t>An estimated 19% of the world's 9,856 extant bird species are migratory, including some 1,600 species of land- and waterbirds. In 2008, 11% of migratory land- and waterbirds were classed by BirdLife International as threatened or near-threatened on the IUCN Red List. Red List indices show that these migrants have become more threatened since 1988, with 33 species deteriorating and just six improving in status. There is also increasing evidence of regional declines. Population trend data show that more Nearctic-Neotropical migrants have declined than increased in North America since the 1980s, and more Palearctic-Afrotropical migrants breeding in Europe declined than increased during 1970-2000. Reviews of the status of migratory raptors show unfavourable conservation status for 51% of species in the African-Eurasian region (in 2005), and 33% of species in Central, South and East Asia (in 2007). Land-use change owing to agriculture is the most frequently cited threat affecting nearly 80% of all threatened and near-threatened species. However, while agricultural intensification on the breeding grounds is often proposed as the major driver of declines in Palearctic-Afrotropical migrants, some species appear to be limited by the quantity and quality of available habitat in non-breeding areas, notably the drylands of tropical Africa. Forest fragmentation in breeding areas has contributed to the declines of Nearctic-Neotropical migrants with deforestation in non-breeding areas another possible factor. Infrastructure development including wind turbines, cables, towers and masts can also be a threat. Over-harvesting and persecution remain serious threats, particularly at key migration locations. Climate change is affecting birds already, is expected to exacerbate all these pressures, and may also increase competition between migratory and non-migratory species. The conservation of migratory birds thus requires a multitude of approaches. Many migratory birds require effective management of their critical sites, and Important Bird Areas (IBAs) provide an important foundation for such action; however to function effectively in conserving migratory species, IBAs need to be protected and the coherence of the network requires regular review. Since many migratory species (c. 55%) are widely dispersed across their breeding or non-breeding ranges, it is essential to address the human-induced changes at the wider landscape scale, a very considerable challenge. Efforts to conserve migratory birds in one part of the range are less effective if unaddressed threats are reducing these species' populations and habitats elsewhere. International collaboration and coordinated action along migration flyways as a whole are thus key elements in any strategy for the conservation of migratory birds.</t>
  </si>
  <si>
    <t>10.1017/S0959270908000439</t>
  </si>
  <si>
    <t>RLI-36</t>
  </si>
  <si>
    <t>Tin, T.; Fleming, Z. L.; Hughes, K. A.; Ainley, D. G.; Convey, P.; Moreno, C. A.; Pfeiffer, S.; Scott, J.; Snape, I.</t>
  </si>
  <si>
    <t>ANTARCTIC SCIENCE</t>
  </si>
  <si>
    <t>Impacts of local human activities on the Antarctic environment</t>
  </si>
  <si>
    <t>We review the scientific literature, especially from the past decade, on the impacts of human activities on the Antarctic environment. A range of impacts has been identified at a variety of spatial and temporal scales. Chemical contamination and sewage disposal on the continent have been found to be long-lived. Contemporary sewage management practices at many coastal stations are insufficient to prevent local contamination but no introduction of non-indigenous organisms through this route has yet been demonstrated. Human activities, particularly construction and transport, have led to disturbances of flora and fauna. A small number of non-indigenous plant and animal species has become established, mostly on the northern Antarctic Peninsula and southern archipelagos of the Scotia Arc. There is little indication of recovery of overexploited fish stocks, and ramifications of fishing activity oil bycatch species and the ecosystem could also be far-reaching. The Antarctic Treaty System and its instruments, in particular the Convention for the Conservation of Antarctic Marine Living Resources and the Environmental Protocol, provide a framework within which management of human activities take place. In the face of the continuing expansion of human activities in Antarctica, a more effective implementation of a wide range of measures is essential, in order to ensure comprehensive protection of the Antarctic environment, including its intrinsic, wilderness and scientific values which remains a fundamental principle of the Antarctic Treaty System. These measures include effective environmental impact assessments, long-term monitoring, mitigation measures for non-indigenous species, ecosystem-based management of living resources, and increased regulation of National Antarctic Programmes and tourism activities.</t>
  </si>
  <si>
    <t>10.1017/S0954102009001722</t>
  </si>
  <si>
    <t>ERW-59</t>
  </si>
  <si>
    <t>Unclear or not specified</t>
  </si>
  <si>
    <t xml:space="preserve">This paper is about Antarctic </t>
  </si>
  <si>
    <t>Scheffler, PY</t>
  </si>
  <si>
    <t>JOURNAL OF TROPICAL ECOLOGY</t>
  </si>
  <si>
    <t>Dung beetle (Coleoptera : Scarabaeidae) diversity and community structure across three disturbance regimes in eastern Amazonia</t>
  </si>
  <si>
    <t>Anthropogenic disturbance in Amazonian forests has increased dramatically since the early 1980s and forest disturbance is expected to continue in the early twenty-first century. Logging and conversion to pasture for cattle are two of the largest causes of forest disturbance and destruction. This study examined the distribution and diversity of dung beetles (Coleoptera: Scarabacidae) in intact forest and under three disturbance regimes (selective logging, clear-cutting and pasture) in a forest tract in southern Para state, Brazil. Dung beetles were collected using facces-baited pitfall traps, then identified, measured and weighed. Principal Components Analyses and the Sorensen's Index indicated that the intact and selectively logged areas were similar in terms of species composition but that the pasture areas and clear-cut areas had substantially different groups of species. Beetle size and diversity (as measured by species richness, Shannon index and Simpson's index) were lower in clear-cuts and pasture than in intact forest. The selectively logged forest was no less diverse than intact forest. and beetles were the same size or larger than those in intact forest. Total beetle biomass, however, was highest in the pasture due to the abundance of small-bodicd beetles in this habitat. While the fact that selective logging has a relatively minor impact on the dung beetle community is heartening, the projected increase in the amount of highly disturbed landscape in Amazonia is expected to have a severe impact on dung beetle biodiversity in the region.</t>
  </si>
  <si>
    <t>10.1017/S0266467404001683</t>
  </si>
  <si>
    <t>IFL-157</t>
  </si>
  <si>
    <t>Abraham, Robin Kurian; Kelkar, Nachiket</t>
  </si>
  <si>
    <t>ORYX</t>
  </si>
  <si>
    <t>Do terrestrial protected areas conserve freshwater fish diversity? Results from the Western Ghats of India</t>
  </si>
  <si>
    <t>Terrestrial protected areas are often designated in inaccessible high elevation regions, and usually targeted towards conservation of charismatic large mammals and birds. It has been suggested that such protected areas, with partial coverage of riverine habitats, may not be adequate for conservation of freshwater taxa such as fishes. Also, protected areas are often designated in upstream catchments of dam reservoirs, and conservation of freshwater biodiversity is usually not a priority. We investigated the importance of existing protected areas for conservation of stream fishes within and across three dammed and two undammed rivers in the southern Western Ghats, India (a global biodiversity hotspot). Comparisons of stream sites in protected and unprotected areas were restricted to mid elevations because of confounding factors of dams, elevation and stream order. For dammed rivers, endemic and total species richness was significantly higher inside protected areas than unprotected areas. Total fish species richness increased with decreasing elevation and endemic species richness peaked at mid elevations. Species found in comparable stream orders across dammed and undammed midland river reaches were similar. Intensity of threats such as sand mining, dynamite fishing, pollution and introduced invasive fishes was higher in unprotected than in protected areas. Lack of awareness among managers has also led to the occurrence of some threats within protected areas. However, existing protected areas are vital for conservation of endemic fishes. Our results support the need for extending the scope of terrestrial protected areas towards better representation of freshwater ecosystems and biodiversity.</t>
  </si>
  <si>
    <t>10.1017/S0030605311000937</t>
  </si>
  <si>
    <t>BSR-28</t>
  </si>
  <si>
    <t>Jenkins, Richard K. B.; Andriafidison, Daudet; Razafimanahaka, H. Julie; Rabearivelo, Andriamanana; Razafindrakoto, Noromampiandra; Ratsimandresy, Zo; Andrianandrasana, Rabe H.; Razafimahatratra, Emilienne; Racey, Paul A.</t>
  </si>
  <si>
    <t>Not rare, but threatened: the endemic Madagascar flying fox Pteropus rufus in a fragmented landscape</t>
  </si>
  <si>
    <t>The endemic Madagascar flying fox Pteropus rufus is threatened by habitat loss at roost sites and hunting for bushmeat. There is no conservation plan for this species, even though it is categorized on the IUCN Red List as Vulnerable and plays an important role as a seed disperser. In the Mangoro valley of central eastern Madagascar we monitored roost occupancy and abundance of P. rufus on 15 occasions at six sites over a 12-month period and conducted a detailed assessment of eight roosts during July 2004. There was considerable monthly variation in bat abundance and only two sites contained bats during every visit. Three sites were occupied only between September and March and may act as maternity or nursery roosts. Evidence of hunting was found at three roosts, and fire and forest clearance are ubiquitous threats. Two roosts were in Eucalyptus plantations and six were in small (2.2 - 28.7 ha) isolated fragments of degraded, mid elevation dense humid forest. All roosts were outside protected areas but were within 20 km of relatively intact forest. Faecal analysis revealed a diet of native forest tree species, cultivated fruits and Eucalyptus flowers. P. rufus in the Mangoro valley, and elsewhere in Madagascar, appears to survive in human-impacted environments by the inclusion of exotic plants in its diet and the ability to move between roosts. We provide conservation recommendations for P. rufus at both local and national levels.</t>
  </si>
  <si>
    <t>10.1017/S0030605307001883</t>
  </si>
  <si>
    <t>IFL-19</t>
  </si>
  <si>
    <t>Lewis, John B.</t>
  </si>
  <si>
    <t>ADVANCES IN MARINE BIOLOGY, VOL 50</t>
  </si>
  <si>
    <t>Biology and ecology of the hydrocoral Millepora on coral reefs</t>
  </si>
  <si>
    <t>Millepores are colonial polypoidal hydrozoans secreting an internal calcareous skeleton of an encrusting or upright form, often of considerable size. Defensive polyps protruding from the skeleton are numerous and highly toxic and for this reason millepores are popularly known as "stinging corals" or 'fire corals. " In shallow tropical seas millepore colonies are conspicuous on coral reefs and may be locally abundant and important reef-framework builders. The history of systematic research on the Milleporidae and the sister family Stylasteridae is rich and full with the works of early naturalists beginning with Linnaeus. Seventeen living millepore species are recognised. Marked phenotypic variation inform and structure of colonies is characteristic of the genus Millepora. The first published descriptions of the anatomy and histology of millepores were by H. N. Moseley in one of the Challenger Expedition reports. These original, detailed accounts by Moseley remain valid and, except for recent descriptions of the ultrastructure of the skeleton and skeletogenic tissues, have not needed much modification.Millepores occur worldwide on coral reefs at depths of between I and 40 m and their distribution on reefs is generally zoned in response to physical factors. Colonies may be abundant locally on coral reefs but usually comprise &lt; 10% of the overall surface cover. Growth rates of colonies are similar to the measured rates of branching and platelike scleractinian corals. Millepores are voracious zooplankton feeders and they obtain part of their nutrition from autotrophic sources, photosynthetic production by symbiotic zooxanthellae.Reproduction in millepores is characterised by alternation of generations with a well-developed polypoid stage that buds off planktonic medusae. Sexual reproduction is seasonal for known species and the medusae have a brief planktonic life. Asexual production is achieved by sympodial growth, the production of new skeleton and soft tissue along a growing edge or branch tip, and by the reattachment, regeneration and repair of damaged or broken colony fragments.The physiological and ecological responses of species of millepores are similar to those of the species of scleractinian corals over a broad range of natural and anthropogenic disturbances. Severe damage to colonies may occur during major storms. Delicately branching species are more susceptible than massive and bladed species. The ability of broken fragments to regenerate can ameliorate the extent of damage. Widespread bleaching and mortality of millepores has been reported during mass bleaching events that have affected many coral reefs. Millepores are often the first to recover after short-term bleaching events. Harmful effects of oil spills, chronic oil pollution and oil-spill detergents have been widely reported for millepores.Although the hydrozoan coenosarc, with its fiercely stinging zooids, does not appear to be an attractive substratum for attachment and settlement Of epizooans, a number of sessile and errant forms commonly occur on millepores. These include barnacles, amphipods, tanaid and alpheid crustaceans, polychaetes and gastropods. Burrowing molluscs, polychaetes and crustacea also abound. Many of these species or their close relatives also occur on scleractinian corals. A variety of predators, grazers and fouling organisms occur on millepores. These include errant polychaetes, several coral-feeding fish and a gastropod mollusc. Various invasive green, red and brown algae are widespread, growing on dead branches of millepores and overgrowing live coral tissue. Various "band diseases" associated with microorganisms that appear to cause lesions on millepores and loss of tissue have been documented but are not of widespread occurrence. Infestations of endolithic algae and fungi growing within the skeletons have been reported in a number of millepore species.</t>
  </si>
  <si>
    <t>10.1016/S0065-2881(05)50001-4</t>
  </si>
  <si>
    <t>LCC-1</t>
  </si>
  <si>
    <t>Beja, P; Alcazar, R</t>
  </si>
  <si>
    <t>Conservation of Mediterranean temporary ponds under agricultural intensification: an evaluation using amphibians</t>
  </si>
  <si>
    <t>This study examined responses of amphibians breeding in Mediterranean temporary ponds to a gradient of agricultural intensification, aiming to identify land uses and management prescriptions favouring the conservation of these habitats in farmed landscapes. Larval amphibian assemblages and habitat attributes were sampled at 57 ponds, 10 of which had been converted into permanent irrigation reservoirs. Species richness increased with area and hydroperiod in temporary ponds, with the addition of rare species to ponds with long hydroperiods resulting in a tendency for the less widespread species (e.g. Triturus marmoratus and T. boscai) to occur in the most species-rich ponds, while species-poor ponds consisted predominantly of widespread species only (nested pattern). However, one species (Pelodytes punctatus) was largely restricted to the most ephemeral ponds, whereas permanent irrigation reservoirs were species-poor and lacked most species occurring in temporary waters. The strongest negative correlates of amphibian abundances were the intensification of agricultural land uses, the transformation of ponds into permanent reservoirs and the introduction of exotic predators (fish and crayfish) from the irrigation channels. The results suggest that conservation of temporary pond amphibian assemblages in Mediterranean farmland requires networks of ponds with diverse hydroperiods, where the natural hydrologic regimes, less intensive land uses and isolation from irrigation waters should be preserved. (C) 2003 Elsevier Ltd. All rights reserved.</t>
  </si>
  <si>
    <t>10.1016/S0006-3207(03)00051-X</t>
  </si>
  <si>
    <t>PFB-194</t>
  </si>
  <si>
    <t>Wilcove, David S.; Giam, Xingli; Edwards, David P.; Fisher, Brendan; Koh, Lian Pin</t>
  </si>
  <si>
    <t>Navjot's nightmare revisited: logging, agriculture, and biodiversity in Southeast Asia</t>
  </si>
  <si>
    <t>In 2004, Navjot Sodhi and colleagues warned that logging and agricultural conversion of Southeast Asia's forests were leading to a biodiversity disaster. We evaluate this prediction against subsequent research and conclude that most of the fauna of the region can persist in logged forests. Conversely, conversion of primary or logged forests to plantation crops, such as oil palm, causes tremendous biodiversity loss. This loss is exacerbated by increased fire frequency. Therefore, we conclude that preventing agricultural conversion of logged forests is essential to conserving the biodiversity of this region. Our analysis also suggests that, because Southeast Asian forests are tightly tied to global commodity markets, conservation payments commensurate with combined returns from logging and subsequent agricultural production may be required to secure long-term forest protection.</t>
  </si>
  <si>
    <t>10.1016/j.tree.2013.04.005</t>
  </si>
  <si>
    <t>BSR-199</t>
  </si>
  <si>
    <t>Lotze, Heike K.; Coll, Marta; Magera, Anna M.; Ward-Paige, Christine; Airoldi, Laura</t>
  </si>
  <si>
    <t>Recovery of marine animal populations and ecosystems</t>
  </si>
  <si>
    <t>Many marine populations and ecosystems have experienced strong historical depletions, yet reports of recoveries are increasing. Here, we review the growing research on marine recoveries to reveal how common recovery is, its magnitude, timescale and major drivers. Overall, 10-50% of depleted populations and ecosystems show some recovery, but rarely to former levels of abundance. In addition, recovery can take many decades for long-lived species and complex ecosystems. Major drivers of recovery include the reduction of human impacts, especially exploitation, habitat loss and pollution, combined with favorable life-history and environmental conditions. Awareness, legal protection and enforcement of management plans are also crucial. Learning from historical recovery successes and failures is essential for implementing realistic conservation goals and promising management strategies.</t>
  </si>
  <si>
    <t>10.1016/j.tree.2011.07.008</t>
  </si>
  <si>
    <t>PFB-21</t>
  </si>
  <si>
    <t>Lotze, Heike K.; Worm, Boris</t>
  </si>
  <si>
    <t>Historical baselines for large marine animals</t>
  </si>
  <si>
    <t>Current trends in marine ecosystems need to be interpreted against a solid understanding of the magnitude and drivers of past changes. Over the last decade, marine scientists from different disciplines have engaged in the emerging field of marine historical ecology to reconstruct past changes in the sea. Here we review the diversity of approaches used and resulting patterns of historical changes in large marine mammals, birds, reptiles and fish. Across 256 reviewed records, exploited populations declined 89% from historical abundance levels (range: 11-100%). In many cases, long-term fluctuations are related to climate variation, rapid declines to overexploitation and recent recoveries to conservation measures. These emerging historical patterns offer new insights into past ecosystems, and provide important context for contemporary ocean management.</t>
  </si>
  <si>
    <t>10.1016/j.tree.2008.12.004</t>
  </si>
  <si>
    <t>PFB-24</t>
  </si>
  <si>
    <t>Liu, Peilong; Hao, Lu; Pan, Cen; Zhou, Decheng; Liu, Yongqiang; Sun, Ge</t>
  </si>
  <si>
    <t>Combined effects of climate and land management on watershed vegetation dynamics in an arid environment</t>
  </si>
  <si>
    <t>Leaf area index (LAI) is a key parameter to characterize vegetation dynamics and ecosystem structure that determines the ecosystem functions and services such as clean water supply and carbon sequestration in a watershed. However, linking LAI dynamics and environmental controls (i.e., coupling biosphere, atmosphere, and anthroposphere) remains challenging and such type of studies have rarely been done at a watershed scale due to data availability. The present study examined the spatial and temporal variations of LAI for five ecosystem types within a watershed with a complex topography in the Upper Heihe River Basin, a major inland river in the arid and semi-arid western China. We integrated remote sensing-based GLASS (Global Land Surface Satellite) LAI products, interpolated climate data, watershed characteristics, and land management records for the period of 2001-2012. We determined the relationships among LAI, topography, air temperature and precipitation, and grazing history by five ecosystem types using several advanced statistical methods. We show that long-term mean LAI distribution had an obvious vertical pattern as controlled by precipitation and temperature in a hilly watershed. Overall, watershed-wide mean LAI had an increasing trend overtime for all ecosystem types during 2001-2012, presumably as a result of global warming and a wetting climate. However, the fluctuations of observed LAI at a pixel scale (1 km) varied greatly across the watershed. We classified the vegetation changes within the watershed as 'Improved', 'Stabilized', and 'Degraded' according their respective LAI changes. We found that climate was not the only driver for temporal vegetation changes for all land cover types. Grazing partially contributed to the decline of LAI in some areas and masked the positive climate warming effects in other areas. Extreme weathers such as cold spells and droughts could substantially affect inter-annual variability of LAI dynamics. We concluded that temporal and spatial LAI dynamics were rather complex and were affected by both climate variations and human disturbances in the study basin. Future monitoring studies should focus on the functional interactions among vegetation dynamics, climate variations, land management, and human disturbances. Published by Elsevier B.V.</t>
  </si>
  <si>
    <t>10.1016/j.scitotenv.2017.02.210</t>
  </si>
  <si>
    <t>LAI-74</t>
  </si>
  <si>
    <t>Davies, J. A. C.; Tipping, E.; Whitmore, A. P.</t>
  </si>
  <si>
    <t>150 years of macronutrient change in unfertilized UK ecosystems: Observations vs simulations</t>
  </si>
  <si>
    <t>Understanding changes in plant-soil C, N and P using data alone is difficult due to the linkages between carbon, nitrogen and phosphorus cycles (C, Nand P), andmultiple changing long-termdrivers (e.g. climate, land-use, and atmospheric N deposition). Hence, dynamic models are a vital tool for disentangling these drivers, helping us understand the dominant processes and drivers and predict future change. However, it is essential that models are tested against data if their outputs are to be concluded uponwith confidence. Here, a simulation of C, N and P cycles using the N14CP modelwas compared with time-series observations of C, N and P in soils and biomass from the Rothamsted Research long-termexperiments spanning 150 years, providing an unprecedented temporal integrated test of such a model. N14CP reproduced broad trends in soil organicmatter (SOM) C, N and P, vegetation biomass and N and P leaching. Subsequently, the model was used to decouple the effects of land management and elevated nitrogen deposition in these experiments. Elevated N deposition over the last 150 years is shown to have increased net primary productivity (NPP) 4.5-fold and total carbon sequestration 5-fold at the Geescroft Wilderness experiment, which was re-wilded to woodland in 1886. In contrast, the model predicts that for cropped grassland conditions at the Park Grass site, elevated N deposition has very little effect on SOM, as increases in NPP are diverted from the soil. More broadly, these results suggest that N deposition is likely to have had a large effect on SOM and NPP in northern temperate and boreal semi-natural grasslands and forests. However, in cropped and grazed systems in the same region, whilst NPP may have been supported in part by elevated N deposition, declines in SOM may not have been appreciably counteracted by increased N availability. (C) 2016 The Authors. Published by Elsevier B.V.</t>
  </si>
  <si>
    <t>10.1016/j.scitotenv.2016.03.055</t>
  </si>
  <si>
    <t>ERW-165</t>
  </si>
  <si>
    <t>Wu, Shaohua; Zhou, Shenglu; Chen, Dongxiang; Wei, Zongqiang; Dai, Liang; Li, Xingong</t>
  </si>
  <si>
    <t>Determining the contributions of urbanisation and climate change to NPP variations over the last decade in the Yangtze River Delta, China</t>
  </si>
  <si>
    <t>Terrestrial net primary production (NPP) is an important measure of global change, and identifying the relative contributions of urbanisation and climate change to NPP is important for understanding the impact of human and natural influences on terrestrial systems and the carbon cycle. The objective of this study was to reveal how urbanisation and climate drive changes in NPP. Satellite-based estimates of NPP collected over a 12-year period (1999-2010) were analysed to identify NPP variations in the Yangtze River Delta. Temporal and spatial analysis methods were used to identify the relationships among NPP, nighttime light urbanisation index values, and climatic factors from pixel to regional scales. The NPP of the entire Yangtze River Delta decreased slightly at a rate of -0.5 g C m(-2) a(-1) from 1999 to 2010, but this change was not significant. However, in the urban region, NPP decreased significantly (p &lt; 0.05) at a rate of -4.7 g C m(-2) a(-1) due to urbanisation processes. A spatially explicit method was proposed to partition the relative contributions of urbanisation and climate change to NPP variation. The results revealed that the urbanisation factor is the main driving force for NPP change in high-speed urbanisation areas, and the factor accounted for 47% of the variations. However, in the forest and farm regions, the NPP variation was mainly controlled by climate change and residual factors. (C) 2013 Elsevier B.V. All rights reserved.</t>
  </si>
  <si>
    <t>10.1016/j.scitotenv.2013.10.128</t>
  </si>
  <si>
    <t>NPP-73</t>
  </si>
  <si>
    <t>Lai, Racliffe W. S.; Perkins, Matthew J.; Ho, Kevin K. Y.; Astudillo, Juan C.; Yung, Mana M. N.; Russell, Bayden D.; Williams, Gray A.; Leung, Kenneth M. Y.</t>
  </si>
  <si>
    <t>REGIONAL STUDIES IN MARINE SCIENCE</t>
  </si>
  <si>
    <t>Hong Kong's marine environments: History, challenges and opportunities</t>
  </si>
  <si>
    <t>Located within the tropics, Hong Kong has diverse marine habitats which host a rich marine biodiversity (similar to 6000 known species). Its marine environment is, however, under considerable anthropogenic pressure and continuous deterioration from rapid population growth and constant coastal development. This review summarizes the present status of the marine environment of Hong Kong from the perspectives of habitat loss and fragmentation, pollution, biological invasion, over-exploitation and climate change, which are the major threats identified by the IUCN to marine ecosystems. The Chinese white dolphin population ( Sousa chinensis; one of the two resident marine mammals in Hong Kong) is at a historic low and continues to decline due to habitat loss through land reclamation, pollution, and intense marine traffic. Much of Hong Kong's coastal water is degraded by both substantial local and transboundary pollution from the Pearl River Delta, leading to eutrophication and harmful algal blooms. Exposure risk to introduced exotic species is high, as Hong Kong is both the fourth busiest harbour in the world and release of animals into the marine environment during religious ceremonies is a common practice of local Buddhists and Taoists. The high consumption of seafood has stressed fishery stocks in Hong Kong and its supplying countries. All these impacts are compounded by the often insidious, but pressing, challenges of climate change, with warming temperatures and increasing acidity of coastal waters. Given these known and emerging threats, Hong Kong serves as a living laboratory to investigate the impacts of both global and local activities and, where possible, develop solutions which could be implemented globally. (C) 2016 Elsevier B.V. All rights reserved.</t>
  </si>
  <si>
    <t>10.1016/j.rsma.2016.09.001</t>
  </si>
  <si>
    <t>IUC-10</t>
  </si>
  <si>
    <t>Araujo, Francisco Gerson; Costa de Azevedo, Marcia Cristina; Penha Guedes, Ana Paula</t>
  </si>
  <si>
    <t>Inter-decadal changes in fish communities of a tropical bay in southeastern Brazil</t>
  </si>
  <si>
    <t>Long-term evaluations of coastal fish communities worldwide have in many cases showed a decrease in the species richness and abundance as a result of anthropogenic impacts. Fish communities in two zones (inner and outer) of a tropical bay in southeastern Brazil were sampled monthly during six years over two decades (1983-1985, 1993-1995, 1999-2001) using identical sampling methods. Over time, an increase in temperature and a decrease in water transparency were detected, while salinity remained stable. Fish assemblage was dominated by benthivorous species both migrant and resident species. The fish assemblage structure differed significantly between the two bay zones. Significant decreases in the fish richness, abundance and biomass were detected over time. The highest decreases in the species richness was recorded between 1983-1985 and 1993-1995 for the marine migrants in both bay zones and for the resident and marine straggler species in the outer zone. Dominant species such as the clupeoids Anchoa januaria, Anchoa tricolor, Harengula clupeola, the gerreid Eucinostomos argenteus, the sciaenid Micropogonias furnieri, the atherinopsid Atherinella brasiliensis and the ariid Genidens barbus decreased over time, whereas the mugilid Mugil liza increased. Persistent differences in the fish assemblage structure between the two bay zones over the three periods can be attributed at least in part to differences in environmental variables between the zones and seem to be a key ecological element to maintenance of biodiversity. This is the first study to examine long-term changes in the fish community of a tropical bay in Brazil. (C) 2015 Elsevier B.V. All rights reserved.</t>
  </si>
  <si>
    <t>10.1016/j.rsma.2015.06.001</t>
  </si>
  <si>
    <t>LSA-53</t>
  </si>
  <si>
    <t>Grahmann, Eric D.; Fulbright, Timothy E.; Hernandez, Fidel; Hehman, Michael W.; Wester, David B.; Ortega-Santos, Alfonso; Martin, Blake A.</t>
  </si>
  <si>
    <t>RANGELAND ECOLOGY &amp; MANAGEMENT</t>
  </si>
  <si>
    <t>Demographic and Density Response of Northern Bobwhites to Pyric Herbivory of Non-Native Grasslands</t>
  </si>
  <si>
    <t>Usable space for northern bobwhites (Colinus virginianus) has declined significantly over the past 3 decades in Texas because non-native grasses have replaced native vegetation. We hypothesized that burning patches in pastures dominated by buffelgrass (Pennisetum ciliare) and OldWorld bluestems (Bothriochloa spp. and Dichanthium spp.) followed by livestock grazing would increase limiting habitat attributes, thereby increasing usable space and bobwhite demographic parameters and population densities. Our study was conducted during 2009-2011 in LaSalle County, Texas on a ranch dominated by non-native grasses. Our experimental design was composed of 2 blocks with two 240-ha pastures, one control (graze only), and one treatment (patch-burn and graze) in each. We estimated grass standing crop in grazing exclosures (June-September) and habitat attributes along transects (October) 2009-2011. Bobwhites were captured and monitored via radiotelemetry 2-3 times/wk during March-November. Means of vegetation metrics important to bobwhites such as bare ground, traversibility, and forb and subshrub cover were similar between control and treatment units in post-treatment years. However, grass standing crop tended to be lower in treatment (June and August 2010 and September 2011-110.5 +/- 26.2 g/m(2)) compared with control units (June and August 2010 and September 2011-145.5 +/- 58.6 g/m(2)). Plant species richness was also greater (21%) in treatment (4.6 +/- 0.4/0.1 m(2)) compared with control units (3.8 +/- 0.4/0.1 m(2)) during the last year of the study (P = 0.057). Patch heterogeneity was increased in treatment units. There was an increase in bobwhite densities in treatment units, although demographicmetrics remained similar between treatment and controls. Patch burning and grazing is a viable tool for managing monotypic non-native grasslands for bobwhites in semiarid environments. (C) 2018 Published by Elsevier Inc. on behalf of The Society for Range Management.</t>
  </si>
  <si>
    <t>10.1016/j.rama.2018.02.008</t>
  </si>
  <si>
    <t>BSR-184</t>
  </si>
  <si>
    <t>Guo, Hengliang; He, Xiaohui; Chen, Jie; Zhao, Yanfeng</t>
  </si>
  <si>
    <t>2011 3RD INTERNATIONAL CONFERENCE ON ENVIRONMENTAL SCIENCE AND INFORMATION APPLICATION TECHNOLOGY ESIAT 2011, VOL 10, PT C</t>
  </si>
  <si>
    <t>Research of the Distribution of Natural Vegetation under Different Disturbances in Wetland of Lower Yellow River</t>
  </si>
  <si>
    <t>Zhengzhou Yellow River Wetland Nature Reserve is not only one of the most important areas of central wetland biodiversity in our country, but also one of the most typical river wetland. In order to offer better protection to the ecological environment, natural vegetation change under different disturbance had been investigated analysis through the study. The results indicated that the factors affecting the ecological environment mainly include tourism, reclamation and large road &amp; bridge construction, Sand-excavating, firing, and grazing; and man-made disturbance effect of the wetland vegetation is basically negative. All sorts of disturbance, the harm of tourism is lighter. Sand-excavating, herding, influenced vegetation growth strongly. Besides, it will cause the serious degradation; and fire and vegetation will bring the original ecological landscape losses. The Yellow River water reduction pulled down wetland flooded area and frequency, forming the wetland degradation. (C) 2011 Published by Elsevier Ltd. Selection and/or peer-review under responsibility of Conference ESIAT2011 Organization Committee.</t>
  </si>
  <si>
    <t>10.1016/j.proenv.2011.09.341</t>
  </si>
  <si>
    <t>RPV-112</t>
  </si>
  <si>
    <t>RPV</t>
  </si>
  <si>
    <t>Meng, Xianwei; Xia, Peng; Li, Zhen; Meng, Dezhen</t>
  </si>
  <si>
    <t>ORGANIC GEOCHEMISTRY</t>
  </si>
  <si>
    <t>Mangrove degradation and response to anthropogenic disturbance in the Maowei Sea (SW China) since 1926 AD: Mangrove-derived OM and pollen</t>
  </si>
  <si>
    <t>Mangrove forests, located at the interface between land and sea, have been impacted by an increase in intensive anthropogenic disturbance in developing countries or regions. In order to study the impact of human activity on mangrove forests, mangrove development was reconstructed over the last 130 yr, using the contribution of mangrove-derived organic matter (OM) and mangrove pollen as proxies, from two sediment cores from the Maowei Sea (SW China). It is a semi-enclosed bay that receives a large amount of terrestrial material from the Qinjiang and Maoling rivers, with average sedimentation rate of 0.63-0.64 cm/yr. The material accumulates mainly in the coast and its adjacent region, owing to weak water exchange through the channel. Sediment samples had C:N and delta C-13(org) values intermediate between mangrove leaves and flood plain sediments, indicating that OM sources could be apportioned as a mixture from only these two sources. Based on k-mean cluster analysis, mangrove development was divided into three stages since 1880 AD: (i) a flourishing period (1880-1926 AD), (ii) a phase of slow degradation (1926-1980 AD) and (iii) a time of rapid degradation (1980 AD to the present). The study indicates that anthropogenic activity, including reclamation of mangrove swamps for farmland and shrimp ponds, is the primary reason for mangrove degradation since 1926 AD, rather than climate change (temperature and precipitation). Crown Copyright (C) 2016 Published by Elsevier Ltd. All rights reserved.</t>
  </si>
  <si>
    <t>10.1016/j.orggeochem.2016.06.001</t>
  </si>
  <si>
    <t>MFC-19</t>
  </si>
  <si>
    <t>Cowburn, B.; Samoilys, M. A.; Obura, D.</t>
  </si>
  <si>
    <t>The current status of coral reefs and their vulnerability to climate change and multiple human stresses in the Comoros Archipelago, Western Indian Ocean</t>
  </si>
  <si>
    <t>Coral bleaching and various human stressors have degraded the coral reefs of the Comoros Archipelago in the past 40 years and rising atmospheric CO2 levels are predicted to further impact marine habitats. The condition of reefs in the Comoros is poorly known; using SCUBA based methods we surveyed reef condition and resilience to bleaching at sites in Grande Comore and Moheli in 2010 and 2016. The condition of reefs was highly variable, with a range in live coral cover between 6% and 60% and target fishery species biomass between 20 and 500 kg per ha. The vulnerability assessment of reefs to future coral bleaching and their exposure to fishing, soil erosion and river pollution in Moheli Marine Park found that offshore sites around the islets south of the island were least likely to be impacted by these negative pressures. The high variability in both reef condition and vulnerability across reefs in the Park lends itself to spatially explicit conservation actions. However, it is noteworthy that climate impacts to date appear moderate and that local human pressures are not having a major impact on components of reef health and recovery, suggesting these reefs are relatively resilient to the current anthropogenic stresses that they are experiencing.</t>
  </si>
  <si>
    <t>10.1016/j.marpolbul.2018.04.065</t>
  </si>
  <si>
    <t>LCC-16</t>
  </si>
  <si>
    <t>Cleary, Daniel F. R.</t>
  </si>
  <si>
    <t>Linking fish species traits to environmental conditions in the Jakarta Bay-Pulau Seribu coral reef system</t>
  </si>
  <si>
    <t>Coral reefs around the globe have been subjected to a wide range of stressors. In the present study, fish species were recorded across a pronounced in-to-offshore gradient in the Jakarta Bay-Pulau Seribu reef system. In addition to this, fish species traits were obtained from FishBase. RLQ analysis revealed a significant association between fish species traits and environmental variables. Fish species associated with perturbed, inshore waters were resilient to disturbance, had higher mortality rates, higher growth rates and mainly consumed animals. In contrast, fish species associated with less perturbed, mid- and offshore waters had greater life expectancy, higher age at maturity, greater life span, greater generation time and mainly fed on plants or plants and animals. Eutrophication, pollution and physical destruction of coral substrate in inshore waters has thus selected for a low biomass and depauperate fish community characterised by fast growing and short lived species.</t>
  </si>
  <si>
    <t>10.1016/j.marpolbul.2017.06.054</t>
  </si>
  <si>
    <t>LCC-19</t>
  </si>
  <si>
    <t>Muthukrishnan, Ranjan; Fong, Peggy</t>
  </si>
  <si>
    <t>MARINE ENVIRONMENTAL RESEARCH</t>
  </si>
  <si>
    <t>Rapid recovery of a coral dominated Eastern Tropical Pacific reef after experimentally produced anthropogenic disturbance</t>
  </si>
  <si>
    <t>Local anthropogenic stressors such as overfishing, nutrient enrichment and increased sediment loading have been shown to push coral reefs toward greater dominance by algae. In a few cases this shift has been temporary, with the ability to recover to a healthy coral-dominated community after disturbance, suggesting some systems have considerable resilience. However, an understanding of the circumstances under which reefs may recover is only beginning to emerge. We monitored recovery of a coral-dominated reef in the Eastern Tropical Pacific (ETP) after cessation of a 6 month multiple stressor experiment (with herbivore exclosure, nutrient addition, and sediment addition). We observed substantial recovery from small-scale disturbances, though there were differences in both the extent and temporal dynamics of recovery between treatments. Plots that had been caged showed the largest recovery in absolute terms and recovery was quite rapid, while nutrient and sediment addition plots were slower to recover. We also observed different recovery patterns depending on the type of algae that replaced coral during or after disturbances. Macroalgae that established during manipulation were almost completely removed within 2 weeks, revealing that a significant proportion had covered still-living coral. Turf algae persisted longer, but were almost completely replaced by regenerating coral within 18 months. Very little crustose coralline algae were apparent during manipulations, but coverage did increase during recovery. This rapid recovery of corals after simulated anthropogenic disturbance to ETP reefs underscores the value of management of local stressors for short-term recovery and perhaps as a buffer for longer-term global stressors.</t>
  </si>
  <si>
    <t>10.1016/j.marenvres.2018.05.008</t>
  </si>
  <si>
    <t>LCC-17</t>
  </si>
  <si>
    <t>Zisenis, Marcus</t>
  </si>
  <si>
    <t>Is the Natura 2000 network of the European Union the key land use policy tool for preserving Europe's biodiversity heritage?</t>
  </si>
  <si>
    <t>The Natura 2000 network of protected areas is considered by the European Commission to be the centrepiece of the European Union's nature and biodiversity policy. This paper reviews the European Environment Agency's public Natura 2000 database. It comprises data for birds, mammals, fish, amphibians, reptiles, invertebrates and plants submitted by the 28 EU Member States. For each Natura 2000 site a calculation was made of the conservation value of each species, together with an assessment of population isolation in relation to natural range and global conservation value. The results show that the great majority of national species populations of Community interest and birds are just covered by each Natura 2000 site up to only 2% at maximum. The most frequently reported high negative impacts on Natura 2000 sites are human induced changes in hydraulic conditions, hunting and collection of wild animals, and grazing. Natura 2000 sites alone are unlikely to safeguard Europe's biodiversity heritage, because most species occur predominantly outside Natura 2000 protected areas. Recommendations are made for improved reporting by EU Member States to provide quantifiable data based on monitoring and comparable indicators. Reform of the Natura 2000 network is needed for an integrated ecosystem approach to allow natural and human induced fluctuations of structures and functions of species habitats. 100% landscape management of the wider countryside should be enforced as a result of the limited coverage of Natura 2000 sites for Europe's biodiversity heritage.</t>
  </si>
  <si>
    <t>10.1016/j.landusepol.2017.09.045</t>
  </si>
  <si>
    <t>BSR-187</t>
  </si>
  <si>
    <t>Izmest'eva, Lyubov R.; Moore, Marianne V.; Hampton, Stephanie E.; Ferwerda, Carolin J.; Gray, Derek K.; Woo, Kara H.; Pislegina, Helena V.; Krashchuk, Lyudmila S.; Shimaraeva, Svetlana V.; Silow, Eugene A.</t>
  </si>
  <si>
    <t>JOURNAL OF GREAT LAKES RESEARCH</t>
  </si>
  <si>
    <t>Lake-wide physical and biological trends associated with warming in Lake Baikal</t>
  </si>
  <si>
    <t>Eutrophication and warming of lakes are occurring globally. Lake Baikal, a large ancient lake composed of three basins, has recently experienced benthic eutrophication at local sites and lake warming in the south basin. Here, we look for signals of warming and pelagic eutrophication across the entire lake using physical and biological data collected at a subset of 79 stations sampled ca. annually (1977-2003) during the period of summer stratification. Lake-wide, surface waters warmed 2.0 degrees C; and, consistent with this warming, the abundance of two warm-water, cosmopolitan zooplankton taxa increased between two (pelagic cladocerans) and 12-fold (Cyclops kolensis). C kolensis increased throughout the lake, whereas cladocerans increased significantly only in the north basin. In contrast, abundance of the cold-water endemic copepod, Epischura baikalensis, that dominates the crustacean zooplankton community, did not change. With the exception of one coastal station in the north basin, there is no evidence of pelagic eutrophication. Although chlorophyll concentrations increased 46% lake-wide (0.82 to 1.20 mu g/L), the increasing trend was significant only in the south basin. Surprisingly, mean Secchi transparency increased by 1.4 m lake-wide across the 26-year time series with significant deepening of water transparency occurring in the central and north basins. This suggests a decline in productivity in the north and middle basins, but an increase in the south basin. Taken together, these findings suggest that physical and biological changes associated with warming have occurred in Lake Baikal, but wide-spread pelagic eutrophication in the lake's three basins has not. (C) 2015 The Authors. Published by Elsevier B.V. on behalf of International Association for Great Lakes Research.</t>
  </si>
  <si>
    <t>10.1016/j.jglr.2015.11.006</t>
  </si>
  <si>
    <t>LSA-21</t>
  </si>
  <si>
    <t>Bell, Richard J.; Collie, Jeremy S.; Jamu, Daniel; Banda, Moses</t>
  </si>
  <si>
    <t>Changes in the biomass of chambo in the southeast arm of Lake Malawi: A stock assessment of Oreochromis spp.</t>
  </si>
  <si>
    <t>Lake Malawi has one of the most diverse fish faunas in the world (500-650 species) and is a major source of protein for the people of Malawi. Chambo (Oreochromis spp.) is one of the most important food fishes; its abundance has declined sharply over the last twenty-years. Surveys by the Malawi Department of Fisheries have shown a decrease in chambo density in the southeast arm of the lake and the annual harvest has dropped substantially since 1985. We conducted a dynamic stock assessment of Oreochromis spp. which included all vessel and gear types and covered the entire southeast arm of Lake Malawi. Chambo biomass peaked in 1982 and then declined continuously through the early 2000s. The biomass is highly correlated with the mean lake height two years prior suggesting that recruitment may be linked to increased nutrient input, and spawning and nursery habitat associated with the flooding of low lying areas. The main driver of chambo biomass, however, was fishing pressure which was above the level that would achieve maximum sustainable yield during the entire time series. This study provides a baseline from which to measure changes due to future management actions or climate variations. (C) 2012 International Association for Great Lakes Research. Published by Elsevier B.V. All rights reserved.</t>
  </si>
  <si>
    <t>10.1016/j.jglr.2012.09.022</t>
  </si>
  <si>
    <t>FSS-43</t>
  </si>
  <si>
    <t>Giri, Chandra; Long, Jordan; Abbas, Sawaid; Murali, R. Mani; Qamer, Faisal M.; Pengra, Bruce; Thau, David</t>
  </si>
  <si>
    <t>JOURNAL OF ENVIRONMENTAL MANAGEMENT</t>
  </si>
  <si>
    <t>Distribution and dynamics of mangrove forests of South Asia</t>
  </si>
  <si>
    <t>Mangrove forests in South Asia occur along the tidal sea edge of Bangladesh, India, Pakistan, and Sri Lanka. These forests provide important ecosystem goods and services to the region's dense coastal populations and support important functions of the biosphere. Mangroves are under threat from both natural and anthropogenic stressors; however the current status and dynamics of the region's mangroves are poorly understood. We mapped the current extent of mangrove forests in South Asia and identified mangrove forest cover change (gain and loss) from 2000 to 2012 using Landsat satellite data. We also conducted three case studies in Indus Delta (Pakistan), Goa (India), and Sundarbans (Bangladesh and India) to identify rates, patterns, and causes of change in greater spatial and thematic details compared to regional assessment of mangrove forests. Our findings revealed that the areal extent of mangrove forests in South Asia is approximately 1,187,476 ha representing similar to 7% of the global total.Our results showed that from 2000 to 2012, 92,135 ha of mangroves were deforested and 80,461 ha were reforested with a net loss of 11,673 ha. In all three case studies, mangrove areas have remained the same or increased slightly, however, the turnover was greater than the net change. Both, natural and anthropogenic factors are responsible for the change and turnover. The major causes of forest cover change are similar throughout the region; however, specific factors may be dominant in specific areas. Major causes of deforestation in South Asia include (i) conversion to other land use (e.g. conversion to agriculture, shrimp farms, development, and human settlement), (ii) over-harvesting (e.g. grazing, browsing and lopping, and fishing), (iii) pollution, (iv) decline in freshwater availability, (v) floodings, (vi) reduction of silt deposition, (vii) coastal erosion, and (viii) disturbances from tropical cyclones and tsunamis. Our analysis in the region's diverse socio-economic and environmental conditions highlights complex patterns of mangrove distribution and change. Results from this study provide important insight to the conservation and management of the important and threatened South Asian mangrove ecosystem. Published by Elsevier Ltd.</t>
  </si>
  <si>
    <t>10.1016/j.jenvman.2014.01.020</t>
  </si>
  <si>
    <t>MFC-85</t>
  </si>
  <si>
    <t>Hanafiah, Marlia M.; Hendriks, A. Jan; Huijbregts, Mark A. J.</t>
  </si>
  <si>
    <t>Comparing the ecological footprint with the biodiversity footprint of products</t>
  </si>
  <si>
    <t>This study compares the ecological footprints with the biodiversity footprints of products that result from land use and carbon dioxide emissions. The biodiversity footprints were quantified using mean species abundance statistics, whereas the ecological footprint refers to the impacts on bioproductivity. We used a data set of 1340 product systems subdivided into 13 product groups, which included various types of energy generation and material production. We found that the importance of direct land use vs. carbon dioxide emissions is different for biodiversity footprints compared to ecological footprints. This difference is particularly relevant if the environmental impact of bio-based products (dominated by direct land use) is compared with the environmental impact of fossil-based products (dominated by CO2 emissions). Our results also show that the relative importance of different drivers can change over time within the biodiversity footprint and that the relative importance of climate change significantly increased for longer time horizons. As the interpretation of the biodiversity footprint can differ from the ecological footprint, the inclusion of impacts on biodiversity should be considered in the footprint calculation of products. (C) 2012 Elsevier Ltd. All rights reserved.</t>
  </si>
  <si>
    <t>10.1016/j.jclepro.2012.06.016</t>
  </si>
  <si>
    <t>MSA-14</t>
  </si>
  <si>
    <t>Vu, Quyet Manh; Le, Quang Bao; Vlek, Paul L. G.</t>
  </si>
  <si>
    <t>Hotspots of human-induced biomass productivity decline and their social-ecological types toward supporting national policy and local studies on combating land degradation</t>
  </si>
  <si>
    <t>Identification and social-ecological characterization of areas that experience high levels of persistent productivity decline are essential for planning appropriate management measures. Although land degradation is mainly induced by human actions, the phenomenon is concurrently influenced by global climate changes that need to be taken into account in land degradation assessments. This study aims to delineate the geographic hotspots of human-induced land degradation in the country and classify the social-ecological characterizations of each specific degradation hotspot type. The research entailed a long-term time-series (1982-2006) of Normalized Difference Vegetation Index to specify the extents of areas with significant biomass decline or increase in Vietnam. Annual rainfall and temperature time-series were then used to separate areas of human-induced biomass productivity decline from those driven by climate dynamics. Next, spatial cluster analyses identified social-ecological types of degradation for guiding further investigations at regional and local scales. The results show that about 19% of the national land mass experienced persistent declines in biomass productivity over the last 25 years. Most of the degraded areas are found in the Southeast and Mekong River Delta (17,984 km(2)), Northwest Mountains (14,336 km(2)), and Central Highlands (13,504 km(2)). We identified six and five social-ecological types of degradation hotspots in agricultural and forested zones, respectively. Constraints in soil nutrient availability and nutrient retention capability are widely spreading in all degradation hotspot types. These hotspot types are different from each other in social and ecological conditions, suggesting that region-specific strategies are needed for the formulation of land degradation combating policy. (C) 2014 Elsevier B.V. All rights reserved.</t>
  </si>
  <si>
    <t>10.1016/j.gloplacha.2014.07.007</t>
  </si>
  <si>
    <t>NPP-72</t>
  </si>
  <si>
    <t>Mu, Shaojie; Zhou, Shuangxi; Chen, Yizhao; Li, Jianlong; Ju, Weimin; Odeh, I. O. A.</t>
  </si>
  <si>
    <t>Assessing the impact of restoration-induced land conversion and management alternatives on net primary productivity in Inner Mongolian grassland, China</t>
  </si>
  <si>
    <t>To address severe grassland degradation problems, China has been implementing a number of national restoration programs, whose significant environmental effect has attracted the attention of many researchers. In this paper, land use and cover change (LUCC) in the Inner Mongolia grassland and the consequent change in net primary productivity (NPP) were studied by combining the land use data of the study area for 2001 and 2009 derived from the MODIS global land cover product and the CASA (Carnegie-Ames-Stanford Approach) model driven with MODIS-NDVI data. The results indicate that the area of Inner Mongolia grassland had a net increase of 77,993 km(2) during the study period, which was mainly attributed to the conversion from desert and cropland. The total NPP of Inner Mongolia grassland increased by 29,432.71 Gg C yr(-1) during 2001-2009, of which the human activities and climate change were responsible for 80.23% and 19.77%, respectively. Land conversion and improved management increased grassland NPP directly, and the ecological restoration conducted by large-scale conservation programs could be the intrinsic driving force for this change. (C) 2013 Elsevier B.V. All rights reserved.</t>
  </si>
  <si>
    <t>10.1016/j.gloplacha.2013.06.007</t>
  </si>
  <si>
    <t>NPP-151</t>
  </si>
  <si>
    <t>Easterday, Kelly; Mclntyre, Patrick; Kelly, Maggi</t>
  </si>
  <si>
    <t>FOREST ECOLOGY AND MANAGEMENT</t>
  </si>
  <si>
    <t>Land ownership and 20th century changes to forest structure in California</t>
  </si>
  <si>
    <t>Forests in California have changed dramatically during the 20th century. Shifts in forest structure including densification, declines in large trees and tree basal area have altered the function, productivity, and resilience of modern day forests. Attributing these changes to specific drivers is increasingly important for effective management of healthy and productive forests. Previous studies focus on climatic (temperature, precipitation, climatic water deficit), disturbance (fire), geomorphological (topography, soil types), and anthropogenic (logging, fire suppression) drivers, but few studies evaluate large scale change in forest structure across land ownership type. In this paper, we investigate 20th century changes to forest structure across six land ownership classes in California. We compare historical and contemporary forest structural data and find that declines in large trees and increases in forest density are consistent across the state. This pattern is most pronounced on private timberlands, which experience up to 400% regional increases in small tree (&lt; 10.2 cm) density since 1930. All land ownership classes experience declines in large trees, while private timberlands, national parks and wilderness areas experience the most extreme change with an average loss of over 83% and 71% respectively. We conclude that understanding patterns of change across land ownership is essential for targeting federal, state, and locally specific policies that foster healthy and resilient forests for the future.</t>
  </si>
  <si>
    <t>10.1016/j.foreco.2018.04.012</t>
  </si>
  <si>
    <t>ERW-31</t>
  </si>
  <si>
    <t>Sturtevant, Brian R.; Miranda, Brian R.; Wolter, Peter T.; James, Patrick M. A.; Fortin, Marie-Josee; Townsend, Philip A.</t>
  </si>
  <si>
    <t>Forest recovery patterns in response to divergent disturbance regimes in the Border Lakes region of Minnesota (USA) and Ontario (Canada)</t>
  </si>
  <si>
    <t>The persistence of landscape-scale disturbance legacies in forested ecosystems depends in part on the nature and strength of feedback among disturbances, their effects, and subsequent recovery processes such as tree regeneration and canopy closure. We investigated factors affecting forest recovery rates over a 25-year time period in a large (6 million ha) landscape where geopolitical boundaries have resulted in important land management legacies (managed forests of Minnesota, USA; managed forests of Ontario, Canada; and a large unmanaged wilderness). Stand-replacing disturbance regimes were quantified across management zones, both inside and outside a central ecoregion, using a time series of classified land cover data constructed at 5-year intervals between 1975 and 2000. The temporally variable disturbance regime of the wilderness was characterized by fine-scaled canopy disturbances punctuated by less frequent large disturbance events (i.e., fire and blow down). The comparably consistent disturbance regimes of the managed forests of Minnesota and Ontario differed primarily in the size distribution of disturbances - principally clearcut harvesting. Using logistic regression we found that a combination of time since disturbance, mapped disturbance attributes, climate, and differences among management zones affected pixel-scale probabilities of forest recovery that reflect recovery rates. We conclude that the magnitude of divergence in landscape disturbance legacies of this region will be additionally reinforced by regional variations in the human and natural disturbance regimes and their interactions with forest recovery processes. Our analyses compliment traditional plot-scale studies that investigate post-disturbance recovery by (a) examining vegetation trends across a wide range of variability and (b) quantifying the cumulative effects of disturbances as they affect recovery rates over a broad spatial extent. Our findings therefore have implications for sustainable forestry, ecosystem-based management, and landscape disturbance and succession modeling. Published by Elsevier B.V.</t>
  </si>
  <si>
    <t>10.1016/j.foreco.2013.10.039</t>
  </si>
  <si>
    <t>ERW-189</t>
  </si>
  <si>
    <t>Dodson, Erich K.; Peterson, David W.</t>
  </si>
  <si>
    <t>Seeding and fertilization effects on plant cover and community recovery following wildfire in the Eastern Cascade Mountains, USA</t>
  </si>
  <si>
    <t>Slope stabilization treatments are frequently applied following high severity wildfires to reduce erosion, protect water quality, and mitigate threats to human life and property. However, the effectiveness of many treatment options has not been well established. Furthermore, treatments may unintentionally inhibit natural vegetation recovery or facilitate exotic species invasion, compromising long-term ecosystem function. We evaluated the effects of seeding and fertilization treatments on plant cover and vegetation recovery following the Deer Point fire in the Eastern Cascade Mountains of Washington State, surveying vegetation for three consecutive years following fire. We applied a fertilization treatment and two seeding treatments in factorial combination on experimental plots at four sites within the fire. Natural vegetation recovered rapidly on control plots, exceeding 40% average cover the second post-fire year and 53% cover the third year. Seeding and fertilization, applied alone and together, did little to increase total plant cover in any of the three post-fire years. A seed mix containing mostly native species increased seeded species cover, but failed to increase in total plant cover, as reductions in non-seeded species cover largely offset increases in seeded species cover. The seed mix also reduced the cover and frequency of several disturbance-adapted native species and reduced tree seedling abundance by the third year after fire. Exotic species averaged less than 0.5% cover across all treatments, and were not significantly affected by any treatment. Minimal treatment effects on total plant cover suggest that seeding and fertilization did little to reduce erosion hazards. However, seeding with the species mix did interfere with natural vegetation recovery, despite the use of native species and low realized seeded species cover. Published by Elsevier B.V.</t>
  </si>
  <si>
    <t>10.1016/j.foreco.2009.07.013</t>
  </si>
  <si>
    <t>RPV-13</t>
  </si>
  <si>
    <t>Woerz, A.; Thiv, M.</t>
  </si>
  <si>
    <t>FLORA</t>
  </si>
  <si>
    <t>The temporal dynamics of a regional flora-The effects of global and local impacts</t>
  </si>
  <si>
    <t>The main trends in changes in the global vascular plant biodiversity are generally considered to be a decrease in rare indigenous species and a spread of invasive plants. In the present paper, the impact of these changes on the flora of the state of Baden-Wurttemberg (Southwest-Germany) is examined. The data come from a regional floristic mapping project, which consists of two consecutive surveys, dating from 1970 to 1998 and from 2005 to present. In contrast to many other studies, not only a part of the flora or of an ecosystem was studied but the entire vascular plant flora of a region. As the recent survey is not yet completed, samples of 46 out of 1100 grid cells are analysed as a preliminary study on the trends in entire Baden-Wurttemberg. In the present paper we address the issues (1) whether changes in biodiversity observed in other studies, e.g. decrease of rare native species and increase of invasives, affect the flora of Baden-Wurttemberg, (2) which abiotic factors, i.e. climatic or soil conditions, cause these changes of species diversity.The analysis of the two consecutive surveys revealed a continuing decrease of rare native species and a constant increase of neophytes, thus reflecting the global trends. Many extinction events happened before 1970, some already in the 19th century. Changes in land use and urbanisation of former rural regions are two important factors for these changes. A statistic analysis using Ellenberg indicator values revealed the nitrogen input from agriculture and the effects of global warming as further potential causes for these trends. (C) 2015 Elsevier GmbH. All rights reserved.</t>
  </si>
  <si>
    <t>10.1016/j.flora.2015.09.013</t>
  </si>
  <si>
    <t>LSR-35</t>
  </si>
  <si>
    <t>Nicola, Graciela G.; Elvira, Benigno; Jonsson, Bror; Ayllon, Daniel; Almodovar, Ana</t>
  </si>
  <si>
    <t>FISHERIES RESEARCH</t>
  </si>
  <si>
    <t>Local and global climatic drivers of Atlantic salmon decline in southern Europe</t>
  </si>
  <si>
    <t>The abundance of Atlantic salmon is declining throughout its geographical area. Fisheries and global warming were assumed as main drivers of the decline, and recent studies suggest that habitat changes in freshwater is a third contributor. Southern populations experience the greatest decline, and face the highest risk of extinction as global warming moves its thermal niche northwards. We analysed long-term catch data (1949-2013) from a salmon fishery in northern Spain, and examined its relationship with local and global indicators of temperature and hydrological change. CPUE data, analysed by ARIMA time-series models, exhibited a significant negative trend and a marked decrease since 1973-1974, possibly triggered by overfishing at sea and a sudden outbreak of disease. Temperature increased in the same period, particularly so since 1986-1988, being negatively correlated with CPUE. A significant change in magnitude and duration of extreme water conditions occurred from 1970s onwards. Indicators of hydrological shift were also significantly correlated with CPUE of returning salmon. The best ARIMAX models indicated however, that the decrease in salmon CPUE was mainly driven by temperature trends. This indicates that both local (temperature and flow in the river) and global (ocean temperature) factors have contributed to the decrease in salmon numbers, and that temperature has played the major role. Despite a strong reduction in fishing pressure after the 1970s widespread collapse, our study population did not recover to previous abundance levels. This suggests the operation of additional factors, being climate warming and changes in food webs of the North Atlantic the most likely reasons.</t>
  </si>
  <si>
    <t>10.1016/j.fishres.2017.10.012</t>
  </si>
  <si>
    <t>LSA-129</t>
  </si>
  <si>
    <t>single-species study (should probably not be included)</t>
  </si>
  <si>
    <t>Hunter, Aidan; Speirs, Douglas C.; Heath, Michael R.</t>
  </si>
  <si>
    <t>Investigating trends in the growth of five demersal fish species from the Firth of Clyde and the wider western shelf of Scotland</t>
  </si>
  <si>
    <t>Demersal fish landings from the Firth of Clyde peaked in 1973, then declined rapidly until the targeted demersal fishery ceased in 2005. The abundance of large fish decreased during this period, and their numbers have not recovered since 2005. We aim to determine whether changing growth rates have contributed to the decline in the abundance of large fish. Bottom trawl survey data from 1980 to 2012 was used to calculate the annual mean length-at-age and time series of von Bertalanffy growth parameters of five demersal species; cod, haddock, whiting, Norway pout and saithe. Two regions were considered: the Firth of Clyde and the neighbouring seas west of Scotland (the western shelf). There have been substantial decreases in the lengths of most age groups of Clyde haddock and whiting due to declines in both asymptotic length and von Bertalanffy growth rate. Lengths-at-age have also declined in western shelf populations, but at markedly slower rates than within the Clyde. Trends in temperature and year class strength tended to contribute little to changes in the growth parameters, so declines in length-at-age have been largely due to other factors. Fishing intensity is greater in the Clyde than western shelf, and the size selectivity of the fisheries differ as more Clyde vessels use Nephrops trawling gear. Since trends in growth were also more extreme in the Clyde, it appears as though size-selective fishing may have caused reductions in the lengths of these fish. If the changes in growth are partially due to fishing induced evolution then it may take many generations for the changes to reverse. (C) 2016 The Authors. Published by Elsevier B.V.</t>
  </si>
  <si>
    <t>10.1016/j.fishres.2016.01.005</t>
  </si>
  <si>
    <t>MLF-96</t>
  </si>
  <si>
    <t>Ginter, Kai; Kangur, Andu; Kangur, Peeter; Kangur, Kuelil</t>
  </si>
  <si>
    <t>Consequences of size-selective harvesting and changing climate on the pikeperch Sander lucioperca in two large shallow north temperate lakes</t>
  </si>
  <si>
    <t>Under the prevailing warming and eutrophic conditions, the yields of the pikeperch Sander lucioperca have increased in Lake Peipsi and Lake Vortsjarv in Estonia. Yet, some decrease in the catches has been observed in recent years. We explored whether long-lasting size-selective harvesting of pikeperch together with changing climate factors might have triggered a truncation of the size-structure of the pikeperch population and resulted in the weakening of the population. Thus, we analysed long-term commercial fishery statistics (since 1931) and trawl sample data (since 1990) from the Peipsi and Vortsjarv lakes in terms of climate change and fishing pressure. Our study suggests that fisheries had direct negative effects on the size composition of the pikeperch population due to the nearly complete removal of the larger specimens. The truncation of the size-structure of the pikeperch population refers that cascading effect through the food web may occur as the abundance of inferior small fish has increased accordingly. Moreover, we found that climate changes influenced the pikeperch population in the same direction; large cohorts have become more frequent in the Peipsi and Vortsjarv lakes, and 0+ pikeperch are able to survive milder winters even without undergoing ontogenetic diet shifts. Consequently, overdensity of small fish have occurred, these effects might have serious implications for the economies of the poor rural communities that surround the lakes. The present fishing regulations seem to be inappropriate and this may lead to further population weakening and thus should be revised to provide effective protection for large. specimens. However, continued use of active (towed) gear (e.g., Danish seines) and the difficulties in enforcing fishery regulations under transboundary conditions complicate the implementation of policies that might result in more stable pikeperch populations in large Estonian lakes. (C) 2015 Elsevier B.V. All rights reserved.</t>
  </si>
  <si>
    <t>10.1016/j.fishres.2014.12.016</t>
  </si>
  <si>
    <t>PRF-3</t>
  </si>
  <si>
    <t>freshwater</t>
  </si>
  <si>
    <t>Han, Juanjuan; Li, Linghao; Chu, Housen; Miao, Yuan; Chen, Shiping; Chen, Jiquan</t>
  </si>
  <si>
    <t>ENVIRONMENTAL RESEARCH</t>
  </si>
  <si>
    <t>The effects of grazing and watering on ecosystem CO2 fluxes vary by community phenology</t>
  </si>
  <si>
    <t>Grazing profoundly influences vegetation and the subsequent carbon fluxes in various ecosystems. However, little effort has been made to explore the underlying mechanisms for phenological changes and their consequences on carbon fluxes at ecosystem level, especially under the coupled influences of human disturbances and climate change. Here, a manipulative experiment (2012-2013) was conducted to examine both the independent and interactive effects of grazing and watering on carbon fluxes across phenological phases in a desert steppe. Grazing advanced or delayed phenological timing, leading to a shortened green-up phase (GrP: 23.60 days) in 2013 and browning phase (BrP: 12.48 days) in 2012 from high grazing, and insignificant effects on the reproductive phase (Rep) in either year. High grazing significantly enhance carbon uptake, while light grazing reduce carbon uptake in ReP. Watering only delayed the browning time by 5.01 days in 2013, producing no significant effects on any phenophase. Watering promoted the net ecosystem exchange (NEE), ecosystem respiration (ER), and gross ecosystem productivity (GEP) only in the GrP. When calculating the yearly differences in phenophases and the corresponding carbon fluxes, we found that an extended GrP greatly enhanced NEE, but a prolonged ReP distinctly reduced it. The extended GrP also significantly promote GEP. Increases in growing season length appeared promoting ER, regardless of any phenophase. Additionally, the shifts in NEE appeared dependent of the variations in leaf area index (LAI). (C) 2015 Elsevier Inc. All rights reserved.</t>
  </si>
  <si>
    <t>10.1016/j.envres.2015.09.002</t>
  </si>
  <si>
    <t>LAI-172</t>
  </si>
  <si>
    <t>David, Valerie; Sautour, Benoit; Chardy, Pierre</t>
  </si>
  <si>
    <t>Successful colonization of the calanoid copepod Acartia tonsa in the oligo-mesohaline area of the Gironde estuary (SW France) - Natural or anthropogenic forcing?</t>
  </si>
  <si>
    <t>The copepod Acartia tonsa appeared in Europe in the first half of the 20th century and colonized progressively European seas and estuaries, possibly transferred from North Atlantic Coast of America. It had been reported in the polyhaline area of the Gironde estuary for a long time but was first recorded in the oligo-mesohaline area in 1983. Its abundance has been increasing significantly. High abundances of A. tonsa were reported since 1999, supplanting the abundances of its autochthonous congeneric species, Acartia bifilosa. This colonization was characterized by analyzing the mean seasonal variability: (1) for three 5-year periods corresponding to three different steps of A. tonsa appearance (1978-1982, A. tonsa was absent; 1988-1992, low abundances of the species; and 1999-2003, high abundances of A. tonsa) in the oligo-mesohaline area and (2) for three stations distributed along the salinity gradient during the recent period. The aim of this work was to define if this colonization was due to natural or anthropogenic forcing and to evaluate its possible impact on autochthonous zooplanktonic community. Both natural and anthropogenic forcings seem to explain the colonization of Acartia tonsa in the oligo-mesohaline area of the Gironde estuary. First records (1983-1988) could be due to marine water inputs caused by high values of the North Atlantic Oscillation index. The global warming which caused the increase of the summer warm period, the marinisation of the system and the local decrease of the turbidity should have been the key factors favoring the establishment of the species. Anthropogenic forcings as the establishment of the nuclear power plant which locally causes warmer conditions are also important factors explaining the differences of seasonal cycle observed between oligo-mesohaline area and other stations: the seasonal pattern of A. tonsa in the oligo-mesohaline area was indeed characterized by an autumnal peak of abundances which has been observed in other stations and in many North European estuaries, and by a second spring peak that had only been observed in Southern estuaries.The introduction of Acartia tonsa in the Gironde estuary significantly changed the seasonal pattern of autochthonous copepods, by limiting their seasonal abundances without affecting their long-term population stability. Finally, the successful colonization of A. tonsa had led to the spread of the seasonal zooplanktonic production which could have had an impact on fish and shrimp productions. (c) 2006 Elsevier Ltd. All rights reserved.</t>
  </si>
  <si>
    <t>10.1016/j.ecss.2006.08.018</t>
  </si>
  <si>
    <t>LSA-80</t>
  </si>
  <si>
    <t>Blamey, Laura K.; Plaganyi, Eva E.; Branch, George M.</t>
  </si>
  <si>
    <t>ECOLOGICAL MODELLING</t>
  </si>
  <si>
    <t>Was overfishing of predatory fish responsible for a lobster-induced regime shift in the Benguela?</t>
  </si>
  <si>
    <t>The top-down effects of predators have been demonstrated for terrestrial, freshwater and marine systems and their removal can cause a shift in ecosystem state. In many cases, the depletion of top-predators occurred long before humans began monitoring these systems, but models can elucidate likely ecosystem changes. In this paper we use a multispecies model to demonstrate that the abundance of predators can induce different ecosystem states, emphasising the importance of sustainable harvesting. Our model is founded on empirical data documenting a regime-shift that took place in the kelp-forest ecosystem along the south-west coast of South Africa following an 'invasion' by the West Coast rock lobster Jasus lalandii in the early 1990s. Formerly dominated by herbivores and encrusting corallines, the ecosystem became dominated by lobsters and macroalgae. A combination of illegal fishing of abalone Haliotis midae and the lobster-induced extermination of the urchin Parechinus angulosus (which shelters juvenile abalone) depleted abalone stocks severely. In this currently over-fished ecosystem where predators of lobsters are scarce, the regime-shift appears irreversible. Using an intermediate complexity model of lobster, urchin and abalone relationships, we simulated the effects of predatory fish at various population levels on the course of development of the currently lobster-dominated system. Our results indicate that current levels of fish biomass (&lt;10% of the pristine population) would have been too small to significantly affect the lobster population. However, at pristine levels of fish abundance (or even 50% less), the invasion of lobsters would have been controlled by linefish, and urchin and abalone populations would not have collapsed. The effect of the lobster invasion had a greater influence on abalone abundance than illegal fishing, but together they severely depleted the abalone. Ecosystem effects of historical exploitation of top predators are of central concern, and our ecosystem model indicates that depletion of linefish had severe consequences for lobsters, urchins and abalone, illustrating how overfishing of top predators may precipitate regime shifts, with profound socio-economic consequences. (C) 2013 Elsevier B.V. All rights reserved.</t>
  </si>
  <si>
    <t>10.1016/j.ecolmodel.2013.11.004</t>
  </si>
  <si>
    <t>FSS-45</t>
  </si>
  <si>
    <t>Liu, Jinxun; Vogelmann, James E.; Zhu, Zhiliang; Key, Carl H.; Sleeter, Benjamin M.; Price, David T.; Chen, Jing M.; Cochrane, Mark A.; Eidenshink, Jeffery C.; Howard, Stephen M.; Bliss, Norman B.; Jiang, Hong</t>
  </si>
  <si>
    <t>Estimating California ecosystem carbon change using process model and land cover disturbance data: 1951-2000</t>
  </si>
  <si>
    <t>Land use change, natural disturbance, and climate change directly alter ecosystem productivity and carbon stock level. The estimation of ecosystem carbon dynamics depends on the quality of land cover change data and the effectiveness of the ecosystem models that represent the vegetation growth processes and disturbance effects. We used the Integrated Biosphere Simulator (IBIS) and a set of 30- to 60-m resolution fire and land cover change data to examine the carbon changes of California's forests, shrublands, and grasslands. Simulation results indicate that during 1951-2000, the net primary productivity (NPP) increased by 7%, from 72.2 to 77.1 Tg C yr(-1) (1 teragram = 10(12) g), mainly due to CO2 fertilization, since the climate hardly changed during this period. Similarly, heterotrophic respiration increased by 5%, from 69.4 to 73.1 Tg Cyr(-1), mainly due to increased forest soil carbon and temperature. Net ecosystem production (NEP) was highly variable in the 50-year period but on average equalled 3.0 Tg C yr(-1) (total of 149 Tg C). As with NEP, the net biome production (NBP) was also highly variable but averaged -0.55 Tg C yr(-1) (total of -27.3 Tg C) because NBP in the 1980s was very low (-5.34 Tg C yr(-1)). During the study period, a total of 126 Tg carbon were removed by logging and land use change, and 50 Tg carbon were directly removed by wildland fires. For carbon pools, the estimated total living upper canopy (tree) biomass decreased from 928 to 834 Tg C, and the understory (including shrub and grass) biomass increased from 59 to 63 Tg C. Soil carbon and dead biomass carbon increased from 1136 to 1197 Tg C.Our analyses suggest that both natural and human processes have significant influence on the carbon change in California. During 1951-2000, climate interannual variability was the key driving force for the large interannual changes of ecosystem carbon source and sink at the state level, while logging and fire were the dominant driving forces for carbon balances in several specific ecoregions. From a long-term perspective. CO2 fertilization plays a key role in maintaining higher NPP. However, our study shows that the increase in C sequestration by CO2 fertilization is largely offset by logging/land use change and wildland fires. (C) 2011 Elsevier B.V. All rights reserved.</t>
  </si>
  <si>
    <t>10.1016/j.ecolmodel.2011.03.042</t>
  </si>
  <si>
    <t>NPP-21</t>
  </si>
  <si>
    <t>terrestrial</t>
  </si>
  <si>
    <t>Zhang Chao; Ding LiuYong; Ding ChengZhi; Chen LiQiang; Sun Jie; Jiang XiaoMing</t>
  </si>
  <si>
    <t>Ecological Indicators</t>
  </si>
  <si>
    <t>Responses of species and phylogenetic diversity of fish communities in the Lancang River to hydropower development and exotic invasions.</t>
  </si>
  <si>
    <t>Multiple anthropogenic disturbances have been modifying the structure and diversity of local assemblages worldwide through both introductions of nonnative species and disappearance of native species. Most previous studies have concentrated on the effects of human disturbances on species diversity, but their effects on phylogenetic diversity have been relatively seldom documented. Here, we measured the temporal changes in species and phylogenetic alpha diversity in 12 mainstream regions of the Lancang River (LCR) in the context of hydropower development and widespread exotic invasions. We found that disturbances by dams and widespread introductions of exotic fishes have induced a marked loss of native species (average 36.8 species disappeared per region, accounting for 47.2% of the historical native species) in the downstream regions over time, whereas few native species were disappeared (average 4 species disappeared, accounting for 23.8% of the historical native species) in the upstream regions. In terms of phylogenetic diversity, however, the average taxonomic distinctness (Delta+, a taxonomic proxy for phylogenetic diversity) of the entire assemblages significantly increased (an increase of 4.4% compared to historical Delta+) in all regions, while native Delta+ insignificantly decreased in downstream regions, and the variation in taxonomic distinctness (Lambda+, a proxy for variation in phylogenetic diversity) of the entire assemblages significantly increased (24.6%) in downstream regions, while native Lambda+ significantly decreased (12.0%) in all regions. Such changes in phylogenetic diversity were triggered by invasions by distantly related exotic species and disappearances of congeneric endemic species. Across the LCR, the relationships between species richness, Delta+, and Lambda+ and altitude all became obscure due to the combined effect of introductions and disappearances. In dammed regions, the disappearance rate and rate of change in the taxonomic distinctness of native assemblages showed negative correlations with the distances of cascade dams. Our study showed that intensive hydropower development and exotic invasions have significantly affected both the taxonomic and phylogenetic diversity of fish assemblages in the LCR, especially in its downstream region. However, the response of phylogenetic diversity to human disturbance was inconsistent with that of species diversity, implying that examining the response of phylogenetic diversity could provide additional information for assessing the impacts of human domination.</t>
  </si>
  <si>
    <t>10.1016/j.ecolind.2018.03.004</t>
  </si>
  <si>
    <t>LSR-48</t>
  </si>
  <si>
    <t>Erb, K. H.; Krausmann, F.; Gaube, V.; Gingrich, S.; Bondeau, A.; Fischer-Kowalski, M.; Haberl, H.</t>
  </si>
  <si>
    <t>Ecological Economics</t>
  </si>
  <si>
    <t>Analyzing the global human appropriation of net primary production - processes, trajectories, implications. An introduction.</t>
  </si>
  <si>
    <t>Humanity's role in shaping patterns and processes in the terrestrial biosphere is large and growing. Most of the earth's fertile land is used more or less intensively by humans for resource extraction, production, transport, consumption and waste deposition or as living space. Biomass production on cropland, grazing areas and in managed forests dominates area requirements, but other processes such as soil degradation, human-induced fires and expansion of settlements and infrastructure play an increasingly important role as well. The growing human domination of terrestrial ecosystems contributes to biodiversity loss as well as to a reduced capability of ecosystems to deliver vital services such as buffering capacity, soil conservation or self-regulation. This special section is devoted to the presentation of recent research into the patterns, determinants and implications of the human appropriation of net primary production (HANPP), an integrated socio-ecological indicator of land use intensity. By measuring the combined effect of land conversion and biomass harvest on the availability of trophic energy (biomass) in ecosystems, HANPP explicitly links natural with socioeconomic processes and allows for integrated analyses of land systems. This introductory article explains the rationale that links current HANPP research to Ecological Economics and discusses issues of definition and methods shared by all articles included in the special section. Finally, it gives an overview of the individual papers, provides some general conclusions and presents an outlook for future research: a better understanding of long-term trajectories of HANPP, of the significance of trade patterns as well as of the future role of bioenergy are highlighted as important issues to be addressed in the coming years.</t>
  </si>
  <si>
    <t>10.1016/j.ecolecon.2009.07.001</t>
  </si>
  <si>
    <t>NPP-45</t>
  </si>
  <si>
    <t>Wang, Zhan; Deng, Xiangzheng; Song, Wei; Li, Zhihui; Chen, Jiancheng</t>
  </si>
  <si>
    <t>CATENA</t>
  </si>
  <si>
    <t>What is the main cause of grassland degradation? A case study of grassland ecosystem service in the middle-south Inner Mongolia</t>
  </si>
  <si>
    <t>In this study, we analyze the changes of indicators of ecosystem services and functions, in order to understand the main cause of grassland degradation due to climatic variation or land use changes in the middle -south Inner Mongolia. The soil nutrient and the water supply of supporting service got recovery during 1988-2008. The loss of net primary production declined, and the quality of the retained unconverted grassland (RUG) even increasingly degraded from 2000 to 2008. Analytical results show that environmental degradation on the land use -changed -area is lower than that on the RUG from 2000 to 2008. It illustrates that climatic variation has more negative impacts on grassland ecosystem service, and which is significantly higher than the so-called "overgrazing" induced grassland degradation. Moreover, it cannot be excluded that those species died out on the RUG due to natural selection or competitive evolution in an evolutionary process under the deteriorative weather condition rather than overgrazing. The positive impacts of human activities such as conservation programs and wildlife protection laws also benefit to regional grassland ecosystem obviously in the study area, so that can delay the environmental degradation even if each planet has its life cycle. It indicates that an integrated regional planning involving the considerations of climatic conditions, geographical characteristics, socioeconomic factors, and ecological functions and biodiversity can benefit to regional grassland conservation based on monitoring and management via scientific methods. (C) 2016 Elsevier B.V. All rights reserved.</t>
  </si>
  <si>
    <t>10.1016/j.catena.2016.11.014</t>
  </si>
  <si>
    <t>NPP-116</t>
  </si>
  <si>
    <t>Mackey, Brendan; Cadman, Sean; Rogers, Nicole; Hugh, Sonia</t>
  </si>
  <si>
    <t>Assessing the risk to the conservation status of temperate rainforest from exposure to mining, commercial logging, and climate change: A Tasmanian case study</t>
  </si>
  <si>
    <t>Formal protected areas are a critical conservation measure so long as their tenure is defined and secure and they are well managed. Protected areas in developed countries are assumed to meet these criteria and therefore have not attracted the level of attention given to the adequacy of protected areas in developing countries. We investigate this assumption using as a case study the southern temperate rainforests of Tasmania, Australia. We examine the extent to which these rainforests are protected from potential exposure to mining, commercial logging and climate change. We analyse the tenure of Tasmania's rainforests and identify the protected area categories that prohibit or allow mining or logging. We also model the potential distribution of Nothofagus cunninghctmii, a dominant rainforest canopy tree species, to future climate and compare this with modelled current and future forest fire danger index. Results showed that 90% of the total area of Tasmanian rainforest (715,773 ha(-1)) is in a reserve. However, the area of rainforest in reserves secured from mining and/or commercial logging is only 47% (335,863 ha(-1)) as 43% (308,897 ha(-1)) is in a reserve category where these land uses are permitted. The protected area category with the highest level of protection, prohibiting all mining and logging, is the Tasmanian Wilderness World Heritage Area which encompasses 325,920 ha(-1) of temperate rainforest. During a recent legislative review, 66,012 ha(-1) of rainforest in protected areas was downgraded to a reserve category that permits logging or mining. A key conservation instrument therefore is the Management Plan for the World Heritage Area as it overrides land use activities otherwise permitted including the 21,257 ha(-1) which is on a State-defined land tenure that allows for logging or mining. Climate change impacts, as modelled, suggest the main conservation challenges are in maintaining the integrity of the remaining intact rainforest blocks and better managing ignitions from lightning strikes and arsonists in the coniferous and alpine rainforests. Allowing structural degradation and fragmentation to intact rainforest blocks will reduce their capacity to buffer meso-climatic variability and resist fire events thereby undermining their ecosystem integrity. Noting that Aichi Target 11 includes the requirement that reserves are effectively managed, our case study highlights that assessing the effectiveness of a reserve system is not necessarily a straightforward matter as governance systems and regulatory frameworks involve a mix of international obligations, national and sub national policies and statutes, along with other agreements, administrative arrangements and plans of management, which can provide for a range of land use activities and be subject to modification over time.</t>
  </si>
  <si>
    <t>10.1016/j.biocon.2017.08.032</t>
  </si>
  <si>
    <t>ERW-32</t>
  </si>
  <si>
    <t>Phillips, R. A.; Gales, R.; Baker, G. B.; Double, M. C.; Favero, M.; Quintana, F.; Tasker, M. L.; Weimerskirch, H.; Uhart, M.; Wolfaardt, A.</t>
  </si>
  <si>
    <t>The conservation status and priorities for albatrosses and large petrels</t>
  </si>
  <si>
    <t>Seabirds are amongst the most globally-threatened, of all groups of birds, and conservation issues specific to albatrosses (Diomedeidae) and large petrels (Procellaria spp. and giant petrels Macronectes spp.) led to drafting of the multi-lateral Agreement on the Conservation of Albatrosses and Petrels (ACAP). Here we review the taxonomy, breeding and foraging distributions, population status and trends, threats and priorities for the 29 species covered by ACAP. Nineteen (66%) are listed as threatened by IUCN, and 11 (38%) are declining. Most have extensive at-sea distributions, and the greatest threat is incidental mortality (bycatch) in industrial pelagic or demersal longline, trawl or artisanal fisheries, often in both national and international waters. Mitigation measures are available that reduce bycatch in most types of fisheries, but some management bodies are yet to make these mandatory, levels of implementation and monitoring of compliance are often inadequate, and there are insufficient observer programmes collecting robust data on bycatch rates. Intentional take, pollution (including plastic ingestion), and threats at colonies affect fewer species than bycatch; however, the impacts of disease (mainly avian cholera) and of predation by introduced species, including feral cats (Felis catus), rats (Rattus spp.) and house mice (Mus musculus), are severe for some breeding populations. Although major progress has been made in recent years in reducing bycatch rates and in controlling or eradicating pests at breeding sites, unless conservation efforts are intensified, the future prospects of many species of albatrosses and large petrels will remain bleak. (C) 2016 Elsevier Ltd. All rights reserved.</t>
  </si>
  <si>
    <t>10.1016/j.biocon.2016.06.017</t>
  </si>
  <si>
    <t>IUC-12</t>
  </si>
  <si>
    <t>van Strien, Arco J.; Meyling, Adriaan W. Gmelig; Herder, Jelger E.; Hollander, Hans; Kalkman, Vincent J.; Poot, Martin J. M.; Turnhout, Sander; van der Hoorn, Berry; van Strien-van Liempt, Willy T. F. H.; van Swaay, Chris A. M.; van Turnhout, Chris A. M.; Verweij, Richard J. T.; Oerlemans, Natasja J.</t>
  </si>
  <si>
    <t>Modest recovery of biodiversity in a western European country: The Living Planet Index for the Netherlands</t>
  </si>
  <si>
    <t>We calculated a Living Planet Index (LPI) for the Netherlands, based on 361 animal species from seven taxonomic groups occurring in terrestrial and freshwater habitats. Our assessment is basically similar to the global LPI, but the latter includes vertebrate species and trends in population abundance only. To achieve inferences on trends in biodiversity more generally, we added two insect groups (butterflies and dragonflies) and added occupancy trends for species for which we had no abundance trends available.According to the LPI, the state of biodiversity has slightly increased from 1990 to 2014. However, large differences exist between habitat types. We found a considerable increase in freshwater animal populations, probably because of improvement of chemical water quality and rehabilitation of marshland habitats. We found no trend in the LPI for woodland populations. In contrast, populations in farmland and open semi-natural habitats (coastal dunes, heathland and semi-natural grassland) declined, which we attribute to intensive agricultural practices and nitrogen deposition, respectively. The LPI shows that, even in a densely populated western European country, ongoing loss of animal biodiversity is not inevitable and may even be reversed if adequate measures are taken. Our approach enabled us to produce summary statistics beyond the level of species groups to monitor the state of biodiversity in a clear and consistent way. (C) 2016 The Authors. Published by Elsevier Ltd. This is an open access article under the CC BY license.</t>
  </si>
  <si>
    <t>10.1016/j.biocon.2016.05.031</t>
  </si>
  <si>
    <t>LPI-41</t>
  </si>
  <si>
    <t>LPI</t>
  </si>
  <si>
    <t>Bahaa-el-Din, Laila; Sollmann, Rahel; Hunter, Luke T. B.; Slotow, Rob; Macdonald, David W.; Henschel, Philipp</t>
  </si>
  <si>
    <t>Effects of human land-use on Africa's only forest-dependent fetid: The African golden cat Caracal aurata</t>
  </si>
  <si>
    <t>Africa's equatorial forests are threatened by widespread deforestation and bushmeat hunting, with both threats spreading into formerly remote areas due to rapid human population growth and large-scale expansions of commercial resource extraction such as logging and mining, as well as forest clearing for agriculture. Many globally threatened species are endemic to these forests, but the potential effects of these threats are not well understood. Using the case of the forest-dependent African golden cat, we assess the potential effects of disturbance including logging and hunting on population density. We applied spatially-explicit capture-recapture models to camera trap data to estimate density across a human land-use gradient at five sites in central Gabon. We found density was highest at a pristine, undisturbed site (16.23 [+/- 5.84 SE] individuals per 100 km(2)) and lowest at a village site with moderate levels of mostly subsistence bushmeat hunting (3.8[+/- 2.23 SE] individuals per 100 km(2)). Logging concessions can support important densities of the species (10.18 [+/- 3.54 SE] and 12.84 [+/- 4.25 SE] individuals per 100 km(2)), with the higher estimate of the two for the concession certified by the Forest Stewardship Council (FSC) versus the non-certified concession. While protected intact forests are the main strongholds for golden cats, well-managed logging concessions may also play an important role in the conservation of golden cats and other threatened species. (C) 2016 Elsevier Ltd. All rights reserved.</t>
  </si>
  <si>
    <t>10.1016/j.biocon.2016.04.013</t>
  </si>
  <si>
    <t>IFL-61</t>
  </si>
  <si>
    <t>Koyanagi, Tomoyo F.; Furukawa, Takuya</t>
  </si>
  <si>
    <t>Nation-wide agrarian depopulation threatens semi-natural grassland species in Japan: Sub-national application of the Red List Index</t>
  </si>
  <si>
    <t>To integrate monitoring and conservation of biodiversity at multiple spatial scales, biodiversity indicators measured at coarse spatial scales should be linked with anthropogenic pressures reported at finer scales. Applying the Red List Index (RLI) at the regional level, we investigated the relationship between Japanese semi-natural grassland species and proxies of threats caused by human activities over the past 50 years. We calculated and compared RLI values at the national and prefectural levels for all grassland species, plant functional groups (PFGs), and resource use types. Analyses of prefectural RLIs revealed trends that were not visible at the national level: annuals and wind-dispersed, tall and short perennials were more extinction prone (i.e., had lower RLI values) than tall and short perennials with unassisted and other types of dispersal mechanisms. Species with horticultural use also had higher risk of extinction than those without. Prefectural RLIs were further analyzed for their relationship to social factors (i.e., demographic and land use statistics). As a result, the conservation status of grassland plants was more deteriorated in prefectures with larger decrease in commercial and subsistence agrarian population density in the past (during 1960-1980) than the recent (1980-2000). This supports the perception that the "underuse" of agricultural landscapes, indicated by agrarian depopulation, has had a large impact on semi-natural grassland biodiversity in Japan. Our approach of relating regional RLIs to proxies of anthropogenic pressures demonstrated that human-induced drivers of species loss can be readily interpreted from spatial differences in RLI values in order to derive effective conservation strategies across regions. (C) 2013 Elsevier Ltd. All rights reserved.</t>
  </si>
  <si>
    <t>10.1016/j.biocon.2013.07.012</t>
  </si>
  <si>
    <t>RLI-37</t>
  </si>
  <si>
    <t>Szabo, Judit K.; Butchart, Stuart H. M.; Possingham, Hugh P.; Garnett, Stephen T.</t>
  </si>
  <si>
    <t>Adapting global biodiversity indicators to the national scale: A Red List Index for Australian birds</t>
  </si>
  <si>
    <t>The Red List Index (RLI), which uses information from the IUCN Red List to track trends in the projected overall extinction risk of sets of species, is among the indicators adopted by the world's governments to assess performance under the Convention on Biological Diversity and the United Nations Millennium Development Goals. For greatest impact, such indicators need to be measured and used at a national scale as well as globally. We present the first application of the RLI based on assessments of extinction risk at the national scale using IUCN's recommended methods, evaluating trends in the status of Australian birds for 1990-2010. We calculated RLIs based on the number of taxa in each Red List category and the number that changed categories between assessments in 1990, 2000 and 2010 as a result of genuine improvement or deterioration in status. A novel comparison between trends at the species and ultrataxon (subspecies or monotypic species) level showed that these were remarkably similar, suggesting that current global RLI trends at the species level may also be a useful surrogate for tracking losses in genetic diversity at this scale, for which no global measures currently exist. The RLI for Australia is declining faster than global rates when migratory shorebirds and seabirds are included, but not when changes resulting from threats in Australia alone are considered. The RLI of oceanic island taxa has declined faster than those on the continent or on continental islands. There were also differences in the performance of different jurisdictions within Australia. (C) 2012 Elsevier Ltd. All rights reserved.</t>
  </si>
  <si>
    <t>10.1016/j.biocon.2012.01.062</t>
  </si>
  <si>
    <t>RLI-63</t>
  </si>
  <si>
    <t>This study includes all Australian birds</t>
  </si>
  <si>
    <t>Broadbent, Eben N.; Asner, Gregory P.; Keller, Michael; Knapp, David E.; Oliveira, Paulo J. C.; Silva, Jose N.</t>
  </si>
  <si>
    <t>Forest fragmentation and edge effects from deforestation and selective logging in the Brazilian Amazon</t>
  </si>
  <si>
    <t>Forest fragmentation results from deforestation and disturbance, with subsequent edge effects extending deep into remaining forest areas. No study has quantified the effects of both deforestation and selective logging, separately and combined, on forest fragmentation and edge effects over large regions. The main objectives of this study were to: (1) quantify the rates and extent of forest fragmentation from deforestation and logging within the Brazilian Amazon, and (2) contextualize the spatio-temporal dynamics of this forest fragmentation through a literature review of potential ecological repercussions of edge creation. Using GIS and remote sensing, we quantified forest fragmentation defined as both increases in the forest edge-to-area ratio and number of forest fragments - and edge-effected forest occurring from these activities across more than 1.1 million km(2) of the Brazilian Amazon from 1999 to 2002. Annually, deforestation and logging generated similar to 32,000 and 38,000 km of new forest edge while increasing the edge-to-area ratio of remaining forest by 0.14 and 0.15, respectively. Combined deforestation and logging increased the edge-to-area ratio of remaining forest by 65% over our study period, while generating 5539 and 3383 new forest fragments, respectively. Although we found that 90% of individual forest fragments were smaller than 4 km(2), we also found that 50% of the remaining intact forests were located in contiguous forest areas greater than 35,000 km(2). We then conducted a literature review documenting 146 edge effects and found that these penetrated to a median distance of 100 m, a distance encompassing 6.4% of all remaining forests in our study region in the year 2002, while 53% of forests were located within two km of an edge. Annually deforestation and logging increased the proportion of edge-forest by 0.8% and 3.1%, respectively. As a result of both activities, the total proportion of edge-forest increased by 2.6% per year, while the proportion within 100-m increased by 0.5%. Over our study period, deforestation resulted in an additional similar to 3000 km(2) of edge-forest, whereas logging generated similar to 20,000 km(2), as it extended deep into intact forest areas. These results show the large extent and rapid expansion of previously unquantified soft-edges throughout the Amazon and highlight the need for greater research into their ecological impacts. (C) 2008 Elsevier Ltd. All rights reserved.</t>
  </si>
  <si>
    <t>10.1016/j.biocon.2008.04.024</t>
  </si>
  <si>
    <t>IFL-40</t>
  </si>
  <si>
    <t>Brown, Matthew I.; Pearce, Tristan; Leon, Javier; Sidle, Roy; Wilson, Rachele</t>
  </si>
  <si>
    <t>Using remote sensing and traditional ecological knowledge (TEK) to understand mangrove change on the Maroochy River, Queensland, Australia</t>
  </si>
  <si>
    <t>Mangrove forests support a variety of ecosystem functions and services imperative for ecosystem health. Despite the importance of mangroves, however, mangrove forests worldwide are under threat from human development and climate change. To date, most research on mangrove change in Australia has drawn on approximately 40 years of remotely sensed imagery, a fraction of the time period required to assess spatial change. To improve our understanding of mangrove change, data were collected using historic and current remotely sensed satellite imagery and participatory mapping with Kabi Kabi Traditional Owners to assess mangrove change on the Maroochy River, Queensland, Australia. The results indicate that mangrove extent in the lower Maroochy River has changed significantly since European colonisation in the mid to late 1800s, and declined in recent decades by approximately 30%, a rate similar to global estimates of mangrove loss. Past drivers of change included land clearing for cattle grazing and sugar cane production, and present drivers include agricultural activities, population growth, rapid urbanisation and discharge of pollutants and sewage. These changes have consequences for coastal protection, water purification, biodiversity and cultural services. This research demonstrates how using traditional ecological knowledge (TEK) and remote sensing for understanding ecosystem change, particularly where scientific data are limited, can increase the time period during which change is assessed and enhance the detail and scope of the assessment.</t>
  </si>
  <si>
    <t>10.1016/j.apgeog.2018.03.006</t>
  </si>
  <si>
    <t>MFC-58</t>
  </si>
  <si>
    <t>Chen, Baoxiong; Zhang, Xianzhou; Tao, Jian; Wu, Jianshuang; Wang, Jingsheng; Shi, Peili; Zhang, Yangjian; Yu, Chengqun</t>
  </si>
  <si>
    <t>AGRICULTURAL AND FOREST METEOROLOGY</t>
  </si>
  <si>
    <t>The impact of climate change and anthropogenic activities on alpine grassland over the Qinghai-Tibet Plateau</t>
  </si>
  <si>
    <t>Climate change and anthropogenic activities are two factors that have important effects on the carbon cycle of terrestrial ecosystems, but it is almost impossible to fully separate them at present. This study used process-based terrestrial ecosystem model to stimulate the potential climate-driven alpine grassland net primary production (NPP), and Carnegie-Ames-Stanford Approach based on remote sensing to stimulate actual alpine grassland NPP influenced by both of climate change and anthropogenic activities over the Qinghai-Tibet plateau (QTP) from 1982 to 2011. After the models were systematically calibrated, the simulations were validated with continuous 3-year paired field sample data, which were separately collected in fenced and open grasslands. We then simulated the human-induced NPP, calculated as the difference between potential and actual NPP, to determine the effect of anthropogenic activities on the alpine grassland ecosystem. The simulation results showed that the climate change and anthropogenic activities mainly drove the actual grassland NPP increasing in the first 20-year and the last 10-year respectively, the area percentage of actual grassland NPP change caused by climate change declined from 79.62% in the period of 1982-2001 to 56.59% over the last 10 years; but the percentage change resulting from human activities doubled from 20.16% to 42.98% in the same periods over the QTP. The effect of human activities on the alpine grassland ecosystem obviously intensified in the latter period compared with the former 20 years, so the negative effect caused by climate change to ecosystem could have been relatively mitigated or offset over the QTP in the last ten years. (C) 2014 Elsevier B.V. All rights reserved.</t>
  </si>
  <si>
    <t>10.1016/j.agrformet.2014.01.002</t>
  </si>
  <si>
    <t>NPP-134</t>
  </si>
  <si>
    <t>Clark, Kenneth L.; Skowronski, Nicholas; Gallagher, Michael; Renninger, Heidi; Schaefer, Karina</t>
  </si>
  <si>
    <t>Effects of invasive insects and fire on forest energy exchange and evapotranspiration in the New Jersey pinelands</t>
  </si>
  <si>
    <t>We used eddy covariance and meteorological measurements to quantify energy exchange and evapotranspiration (Et) in three representative upland forest stands in the New Jersey Pinelands that were either defoliated by gypsy moth (Lymantria dispar L) or burned in prescribed fires during the study period. Latent (lambda E) and sensible heat (H) fluxes were linear functions of available energy, and seasonality had a major effect on the partitioning of available energy into lambda E and H at each stand. Both defoliation and prescribed fire reduced leaf area, altered the partitioning of available energy, and reduced lambda E flux compared to undisturbed periods. Summer daily Et averaged 4.2 +/- 1.5, 33 +/- 1.2 and 3.9 +/- 1.3 mm day(-1) at the oak-, mixed, and pine-dominated stands during undisturbed periods, but only 2.4 +/- 0.9 mm day(-1) during defoliation at the oak stand in 2007, and 2.4 +/- 0.9 and 3.2 +/- 0.9 mm day(-1) following spring fires at the mixed and pine-dominated stands, respectively. For all years measured, seasonal maximum leaf area index (LAI) explained 82% of the variability in daily Et during the summer at the oak stand, and 80% of the variability at the mixed and pine-dominated stands. Annual Et averaged 614, 493, and 683 mm yr(-1) at the oak, mixed, and pine stands, respectively. When averaged across all stands and years, annual Et was 606 mm yr(-1), ca. 53.6% of incident precipitation, and similar to long-term averages reported in other studies in the Pinelands. Gypsy moth defoliation potentially reduced Et by ca. 31 mm yr(-1) across all upland forests in 2007, resulting in a 7.3% increase in groundwater recharge. Our research indicates that non-stand replacing disturbances can have significant effects on energy partitioning, and can reduce Et at the stand and landscape scales. Published by Elsevier B.V.</t>
  </si>
  <si>
    <t>10.1016/j.agrformet.2012.07.007</t>
  </si>
  <si>
    <t>LAI-49</t>
  </si>
  <si>
    <t>Braimoh, AK</t>
  </si>
  <si>
    <t>AGRICULTURE ECOSYSTEMS &amp; ENVIRONMENT</t>
  </si>
  <si>
    <t>Random and systematic land-cover transitions in northern Ghana</t>
  </si>
  <si>
    <t>The objective of this paper is to detect the dominant landscape changes in a 5400 km(2) area in northern Ghana. An in-depth analysis of the conventional transition matrix was used to separate landscape transformations to random and systematic transitions. A landscape transition is random if a land-cover category gains from other categories in proportion to the availability of those other losing categories, or if a category loses to other categories in proportion to the size of those other gaining categories. Any large deviation from those proportions is refer-red to as systematic transition. The highest systematic transition involved the conversion of about 12% of landscape from grassland to cropland. Other systematic landscape transitions included degradation of closed woodland to open woodland (11% of landscape), gain in biomass from open woodland to closed woodland (8% of landscape), and the degradation of open woodland to grassland (6% of landscape). The vulnerability of grassland to transition to cropland probably reflects the ease of clearing grassland compared to other natural vegetation. Cropland systematically avoided gaining from woodland and woodland systematically avoided losing to cropland, suggesting that woodcutting for charcoal and firewood collection is the major proximate cause of decline in woodland. Most of the random landscape transitions occurred in areas affected by spontaneous occupation by migrants, peri-urban cropland expansion as a result of displacement of farmers, and the resettlement of households along the White Volta River after the eradication of water-borne diseases. It is essential to combine systematic and random landscape change analyses for improved understanding of the processes of land use change. This will help in linking patterns to processes and in designing policy interventions aimed at reducing the unfavorable effects of dramatic land change. (c) 2005 Elsevier B.V. All rights reserved.</t>
  </si>
  <si>
    <t>10.1016/j.agee.2005.10.019</t>
  </si>
  <si>
    <t>RPV-142</t>
  </si>
  <si>
    <t>Zhou, Wei; Gang, Chengcheng; Zhou, Liang; Chen, Yizhao; Li, Jianlong; Ju, Weimin; Odeh, Inakwu</t>
  </si>
  <si>
    <t>ACTA OECOLOGICA-INTERNATIONAL JOURNAL OF ECOLOGY</t>
  </si>
  <si>
    <t>Dynamic of grassland vegetation degradation and its quantitative assessment in the northwest China</t>
  </si>
  <si>
    <t>Grasslands, one of the most widespread land cover types in China, are of great importance to natural environmental protection and socioeconomic development. An accurate quantitative assessment of the effects of inter-annual climate change and human activities on grassland productivity has great theoretical significance to understanding the driving mechanisms of grassland degradation. Net primary productivity (NPP) was selected as an indicator for analyzing grassland vegetation dynamics from 2001 to 2010. Potential NPP and the difference between potential NPP and actual NPP were used to represent the effects of climate and human factors, respectively, on grassland degradation. The results showed that 61.49% of grassland areas underwent degradation, whereas only 38.51% exhibited restoration. In addition, 65.75% of grassland degradation was caused by human activities whereas 19.94% was caused by inter-annual climate change. By contrast, 32.32% of grassland restoration was caused by human activities, whereas 56.56% was caused by climatic factors. Therefore, inter-annual climate change is the primary cause of grassland restoration, whereas human activities are the primary cause of grassland degradation. Grassland dynamics and the relative roles of climate and human factors in grassland degradation and restoration varied greatly across the five provinces studied. The contribution of human activities to grassland degradation was greater than that of climate change in all five provinces. Three outcomes were observed in grassland restoration: First, the contribution of climate to grassland restoration was greater than that of human activities, particularly in Qinghai, Inner Mongolia, and Xinjiang. Second, the contribution of human activities to grassland restoration was greater than that of climate in Gansu. Third, the two factors almost equally contributed to grassland restoration in Tibet. Therefore, the effectiveness of ecological restoration programs should be enhanced whenever climate change promotes grassland restoration. (C) 2014 Elsevier Masson SAS. All rights reserved.</t>
  </si>
  <si>
    <t>10.1016/j.actao.2013.12.006</t>
  </si>
  <si>
    <t>NPP-35</t>
  </si>
  <si>
    <t>Winemiller, Kirk O.; Agostinho, Angelo A.; Caramaschi, Erica Pellegrini</t>
  </si>
  <si>
    <t>TROPICAL STREAM ECOLOGY</t>
  </si>
  <si>
    <t>Fish Ecology in Tropical Streams</t>
  </si>
  <si>
    <t>This chapter emphasizes the ecological responses of fishes to spatial and temporal variation in tropical stream habitats. At the global scale, the Neotropics has the highest fish fauna richness, with estimates ranging as high as 8000 species. Larger drainage basins tend to be associated with greater local and regional species richness. Within longitudinal stream gradients, the number of species increases with declining elevation. Tropical stream fishes encompass highly diverse reproductive strategies ranging from egg scattering to mouth brooding and livebearing, with reproductive seasons ranging from a few days to the entire year. Relationships between life-history strategies and population dynamics in different environmental settings are reviewed briefly.Fishes in tropical streams exhibit diverse feeding behaviors, including specialized niches, such as fin and scale feeding, not normally observed in temperate stream fishes. Many tropical stream fishes have greater diet breadth while exploiting abundant resources during the wet season, and lower diet breadth during the dry season as a consequence of specialized feeding on a subset of resources. Niche complementarity with high overlap in habitat use is usually accompanied by low dietary overlap. Ecological specializations and strong associations between form and function in tropical stream fishes provide clear examples of evolutionary convergence.Several studies have revealed the major influence of fishes on benthic ecosystem dynamics in tropical streams including effects on primary production and nutrient cycling. Tropical stream fishes are important food resources for humans in many countries, and significant conservation challenges include drainage-basin degradation, pollution, dams, overfishing, and introductions of exotic species.</t>
  </si>
  <si>
    <t>10.1016/B978-012088449-0.50007-8</t>
  </si>
  <si>
    <t>LSR-46</t>
  </si>
  <si>
    <t>Harris, Peter T.; Baker, Elaine K.</t>
  </si>
  <si>
    <t>SEAFLOOR GEOMORPHOLOGY AS BENTHIC HABITAT: GEOHAB ATLAS OF SEAFLOOR GEOMORPHIC FEATURES AND BENTHIC HABITATS</t>
  </si>
  <si>
    <t>GeoHab Atlas of Seafloor Geomorphic Features and Benthic Habitats: Synthesis and Lessons Learned</t>
  </si>
  <si>
    <t>This chapter presents a broad synthesis and overview based on the 57 case studies included in Part 2 of this book and on questionnaires completed by the authors. The case studies covered areas of seafloor ranging from 0.15 km(2) to over 1.000.000 km(2) (average of 26.600 km(2)) and a broad range of geomorphic feature types. The mean depths of the study areas ranged from 8 to 2.375 m. with about half of the studies on the shelf (depth &lt; 120 m) and half on the slope and at greater depths. Mapping resolution ranged from 0.1 to 170 m (mean of 13 m). There is a relatively equal distribution of studies across the four naturalness categories: near pristine (n = 17), largely unmodified (n = 16), modified (n = 13), and extensively modified (n = 10). In terms of threats to habitats, most authors identified fishing (n = 46) as the most significant threat, followed by pollution (n = 12), oil and gas development (n = 7), and aggregate mining (n = 7). Anthropogenic climate change was viewed as an immediate threat to benthic habitats by only three authors (n = 3).Water depth was found to be the most useful surrogate for benthic communities in the most studies (n = 17). followed by substrate/sediment type (n = 14). acoustic backscatter (n = 12). wave-current exposure (n = 10). grain size (n = 10). seabed rugosity (n = 9). and bathymetric/topographic position index (BPI/TPI) (n = 8). Water properties (temperature. salinity) and seabed slope are less useful surrogates. Multiple analytical methods were used to identify surrogates, with ARC GIS being by far the most popular method (23 out of 44 studies that specified a methodology).Of the many purposes for mapping benthic habitats, four stand out as preeminent: (1) to support government spatial marine planning, management, and decision making; (2) to support and underpin the design of marine protected areas (MPAs); (3) to conduct scientific research programs aimed at generating knowledge of benthic ecosystems and seafloor geology; and (4) to conduct living and nonliving seabed resource assessments for economic and management purposes. Out of 57 case studies, habitat mapping was intended to be part of an ongoing monitoring program in 24 cases, whereas the mapping was considered to be a one-off exercise in 33 cases. However, out of the 33 one-off cases, the authors considered that their habitat map would form the baseline for monitoring future changes in 24 cases. This suggests that governments and regulators generally view habitat mapping as a useful means of measuring and monitoring change. In terms of the perceived clients and users of habitat maps, most authors considered industry, marine conservation, and the scientific community to be the primary users of habitat maps. However, the overwhelming majority of habitat surveys were funded by government or government-funded agencies/institutions (n = 49), with only minor funding from private industry (n = 7) or nongovernment organizations (n = 4).A gap analysis (i.e., geomorphic features and habitats not included in the case studies) illustrates that whereas shelf and slope habitats are well represented in the case studies, estuarine and deltaic coastal habitats plus deep ocean (abyssal-hadal) environments were described in only a few case studies. Geographically, about half of the case studies were from waters around Western Europe, while the margins of the continents of Africa, Asia, and South America were not represented in any case study. Given the intense pressures facing benthic habitats and broad regional differences in ecosystems, species, and habitats, future case studies from these regions should be specifically sought for future editions of the Atlas.</t>
  </si>
  <si>
    <t>10.1016/B978-0-12-385140-6.00064-5</t>
  </si>
  <si>
    <t>LCC-61</t>
  </si>
  <si>
    <t>Zhou, Wei; Sun, ZhengGuo; Li, JianLong; Gang, ChengCheng; Zhang, ChaoBin</t>
  </si>
  <si>
    <t>JOURNAL OF ARID LAND</t>
  </si>
  <si>
    <t>Desertification dynamic and the relative roles of climate change and human activities in desertification in the Heihe River Basin based on NPP</t>
  </si>
  <si>
    <t>Relative roles of climate change and human activities in desertification are the hotspot of research on desertification dynamic and its driving mechanism. To overcome the shortcomings of existing studies, this paper selected net primary productivity (NPP) as an indicator to analyze desertification dynamic and its impact factors. In addition, the change trends of actual NPP, potential NPP and HNPP (human appropriation of NPP, the difference between potential NPP and actual NPP) were used to analyze the desertification dynamic and calculate the relative roles of climate change, human activities and a combination of the two factors in desertification. In this study, the Moderate Resolution Imaging Spectroradiometer (MODIS)-Normalised Difference Vegetation Index (NDVI) and meteorological data were utilized to drive the Carnegie-Ames-Stanford Approach (CASA) model to calculate the actual NPP from 2001 to 2010 in the Heihe River Basin. Potential NPP was estimated using the Thornthwaite Memorial model. Results showed that 61% of the whole basin area underwent land degradation, of which 90.5% was caused by human activities, 8.6% by climate change, and 0.9% by a combination of the two factors. On the contrary, 1.5% of desertification reversion area was caused by human activities and 90.7% by climate change, the rest 7.8% by a combination of the two factors. Moreover, it was demonstrated that 95.9% of the total actual NPP decrease was induced by human activities, while 69.3% of the total actual NPP increase was caused by climate change. The results revealed that climate change dominated desertification reversion, while human activities dominated desertification expansion. Moreover, the relative roles of both climate change and human activities in desertification possessed great spatial heterogeneity. Additionally, ecological protection policies should be enhanced in the Heihe River Basin to prevent desertification expansion under the condition of climate change.</t>
  </si>
  <si>
    <t>10.1007/s40333-013-0181-z</t>
  </si>
  <si>
    <t>NPP-17</t>
  </si>
  <si>
    <t>Qin, Y.; Yi, S.; Ren, S.; Li, N.; Chen, J.</t>
  </si>
  <si>
    <t>ENVIRONMENTAL EARTH SCIENCES</t>
  </si>
  <si>
    <t>Responses of typical grasslands in a semi-arid basin on the Qinghai-Tibetan Plateau to climate change and disturbances</t>
  </si>
  <si>
    <t>Alpine grassland ecosystems on the Qinghai-Tibetan Plateau (QTP) are vulnerable to climate change and anthropogenic disturbances, which may have significant effects on the QTP's carbon budgets. In this study, vegetation and soil characteristics were compared among alpine grassland ecosystems in a semi-arid basin on the northeast ridge of the QTP (1) among alpine swamp meadow, meadow, steppe meadow and steppe soils, which represent the direction of succession under climate-warming conditions, and (2) among alpine, degraded and tilled meadow soils to investigate the effects of human disturbance. The results showed that (1) if the alpine grassland ecosystems succeed in this direction, climate warming will cause a loss of carbon, and (2) tilling activity also results in carbon loss. Therefore, these results indicate that anthropogenic disturbance regimes that change more rapidly than climate may exert a more profound influence on carbon dynamics and balance. However, the plots that were set in the present study represented only part of the basin due to road accessibility. Relationships between leaf area index (biomass and soil carbon) and fractional vegetation cover x vegetation height from this study are fairly good, which can be applied at regional scale to estimate carbon pools. In combination with detailed information of grassland types, climate and human activities, the effects of climate change and disturbances can be estimated using remote sensing datasets.</t>
  </si>
  <si>
    <t>10.1007/s12665-013-2547-0</t>
  </si>
  <si>
    <t>LAI-42</t>
  </si>
  <si>
    <t>Zhang, Caixia; Wang, Xunming; Li, Jinchang; Hua, Ting</t>
  </si>
  <si>
    <t>Roles of climate changes and human interventions in land degradation: a case study by net primary productivity analysis in China's Shiyanghe Basin</t>
  </si>
  <si>
    <t>The Thornthwaite Memorial, Synthetic, and Carnegie Ames Stanford Approach (CASA) models, with inputs from SPOT-VGT-S10 NDVI data, meteorological data (precipitation, temperature, solar radiation), and land use data were used to estimate the values of net primary productivity (NPP) from 1999 to 2007 in China's Shiyanghe Basin. The human appropriation of NPP, which represents the difference between potential NPP predicted using the climatic models and actual NPP calculated using the CASA model, served as the indicator of human intervention in the evolution of productivity of the land. Analysis showed that 78.9% (similar to 9,172 km(2)) of the degradation occurring in the Shiyanghe Basin was caused by human activities versus 15.0% (similar to 1,752 km(2)) that was caused by climatic factors, whereas 16.9% (similar to 6,404.5 km(2)) of the vegetation restoration resulted from human activities versus 49.7% (similar to 18,881 km(2)) that resulted from climate changes. Human activity played a key role in vegetation restoration in the central areas of the basin and in determining land degradation in the southwestern and northeastern areas. In addition, climate significantly controlled the vegetation restoration in the southwestern and northeastern areas and controlled land degradation in the central area.</t>
  </si>
  <si>
    <t>10.1007/s12665-011-1046-4</t>
  </si>
  <si>
    <t>NPP-88</t>
  </si>
  <si>
    <t>Beguer, Melanie; Berge, Julien; Gardia-Parege, Caroline; Beaulaton, Laurent; Castelnaud, Gerard; Girardin, Michel; Boet, Philippe</t>
  </si>
  <si>
    <t>ESTUARIES AND COASTS</t>
  </si>
  <si>
    <t>Long-Term Changes in Population Dynamics of the Shrimp Palaemon longirostris in the Gironde Estuary</t>
  </si>
  <si>
    <t>Spanning 20 years (1979-2007), this study is the longest time series pertaining to the resident shrimp species Palaemon longirostris in a European estuary. Data from monthly faunal surveys undertaken across the middle part of the Gironde estuary from April 1979 along with data from a statistical analysis of the commercial catches throughout the entire estuary and river were considered in order to explore their inter and intra-annual variability and long-term trends. Long-term densities series as well as environmental series (salinity, discharge, temperature and NAO) were decomposed and the effects of environmental variables were also examined using statistical models (GAMs). This revealed important spatio-temporal variability and a significant overall decrease in abundance of this species in the Gironde estuary since the beginning of the 1980s. This long-term decrease in abundance corresponded significantly to long-term decreases in both discharge and the NAO index, as well a long-term increase in temperature and salinity in the middle part of the estuary. However, models showed that environmental factors explained only a small part of the variability. The upstream shift of the population highlighted in this study, probably due to the intrusion of marine waters into the middle section of the estuary, may also have contributed to its decrease in abundance. Inter-annual variability of densities was also significantly linked with inter-annual fecundity fluctuations, and a significant decrease in both mean female size and fecundity was shown for preserved samples from 1992. Moreover, the breeding period has been temporally stretched out and began earlier in more recent years, potentially due to the increase in spring temperature.</t>
  </si>
  <si>
    <t>10.1007/s12237-012-9506-y</t>
  </si>
  <si>
    <t>LSA-11</t>
  </si>
  <si>
    <t>Gao, Zhiqiang; Cao, Xiaoming; Gao, Wei</t>
  </si>
  <si>
    <t>FRONTIERS OF EARTH SCIENCE</t>
  </si>
  <si>
    <t>The spatio-temporal responses of the carbon cycle to climate and land use/land cover changes between 1981-2000 in China</t>
  </si>
  <si>
    <t>This paper represents the first national effort of its kind to systematically investigate the impact of changes in climate and land use and land cover (LULC) on the carbon cycle with high-resolution dynamic LULC data at the decadal scale (1990s and 2000s). Based on simulations using well calibrated and validated Carbon Exchanges in the Vegetation-Soil-Atmosphere (CEVSA) model, temporal and spatial variations in carbon storage and fluxes in China may be generated empower us to relate these variations to climate variability and LULC with respect to net primary productivity (NPP), heterotrophic respiration (HR), net ecosystem productivity (NEP), storage and soil carbon (SOC), and vegetation carbon (VEGC) individually or collectively. Overall, the increases in NPP were greater than HR in most cases due to the effect of global warming with more precipitation in China from 1981 to 2000. With this trend, the NEP remained positive during that period, resulting in a net increase of total amount of carbon being stored by about 0.296 PgC within a 20-year time frame. Because the climate effect was much greater than that of changes of LULC, the total carbon storage in China actually increased by about 0.17 PgC within the 20-year time period. Such findings will contribute to the generation of carbon emissions control policies under global climate change impacts.</t>
  </si>
  <si>
    <t>10.1007/s11707-012-0335-x</t>
  </si>
  <si>
    <t>NPP-38</t>
  </si>
  <si>
    <t>Dai, Zhaohua; Birdsey, Richard A.; Johnson, Kristofer D.; Manuel Dupuy, Juan; Luis Hernandez-Stefanoni, Jose; Richardson, Karen</t>
  </si>
  <si>
    <t>Modeling Carbon Stocks in a Secondary Tropical Dry Forest in the Yucatan Peninsula, Mexico</t>
  </si>
  <si>
    <t>The carbon balance of secondary dry tropical forests of Mexico's Yucatan Peninsula is sensitive to human and natural disturbances and climate change. The spatially explicit process model Forest-DeNitrificationDeComposition (DNDC) was used to estimate forest carbon dynamics in this region, including the effects of disturbance on carbon stocks. Model evaluation using observations from 276 sample plots in a tropical dry forest in the Yucatan Peninsula indicated that Forest-DNDC can be used to simulate carbon stocks for this forest with good model performance efficiency. The simulated spatial variability in carbon stocks was large, ranging from 5 to 115 Mg carbon (C) ha(-1), with a mean of 56.6 Mg C ha(-1). Carbon stocks in the forest were largely influenced by human disturbances between 1985 and 2010. Based on a comparison of the simulations with and without disturbances, carbon storage in the year 2012 with disturbance was 3.2 Mg C ha(-1), lower on average than without disturbance. The difference over the whole study area was 154.7 Gg C, or an 8.5 % decrease. There were substantial differences in carbon stocks simulated at individual sample plots, compared to spatially modeled outputs (200 m(2) plots vs. polygon simulation units) at some locations due to differences in vegetation class, stand age, and soil conditions at different resolutions. However, the difference in the regional mean of carbon stocks between plot-level simulation and spatial output was small. Soil CO2 and N2O fluxes varied spatially; both fluxes increased with increasing precipitation, and soil CO2 also increased with an increase in biomass. The modeled spatial variability in CH4 uptake by soils was small, and the flux was not correlated with precipitation. The net ecosystem exchange (NEE) and net primary production (NPP) were nonlinearly correlated with stand age. Similar to the carbon stock simulations, different resolutions resulted in some differences in NEE and NPP, but the spatial means were similar.</t>
  </si>
  <si>
    <t>10.1007/s11270-014-1925-x</t>
  </si>
  <si>
    <t>NPP-68</t>
  </si>
  <si>
    <t>Banger, Kamaljit; Tian, Hanqin; Tao, Bo; Ren, Wei; Pan, Shufen; Dangal, Shree; Yang, Jia</t>
  </si>
  <si>
    <t>CLIMATIC CHANGE</t>
  </si>
  <si>
    <t>Terrestrial net primary productivity in India during 1901-2010: contributions from multiple environmental changes</t>
  </si>
  <si>
    <t>India is very important but relatively unexplored region in terms of carbon studies, where significant environmental changes have occurred in the 20th century that can alter terrestrial net primary productivity (NPP). Here, we used a process-based, Dynamic Land Ecosystem Model (DLEM), driven by land cover and land use change (LCLUC), climate change, elevated atmospheric CO2 concentration, atmospheric nitrogen deposition (NDEP), and tropospheric ozone (O-3) pollution to estimate terrestrial NPP in India during 1901-2010. Over the country, terrestrial NPP showed significant inter-annual variations ranging 1.2 Pg C year(-1) to 1.7 Pg C year(-1) during the 1901-2010. Overall, multiple environmental changes have increased terrestrial NPP by 0.23 Pg C year(-1). Elevated atmospheric CO2 concentration has increased NPP by 0.29 Pg C; however climate change has offset a portion of terrestrial NPP (0.11 Pg C) during this study period. On an average, terrestrial NPP reduced by 0.12 Pg C year(-1) in drought years; when precipitation was 100 mm year(-1) lower than long term average, suggesting that terrestrial carbon cycle in India is strongly linked to climate change. LCLUC, including land conversions and cropland management practices, increased terrestrial NPP by 0.043 Pg C year(-1) over the country. Tropospheric O-3 pollution reduced terrestrial NPP by 0.06 Pg C year(-1) and the decrease was comparatively higher in croplands than other biomes after the 1980s. Our results have shown that climate change and tropospheric O-3 pollution may partially offset terrestrial NPP increase caused by elevated CO2 concentration, LCLUC, and NDEP over India.</t>
  </si>
  <si>
    <t>10.1007/s10584-015-1448-5</t>
  </si>
  <si>
    <t>NPP-32</t>
  </si>
  <si>
    <t>Ambarli, Didem; Zeydanli, Ugur S.; Balkiz, Ozge; Aslan, Serdar; Karacetin, Evrim; Sozen, Mustafa; Ilgaz, Cetin; Ergen, Arzu Gursoy; Lise, Yildiray; Caglayan, Semiha Demirbas; Welch, Hilary J.; Welch, Geoff; Turak, Ayse S.; Bilgin, C. Can; Ozkil, Aydan; Vural, Mecit</t>
  </si>
  <si>
    <t>An overview of biodiversity and conservation status of steppes of the Anatolian Biogeographical Region</t>
  </si>
  <si>
    <t>The Anatolian Biogeographical Region is unique in the Palearctic realm, with high plant and butterfly species richness and populations of globally threatened birds, mammals and herptiles (amphibians and reptiles). It is a place of diverse land-use practices, dating back to the earliest farming practices in the world. Among 10,930 species of vascular plants, birds, butterflies, mammals and herptiles distributed in Turkey, we identified 1130 living predominantly in steppic environments and being classified either as threatened, near-threatened or data deficient at the national level, if not globally. A total of 28 effective protected areas were present in the region, covering 1.5 % of the 391,597 km(2) land area. Only 16.2 % of the threatened and near-threatened species (n = 809) were distributed within the protected area network, ranging from 94.1 % for birds to as low as 12.9 % for vascular plants. The total area of steppe and steppe forest vegetation has been reduced by at least 44 % of its former extent due to diverse habitat destructive activities. The most significant threats arise from unsustainable agricultural activities including overgrazing, conversion to croplands and afforestation. To maintain steppe diversity, we propose a "to-do list", including mainstreaming biodiversity, effective implementation of Turkey's Rangeland Act, conducting effective environmental impact assessments, establishing an effective site network for steppe biodiversity conservation and filling gaps in scientific knowledge.</t>
  </si>
  <si>
    <t>10.1007/s10531-016-1172-0</t>
  </si>
  <si>
    <t>BSR-88</t>
  </si>
  <si>
    <t>Araujo, R. M.; Assis, J.; Aguillar, R.; Airoldi, L.; Barbara, I.; Bartsch, I.; Bekkby, T.; Christie, H.; Davoult, D.; Derrien-Courtel, S.; Fernandez, C.; Fredriksen, S.; Gevaert, F.; Gundersen, H.; Le Gal, A.; Leveque, L.; Mieszkowska, N.; Norderhaug, K. M.; Oliveira, P.; Puente, A.; Rico, J. M.; Rinde, E.; Schubert, H.; Strain, E. M.; Valero, M.; Viard, F.; Sousa-Pinto, I.</t>
  </si>
  <si>
    <t>Status, trends and drivers of kelp forests in Europe: an expert assessment</t>
  </si>
  <si>
    <t>A comprehensive expert consultation was conducted in order to assess the status, trends and the most important drivers of change in the abundance and geographical distribution of kelp forests in European waters. This consultation included an on-line questionnaire, results from a workshop and data provided by a selected group of experts working on kelp forest mapping and eco-evolutionary research. Differences in status and trends according to geographical areas, species identity and small-scale variations within the same habitat where shown by assembling and mapping kelp distribution and trend data. Significant data gaps for some geographical regions, like the Mediterranean and the southern Iberian Peninsula, were also identified. The data used for this study confirmed a general trend with decreasing abundance of some native kelp species at their southern distributional range limits and increasing abundance in other parts of their distribution (Saccharina latissima and Saccorhiza polyschides). The expansion of the introduced species Undaria pinnatifida was also registered. Drivers of observed changes in kelp forests distribution and abundance were assessed using experts' opinions. Multiple possible drivers were identified, including global warming, sea urchin grazing, harvesting, pollution and fishing pressure, and their impact varied between geographical areas. Overall, the results highlight major threats for these ecosystems but also opportunities for conservation. Major requirements to ensure adequate protection of coastal kelp ecosystems along European coastlines are discussed, based on the local to regional gaps detected in the study.</t>
  </si>
  <si>
    <t>10.1007/s10531-016-1141-7</t>
  </si>
  <si>
    <t>LSA-2</t>
  </si>
  <si>
    <t>Olah, George; Butchart, Stuart H. M.; Symes, Andy; Guzman, Iliana Medina; Cunningham, Ross; Brightsmith, Donald J.; Heinsohn, Robert</t>
  </si>
  <si>
    <t>Ecological and socio-economic factors affecting extinction risk in parrots</t>
  </si>
  <si>
    <t>Parrots (Psittaciformes) are among the most threatened bird orders with 28 % (111 of 398) of extant species classified as threatened under IUCN criteria. We confirmed that parrots have a lower Red List Index (higher aggregate extinction risk) than other comparable bird groups, and modeled the factors associated with extinction risk. Our analyses included intrinsic biological, life history and ecological attributes, external anthropogenic threats, and socio-economic variables associated with the countries where the parrot species occur, while we controlled for phylogenetic dependence among species. We found that the likelihood of parrot species being classified as threatened was less for species with larger historical distribution size, but was greater for species with high forest dependency, large body size, long generation time, and greater proportion of the human population living in urban areas in the countries encompassing the parrots' home ranges. The severity of extinction risk (from vulnerable to critically endangered) was positively related to the per capita gross domestic product (GDP) of the countries of occurrence, endemism to a single country, and lower for species used as pets. A disproportionate number of 16 extinct parrot species were endemic to islands and single countries, and were large bodied, habitat specialists. Agriculture, hunting, trapping, and logging are the most frequent threats to parrots worldwide, with variation in importance among regions. We use multiple methods to rank countries with disproportionately high numbers of threatened parrot species. Our results promote understanding of global and regional factors associated with endangerment in this highly threatened taxonomic group, and will enhance the prioritization of conservation actions.</t>
  </si>
  <si>
    <t>10.1007/s10531-015-1036-z</t>
  </si>
  <si>
    <t>RLI-48</t>
  </si>
  <si>
    <t>Westphal, Michael I.; Browne, Michael; MacKinnon, Kathy; Noble, Ian</t>
  </si>
  <si>
    <t>BIOLOGICAL INVASIONS</t>
  </si>
  <si>
    <t>The link between international trade and the global distribution of invasive alien species</t>
  </si>
  <si>
    <t>Invasive alien species (IAS) exact large biodiversity and economic costs and are a significant component of human-induced, global environmental change. Previous studies looking at the variation in alien species across regions have been limited geographically or taxonomically or have not considered economics. We used a global invasive species database to regress IAS per-country on a suite of socioeconomic, ecological, and biogeographical variables. We varied the countries included in the regression tree analyses, in order to explore whether certain outliers were biasing the results, and in most of the cases, merchandise imports was the most important explanatory variable. The greater the degree of international trade, the higher the number of IAS. We also found a positive relationship between species richness and the number of invasives, in accord with other investigations at large spatial scales. Island status (overall), country area, latitude, continental position (New World versus Old World) or other measures of human disturbance (e.g., GDP per capita, population density) were not found to be important determinants of a country's degree of biological invasion, contrary to previous studies. Our findings also provide support to the idea that more resources for combating IAS should be directed at the introduction stage and that novel trade instruments need to be explored to account for this environmental externality.</t>
  </si>
  <si>
    <t>10.1007/s10530-007-9138-5</t>
  </si>
  <si>
    <t>BSR-166</t>
  </si>
  <si>
    <t>Daufresne, Martin; Bady, Pierre; Fruget, Jean-Francois</t>
  </si>
  <si>
    <t>OECOLOGIA</t>
  </si>
  <si>
    <t>Impacts of global changes and extreme hydroclimatic events on macroinvertebrate community structures in the French Rhone River</t>
  </si>
  <si>
    <t>We assessed the temporal changes in and the relationships between the structures of the macroinvertebrate communities and the environmental conditions of the French Rhone River (the river from Lake Geneva to the Mediterranean Sea) over the last 20 years (1985-2004). Multisite environmental and biological datasets were analysed using multiple CO-inertia analysis (MCOA) and Procrustean analysis. Changes in environmental conditions were mainly marked by an improvement in water quality between 1985 and 1991 and by an increase in water temperature from 1985 onwards due to climate change. Improvement in water quality seemed to delay changes in community structures under global warming. We then observed trends in community structures coupled with high temperatures and a decrease in oxygen content. Interestingly, we observed both gradual changes and rapid switches in community states. These shifts seemed coupled to extreme hydroclimatic events (i.e. pulse disturbances). Floods and the 2003 heatwave enhanced the development of eurytolerant and invasive taxa which were probably able to take advantage of gradual warming environmental conditions. Despite various site-specific "press" constraints (e.g. hydropower schemes, nuclear power plants), similar changes in community structures were observed along the French Rhone River. Such consistency in temporal processes at large geographical scales underlined the strength of hydroclimatic constraints on community dynamics compared to specific local disturbances. Finally, community structures did not show any sign of recovery, and their relative sensitivities to extreme hydroclimatic events seemed to increase with time. Thus, our results suggest that global changes may reduce the resilience of current community states.</t>
  </si>
  <si>
    <t>10.1007/s00442-006-0655-1</t>
  </si>
  <si>
    <t>LSR-77</t>
  </si>
  <si>
    <t>Berndes, Goran; Ahlgren, Serina; Borjesson, Pal; Cowie, Annette L.</t>
  </si>
  <si>
    <t>WILEY INTERDISCIPLINARY REVIEWS-ENERGY AND ENVIRONMENT</t>
  </si>
  <si>
    <t>Bioenergy and land use change-state of the art</t>
  </si>
  <si>
    <t>Bioenergy projects can lead to direct and indirect land use change (LUC), which can substantially affect greenhouse gas balances with both beneficial and adverse outcomes for bioenergy's contribution to climate change mitigation. The causes behind LUC are multiple, complex, interlinked, and change over time. This makes quantification uncertain and sensitive to many factors that can develop in different directions-including land use productivity, trade patterns, prices and elasticities, and use of by-products associated with biofuels production. Quantifications reported so far vary substantially and do not support the ranking of bioenergy options with regard to LUC and associated emissions. There are however several options for mitigating these emissions, which can be implemented despite the uncertainties. Long-rotation forest management is associated with carbon emissions and sequestration that are not in temporal balance with each other and this leads to mitigation trade-offs between biomass extraction for energy use and the alternative to leave the biomass in the forest. Bioenergy's contribution to climate change mitigation needs to reflect a balance between near-term targets and the long-term objective to hold the increase in global temperature below 2 degrees C (Copenhagen Accord). Although emissions from LUC can be significant in some circumstances, the reality of such emissions is not sufficient reason to exclude bioenergy from the list of worthwhile technologies for climate changemitigation. Policy measures to minimize the negative impacts of LUC should be based on a holistic perspective recognizing the multiple drivers and effects of LUC. (C) 2012 John Wiley &amp; Sons, Ltd.</t>
  </si>
  <si>
    <t>10.1002/wene.41</t>
  </si>
  <si>
    <t>NPP-144</t>
  </si>
  <si>
    <t>Lyu, Zhou; Genet, Helene; He, Yujie; Zhuang, Qianlai; McGuire, A. David; Bennett, Alec; Breen, Amy; Clein, Joy; Euskirchen, Eugenie S.; Johnson, Kristofer; Kurkowski, Tom; Pastick, Neal J.; Rupp, T. Scott; Wylie, Bruce K.; Zhu, Zhiliang</t>
  </si>
  <si>
    <t>The role of environmental driving factors in historical and projected carbon dynamics of wetland ecosystems in Alaska</t>
  </si>
  <si>
    <t>Wetlands are critical terrestrial ecosystems in Alaska, covering similar to 177,000 km(2), an area greater than all the wetlands in the remainder of the United States. To assess the relative influence of changing climate, atmospheric carbon dioxide (CO2) concentration, and fire regime on carbon balance in wetland ecosystems of Alaska, a modeling framework that incorporates a fire disturbance model and two biogeochemical models was used. Spatially explicit simulations were conducted at 1-km resolution for the historical period (1950-2009) and future projection period (2010-2099). Simulations estimated that wetland ecosystems of Alaska lost 175 Tg carbon (C) in the historical period. Ecosystem C storage in 2009 was 5,556 Tg, with 89% of the C stored in soils. The estimated loss of C as CO2 and biogenic methane (CH4) emissions resulted in wetlands of Alaska increasing the greenhouse gas forcing of climate warming. Simulations for the projection period were conducted for six climate change scenarios constructed from two climate models forced under three CO2 emission scenarios. Ecosystem C storage averaged among climate scenarios increased 3.94Tg C/yr by 2099, with variability among the simulations ranging from 2.02 to 4.42Tg C/yr. These increases were driven primarily by increases in net primary production (NPP) that were greater than losses from increased decomposition and fire. The NPP increase was driven by CO2 fertilization (similar to 5% per 100 parts per million by volume increase) and by increases in air temperature (similar to 1% per degrees C increase). Increases in air temperature were estimated to be the primary cause for a projected 47.7% mean increase in biogenic CH4 emissions among the simulations (similar to 15% per degrees C increase). Ecosystem CO2 sequestration offset the increase in CH4 emissions during the 21st century to decrease the greenhouse gas forcing of climate warming. However, beyond 2100, we expect that this forcing will ultimately increase as wetland ecosystems transition from being a sink to a source of atmospheric CO2 because of (1) decreasing sensitivity of NPP to increasing atmospheric CO2, (2) increasing availability of soil C for decomposition as permafrost thaws, and (3) continued positive sensitivity of biogenic CH4 emissions to increases in soil temperature.</t>
  </si>
  <si>
    <t>10.1002/eap.1755</t>
  </si>
  <si>
    <t>NPP-110</t>
  </si>
  <si>
    <t>Chakona, Gamuchirai; Swartz, Ernst R.; Chakona, Albert</t>
  </si>
  <si>
    <t>AQUATIC CONSERVATION-MARINE AND FRESHWATER ECOSYSTEMS</t>
  </si>
  <si>
    <t>The status and distribution of a newly identified endemic galaxiid in the eastern Cape Fold Ecoregion, of South Africa</t>
  </si>
  <si>
    <t>DNA-based studies have uncovered cryptic species and lineages within almost all freshwater fishes studied thus far from the Cape Fold Ecoregion (CFE) of South Africa. These studies have changed the way the CFE is viewed, as almost all stream fishes that were previously considered to be of low conservation priority, because they were perceived to have broad geographical ranges, contain multiple historically isolated lineages, many of which are narrow-range endemics.As stream fishes of the CFE are of conservation concern owing to threats mainly posed by habitat degradation, invasion by alien species and hydrological modification, re-evaluation of the distribution and conservation status of newly identified unique lineages is required to inform the development and implementation of effective conservation and management strategies.The present study conducted an IUCN Red List conservation assessment of a newly identified lineage of the Galaxias zebratus species complex (hereafter referred to as Galaxias sp. Joubertina') to identify key threats and provide recommendations to conservation authorities on appropriate measures to reduce extinction risk.The lineage met the qualifying threshold for the Endangered category because of its very restricted geographic range, few remaining secure populations, small known population sizes and the intensity of threats to most of the populations. Only six populations remain, one of which could be an extralimital' population potentially established through an inter-basin water transfer scheme.Galaxias sp. Joubertina' is threatened by invasive piscivores, habitat degradation and excessive water abstraction. These impacts have fragmented remnant populations, raising concerns about potential long-term adverse impacts on genetic diversity and evolutionary potential of this lineage.Immediate conservation measures should protect remnant populations from further impacts, while long-term measures should aim to restore historical connectivity to reduce the potential deleterious effects of inbreeding in the small isolated populations.</t>
  </si>
  <si>
    <t>10.1002/aqc.2850</t>
  </si>
  <si>
    <t>IUC-5</t>
  </si>
  <si>
    <t>Collier, Kevin J.; Probert, P. Keith; Jeffries, Michael</t>
  </si>
  <si>
    <t>Conservation of aquatic invertebrates: concerns, challenges and conundrums</t>
  </si>
  <si>
    <t>1. Invertebrates inhabiting marine and freshwater ecosystems make important contributions to global biodiversity and provide significant services that have cascading effects across ecosystems. However, this group is grossly under-represented in assessments of conservation status and often neglected in targeted aquatic conservation efforts.2. In global assessments of 7857 freshwater invertebrates and 2864 marine invertebrates, 30-34% were considered Data Deficient highlighting the paucity of information for making such assessments. Of the invertebrate groups that could be assessed, those with poor dispersal abilities and high local endemism, such as many gastropods, crayfish and mussels, are the most threatened.3. Springs and subterranean hydrological systems support the highest proportions of threatened freshwater species, while in marine environments coral reefs, lagoons and anchialine systems are particularly vulnerable.4. Key agents of biodiversity decline in aquatic ecosystems are water pollution, overexploitation and harvesting, habitat degradation and destruction, alien invasive species, and climate change. Effects of dams and water management along with pollution from urban, agricultural and forestry sources are the main threats in freshwater ecosystems, whereas a broad range of factors have impacts on marine invertebrates, including biological resource use.5. Significant impediments facing conservation of aquatic invertebrates are limited knowledge of their diversity, the need for broadscale actions to account for connectivity within and across ecosystems, lack of political will and investment, and the prospect that conditions may get worse before they improve, possibly not in time to save some already highly imperilled invertebrate species from extinction. Copyright (C) 2016 John Wiley &amp; Sons, Ltd.</t>
  </si>
  <si>
    <t>10.1002/aqc.2710</t>
  </si>
  <si>
    <t>IUC-9</t>
  </si>
  <si>
    <t>Castaldelli, Giuseppe; Pluchinotta, Angela; Milardi, Marco; Lanzoni, Mattia; Giari, Luisa; Rossi, Remigio; Fano, Elisa Anna</t>
  </si>
  <si>
    <t>Introduction of exotic fish species and decline of native species in the lower Po basin, north-eastern Italy</t>
  </si>
  <si>
    <t>Freshwater ecosystems worldwide are experiencing native fish losses with severe threats to the conservation of freshwater biodiversity and ecosystem functioning, and the debate on whether the cause is biotic or abiotic disturbance is still open.Temporal variation in fish assemblages was analysed over an 18year period in 14 waterways of the lowland backwaters of the Po River in north-eastern Italy, which are important feeding, spawning and nursery sites for native fish.In 1991, 14 native and eight exotic species were collected. In less than 20years 10 native species underwent local extinction, three of which - Rutilus pigus, Rutilus aula, and Chondrostoma soetta - were endemic to the Padano-Veneto District in northern Italy.Ordination of the data (MDS, CLUSTER, ANOSIM, SIMPER) showed a clear temporal gradient in fish community structure. After the establishment of the exotic predator Silurus glanis, some native species significantly declined in abundance and biomass (i.e. Alburnus arborella and Scardinius erythrophthalmus) or disappeared (i.e. Rutilus aula and Tinca tinca). Moreover, exotic species Cyprinus carpio, Ameiurus melas, and Carassius auratus from previous introductions, underwent significant changes in their abundance and biomass. No correlation was found between fish community structure and water quality parameters (BIOENV).The success of exotic species, particularly S. glanis which thrived in this degraded habitat, seems to have led to the decline of native fish fauna in the canals of the lower portion of the Po River basin. Conservation strategies focusing on the containment of exotic species and habitat restoration are recommended. Copyright (c) 2013 John Wiley &amp; Sons, Ltd.</t>
  </si>
  <si>
    <t>10.1002/aqc.2345</t>
  </si>
  <si>
    <t>LSA-70</t>
  </si>
  <si>
    <t>Edgar, Graham J.; Last, Peter R.; Barrett, Neville S.; Gowlett-Holmes, Karen; Driessen, Michael; Mooney, Peter</t>
  </si>
  <si>
    <t>Conservation of natural wilderness values in the Port Davey marine and estuarine protected area, south-western Tasmania</t>
  </si>
  <si>
    <t>1. Port Davey and associated Bathurst Harbour in south-western Tasmania represent one of the world's most anomalous estuarine systems owing to an unusual combination of environmental factors. These include: (i) large uninhabited catchment protected as a National Park; (ii) ria geomorphology but with fjord characteristics that include a shallow entrance and deep 12-km long channel connecting an almost land-locked harbour to the sea; (iii) high rainfall and riverine input that generate strongly-stratified estuarine conditions, with a low-salinity surface layer and marine bottom water; (iv) a deeply tannin-stained surface layer that blocks light penetration to depth; (v) very low levels of nutrients and low aquatic productivity; (vi) weak tidal influences; (vii) marine bottom water with stable temperature throughout the year; (viii) numerous endemic species; (ix) strongly depth-stratified benthic assemblages exhibiting high compositional variability over small spatial scales; (x) deepsea species present at anomalously shallow depths; (xi) no conspicuous introduced taxa; (xii) a predominance of fragile sessile invertebrates, including slow-growing fenestrate bryozoans; and (xiii) sponge spicule-and bryozoan-based sediments that are more characteristic of deep sea and polar environments than those inshore.2. Although this region has historically been protected by its isolation, seven major anthropogenic stressors now threaten its natural integrity: boating, fishing, dive tourism, nutrient enrichment, introduced species, onshore development, and global climate change. These threats are not randomly distributed but disproportionately affect particular habitat types.3. For management of environmental risk, the Port Davey-Bathurst Harbour region is subdivided into six biophysical zones, each with different ecological characteristics, values, and types and levels of potential threat. In response to the various threats, the Tasmanian Government has enacted an adaptive management regime that includes a multi-zoned marine protected area and the largest 'no-take' estuarine protected area in Australia. Copyright (C) 2009 John Wiley &amp; Sons, Ltd.</t>
  </si>
  <si>
    <t>10.1002/aqc.1079</t>
  </si>
  <si>
    <t>ERW-10</t>
  </si>
  <si>
    <t>Gros, Philippe; Prouzet, Patrick</t>
  </si>
  <si>
    <t>ECOSYSTEM SUSTAINABILITY AND GLOBAL CHANGE</t>
  </si>
  <si>
    <t>The Impact of Global Change on the Dynamics of Marine Living Resources</t>
  </si>
  <si>
    <t>FSS-72</t>
  </si>
  <si>
    <t>Teillard, F.; Falcucci, A.; Gerber, P. J.</t>
  </si>
  <si>
    <t>Proceedings of the 9th International Conference on Life Cycle Assessment in the Agri-Food Sector (LCA Food 2014), San Francisco, California, USA, 8-10 October, 2014</t>
  </si>
  <si>
    <t>Synergies and trade-offs between the greenhouse gas emissions and biodiversity performances of global livestock production.</t>
  </si>
  <si>
    <t>We provide the first global environmental assessment of livestock production that includes both greenhouse gas (GHG) emissions and biodiversity criteria. We compared performances on these two environmental criteria across scales, commodities (dairy and beef cattle) and production systems (grassland and mixed). To do this, we combined a global model computing the greenhouse gas emissions of livestock with the Mean Species Abundance biodiversity indicator to quantify the biodiversity impact of livestock through land use. Results showed weaker synergies and more trade-offs between environmental criteria in grassland than in mixed production systems. Efficiency in the utilization of feed and their associated land use is likely to drive the synergies in mixed production systems. Grassland systems based on extensive feed land use with high biodiversity values may have contrasted GHG emissions performances. Our global mapping of the relationships between environmental criteria could be used for spatially targeting decisions and actions.</t>
  </si>
  <si>
    <t>MSA-22</t>
  </si>
  <si>
    <t>Cowie, Robert H.; Regnier, Claire; Fontaine, Benoit; Bouchet, Philippe</t>
  </si>
  <si>
    <t>NAUTILUS</t>
  </si>
  <si>
    <t>Measuring the Sixth Extinction: what do mollusks tell us?</t>
  </si>
  <si>
    <t>The International Union for Conservation of Nature (IUCN) is the premier global biodiversity conservation organization. Its Red List is a rigorous vehicle for assessing the conservation status of plant and animal species. However, although all animal and bird species recognized by IUCN have been evaluated, only a tiny fraction of invertebrates have been evaluated. As a measure of the numbers of extinct species (since around the year 1500) the Red List is probably quite accurate for birds and mammals, but severely underestimates the numbers for invertebrates. Nonetheless, molluscs stand out as the major group most severely impacted by extinction, with 297 of the 744 animal species listed as extinct in the third issue of the 2016 Red List. Here we review efforts to obtain a more realistic, albeit less rigorous, assessment of the numbers of extinct mollusk species. Our approach has been based on bibliographic research and consultation with experts, rather than following the highly detailed but restrictive IUCN Categories and Criteria. In 2009, this led to an assessment that 533 mollusk species were extinct, far more than the number on the Red List. In the present study we revisited this approach and here list 638 species as extinct, 380 as possibly extinct, and 14 as extinct in the wild, a total of 1,032 species in these combined categories, and more than twice as many as listed by IUCN in these categories. However, this approach only considers species for which information is available; it is therefore biased. In a study published in 2015 we developed an alternative approach, based on a random global sample of land snails, and estimated that 3,000-5,100 mollusk species have gone extinct. We review the main reasons for these extinctions: habitat destruction, impacts of introduced species, exploitation and collecting, and, potentially, climate change, and discuss relevant case studies. Oceanic island land snails, especially those of Pacific islands, have suffered the greatest proportion of the extinctions, with some species having gone extinct before being discovered and described scientifically. The Amastridae, an endemic Hawaiian family of 325 recognized species, may have lost all but 18 species. We outline the phases in this catastrophe: 1) pre-human and/or prehistoric extinction, either natural or anthropogenic, with species known only as fossils/subfossils; 2) extinction due to habitat destruction and introduction of a number of alien species by Pacific island people as they settled the islands; 3) extinction due to extensive habitat destruction and introduction of highly destructive invasive alien species following colonization by Westerners; 4) extinction following the advent of large-scale agriculture at the end of the 19th Century, at the time of a major increase in the land snail extinction rate globally; 5) extinction due to increased military activity, tourism, commerce, urbanization and the concomittant rapidly increasing introduction of invasive species after the Second World War. Extrapolating from our assessments of mollusks, we estimate that approximately 7.5-13% of all species have gone extinct since around year 1500. This is orders of magnitude greater than the 860 (0.04% of 2 million) listed as extinct by IUCN (2016). The biodiversity crisis is real.</t>
  </si>
  <si>
    <t>IUC-4</t>
  </si>
  <si>
    <t>Linde, L.; Watson, I.; Tekelenburg, T.</t>
  </si>
  <si>
    <t>RAP Publication</t>
  </si>
  <si>
    <t>Environmental performance assessment in the Greater Mekong Subregion.</t>
  </si>
  <si>
    <t>The Greater Mekong Subregion's (GMS) 313 million people and its wealth of natural resources are fuelling impressive economic growth that is likely to accelerate. The GMS countries are increasingly being linked through transportation, telecommunications, energy production and usage and cross-border trade. Over the past decade, economic gains have led to increased per capita incomes, improved education and health and a better quality of life for many of the subregion's inhabitants. This economic transformation, however, brings with it inevitable transformation of the natural environment. Serious degradation of land, forests, fresh water and marine habitats is affecting large areas of the GMS, resulting in the loss of biodiversity - ecosystems, species and genetic resources - at unprecedented rates. If corrective steps are not taken, the GMS will lose more than 50 percent of its remaining land and water habitats over the next century, one-third of which is expected to be lost over the next few decades. If these trends continue, results will not only be disastrous from an environmental standpoint but will also put socio-economic development gains at risk and threaten the long-term success of the region's development process. Knowing the magnitude of this human development impact on the environment is crucial to planning tools that aim to develop appropriate and effective response mechanisms to environmental threats. To achieve this, methods are required that can link detailed local surveying knowledge with decision-makers at national and subregional scales where much of the relevant strategic responses to threats are taken. In order to provide such quantitative information on biodiversity, the Environment Operations Center Bangkok (EOC) and the Netherlands Environment Assessment Agency (MNP) are cooperating in the development and application of a subregional, geospatially explicit biodiversity pressure model. The baseline for this model is the GLOBIO3 framework that calculates the impact of human activities (pressures) on biodiversity, namely land-use change, infrastructure development, fragmentation, nitrogen deposition and climate change. These pressures are unified into the Mean Species Abundance (MSA) value which quantifies the remaining biodiversity after discounting the biodiversity impact of each of the pressure factors from the potential biodiversity without disturbance.</t>
  </si>
  <si>
    <t>MSA-18</t>
  </si>
  <si>
    <t>http://www.apafri.org/activities/Bhutan2013/Publication/M1%20The%20Future%20of%20Forests%20in%20Asia%20and%20the%20Pacific.pdf#page=444</t>
  </si>
  <si>
    <t>Schleuning, M.; Farwig, N.; Peters, M. K.; Bergsdorf, T.; Bleher, B.; Brandl, R.; Dalitz, H.; Fischer, G.; Freund, W.; Gikungu, M. W.; Hagen, M.; Garcia, F. H.; Kagezi, G. H.; Kaib, M.; Kraemer, M.; Lung, T.; Naumann, C. M.; Schaab, G.; Templin, M.; Uster, D.; Wagele, J. W.; Bohning-Gaese, K.</t>
  </si>
  <si>
    <t>PLoS ONE</t>
  </si>
  <si>
    <t>Forest fragmentation and selective logging have inconsistent effects on multiple animal-mediated ecosystem processes in a tropical forest.</t>
  </si>
  <si>
    <t>BSR-139</t>
  </si>
  <si>
    <t>Dahdouh-Guebas, F.; Collin, S.; Seen, D. lo; Ronnback, P.; Depommier, D.; Ravishankar, T.; Koedam, N.</t>
  </si>
  <si>
    <t>Journal of Ethnobiology and Ethnomedicine</t>
  </si>
  <si>
    <t>Analysing ethnobotanical and fishery-related importance of mangroves of the East-Godavari Delta (Andhra Pradesh, India) for conservation and management purposes.</t>
  </si>
  <si>
    <t>Mangrove forests, though essentially common and wide-spread, are highly threatened. Local societies along with their knowledge about the mangrove also are endangered, while they are still underrepresented as scientific research topics. With the present study we document local utilization patterns, and perception of ecosystem change. We illustrate how information generated by ethnobiological research can be used to strengthen the management of the ecosystem. This study was conducted in the Godavari mangrove forest located in the East-Godavari District of the state Andhra Pradesh in India, where mangroves have been degrading due to over-exploitation, extensive development of aquaculture, and pollution from rural and urbanized areas (Kakinada). One hundred interviews were carried out among the fisherfolk population present in two mangrove zones in the study area, a wildlife sanctuary with strong conservation status and an adjacent zone. Results from the interviews indicated that Avicennia marina (Forsk.) Vierh., a dominant species in the Godavari mangroves, is used most frequently as firewood and for construction. Multiple products of the mangrove included the bark of Ceriops decandra (Griff.) Ding Hou to dye the fishing nets and improve their durability, the bark of Aegiceras corniculatum (L.) Blanco to poison and catch fish, and the leaves of Avicennia spp. and Excoecaria agallocha L. as fodder for cattle. No medicinal uses of true mangrove species were reported, but there were a few traditional uses for mangrove associates. Utilization patterns varied in the two zones that we investigated, most likely due to differences in their ecology and legal status. The findings are discussed in relation with the demographic and socio-economic traits of the fisherfolk communities of the Godavari mangroves and indicate a clear dependency of their livelihood on the mangrove forest. Reported changes in the Godavari mangrove cover also differed in the two zones, with significantly less perceptions of a decrease in the protected area, as compared to the adjacent non-protected area. A posteriori comparisons between sequential satellite imagery (retrospective till 1977) and respondents that were at least 15 years back then, revealed a mangrove decrease which was however perceived to different extents depending on the area with which the fishermen were familiar. While local needs had not been incorporated in the existing policy, we created a framework on how data on ethnobotanical traditions, fishery-related activities and local people's perceptions of change can be incorporated into management strategies.</t>
  </si>
  <si>
    <t>MFC-145</t>
  </si>
  <si>
    <t>Gautam, Monika; Gupta, Sharmita</t>
  </si>
  <si>
    <t>INTERNATIONAL JOURNAL OF CONSERVATION SCIENCE</t>
  </si>
  <si>
    <t>POPULATION STATUS AND CONSERVATION REQUIREMENT OF SOME ENDANGERED PLANTS GROWING IN DAYALBAGH EDUCATIONAL INSTITUTE, AGRA</t>
  </si>
  <si>
    <t>The study area is rich in plant diversity but there is an urgent need of conservation. Some rare and endangered plants are still found abundantly in the region, but without protection these plants may become endangered in the near future. Endangered plant species have been categorized by the IUCN (International union for conservation of nature) as the ones likely to become extinct. When the death rate of the species exceeds its birth rate for a prolonged duration, that species is called endangered and eventually it may become extinct. Such are Adhatoda vasica, Ageratum conysoides, Agave americana, Aloe vera, Ammania baccifera, Alternanthera sessilis, Asparagus adscendens, Cactus, Centella asiatica, Costus speciosus, Chlorophytum tuberosum, Gloriosa superba, Piper longum, Sinopodophyllum hexandrum, Rauwolfia serpentina, Saraca asoca, Strebles asper, Tribulus terrestris, Withania somnifera, Zamia pygmeae. Among these threatened plants 4 species were assessed as Critically Endangered (CR), 7 as Endangered (EW), 2 as Vulnerable (VU), 5 as Least Concern (LC) and 1 as Data deficient (DD) by the IUCN Red List in Uttar Pradesh and in the study area. The extinction and decline in plant diversity is caused by many factors, such as population growth, high rates of habitat modification and deforestation, climate change, pollution, the spread of invasive alien species and over-exploitation. Threatened species are being rehabilitated and restored to a protected area from their former habitats.</t>
  </si>
  <si>
    <t>IUC-15</t>
  </si>
  <si>
    <t>Rahman, M. M.; Rahman, M. M.; Islam, K. S.</t>
  </si>
  <si>
    <t>AACL Bioflux</t>
  </si>
  <si>
    <t>The causes of deterioration of Sundarban mangrove forest ecosystem of Bangladesh: conservation and sustainable management issues.</t>
  </si>
  <si>
    <t>The Sundarban forest, located in the southwest of Bangladesh, is one of the largest continuous blocks of mangrove forests in the world. This mangrove forest ecosystem in Bangladesh is now in captious position. Negative natural and anthropogenic impacts and overexploitation of natural resources have caused severe damage to the ecosystem. Growing human population with few alternative livelihood opportunities poses a serious threat to the mangrove forest. The rapidly expanding shrimp farming industry is a significant threat to the mangrove forests of Bangladesh. Due to illegal cutting, encroachment of forest areas and illegal poaching of wildlife, the mangrove forest is losing biodiversity in an alarming rate. This forest ecosystem also has become vulnerable to pollution, which may have changed the ecosystem's biogeochemistry. Further threats arise from global climate change, especially sea level rise. This study seeks to identify the root causes of deterioration of the Sundarban mangrove forest in Bangladesh. It also recommends the application of sustainable management strategies covering needs for an advanced silvicultural system, improvement of scientific research as well as conservation measures.</t>
  </si>
  <si>
    <t>MFC-130</t>
  </si>
  <si>
    <t>Book Authors</t>
  </si>
  <si>
    <t>Book Editors</t>
  </si>
  <si>
    <t>Book Group Authors</t>
  </si>
  <si>
    <t>Author Full Names</t>
  </si>
  <si>
    <t>Book Author Full Names</t>
  </si>
  <si>
    <t>Group Authors</t>
  </si>
  <si>
    <t>Book Series Title</t>
  </si>
  <si>
    <t>Book Series Subtitle</t>
  </si>
  <si>
    <t>Language</t>
  </si>
  <si>
    <t>Conference Title</t>
  </si>
  <si>
    <t>Conference Date</t>
  </si>
  <si>
    <t>Conference Location</t>
  </si>
  <si>
    <t>Conference Sponsor</t>
  </si>
  <si>
    <t>Conference Host</t>
  </si>
  <si>
    <t>Author Keywords</t>
  </si>
  <si>
    <t>Keywords Plus</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</si>
  <si>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</si>
  <si>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</si>
  <si>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</si>
  <si>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</si>
  <si>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</si>
  <si>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</si>
  <si>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</si>
  <si>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</si>
  <si>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</si>
  <si>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</si>
  <si>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</si>
  <si>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</si>
  <si>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</si>
  <si>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</si>
  <si>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</si>
  <si>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</si>
  <si>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</si>
  <si>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</si>
  <si>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</si>
  <si>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</si>
  <si>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</si>
  <si>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</si>
  <si>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</si>
  <si>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</si>
  <si>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</si>
  <si>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</si>
  <si>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</si>
  <si>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</si>
  <si>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</si>
  <si>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</si>
  <si>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</si>
  <si>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</si>
  <si>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</si>
  <si>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</si>
  <si>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Book DOI</t>
  </si>
  <si>
    <t>Early Access Date</t>
  </si>
  <si>
    <t>Number of Pages</t>
  </si>
  <si>
    <t>Web of Science Index</t>
  </si>
  <si>
    <t>Research Areas</t>
  </si>
  <si>
    <t>IDS Number</t>
  </si>
  <si>
    <t>Pubmed Id</t>
  </si>
  <si>
    <t>Open Access Designations</t>
  </si>
  <si>
    <t>Highly Cited Status</t>
  </si>
  <si>
    <t>Hot Paper Status</t>
  </si>
  <si>
    <t>Gautam, M; Gupta, S</t>
  </si>
  <si>
    <t>English</t>
  </si>
  <si>
    <t>Threatened plants; Population status; Conservation requirement; Importance Value Index (IVI)</t>
  </si>
  <si>
    <t>[Gautam, Monika; Gupta, Sharmita] DEI, Fac Sci, Dept Bot, Agra 282005, Uttar Pradesh, India</t>
  </si>
  <si>
    <t>Dayalbagh Educational Institute (DEI)</t>
  </si>
  <si>
    <t>Gupta, S (corresponding author), DEI, Fac Sci, Dept Bot, Agra 282005, Uttar Pradesh, India.</t>
  </si>
  <si>
    <t>drsharmitagupta123@gmail.com</t>
  </si>
  <si>
    <t>; Gupta, Sharmita/LUZ-5886-2024</t>
  </si>
  <si>
    <t>, Sharmita Gupta/0009-0009-6234-9631;</t>
  </si>
  <si>
    <t>UNIV ALEXANDRU IOAN CUZA IASI, ARHEOINVEST INTERDISCIPLINARY PLATFORM</t>
  </si>
  <si>
    <t>IASI</t>
  </si>
  <si>
    <t>LAB SCI INVES &amp; CONSERVATION, BLVD CAROL I, NO 22, CORP G, DEMISOL, IASI, 700506, ROMANIA</t>
  </si>
  <si>
    <t>2067-533X</t>
  </si>
  <si>
    <t>2067-8223</t>
  </si>
  <si>
    <t>INT J CONSERV SCI</t>
  </si>
  <si>
    <t>Int. J. Conserv. Sci.</t>
  </si>
  <si>
    <t>OCT-DEC</t>
  </si>
  <si>
    <t>Art</t>
  </si>
  <si>
    <t>Emerging Sources Citation Index (ESCI)</t>
  </si>
  <si>
    <t>CY3ZZ</t>
  </si>
  <si>
    <t>2025-11-28</t>
  </si>
  <si>
    <t>WOS:000366349700011</t>
  </si>
  <si>
    <t>Dahdouh-Guebas, F; Collin, S; Lo Seen, D; Rönnbäck, P; Depommier, D; Ravishankar, T; Koedam, N</t>
  </si>
  <si>
    <t>Dahdouh-Guebas, F.; Collin, S.; Lo Seen, D.; Ronnback, P.; Depommier, D.; Ravishankar, T.; Koedam, N.</t>
  </si>
  <si>
    <t>Analysing ethnobotanical and fishery-related importance of mangroves of the East-Godavari Delta (Andhra Pradesh, India) for conservation and management purposes</t>
  </si>
  <si>
    <t>JOURNAL OF ETHNOBIOLOGY AND ETHNOMEDICINE</t>
  </si>
  <si>
    <t>COASTAL; FOREST; SUBSISTENCE; DEPENDENCE; KNOWLEDGE; ECOSYSTEM; PRODUCTS; KENYA</t>
  </si>
  <si>
    <t>[Dahdouh-Guebas, F.; Collin, S.] Vrije Univ Brussel, Mangrove Management Grp, Biocomplex Res Team, B-1050 Brussels, Belgium; [Koedam, N.] Vrije Univ Brussel, Lab Gen Bot &amp; Nat Management, Mangrove Management Grp, B-1050 Brussels, Belgium; [Lo Seen, D.; Depommier, D.] Inst Francais Pondichery, Pondicherry 605001, India; [Ronnback, P.] Univ Stockholm, Dept Syst Ecol, S-10691 Stockholm, Sweden; [Ravishankar, T.] MS Swaminathan Res Fdn, Reg Off, Kakinada 533004, Andhra Pradesh, India</t>
  </si>
  <si>
    <t>Vrije Universiteit Brussel; Vrije Universiteit Brussel; Stockholm University</t>
  </si>
  <si>
    <t>Dahdouh-Guebas, F (corresponding author), Vrije Univ Brussel, Mangrove Management Grp, Biocomplex Res Team, Pl Laan 2, B-1050 Brussels, Belgium.</t>
  </si>
  <si>
    <t>fdahdouh@vub.ac.be; fdahdouh@vub.ac.be; danny.loseen@ifpindia.org; pat@system.ecology.su.se; danny.loseen@ifpindia.org; raviethnobotanist@rediffmail.com; nikoedam@vub.ac.be</t>
  </si>
  <si>
    <t>Dahdouh-Guebas, Farid/B-9154-2008; Seen, Danny/C-2679-2008; Lo Seen, Danny/C-2679-2008</t>
  </si>
  <si>
    <t>Lo Seen, Danny/0000-0002-7773-2109; DAHDOUH-GUEBAS, Farid/0000-0002-5906-8996</t>
  </si>
  <si>
    <t>European Commission [ERB IC18-CT98-0295]; Flemish Inter-University Council (VLIR); Flanders Marine Institute (VLIZ Encouragement Award Marine Sciences); International Society of Ethnobiology</t>
  </si>
  <si>
    <t>European Commission(European Union (EU)European Commission Joint Research Centre); Flemish Inter-University Council (VLIR); Flanders Marine Institute (VLIZ Encouragement Award Marine Sciences); International Society of Ethnobiology</t>
  </si>
  <si>
    <t>From the French Institute of Pondicherry we thank D. Grandcolas for her useful socio-geographic input, G. Okrukaimani and Chandra Shekar for the translations, P. Grard and J. Prosperi for the botanical photographs, and S. Oliveau for the calculations of the demographic data from the database of the South Indian Fertility Project. We are particularly indebted to Nirmalla, Sirisha and their mother for making the field stay in Kakinada so pleasant. The first author is a Post-doctoral Researcher from the Fund for Scientific Research (FWO-Vlaanderen). The research was also funded by the European Commission (Contract ERB IC18-CT98-0295), and the Flemish Inter-University Council (VLIR), and it was awarded prizes by the Flanders Marine Institute (VLIZ Encouragement Award Marine Sciences) and by the International Society of Ethnobiology (9th International Congress on Ethnobiology on Social Change and Displacement, in collaboration with 45th Annual Meeting of the Society for Economic Botany, and the 8th International Congress of the International Society of Ethnopharmacology, 13-18 June, Canterbury, U.K.). This research is within the objectives of the International Geosphere-Biosphere Programme (IGBP), Past Global Changes (PAGES) Focus 5 : Past Ecosystem Processes and Human-Environment Interactions.</t>
  </si>
  <si>
    <t>BMC</t>
  </si>
  <si>
    <t>LONDON</t>
  </si>
  <si>
    <t>CAMPUS, 4 CRINAN ST, LONDON N1 9XW, ENGLAND</t>
  </si>
  <si>
    <t>1746-4269</t>
  </si>
  <si>
    <t>J ETHNOBIOL ETHNOMED</t>
  </si>
  <si>
    <t>J. Ethnobiol. Ethnomed.</t>
  </si>
  <si>
    <t>10.1186/1746-4269-2-24</t>
  </si>
  <si>
    <t>Biodiversity Conservation; Plant Sciences; Pharmacology &amp; Pharmacy</t>
  </si>
  <si>
    <t>Science Citation Index Expanded (SCI-EXPANDED)</t>
  </si>
  <si>
    <t>Biodiversity &amp; Conservation; Plant Sciences; Pharmacology &amp; Pharmacy</t>
  </si>
  <si>
    <t>V34MW</t>
  </si>
  <si>
    <t>Green Submitted, gold</t>
  </si>
  <si>
    <t>WOS:000209091500024</t>
  </si>
  <si>
    <t>Schleuning, M; Farwig, N; Peters, MK; Bergsdorf, T; Bleher, B; Brandl, R; Dalitz, H; Fischer, G; Freund, W; Gikungu, MW; Hagen, M; Garcia, FH; Kagezi, GH; Kaib, M; Kraemer, M; Lung, T; Naumann, CM; Schaab, G; Templin, M; Uster, D; Wägele, JW; Böhning-Gaese, K</t>
  </si>
  <si>
    <t>HABITAT FRAGMENTATION; FUNCTIONAL DIVERSITY; PRUNUS-AFRICANA; SEED DISPERSAL; BIODIVERSITY; BIRDS; SECONDARY; SERVICES; IMPACTS; CONSERVATION</t>
  </si>
  <si>
    <t>[Schleuning, Matthias; Bleher, Baerbel; Templin, Mathias; Boehning-Gaese, Katrin] Johannes Gutenberg Univ Mainz, Inst Zool, Dept Ecol, D-6500 Mainz, Germany; [Schleuning, Matthias; Templin, Mathias; Boehning-Gaese, Katrin] Biodivers &amp; Climate Res Ctr, Frankfurt, Germany; [Schleuning, Matthias; Templin, Mathias; Boehning-Gaese, Katrin] Senckenberg Gesell Nat Forsch, Frankfurt, Germany; [Farwig, Nina; Brandl, Roland; Kagezi, Godfrey H.] Univ Marburg, Dept Ecol, Marburg, Germany; [Peters, Marcell K.; Bergsdorf, Thomas; Fischer, Georg; Freund, Wolfram; Garcia, Francisco Hita; Naumann, Clas M.; Waegele, J. Wolfgang] Zool Res Museum A Koenig, Bonn, Germany; [Peters, Marcell K.] Univ Wurzburg, Dept Anim Ecol &amp; Trop Biol, Bioctr, Wurzburg, Germany; [Dalitz, Helmut; Uster, Dana] Univ Hohenheim, Inst Bot, D-7000 Stuttgart, Germany; [Gikungu, Mary W.] Natl Museums Kenya, Nairobi, Kenya; [Hagen, Melanie; Kraemer, Manfred] Univ Bielefeld, Bielefeld, Germany; [Hagen, Melanie] Aarhus Univ, Dept Biosci, Aarhus C, Denmark; [Kaib, Manfred] Univ Bayreuth, Dept Anim Physiol, Bayreuth, Germany; [Lung, Tobias; Schaab, Gertrud] Karlsruhe Univ Appl Sci, Dept Geomat, Karlsruhe, Germany; [Boehning-Gaese, Katrin] Goethe Univ, Dept Biol Sci, Frankfurt, Germany</t>
  </si>
  <si>
    <t>Johannes Gutenberg University of Mainz; Leibniz Association; Senckenberg Gesellschaft fur Naturforschung (SGN); Philipps University Marburg; University of Wurzburg; University Hohenheim; University of Bielefeld; Aarhus University; University of Bayreuth; Karlsruhe University of Applied Sciences; Goethe University Frankfurt</t>
  </si>
  <si>
    <t>Schleuning, M (corresponding author), Johannes Gutenberg Univ Mainz, Inst Zool, Dept Ecol, Saarstr 21, D-6500 Mainz, Germany.</t>
  </si>
  <si>
    <t>matthias.schleuning@senckenberg.de</t>
  </si>
  <si>
    <t>; Garcia, Francisco/C-9636-2015; Fischer, Georg/G-2484-2015; Farwig, Nina/JMQ-1406-2023; Hagen, Melanie/I-7939-2013; Böhning-Gaese, Katrin/W-2601-2019; Fischer, Georg/Y-3059-2019; Böhning-Gaese, Katrin/W-2601-2019; Schleuning, Matthias/H-2154-2015</t>
  </si>
  <si>
    <t>Peters, Marcell/0000-0002-1262-0827; Fischer, Georg/0000-0002-0637-6485; Böhning-Gaese, Katrin/0000-0003-0477-5586; Fischer, Georg/0000-0002-4033-2005; Hita Garcia, Francisco/0000-0003-4709-3083; Böhning-Gaese, Katrin/0000-0003-0477-5586; Schleuning, Matthias/0000-0001-9426-045X</t>
  </si>
  <si>
    <t>German Federal Ministry of Education and Research [01LC0025, 01LC0405, 01LC0625]; Hesse's Ministry of Higher Education, Research, and the Arts</t>
  </si>
  <si>
    <t>German Federal Ministry of Education and Research(Federal Ministry of Education &amp; Research (BMBF)); Hesse's Ministry of Higher Education, Research, and the Arts</t>
  </si>
  <si>
    <t>Financial support for this study was provided by the German Federal Ministry of Education and Research (http://www.bmbf.de) as part of the BIOTA Africa project (http://www.biota-africa.org; grant numbers: 01LC0025, 01LC0405, 01LC0625) and by the research funding program Landes-Offensive zur Entwicklung wissenschaftlich okonomischer Exzellenz of Hesse's Ministry of Higher Education, Research, and the Arts (http://www.hessen.de/irj/HMWK_Internet?cid=a2396939885f8c8c0a3ba39bda517cbd). The funders had no role in study design, data collection and analysis, decision to publish, or preparation of the manuscript.</t>
  </si>
  <si>
    <t>PUBLIC LIBRARY SCIENCE</t>
  </si>
  <si>
    <t>SAN FRANCISCO</t>
  </si>
  <si>
    <t>1160 BATTERY STREET, STE 100, SAN FRANCISCO, CA 94111 USA</t>
  </si>
  <si>
    <t>1932-6203</t>
  </si>
  <si>
    <t>PLoS One</t>
  </si>
  <si>
    <t>NOV 16</t>
  </si>
  <si>
    <t>e27785</t>
  </si>
  <si>
    <t>Science &amp; Technology - Other Topics</t>
  </si>
  <si>
    <t>855HV</t>
  </si>
  <si>
    <t>WOS:000297555400114</t>
  </si>
  <si>
    <t>B</t>
  </si>
  <si>
    <t>Gros, P; Prouzet, P</t>
  </si>
  <si>
    <t>Monaco, A; Prouzet, P</t>
  </si>
  <si>
    <t>Wiley-ISTE</t>
  </si>
  <si>
    <t>Article; Book Chapter</t>
  </si>
  <si>
    <t>SALMON SALMO-SALAR; EXPLOITED FISH STOCKS; SOLE SOLEA-SOLEA; CLIMATE-CHANGE; OCEAN ACIDIFICATION; FEEDING AQUACULTURE; CAPTURE FISHERIES; JELLYFISH BLOOMS; SPAWNING STOCK; FOOD-WEB</t>
  </si>
  <si>
    <t>[Gros, Philippe] IFREMER, Brest, France; [Prouzet, Patrick] IFREMER, Issy Les Moulineaux, France</t>
  </si>
  <si>
    <t>Ifremer; Ifremer</t>
  </si>
  <si>
    <t>Gros, P (corresponding author), IFREMER, Brest, France.</t>
  </si>
  <si>
    <t>ISTE LTD</t>
  </si>
  <si>
    <t>27-37 ST GEORGES RD, 3RD FLR, TUITION HOUSE, LONDON, SW19 4EU, ENGLAND</t>
  </si>
  <si>
    <t>978-1-119-00770-8; 978-1-84821-703-4</t>
  </si>
  <si>
    <t>WILEY-ISTE</t>
  </si>
  <si>
    <t>10.1002/9781119007708</t>
  </si>
  <si>
    <t>Ecology; Marine &amp; Freshwater Biology; Oceanography</t>
  </si>
  <si>
    <t>Book Citation Index – Science (BKCI-S)</t>
  </si>
  <si>
    <t>Environmental Sciences &amp; Ecology; Marine &amp; Freshwater Biology; Oceanography</t>
  </si>
  <si>
    <t>BD9CK</t>
  </si>
  <si>
    <t>WOS:000364520200005</t>
  </si>
  <si>
    <t>Lyu, Z; Genet, H; He, YJ; Zhuang, QL; McGuire, AD; Bennett, A; Breen, A; Clein, J; Euskirchen, ES; Johnson, K; Kurkowski, T; Pastick, NJ; Rupp, TS; Wylie, BK; Zhu, ZL</t>
  </si>
  <si>
    <t>Alaska; Alaska carbon cycle; atmospheric CO2; carbon balance; climate change; fire; global warming potential; methane; wetlands</t>
  </si>
  <si>
    <t>GREENHOUSE-PLUS FEEDBACK; SEASON-LONG MEASUREMENT; ARCTIC CLIMATE-CHANGE; PERMAFROST CARBON; METHANE EMISSIONS; ELEVATED CO2; TERRESTRIAL ECOSYSTEMS; POLAR AMPLIFICATION; GROWING-SEASON; BOREAL FOREST</t>
  </si>
  <si>
    <t>[Lyu, Zhou; He, Yujie; Zhuang, Qianlai] Purdue Univ, Earth Atmospher &amp; Planetary Sci, W Lafayette, IN 47907 USA; [Genet, Helene; Clein, Joy; Euskirchen, Eugenie S.] Univ Alaska Fairbanks, Inst Arctic Biol, Fairbanks, AK 99775 USA; [McGuire, A. David] Univ Alaska Fairbanks, US Geol Survey, Alaska Cooperat Fish &amp; Wildlife Res Unit, Fairbanks, AK 99775 USA; [Bennett, Alec; Breen, Amy; Kurkowski, Tom; Rupp, T. Scott] Univ Alaska Fairbanks, Int Arctic Res Ctr, Scenarios Network Alaska &amp; Arctic Planning, Fairbanks, AK 99775 USA; [Johnson, Kristofer] US Forest Serv, USDA, Northern Res Stn, Newtown Sq, PA 19073 USA; [Pastick, Neal J.] Univ Minnesota, Dept Forest Resources, St Paul, MN 55108 USA; [Pastick, Neal J.] US Geol Survey, Stinger Ghaffarian Technol Inc, Sioux Falls, SD 57198 USA; [Wylie, Bruce K.] US Geol Survey, Earth Resources Observat Syst Ctr, Sioux Falls, SD 57198 USA; [Zhu, Zhiliang] US Geol Survey, Reston, VA 12201 USA</t>
  </si>
  <si>
    <t>Purdue University System; Purdue University; University of Alaska System; University of Alaska Fairbanks; United States Department of the Interior; United States Geological Survey; University of Alaska System; University of Alaska Fairbanks; University of Alaska System; University of Alaska Fairbanks; United States Department of Agriculture (USDA); United States Forest Service; University of Minnesota System; University of Minnesota Twin Cities; Stinger Ghaffarian Technologies, Inc. (SGT); United States Department of the Interior; United States Geological Survey; United States Department of the Interior; United States Geological Survey; United States Department of the Interior; United States Geological Survey</t>
  </si>
  <si>
    <t>Zhuang, QL (corresponding author), Purdue Univ, Earth Atmospher &amp; Planetary Sci, W Lafayette, IN 47907 USA.</t>
  </si>
  <si>
    <t>qzhuang@purdue.edu</t>
  </si>
  <si>
    <t>; Lyu, Zhou/AAD-7454-2021; Zhuang, Qianlai/A-5670-2009; Zhu, Zhiliang/I-2686-2018; Wylie, Bruce/H-3182-2014; Lyu, Zhou/D-3513-2019; He, Yujie/E-2514-2017</t>
  </si>
  <si>
    <t>Pastick, Neal/0000-0002-8169-3018; Lyu, Zhou/0000-0003-3015-9410; Clein, Joy/0000-0002-2816-5312</t>
  </si>
  <si>
    <t>U.S. Geological Survey (USGS) Land Change Science Program; Alaska Climate Science Center from the U.S. Geological Survey [G10AC00588]; Bonanza Creek Long-Term Ecological Research Program - National Science Foundation; U.S. Forest Service; DOE [DE-SC0008092]; NSF [IIS-1027955]</t>
  </si>
  <si>
    <t>U.S. Geological Survey (USGS) Land Change Science Program; Alaska Climate Science Center from the U.S. Geological Survey; Bonanza Creek Long-Term Ecological Research Program - National Science Foundation; U.S. Forest Service(United States Department of Agriculture (USDA)United States Forest Service); DOE(United States Department of Energy (DOE)); NSF(National Science Foundation (NSF))</t>
  </si>
  <si>
    <t>This research was funded by the U.S. Geological Survey (USGS) Land Change Science Program. Additional support was provided by the Alaska Climate Science Center through Grant/Cooperative Agreement G10AC00588 from the U.S. Geological Survey and by the Bonanza Creek Long-Term Ecological Research Program funded by the National Science Foundation and the U.S. Forest Service. The research was also partially supported by DOE project DE-SC0008092 and NSF project IIS-1027955 to Q. Zhuang. Any use of trade, firm, or product names is for descriptive purposes only and does not imply endorsement by the U.S. Government. We acknowledge the World Climate Research Programme's Working Group on Coupled Modeling, which is responsible for CMIP, and we thank all the climate modeling groups for producing and making available their model output. We also thank the U.S. Department of Energy's Program for Climate Model Diagnosis and Intercomparison for providing coordinating support and leading development of software infrastructure in partnership with the Global Organization for Earth System Science Portals.</t>
  </si>
  <si>
    <t>WILEY</t>
  </si>
  <si>
    <t>HOBOKEN</t>
  </si>
  <si>
    <t>111 RIVER ST, HOBOKEN 07030-5774, NJ USA</t>
  </si>
  <si>
    <t>1051-0761</t>
  </si>
  <si>
    <t>1939-5582</t>
  </si>
  <si>
    <t>ECOL APPL</t>
  </si>
  <si>
    <t>Ecol. Appl.</t>
  </si>
  <si>
    <t>SEP</t>
  </si>
  <si>
    <t>Environmental Sciences &amp; Ecology</t>
  </si>
  <si>
    <t>GS3VZ</t>
  </si>
  <si>
    <t>Green Submitted</t>
  </si>
  <si>
    <t>WOS:000443555100001</t>
  </si>
  <si>
    <t>Easterday, K; Mclntyre, P; Kelly, M</t>
  </si>
  <si>
    <t>Forest structure; Forest change; Land management; Land ownership; California; Vegetation Type Mapping (VTM)</t>
  </si>
  <si>
    <t>SPATIAL-PATTERNS; CONIFER FORESTS; CLIMATE-CHANGE; SIERRA-NEVADA; DECLINE; SHIFTS; ECOSYSTEMS; TREES</t>
  </si>
  <si>
    <t>[Easterday, Kelly; Kelly, Maggi] Univ Calif Berkeley, Dept Environm Sci Policy &amp; Management, 134 Mulford Hall 3114, Berkeley, CA 94720 USA; [Mclntyre, Patrick] Western North Amer Nat Serve, 1680 38th St,Suite 120, Boulder, CO 80301 USA; [Kelly, Maggi] Univ Calif, Div Agr &amp; Nat Resources UC ANR, Oakland, CA USA</t>
  </si>
  <si>
    <t>University of California System; University of California Berkeley; University of California System; University of California Berkeley</t>
  </si>
  <si>
    <t>Kelly, M (corresponding author), Univ Calif Berkeley, Dept Environm Sci Policy &amp; Management, 134 Mulford Hall 3114, Berkeley, CA 94720 USA.</t>
  </si>
  <si>
    <t>Patrick_McIntyre@NatureServe.org; maggi@berkeley.edu</t>
  </si>
  <si>
    <t>Easterday, Kelly/0000-0002-1678-0975; McIntyre, Patrick/0000-0002-7800-6416</t>
  </si>
  <si>
    <t>Bancroft Library fellowship; Institute for the Study of Ecological and Evolutionary Climate Impacts (ISEECI) fellowship</t>
  </si>
  <si>
    <t>We would like to thank UC Berkeley's Geospatial Innovation Facility (GIF) for hosting the vtm.berkeley.edu website and providing access to the data. We thank A. Kelly and L Pitcher for providing early feedback on the manuscript. ICE was supported by The Bancroft Library fellowship and The Institute for the Study of Ecological and Evolutionary Climate Impacts (ISEECI) fellowship.</t>
  </si>
  <si>
    <t>ELSEVIER</t>
  </si>
  <si>
    <t>AMSTERDAM</t>
  </si>
  <si>
    <t>RADARWEG 29, 1043 NX AMSTERDAM, NETHERLANDS</t>
  </si>
  <si>
    <t>0378-1127</t>
  </si>
  <si>
    <t>1872-7042</t>
  </si>
  <si>
    <t>FOREST ECOL MANAG</t>
  </si>
  <si>
    <t>For. Ecol. Manage.</t>
  </si>
  <si>
    <t>AUG 15</t>
  </si>
  <si>
    <t>Forestry</t>
  </si>
  <si>
    <t>GH7SO</t>
  </si>
  <si>
    <t>Green Published, hybrid</t>
  </si>
  <si>
    <t>WOS:000433653900015</t>
  </si>
  <si>
    <t>Cowburn, B; Samoilys, MA; Obura, D</t>
  </si>
  <si>
    <t>Climate change; Coral bleaching; Resilience; Artisanal fisheries; Pollution</t>
  </si>
  <si>
    <t>BASE-LINES; RESILIENCE; FISHERIES; IMPACTS; WORLDS; COMMUNITIES; MANAGEMENT; TRENDS; FUTURE</t>
  </si>
  <si>
    <t>[Cowburn, B.; Samoilys, M. A.; Obura, D.] CORDIO East Africa, 9 Kibaki Flats,POB 10135, Mombasa 80101, Kenya; [Samoilys, M. A.] Univ Oxford, Dept Zool, Oxford OX2 6GG, England</t>
  </si>
  <si>
    <t>University of Oxford</t>
  </si>
  <si>
    <t>Samoilys, MA (corresponding author), CORDIO East Africa, 9 Kibaki Flats,POB 10135, Mombasa 80101, Kenya.;Samoilys, MA (corresponding author), Univ Oxford, Dept Zool, Oxford OX2 6GG, England.</t>
  </si>
  <si>
    <t>msamoilys@cordioea.net</t>
  </si>
  <si>
    <t>WWF Madagascar; Dresy Lovasoa and Harisoa Rakotondrazafy; Western Indian Ocean Marine Science Association grant (WIOMSA) [MASMA/OR/2008/05]; Pervoli Trust fellowship</t>
  </si>
  <si>
    <t>WWF Madagascar; Dresy Lovasoa and Harisoa Rakotondrazafy; Western Indian Ocean Marine Science Association grant (WIOMSA); Pervoli Trust fellowship</t>
  </si>
  <si>
    <t>This study was made possible by funding and logistical support provided by WWF Madagascar and in particular we would like to acknowledge the support provided by Dresy Lovasoa and Harisoa Rakotondrazafy for the work conducted in 2016. The surveys in 2010 were funded through a Western Indian Ocean Marine Science Association grant (WIOMSA:MASMA/OR/2008/05) to CORDIO East Africa. M.S. was supported by a Pervoli Trust fellowship. We appreciate the logistical support provided by the staff at Parc National de Moheli and Laka Lodge for completing our fieldwork. Finally, we would like to thank Juliet Furaha, Peter Musembi, Daniel Davis and Philippe Robert for their assistance in data collection in 2016.</t>
  </si>
  <si>
    <t>PERGAMON-ELSEVIER SCIENCE LTD</t>
  </si>
  <si>
    <t>OXFORD</t>
  </si>
  <si>
    <t>THE BOULEVARD, LANGFORD LANE, KIDLINGTON, OXFORD OX5 1GB, ENGLAND</t>
  </si>
  <si>
    <t>0025-326X</t>
  </si>
  <si>
    <t>1879-3363</t>
  </si>
  <si>
    <t>MAR POLLUT BULL</t>
  </si>
  <si>
    <t>Mar. Pollut. Bull.</t>
  </si>
  <si>
    <t>AUG</t>
  </si>
  <si>
    <t>Environmental Sciences &amp; Ecology; Marine &amp; Freshwater Biology</t>
  </si>
  <si>
    <t>GQ6RU</t>
  </si>
  <si>
    <t>WOS:000441853600107</t>
  </si>
  <si>
    <t>Muthukrishnan, R; Fong, P</t>
  </si>
  <si>
    <t>Coral reef; Anthropogenic disturbance; Multiple stressors; Recovery</t>
  </si>
  <si>
    <t>ALTERNATE STABLE STATES; PHASE-SHIFTS; KANEOHE BAY; MACROALGAL DOMINANCE; COMMUNITY STRUCTURE; CLIMATE-CHANGE; RESILIENCE; HERBIVORY; SEDIMENTS; NUTRIENT</t>
  </si>
  <si>
    <t>[Muthukrishnan, Ranjan; Fong, Peggy] Univ Calif Los Angeles, Dept Ecol &amp; Evolutionary Biol, Los Angeles, CA 90095 USA; [Muthukrishnan, Ranjan] Univ Minnesota, Dept Fisheries Wildlife &amp; Conservat Biol, St Paul, MN 55108 USA</t>
  </si>
  <si>
    <t>University of California System; University of California Los Angeles; University of Minnesota System; University of Minnesota Twin Cities</t>
  </si>
  <si>
    <t>Muthukrishnan, R (corresponding author), Univ Calif Los Angeles, Dept Ecol &amp; Evolutionary Biol, Los Angeles, CA 90095 USA.</t>
  </si>
  <si>
    <t>mrunj@umn.edu</t>
  </si>
  <si>
    <t>Muthukrishnan, Ranjan/0000-0002-7001-6249</t>
  </si>
  <si>
    <t>NSF Graduate Research Fellowship; UCLA Graduate Division fellowships; NSF [OCE-0002317]</t>
  </si>
  <si>
    <t>NSF Graduate Research Fellowship(National Science Foundation (NSF)); UCLA Graduate Division fellowships; NSF(National Science Foundation (NSF))</t>
  </si>
  <si>
    <t>We thank B. Fodor, J. Shannon, and S. Hogan, S. Kappus, L. Toth, I. Enochs and V. Brandtneris for assistance in the field and J. Mate, E. Ochoa and the Smithsonian Tropical Research Institute for logistical support in Panama. This work was supported by an NSF Graduate Research Fellowship and UCLA Graduate Division fellowships to RM and NSF grant OCE-0002317 to PF and P. Glynn.</t>
  </si>
  <si>
    <t>ELSEVIER SCI LTD</t>
  </si>
  <si>
    <t>London</t>
  </si>
  <si>
    <t>125 London Wall, London, ENGLAND</t>
  </si>
  <si>
    <t>0141-1136</t>
  </si>
  <si>
    <t>1879-0291</t>
  </si>
  <si>
    <t>MAR ENVIRON RES</t>
  </si>
  <si>
    <t>Mar. Environ. Res.</t>
  </si>
  <si>
    <t>Environmental Sciences; Marine &amp; Freshwater Biology; Toxicology</t>
  </si>
  <si>
    <t>Environmental Sciences &amp; Ecology; Marine &amp; Freshwater Biology; Toxicology</t>
  </si>
  <si>
    <t>GL1ZA</t>
  </si>
  <si>
    <t>WOS:000436911600009</t>
  </si>
  <si>
    <t>Grahmann, ED; Fulbright, TE; Hernández, F; Hehman, MW; Wester, DB; Ortega-Santos, A; Martin, BA</t>
  </si>
  <si>
    <t>buffelgrass; Colinus virginianus; grazing; Northern bobwhite; patch burning; pyric herbivory</t>
  </si>
  <si>
    <t>PATCH-BURN MANAGEMENT; SOUTH TEXAS; TALLGRASS PRAIRIE; HABITAT MANAGEMENT; COMMUNITY RESPONSE; BREEDING BIRDS; BUFFEL GRASS; FIRE; RANGELAND; HETEROGENEITY</t>
  </si>
  <si>
    <t>[Grahmann, Eric D.; Fulbright, Timothy E.; Hernandez, Fidel; Wester, David B.; Ortega-Santos, Alfonso] Texas A&amp;M Univ, Dept Anim &amp; Wildlife Sci, Caesar Kleberg Wildlife Res Inst, 700 Univ Blvd, Kingsville, TX 78363 USA; [Hehman, Michael W.; Martin, Blake A.] Hixon Ranch, Cotulla, TX 78014 USA</t>
  </si>
  <si>
    <t>Texas A&amp;M University System; Texas A&amp;M University Kingsville</t>
  </si>
  <si>
    <t>Grahmann, ED (corresponding author), Texas A&amp;M Univ, Dept Anim &amp; Wildlife Sci, Caesar Kleberg Wildlife Res Inst, 700 Univ Blvd, Kingsville, TX 78363 USA.</t>
  </si>
  <si>
    <t>eric.grahmann@tamuk.edu</t>
  </si>
  <si>
    <t>South Texas Charity Weekend; Houston Livestock Show and Rodeo; South Texas Chapter of Quail Coalition; Harvey Weil Sportsman Foundation; Arthur Seeligson Conservation Fund; Texas A&amp;M University-Kingsville Presidential Scholars Program; Meadows Endowed Professorship in Semiarid Land Ecology</t>
  </si>
  <si>
    <t>We would like to thank the Hixon family for their generous in kind support and use of their ranch. Other funding was provided by South Texas Charity Weekend, the Houston Livestock Show and Rodeo, South Texas Chapter of Quail Coalition, the Harvey Weil Sportsman Foundation, Arthur Seeligson Conservation Fund, the Texas A&amp;M University-Kingsville Presidential Scholars Program, Mr. Rene Barrientos, and the Meadows Endowed Professorship in Semiarid Land Ecology.</t>
  </si>
  <si>
    <t>SOC RANGE MANAGEMENT</t>
  </si>
  <si>
    <t>LAKEWOOD</t>
  </si>
  <si>
    <t>445 UNION BLVD, STE 230, LAKEWOOD, CO 80228-1259 USA</t>
  </si>
  <si>
    <t>1550-7424</t>
  </si>
  <si>
    <t>1551-5028</t>
  </si>
  <si>
    <t>RANGELAND ECOL MANAG</t>
  </si>
  <si>
    <t>Rangel. Ecol. Manag.</t>
  </si>
  <si>
    <t>JUL</t>
  </si>
  <si>
    <t>GJ6GA</t>
  </si>
  <si>
    <t>WOS:000435480900008</t>
  </si>
  <si>
    <t>Lindenmayer, DB; McBurney, L; Blair, D; Wood, J; Banks, SC</t>
  </si>
  <si>
    <t>mountain ash; salvage logging; variable retention harvesting</t>
  </si>
  <si>
    <t>RETENTION FORESTRY; CENTRAL HIGHLANDS; CLIMATE-CHANGE; FIRE; BIODIVERSITY; WILDFIRE; VICTORIA; IMPACTS; CAPACITY</t>
  </si>
  <si>
    <t>1. Forests world-wide are increasingly subject to natural and human disturbances, including wildfires and logging of varying intensity and frequency. Understanding how biodiversity responds to different kinds and combinations of natural and human disturbance is critical to enhanced forest management. 2. We completed an 8-year study of bird responses across a spectrum of disturbance types in Australian mountain ash (Eucalyptus regnans) forests following wildfires in 2009. 3. We found evidence of a gradient in bird species richness over the study duration. It was highest in unlogged and unburned (least disturbed) sites, decreasing through burnt unlogged forest (subject to high or low intensity fire), lower still in logged forest, and lowest in the most disturbed sites (subject to salvage logging without island retention). Retention of uncut islands within logged areas increased bird species richness above that found in areas that had been clearcut. 4. The greatest rate of increase per year after disturbance in bird species richness was on sites burnt by high-severity fire but which were not subject to any form of logging. The level of disturbance affected the composition of the bird assemblage. Sites that were unlogged and unburned were more likely to support species that were larger, more mobile, and nested at greater heights above the ground. 5. Synthesis and applications. All forms of logging on burned sites impaired recovery in bird species richness relative to sites subject to high-severity fire. Alterations in stand structure and plant species composition (and hence modification in bird habitat suitability) due to logging are the most likely reasons for reduced bird species richness and delayed patterns of recovery. This study highlights the importance for native bird species of retaining patches of unlogged forest not only within otherwise clearcut forest, but also in areas that are burned and subject to salvage logging. We therefore suggest that the adoption of retention harvesting be expanded to include stands disturbed by wildfires.</t>
  </si>
  <si>
    <t>[Lindenmayer, David B.; McBurney, Lachlan; Blair, David; Wood, Jeff; Banks, Sam C.] Australian Natl Univ, Fenner Sch Environm &amp; Soc, Canberra, ACT, Australia; [Lindenmayer, David B.; McBurney, Lachlan; Blair, David; Wood, Jeff; Banks, Sam C.] Australian Natl Univ, Fenner Sch Environm &amp; Soc, Long Term Ecol Res Network, Canberra, ACT, Australia</t>
  </si>
  <si>
    <t>Australian National University; Australian National University</t>
  </si>
  <si>
    <t>Lindenmayer, DB (corresponding author), Australian Natl Univ, Fenner Sch Environm &amp; Soc, Canberra, ACT, Australia.;Lindenmayer, DB (corresponding author), Australian Natl Univ, Fenner Sch Environm &amp; Soc, Long Term Ecol Res Network, Canberra, ACT, Australia.</t>
  </si>
  <si>
    <t>david.lindenmayer@anu.edu.au.au</t>
  </si>
  <si>
    <t>Lindenmayer, David/P-7183-2017; Banks, Sam/K-4907-2012; Lindenmayer, David B/P-7183-2017</t>
  </si>
  <si>
    <t>Banks, Sam/0000-0003-2415-0057; Lindenmayer, David B/0000-0002-4766-4088</t>
  </si>
  <si>
    <t>Australian Research Council [DP1097170]; Parks Victoria; Victorian Department of Environment, Land, Water and Planning; Australian Research Council [DP1097170] Funding Source: Australian Research Council</t>
  </si>
  <si>
    <t>Australian Research Council(Australian Research Council); Parks Victoria; Victorian Department of Environment, Land, Water and Planning; Australian Research Council(Australian Research Council)</t>
  </si>
  <si>
    <t>Australian Research Council, Grant/Award Number: DP1097170; Parks Victoria; Victorian Department of Environment, Land, Water and Planning</t>
  </si>
  <si>
    <t>0021-8901</t>
  </si>
  <si>
    <t>1365-2664</t>
  </si>
  <si>
    <t>J APPL ECOL</t>
  </si>
  <si>
    <t>J. Appl. Ecol.</t>
  </si>
  <si>
    <t>Biodiversity &amp; Conservation; Environmental Sciences &amp; Ecology</t>
  </si>
  <si>
    <t>GJ0UP</t>
  </si>
  <si>
    <t>Green Submitted, Bronze</t>
  </si>
  <si>
    <t>WOS:000434970200007</t>
  </si>
  <si>
    <t>Turubanova, S; Potapov, PV; Tyukavina, A; Hansen, MC</t>
  </si>
  <si>
    <t>deforestation; primary forest; remote sensing</t>
  </si>
  <si>
    <t>ESTIMATING AREA; COVER LOSS; DEFORESTATION; BIODIVERSITY; EMISSIONS; ACCURACY; CARBON; INTACT; TRENDS</t>
  </si>
  <si>
    <t>[Turubanova, Svetlana; Potapov, Peter V.; Tyukavina, Alexandra; Hansen, Matthew C.] Univ Maryland, College Pk, MD 20742 USA</t>
  </si>
  <si>
    <t>University System of Maryland; University of Maryland College Park</t>
  </si>
  <si>
    <t>Hansen, MC (corresponding author), Univ Maryland, College Pk, MD 20742 USA.</t>
  </si>
  <si>
    <t>mhansen@umd.edu</t>
  </si>
  <si>
    <t>Hansen, Matthew/ABE-7226-2020; Tyukavina, Alexandra/AGW-0785-2022; Potapov, Peter/AAE-7388-2019</t>
  </si>
  <si>
    <t>Potapov, Peter/0000-0003-3977-0021; Tyukavina, Alexana/0000-0003-3872-9844</t>
  </si>
  <si>
    <t>IOP Publishing Ltd</t>
  </si>
  <si>
    <t>BRISTOL</t>
  </si>
  <si>
    <t>TEMPLE CIRCUS, TEMPLE WAY, BRISTOL BS1 6BE, ENGLAND</t>
  </si>
  <si>
    <t>1748-9326</t>
  </si>
  <si>
    <t>ENVIRON RES LETT</t>
  </si>
  <si>
    <t>Environ. Res. Lett.</t>
  </si>
  <si>
    <t>Environmental Sciences &amp; Ecology; Meteorology &amp; Atmospheric Sciences</t>
  </si>
  <si>
    <t>GN0NL</t>
  </si>
  <si>
    <t>gold</t>
  </si>
  <si>
    <t>WOS:000438666900001</t>
  </si>
  <si>
    <t>Zhang, C; Ding, LY; Ding, CZ; Chen, LQ; Sun, J; Jiang, XM</t>
  </si>
  <si>
    <t>Zhang, Chao; Ding, Liuyong; Ding, Chengzhi; Chen, Liqiang; Sun, Jie; Jiang, Xiaoming</t>
  </si>
  <si>
    <t>Responses of species and phylogenetic diversity of fish communities in the Lancang River to hydropower development and exotic invasions</t>
  </si>
  <si>
    <t>Fish assemblages; Hydropower development; Exotic invasion; Species diversity; Phylogenetic diversity</t>
  </si>
  <si>
    <t>TAXONOMIC DISTINCTNESS INDEXES; MEKONG RIVER; HABITAT FRAGMENTATION; WATER TEMPERATURE; NILE TILAPIA; BIODIVERSITY; HOMOGENIZATION; EXTINCTION; INTRODUCTIONS; ASSEMBLAGES</t>
  </si>
  <si>
    <t>Multiple anthropogenic disturbances have been modifying the structure and diversity of local assemblages worldwide through both introductions of nonnative species and disappearance of native species. Most previous studies have concentrated on the effects of human disturbances on species diversity, but their effects on phylogenetic diversity have been relatively seldom documented. Here, we measured the temporal changes in species and phylogenetic alpha diversity in 12 mainstream regions of the Lancang River (LCR) in the context of hydropower development and widespread exotic invasions. We found that disturbances by dams and widespread introductions of exotic fishes have induced a marked loss of native species (average 36.8 species disappeared per region, accounting for 47.2% of the historical native species) in the downstream regions over time, whereas few native species were disappeared (average 4 species disappeared, accounting for 23.8% of the historical native species) in the upstream regions. In terms of phylogenetic diversity, however, the average taxonomic distinctness (Delta(+), a taxonomic proxy for phylogenetic diversity) of the entire assemblages significantly increased (an increase of 4.4% compared to historical Delta(+)) in all regions, while native Delta(+) insignificantly decreased in downstream regions, and the variation in taxonomic distinctness (Delta(+), a proxy for variation in phylogenetic diversity) of the entire assemblages significantly increased (24.6%) in downstream regions, while native Delta(+) significantly decreased (12.0%) in all regions. Such changes in phylogenetic diversity were triggered by invasions by distantly related exotic species and disappearances of congeneric endemic species. Across the LCR, the relationships between species richness, Delta(+), and Delta(+) and altitude all became obscure due to the combined effect of introductions and disappearances. In dammed regions, the disappearance rate and rate of change in the taxonomic distinctness of native assemblages showed negative correlations with the distances of cascade dams. Our study showed that intensive hydropower development and exotic invasions have significantly affected both the taxonomic and phylogenetic diversity of fish assemblages in the LCR, especially in its downstream region. However, the response of phylogenetic diversity to human disturbance was inconsistent with that of species diversity, implying that examining the response of phylogenetic diversity could provide additional information for assessing the impacts of human domination.</t>
  </si>
  <si>
    <t>[Zhang, Chao; Ding, Liuyong; Ding, Chengzhi; Chen, Liqiang; Sun, Jie] Yunnan Univ, Yunnan Key Lab Int Rivers &amp; Transboundary Ecosecu, Kunming 650091, Yunnan, Peoples R China; [Zhang, Chao; Ding, Liuyong; Ding, Chengzhi; Chen, Liqiang; Sun, Jie] Yunnan Univ, Inst Int Rivers &amp; Ecosecur, Kunming 650091, Yunnan, Peoples R China; [Jiang, Xiaoming] Xian Univ Technol, State Key Lab Ecohydraul Northwest Arid Reg China, Xian 710048, Shaanxi, Peoples R China</t>
  </si>
  <si>
    <t>Yunnan University; Yunnan University; Xi'an University of Technology</t>
  </si>
  <si>
    <t>Ding, CZ (corresponding author), Yunnan Univ, Yunnan Key Lab Int Rivers &amp; Transboundary Ecosecu, Kunming 650091, Yunnan, Peoples R China.;Ding, CZ (corresponding author), Yunnan Univ, Inst Int Rivers &amp; Ecosecur, Kunming 650091, Yunnan, Peoples R China.;Jiang, XM (corresponding author), Xian Univ Technol, State Key Lab Ecohydraul Northwest Arid Reg China, Xian 710048, Shaanxi, Peoples R China.</t>
  </si>
  <si>
    <t>chzhding@ynu.edu.cn; jxm123.83@163.com</t>
  </si>
  <si>
    <t>Ding, Liuyong/0000-0002-5490-182X; Ding, Chengzhi/0000-0001-5215-7374; Chen, Liqiang/0000-0001-5430-4585</t>
  </si>
  <si>
    <t>National Key Research and Development Program of China [2016YFA0601601]; National Natural Science Foundation of China [41501574, 31770460]; Yunnan Applied Basic Research Projects [2016FB079]; project Balancing River Health and Hydropower Requirements in LCR Basin; CGIAR Fund</t>
  </si>
  <si>
    <t>National Key Research and Development Program of China(National Key Research &amp; Development Program of China); National Natural Science Foundation of China(National Natural Science Foundation of China (NSFC)); Yunnan Applied Basic Research Projects; project Balancing River Health and Hydropower Requirements in LCR Basin; CGIAR Fund(CGIAR)</t>
  </si>
  <si>
    <t>The authors wish to thank Dr. Chunlong Liu for helpful comments and suggestions on the manuscript. We appreciated the journal editors and three anonymous reviewers for their valuable comments and suggestions. This study was financially supported by the National Key Research and Development Program of China (2016YFA0601601), the National Natural Science Foundation of China (grants 41501574, 31770460) and the Yunnan Applied Basic Research Projects (2016FB079), the project Balancing River Health and Hydropower Requirements in the LCR Basin, which is a part of the CGIAR Research Program on Water, Land and Ecosystem (WLE) and supported by CGIAR Fund Donors.</t>
  </si>
  <si>
    <t>1470-160X</t>
  </si>
  <si>
    <t>1872-7034</t>
  </si>
  <si>
    <t>ECOL INDIC</t>
  </si>
  <si>
    <t>Ecol. Indic.</t>
  </si>
  <si>
    <t>GO7QL</t>
  </si>
  <si>
    <t>WOS:000440266100029</t>
  </si>
  <si>
    <t>Rappaport, DI; Morton, DC; Longo, M; Keller, M; Dubayah, R; dos-Santos, MN</t>
  </si>
  <si>
    <t>aboveground biomass; forest structure; habitat; understory fires; carbon cycling; airborne lidar; REDD</t>
  </si>
  <si>
    <t>TREE MORTALITY; LAND-USE; ABOVEGROUND BIOMASS; TROPICAL FORESTS; BRAZILIAN AMAZON; FIRE; DROUGHT; SUSCEPTIBILITY; PROJECTIONS; INCREASES</t>
  </si>
  <si>
    <t>[Rappaport, Danielle I.; Dubayah, Ralph] Univ Maryland, Dept Geog Sci, College Pk, MD 20742 USA; [Morton, Douglas C.] NASA, Goddard Space Flight Ctr, Greenbelt, MD USA; [Longo, Marcos; Keller, Michael; dos-Santos, Maiza Nara] Brazilian Agr Res Corp EMBRAPA, Embrapa Agr Informat, Campinas, SP, Brazil; [Longo, Marcos; Keller, Michael] CALTECH, NASA, Jet Prop Lab, Pasadena, CA 91125 USA; [Keller, Michael] US Forest Serv, USDA, Int Inst Trop Forestry, San Juan, PR USA</t>
  </si>
  <si>
    <t>University System of Maryland; University of Maryland College Park; National Aeronautics &amp; Space Administration (NASA); NASA Goddard Space Flight Center; Empresa Brasileira de Pesquisa Agropecuaria (EMBRAPA); National Aeronautics &amp; Space Administration (NASA); NASA Jet Propulsion Laboratory (JPL); California Institute of Technology; United States Department of Agriculture (USDA); United States Forest Service</t>
  </si>
  <si>
    <t>Rappaport, DI (corresponding author), Univ Maryland, Dept Geog Sci, College Pk, MD 20742 USA.</t>
  </si>
  <si>
    <t>drappap@umd.edu</t>
  </si>
  <si>
    <t>Morton, Douglas/D-5044-2012; Keller, Michael/A-8976-2012; Longo, Marcos/F-5033-2014</t>
  </si>
  <si>
    <t>Keller, Michael/0000-0002-0253-3359; Longo, Marcos/0000-0001-5062-6245; dos-Santos, Maiza/0000-0003-2720-2393; Rappaport, Danielle/0000-0001-9122-9684</t>
  </si>
  <si>
    <t>National Science Foundation Doctoral Dissertation Research Improvement Grant [1634168]; NASA Earth and Space Science Fellowship; NASA's Carbon Monitoring System program; Brazilian National Council for Scientific and Technological Development (CNPq) [457927/2013-5]; Sao Paulo State Research Foundation (FAPESP) [2015/07227-6]; Next Generation Ecosystem Experiments-Tropics - US Department of Energy, Office of Science, Office of Biological and Environmental Research; Science Without Borders program; Sustainable Landscapes Brazil project; Brazilian Agricultural ResearchCorporation (EMBRAPA); US Forest Service, USAID; US Department of State; Direct For Social, Behav &amp; Economic Scie; Division Of Behavioral and Cognitive Sci [1634168] Funding Source: National Science Foundation</t>
  </si>
  <si>
    <t>National Science Foundation Doctoral Dissertation Research Improvement Grant; NASA Earth and Space Science Fellowship; NASA's Carbon Monitoring System program; Brazilian National Council for Scientific and Technological Development (CNPq)(Conselho Nacional de Desenvolvimento Cientifico e Tecnologico (CNPQ)); Sao Paulo State Research Foundation (FAPESP)(Fundacao de Amparo a Pesquisa do Estado de Sao Paulo (FAPESP)); Next Generation Ecosystem Experiments-Tropics - US Department of Energy, Office of Science, Office of Biological and Environmental Research(United States Department of Energy (DOE)); Science Without Borders program; Sustainable Landscapes Brazil project; Brazilian Agricultural ResearchCorporation (EMBRAPA)(Empresa Brasileira de Pesquisa Agropecuaria (EMBRAPA)); US Forest Service, USAID(United States Agency for International Development (USAID)); US Department of State; Direct For Social, Behav &amp; Economic Scie; Division Of Behavioral and Cognitive Sci(National Science Foundation (NSF)NSF - Directorate for Social, Behavioral &amp; Economic Sciences (SBE))</t>
  </si>
  <si>
    <t>This work was partially supported by a National Science Foundation Doctoral Dissertation Research Improvement Grant (grant 1634168), a NASA Earth and Space Science Fellowship (D Rappaport), and NASA's Carbon Monitoring System program. Additional support was provided by the Brazilian National Council for Scientific and Technological Development (CNPq, grant 457927/2013-5) and Science Without Borders program (D Morton), and the Sao Paulo State Research Foundation (FAPESP, grant 2015/07227-6, M Longo). M Keller was supported as part of the Next Generation Ecosystem Experiments-Tropics, funded by the US Department of Energy, Office of Science, Office of Biological and Environmental Research. Support for data acquisition and M.N. dos-Santos was provided by the Sustainable Landscapes Brazil project, a collaboration of the Brazilian Agricultural ResearchCorporation (EMBRAPA), the US Forest Service, USAID, and the US Department of State. We gratefully acknowledge the assistance from Hyeungu Choi with lidar data processing.</t>
  </si>
  <si>
    <t>JUN</t>
  </si>
  <si>
    <t>GI9AZ</t>
  </si>
  <si>
    <t>WOS:000434818600001</t>
  </si>
  <si>
    <t>Brown, MI; Pearce, T; Leon, J; Sidle, R; Wilson, R</t>
  </si>
  <si>
    <t>Ecosystem services; Traditional owners; Indigenous knowledge; Kabi Kabi; Gubbi Gubbi; Participatory mapping; Knowledge system</t>
  </si>
  <si>
    <t>DIFFERENCE WATER INDEX; SEA-LEVEL RISE; CLIMATE-CHANGE; ECOSYSTEM SERVICES; IMAGE-ANALYSIS; COVER CHANGES; FORESTS; ADAPTATION; COMMUNITY; FISHES</t>
  </si>
  <si>
    <t>[Brown, Matthew I.; Pearce, Tristan; Leon, Javier; Sidle, Roy; Wilson, Rachele] Univ Sunshine Coast, Sustainabil Res Ctr, 90 Sippy Downs Dr, Sippy Downs, Qld 4558, Australia; [Brown, Matthew I.; Leon, Javier; Wilson, Rachele] Univ Sunshine Coast, Sch Sci &amp; Engn, 90 Sippy Downs Dr, Sippy Downs, Qld 4558, Australia; [Pearce, Tristan] Univ Guelph, Dept Geog, 50 Stone Rd East, Guelph, ON N1G 2W1, Canada</t>
  </si>
  <si>
    <t>University of the Sunshine Coast; University of the Sunshine Coast; University of Guelph</t>
  </si>
  <si>
    <t>Pearce, T (corresponding author), Univ Sunshine Coast, Sustainabil Res Ctr, 90 Sippy Downs Dr, Sippy Downs, Qld 4558, Australia.</t>
  </si>
  <si>
    <t>matthew.jm.brown@gmail.com; tpearce@usc.edu.au; jleon@usc.edu.au; rsidle@usc.edu.au; rwilson2@usc.edu.au</t>
  </si>
  <si>
    <t>Wilson, Rachele/GWU-7198-2022; Leon, Javier/J-3971-2012; Leon, Javier/J-3971-2012; Pearce, Tristan/L-9139-2019</t>
  </si>
  <si>
    <t>Wilson, Rachele/0000-0002-2567-3151; Leon, Javier/0000-0002-4201-5804; Leon, Javier/0000-0002-4201-5804;</t>
  </si>
  <si>
    <t>University of the Sunshine Coast Faculty of Science, Health, Education and Engineering; USC Vice Chancellor Research Award</t>
  </si>
  <si>
    <t>We acknowledge the Kabi Kabi peoples, and their Elders both past and present, who are the Traditional Owners and custodians of the Country on which this research was conducted. We thank the members and friends of Bunya Bunya Country Aboriginal Corporation (BBCAC) for generously contributing to this research, the participants who shared their knowledge and advice throughout the duration of this project. We would particularly like to thank Kerry Jones, Sean Fleischfresser, Rodney Jones, Arnold Jones and Genevieve Jones for their intellectual contributions. The research was funded by the University of the Sunshine Coast Faculty of Science, Health, Education and Engineering and a USC Vice Chancellor Research Award. Thank you Nearmap for the images used in this research and the Digital Globe Foundation for supplying QuickBird satellite imagery.</t>
  </si>
  <si>
    <t>THE BOULEVARD, LANGFORD LANE, KIDLINGTON, OXFORD OX5 1GB, OXON, ENGLAND</t>
  </si>
  <si>
    <t>0143-6228</t>
  </si>
  <si>
    <t>1873-7730</t>
  </si>
  <si>
    <t>APPL GEOGR</t>
  </si>
  <si>
    <t>Appl. Geogr.</t>
  </si>
  <si>
    <t>MAY</t>
  </si>
  <si>
    <t>Social Science Citation Index (SSCI)</t>
  </si>
  <si>
    <t>GF8PC</t>
  </si>
  <si>
    <t>WOS:000432233800006</t>
  </si>
  <si>
    <t>Lindegren, M; Van Deurs, M; MacKenzie, BR; Clausen, LW; Christensen, A; Rindorf, A</t>
  </si>
  <si>
    <t>climate change; fisheries management; modelling; population dynamics; recruitment</t>
  </si>
  <si>
    <t>AMMODYTES-MARINUS; POPULATION-DYNAMICS; LESSER SANDEEL; COPEPOD SIZE; REGIME SHIFT; ANCHOVY; ABUNDANCE; SARDINE; FLUCTUATIONS; RECRUITMENT</t>
  </si>
  <si>
    <t>[Lindegren, Martin] Tech Univ Denmark, Ctr Ocean Life, Natl Inst Aquat Resources, Lyngby, Denmark; [Lindegren, Martin; Van Deurs, Mikael; MacKenzie, Brian R.; Clausen, Lotte Worsoe; Christensen, Asbjorn; Rindorf, Anna] Tech Univ Denmark, Natl Inst Aquat Resources, Lyngby, Denmark; [Clausen, Lotte Worsoe] ICES Secretariat, Copenhagen, Denmark</t>
  </si>
  <si>
    <t>Technical University of Denmark; Technical University of Denmark</t>
  </si>
  <si>
    <t>Lindegren, M (corresponding author), Tech Univ Denmark, Ctr Ocean Life, Natl Inst Aquat Resources, Lyngby, Denmark.;Lindegren, M (corresponding author), Tech Univ Denmark, Natl Inst Aquat Resources, Lyngby, Denmark.</t>
  </si>
  <si>
    <t>mli@aqua.dtu.dk</t>
  </si>
  <si>
    <t>; Rindorf, Anna/AAX-3463-2021; Christensen, Asbjørn/AAW-7042-2021; MacKenzie, Brian R/T-9379-2019; MacKenzie, Brian/T-9379-2019</t>
  </si>
  <si>
    <t>van Deurs, Mikael/0000-0003-2368-2502; Worsoe Clausen, Lotte/0000-0003-1503-6092; MacKenzie, Brian R/0000-0002-4798-0363; Christensen, Asbjørn/0000-0002-4286-7409; Rindorf, Anna/0000-0002-4290-3983; Lindegren, Martin/0000-0002-9185-951X</t>
  </si>
  <si>
    <t>COFASP ERA-NET [321553]; European Fisheries and Maritime Fund [33113-B-15-002]; Natural Environment Research Council [NE/I030062/1, SAH01001] Funding Source: researchfish; NERC [SAH01001, NE/I030062/1] Funding Source: UKRI</t>
  </si>
  <si>
    <t>COFASP ERA-NET; European Fisheries and Maritime Fund; Natural Environment Research Council(UK Research &amp; Innovation (UKRI)Natural Environment Research Council (NERC)); NERC(UK Research &amp; Innovation (UKRI)Natural Environment Research Council (NERC))</t>
  </si>
  <si>
    <t>COFASP ERA-NET, Grant/Award Number: 321553; European Fisheries and Maritime Fund, Grant/Award Number: 33113-B-15-002</t>
  </si>
  <si>
    <t>1054-6006</t>
  </si>
  <si>
    <t>1365-2419</t>
  </si>
  <si>
    <t>FISH OCEANOGR</t>
  </si>
  <si>
    <t>Fish Oceanogr.</t>
  </si>
  <si>
    <t>Fisheries; Oceanography</t>
  </si>
  <si>
    <t>GA5UX</t>
  </si>
  <si>
    <t>WOS:000428400500003</t>
  </si>
  <si>
    <t>Wang, XD; Kuang, FL; Tan, K; Ma, ZJ</t>
  </si>
  <si>
    <t>Conservation; Habitats; Population trend; Threatened species; Waterbirds; Wetlands; China</t>
  </si>
  <si>
    <t>ORGANOCHLORINE PESTICIDES OCPS; AROMATIC-HYDROCARBONS PAHS; IBIS NIPPONIA-NIPPON; HUMAN DISTURBANCE; CLIMATE-CHANGE; YELLOW SEA; YANGTZE-RIVER; LOWER REACHES; GRUS-MONACHA; DECLINES</t>
  </si>
  <si>
    <t>Background: China is one of the countries with abundant waterbird diversity. Over the past decades, China's waterbirds have suffered increasing threats from direct and indirect human activities. It is important to clarify the population trends of and threats to waterbirds as well as to put forward conservation recommendations. Methods: We collected data of population trends of a total of 260 waterbird species in China from Wetlands International database. We calculated the number of species with increasing, declining, stable, and unknown trends. We collected threatened levels of waterbirds from the Red List of China's Vertebrates (2016), which was compiled according to the IUCN criteria of threatened species. Based on literature review, we refined the major threats to the threatened waterbird species in China. Results: Of the total 260 waterbird species in China, 84 species (32.3%) exhibited declining, 35 species (13.5%) kept stable, and 16 species (6.2%) showed increasing trends. Population trends were unknown for 125 species (48.1%). There was no significant difference in population trends between the migratory (32.4% decline) and resident (31.8% decline) species or among waterbirds distributed exclusively along coasts (28.6% decline), inland (36.6% decline), and both coasts and inland (32.5% decline). A total of 38 species (15.1% of the total) were listed as threatened species and 27 species (10.8% of the total) Near Threatened species. Habitat loss was the major threat to waterbirds, with 32 of the total 38 (84.2%) threatened species being affected. In addition, 73.7% (28 species), 71.1% (27 species), and 57.9% (22 species) of the threatened species were affected by human disturbance, environmental pollution, and illegal hunting, respectively. Conclusions: We propose recommendations for waterbird conservation, including (1) strengthening conservation of nature wetlands and restoration of degraded wetlands, (2) enhancing public awareness on waterbird conservation, (3) improving the enforcement of Wildlife Protection Law and cracking down on illegal hunting, (4) carrying out long-term waterbird surveys to clarify population dynamics, (5) restoring populations of highly-threatened species through artificial intervention, and (6) promoting international and regional exchanges and cooperation to share information in waterbirds and their conservation.</t>
  </si>
  <si>
    <t>[Wang, Xiaodan; Kuang, Fenliang; Tan, Kun; Ma, Zhijun] Fudan Univ, Key Lab Biodivers Sci &amp; Ecol Engn, Shanghai Inst Ecochongming SIEC, Minist Educ,Coastal Ecosyst Res Stn Yangtze River, Shanghai 200433, Peoples R China</t>
  </si>
  <si>
    <t>Fudan University</t>
  </si>
  <si>
    <t>Ma, ZJ (corresponding author), Fudan Univ, Key Lab Biodivers Sci &amp; Ecol Engn, Shanghai Inst Ecochongming SIEC, Minist Educ,Coastal Ecosyst Res Stn Yangtze River, Shanghai 200433, Peoples R China.</t>
  </si>
  <si>
    <t>zhijunm@fudan.edu.cn</t>
  </si>
  <si>
    <t>马, 志军/B-4650-2011; Ma, Zhijun/B-4650-2011</t>
  </si>
  <si>
    <t>马, 志军/0000-0001-7459-9448; Wang, Xiaodan/0000-0001-5714-0395</t>
  </si>
  <si>
    <t>National Natural Science Foundation of China [31572280, 31071939]</t>
  </si>
  <si>
    <t>National Natural Science Foundation of China(National Natural Science Foundation of China (NSFC))</t>
  </si>
  <si>
    <t>This study was financially supported by the National Natural Science Foundation of China (Grant Nos. 31572280 and 31071939).</t>
  </si>
  <si>
    <t>2053-7166</t>
  </si>
  <si>
    <t>AVIAN RES</t>
  </si>
  <si>
    <t>Avian Res.</t>
  </si>
  <si>
    <t>APR 28</t>
  </si>
  <si>
    <t>Zoology</t>
  </si>
  <si>
    <t>GE3IY</t>
  </si>
  <si>
    <t>WOS:000431108200001</t>
  </si>
  <si>
    <t>Helms, JA; Woerner, CR; Fawzi, N; MacDonald, A; Juliansyah; Pohnan, E; Webb, K</t>
  </si>
  <si>
    <t>biodiversity hotspots; deforestation; ecological succession; fire; Imperata cylindrica; restoration ecology; species-area relationship</t>
  </si>
  <si>
    <t>RAIN-FOREST; DEFORESTATION; AFFORESTATION; BIODIVERSITY; AREA</t>
  </si>
  <si>
    <t>[Helms, Jackson A.] Michigan State Univ, WK Kellogg Biol Stn, 3700 E Gull Lake Dr, Hickory Corners, MI 49060 USA; [Helms, Jackson A.; Fawzi, Nurul, I; Juliansyah; Pohnan, Erica; Webb, Kinari] Alam Sehat Lestari, Sukadana, Kalimantan Bara, Indonesia; [MacDonald, Andrew] Univ Paul Sabatier, CNRS, Toulouse, France; [Webb, Kinari] Hlth Harmony, Portland, OR USA</t>
  </si>
  <si>
    <t>Michigan State University; Centre National de la Recherche Scientifique (CNRS); Universite de Toulouse; Universite Toulouse III - Paul Sabatier</t>
  </si>
  <si>
    <t>Helms, JA (corresponding author), Michigan State Univ, WK Kellogg Biol Stn, 3700 E Gull Lake Dr, Hickory Corners, MI 49060 USA.</t>
  </si>
  <si>
    <t>jacksonhelmsiv@gmail.com</t>
  </si>
  <si>
    <t>Helms, Jackson/J-5667-2019</t>
  </si>
  <si>
    <t>Health In Harmony; Arcus Foundation; Disney Conservation Fund; Ford Foundation; USAID; U.S. Fish and Wildlife Service; WWF</t>
  </si>
  <si>
    <t>Health In Harmony; Arcus Foundation; Disney Conservation Fund; Ford Foundation; USAID(United States Agency for International Development (USAID)); U.S. Fish and Wildlife Service(US Fish &amp; Wildlife Service); WWF</t>
  </si>
  <si>
    <t>The author(s) disclosed receipt of the following financial support for the research, authorship, and/or publication of this article: This project was conducted as part of a reforestation program by Yayasan Alam Sehat Lestari (ASRI), with financial assistance from Health In Harmony, the Arcus Foundation, Disney Conservation Fund, Ford Foundation, USAID, U.S. Fish and Wildlife Service, and WWF.</t>
  </si>
  <si>
    <t>SAGE PUBLICATIONS INC</t>
  </si>
  <si>
    <t>THOUSAND OAKS</t>
  </si>
  <si>
    <t>2455 TELLER RD, THOUSAND OAKS, CA 91320 USA</t>
  </si>
  <si>
    <t>1940-0829</t>
  </si>
  <si>
    <t>TROP CONSERV SCI</t>
  </si>
  <si>
    <t>Trop. Conserv. Sci.</t>
  </si>
  <si>
    <t>APR 18</t>
  </si>
  <si>
    <t>Biodiversity Conservation</t>
  </si>
  <si>
    <t>Biodiversity &amp; Conservation</t>
  </si>
  <si>
    <t>GL8VZ</t>
  </si>
  <si>
    <t>Bronze</t>
  </si>
  <si>
    <t>WOS:000437507600001</t>
  </si>
  <si>
    <t>Duran, A; Shantz, AA; Burkepile, DE; Collado-Vides, L; Ferrer, VM; Palma, L; Ramos, A; González-Díaz, P</t>
  </si>
  <si>
    <t>GREAT-BARRIER-REEF; NUTRIENT ENRICHMENT; FLORIDA-KEYS; RECRUITMENT; MACROALGAE; ASSEMBLAGES; TEMPERATURE; VARIABILITY; SETTLEMENT; PATTERNS</t>
  </si>
  <si>
    <t>[Duran, A.; Collado-Vides, L.; Palma, L.] Florida Int Univ, 11200 SW 8th St, Miami, FL 33199 USA; [Shantz, A. A.; Burkepile, D. E.] Univ Calif Santa Barbara, Dept Ecol Evolut &amp; Marine Biol, Santa Barbara, CA 93106 USA; [Burkepile, D. E.] Univ Calif Santa Barbara, Marine Sci Inst, Santa Barbara, CA 93106 USA; [Collado-Vides, L.] Florida Int Univ, Southeast Environm Res Ctr, 11200 SW 8th St, Miami, FL 33199 USA; [Ferrer, V. M.; Ramos, A.; Gonzalez-Diaz, P.] Univ Havana, Ctr Marine Res, 16th St,114,1st &amp; 3rd Ave, Havana, Cuba</t>
  </si>
  <si>
    <t>State University System of Florida; Florida International University; University of California System; University of California Santa Barbara; University of California System; University of California Santa Barbara; State University System of Florida; Florida International University; Universidad de la Habana</t>
  </si>
  <si>
    <t>Duran, A (corresponding author), Florida Int Univ, 11200 SW 8th St, Miami, FL 33199 USA.</t>
  </si>
  <si>
    <t>adurao23@fiu.edu</t>
  </si>
  <si>
    <t>Burkepile, Deron/F-2368-2013; Shantz, Andrew/NNG-3451-2025; Duran, Alain/AAN-3190-2020</t>
  </si>
  <si>
    <t>Collado Vides, Ligia/0000-0002-8842-8321; Duran, Alain/0000-0002-7847-6426; Shantz, Anew/0000-0001-5641-8914; Burkepile, Deron/0000-0002-0427-0484</t>
  </si>
  <si>
    <t>Kimberly Green Latin American and Caribbean Center; International Center for Tropical Botany</t>
  </si>
  <si>
    <t>We thank the two Florida International University funding sources of this project: the Kimberly Green Latin American and Caribbean Center and the International Center for Tropical Botany. We also thank the faculty and staff of the Center for Marine Research from University of Havana, Cuba, especially the diving center led by I Rodriguez. In addition, we are grateful for the advice and data contribution of P Alcolado-Prieto and H Salvat. This is the contribution #75 from the Marine Education and Research Center in the Institute for Water and Environment at Florida International University.</t>
  </si>
  <si>
    <t>ROSENSTIEL SCH MAR ATMOS SCI</t>
  </si>
  <si>
    <t>MIAMI</t>
  </si>
  <si>
    <t>4600 RICKENBACKER CAUSEWAY, MIAMI, FL 33149 USA</t>
  </si>
  <si>
    <t>0007-4977</t>
  </si>
  <si>
    <t>1553-6955</t>
  </si>
  <si>
    <t>B MAR SCI</t>
  </si>
  <si>
    <t>Bull. Mar. Sci.</t>
  </si>
  <si>
    <t>APR</t>
  </si>
  <si>
    <t>GN4QO</t>
  </si>
  <si>
    <t>hybrid</t>
  </si>
  <si>
    <t>WOS:000439017000005</t>
  </si>
  <si>
    <t>Park, IW; Hooper, J; Flegal, JM; Jenerette, GD</t>
  </si>
  <si>
    <t>Angeles National Forest; chaparral; invasion; normalized difference vegetation index; phenology; remote sensing</t>
  </si>
  <si>
    <t>LEAF-AREA INDEX; POSTFIRE RECOVERY; 4 DECADES; VEGETATION CONVERSION; SHORT-INTERVAL; UNITED-STATES; EXOTIC GRASS; FIRE; SHRUBLANDS; SUCCESSION</t>
  </si>
  <si>
    <t>Aim: While chaparral communities have historically been considered resistant to invasion and type conversion into grasslands, interacting global changes such as increased drought and anthropogenic disturbance may have reduced this resistance. Existing monitoring methods are not well-suited to evaluate the distribution of invasive herbs and grasses within chaparral at regional scales. In this study, we determine the extent of invasions by forbs and grasses into formerly chaparral vegetation and evaluate contributions of moisture, disturbance and anthropogenic activity and topography to the distribution of herbaceous cover throughout chaparral-dominated communities. Location: The Angeles National Forest (ANF), California, USA. Methods: We developed a remote-sensing method to estimate the distribution of herbaceous cover within chaparral by leveraging intra-annual phenological differences in normalized difference vegetation index (NDVI) between herbaceous forbs and grasses and evergreen shrublands using Landsat remote-sensing imagery. The distribution of herbaceous cover was then related to multiple spatially explicit variables describing individual and interactive effects of local moisture availability and anthropogenic disturbance. Results: Herbaceous cover represents approximately 31% of the ANF within the elevation range typically dominated by chaparral. Disturbance-related and anthropogenic factors explained 17% of observed variation, while differences in moisture availability explained 47% of observed variation in herbaceous cover and were associated with increased invasive cover. Main conclusions: Landscapes historically dominated by chaparral may exhibit high degrees of herbaceous cover. While fire frequency and other anthropogenic disturbances are likely the primary catalyst for invasion of chaparral by herbaceous species, this study shows that moisture availability is a more important factor in determining which locations are successfully invaded. These results indicate that chaparral vulnerability to invasion in southern California may increase in the next century due to reduced precipitation associated with projected climate change.</t>
  </si>
  <si>
    <t>[Park, Isaac W.; Jenerette, G. Darrel] Univ Calif Riverside, Dept Bot &amp; Plant Sci, Riverside, CA 92521 USA; [Park, Isaac W.; Jenerette, G. Darrel] Univ Calif Riverside, Ctr Conservat Biol, Riverside, CA 92521 USA; [Hooper, Jennifer] US Forest Serv, USDA, Angeles Natl Forest, Arcadia, CA USA; [Flegal, James M.] Univ Calif Riverside, Dept Stat, Riverside, CA 92521 USA</t>
  </si>
  <si>
    <t>University of California System; University of California Riverside; University of California System; University of California Riverside; United States Department of Agriculture (USDA); United States Forest Service; University of California System; University of California Riverside</t>
  </si>
  <si>
    <t>Park, IW (corresponding author), Univ Calif Riverside, Dept Bot &amp; Plant Sci, Riverside, CA 92521 USA.</t>
  </si>
  <si>
    <t>park@lifesci.ucsb.edu</t>
  </si>
  <si>
    <t>Flegal, James/ABD-5545-2020</t>
  </si>
  <si>
    <t>Flegal, James/0000-0002-9960-8942; Park, Isaac/0000-0001-5539-1641; Jenerette, G Darrel/0000-0003-2387-7537</t>
  </si>
  <si>
    <t>US Forest Service [11-CS-11050100-031]; UC-Riverside</t>
  </si>
  <si>
    <t>US Forest Service(United States Department of Agriculture (USDA)United States Forest Service); UC-Riverside</t>
  </si>
  <si>
    <t>UC-Riverside; US Forest Service, Grant/Award Number: 11-CS-11050100-031</t>
  </si>
  <si>
    <t>1366-9516</t>
  </si>
  <si>
    <t>1472-4642</t>
  </si>
  <si>
    <t>DIVERS DISTRIB</t>
  </si>
  <si>
    <t>Divers. Distrib.</t>
  </si>
  <si>
    <t>FZ0GP</t>
  </si>
  <si>
    <t>WOS:000427246300007</t>
  </si>
  <si>
    <t>Maharaj, RR; Lam, VWY; Pauly, D; Cheung, WWL</t>
  </si>
  <si>
    <t>Ocean climate; Coral reef; Fish community; Caribbean; Fisheries; Habitat; Ecosystem indicator</t>
  </si>
  <si>
    <t>MARINE PROTECTED AREAS; ECOSYSTEM-BASED MANAGEMENT; CORAL-REEF; CLIMATE-CHANGE; HABITAT COMPLEXITY; SPATIAL HETEROGENEITY; COMMUNITY STRUCTURE; FISHERIES CATCH; PHASE-SHIFTS; CONSERVATION</t>
  </si>
  <si>
    <t>[Maharaj, Ravi R.; Lam, Vicky W. Y.; Cheung, William W. L.] Univ British Columbia, Inst Oceans &amp; Fisheries, Changing Ocean Res Unit, Vancouver, BC V6T 1Z4, Canada; [Pauly, Daniel] Univ British Columbia, Inst Oceans &amp; Fisheries, Sea Around Us, Vancouver, BC V6T 1Z4, Canada</t>
  </si>
  <si>
    <t>University of British Columbia; University of British Columbia</t>
  </si>
  <si>
    <t>Maharaj, RR (corresponding author), Univ British Columbia, Inst Oceans &amp; Fisheries, Changing Ocean Res Unit, Vancouver, BC V6T 1Z4, Canada.</t>
  </si>
  <si>
    <t>r.maharaj@oceans.ubc.ca</t>
  </si>
  <si>
    <t>; Cheung, William/F-5104-2013; Pauly, Daniel/AAY-2316-2021; Lam, Vicky/AAX-1684-2020</t>
  </si>
  <si>
    <t>Pauly, Daniel/0000-0003-3756-4793;</t>
  </si>
  <si>
    <t>Natural Sciences and Engineering Research Council of Canada; University of British Columbia; Sea Around Us; Nippon Foundation-UBC Nereus program; Wellcome Trust</t>
  </si>
  <si>
    <t>Natural Sciences and Engineering Research Council of Canada(Natural Sciences and Engineering Research Council of Canada (NSERC)CGIAR); University of British Columbia; Sea Around Us; Nippon Foundation-UBC Nereus program; Wellcome Trust(Wellcome Trust)</t>
  </si>
  <si>
    <t>R.R.M. and W.W.L.C acknowledge funding support from the Natural Sciences and Engineering Research Council of Canada and the University of British Columbia. D.P. is thankful for support by the Sea Around Us, itself supported by a number of philanthropic foundations. W.W.L.C. and V.W.Y.L. acknowledge funding support from the Nippon Foundation-UBC Nereus program and the Wellcome Trust.</t>
  </si>
  <si>
    <t>INTER-RESEARCH</t>
  </si>
  <si>
    <t>OLDENDORF LUHE</t>
  </si>
  <si>
    <t>NORDBUNTE 23, D-21385 OLDENDORF LUHE, GERMANY</t>
  </si>
  <si>
    <t>0171-8630</t>
  </si>
  <si>
    <t>1616-1599</t>
  </si>
  <si>
    <t>MAR ECOL PROG SER</t>
  </si>
  <si>
    <t>Mar. Ecol.-Prog. Ser.</t>
  </si>
  <si>
    <t>MAR 12</t>
  </si>
  <si>
    <t>GB1NJ</t>
  </si>
  <si>
    <t>WOS:000428817200014</t>
  </si>
  <si>
    <t>Le Bris, A; Mills, KE; Wahle, RA; Chen, Y; Alexander, MA; Allyn, AJ; Schuetz, JG; Scott, JD; Pershing, AJ</t>
  </si>
  <si>
    <t>climate impacts; resilience; harvest strategies; population dynamics; American lobster</t>
  </si>
  <si>
    <t>LOBSTER HOMARUS-AMERICANUS; SPATIOTEMPORAL VARIABILITY; COASTAL WATERS; MAINE LOBSTER; BODY-SIZE; TEMPERATURE; ABUNDANCE; IMPACTS; GULF; MATURITY</t>
  </si>
  <si>
    <t>[Le Bris, Arnault; Mills, Katherine E.; Allyn, Andrew J.; Schuetz, Justin G.; Pershing, Andrew J.] Gulf Maine Res Inst, Portland, ME 04101 USA; [Wahle, Richard A.; Chen, Yong] Univ Maine, Sch Marine Sci, Orono, ME 04469 USA; [Alexander, Michael A.; Scott, James D.] NOAA, Earth Syst Res Lab, Boulder, CO 80305 USA; [Scott, James D.] Univ Colorado, Cooperat Inst Res Environm Sci, Boulder, CO 80309 USA; [Le Bris, Arnault] Mem Univ Newfoundland, Fisheries &amp; Marine Inst, Ctr Fisheries Ecosyst Res, St John, NF A1C 5R3, Canada</t>
  </si>
  <si>
    <t>Gulf of Maine Research Institute; University of Maine System; University of Maine Orono; National Oceanic Atmospheric Admin (NOAA) - USA; University of Colorado System; University of Colorado Boulder; Memorial University Newfoundland</t>
  </si>
  <si>
    <t>Le Bris, A (corresponding author), Gulf Maine Res Inst, Portland, ME 04101 USA.;Le Bris, A (corresponding author), Mem Univ Newfoundland, Fisheries &amp; Marine Inst, Ctr Fisheries Ecosyst Res, St John, NF A1C 5R3, Canada.</t>
  </si>
  <si>
    <t>arnault.lebris@mi.mun.ca</t>
  </si>
  <si>
    <t>; Wahle, Richard/AAI-3047-2020; Alexander, Michael/JBJ-7594-2023</t>
  </si>
  <si>
    <t>Mills, Katherine/0000-0001-6078-7747; Le Bris, Arnault/0000-0003-1958-3755; Allyn, Anew/0000-0002-1584-0198; Scott, James D/0000-0002-8709-8594</t>
  </si>
  <si>
    <t>National Science Foundation's Coastal SEES Program [OCE-1325484]; Directorate For Geosciences; Division Of Ocean Sciences [1325484] Funding Source: National Science Foundation</t>
  </si>
  <si>
    <t>National Science Foundation's Coastal SEES Program; Directorate For Geosciences; Division Of Ocean Sciences(National Science Foundation (NSF)NSF - Directorate for Geosciences (GEO))</t>
  </si>
  <si>
    <t>The authors thank Burton Shank, Carl Wilson, Curt Brown, and Andy Thomas, for helpful discussions; and Mike Fogarty and Jon Hare for their comments. This work was supported by the National Science Foundation's Coastal SEES Program Grant OCE-1325484 (to A.L.B., A.J.P., K.E.M., Y.C., R.A.W., M.A.A., and J.D.S.).</t>
  </si>
  <si>
    <t>NATL ACAD SCIENCES</t>
  </si>
  <si>
    <t>WASHINGTON</t>
  </si>
  <si>
    <t>2101 CONSTITUTION AVE NW, WASHINGTON, DC 20418 USA</t>
  </si>
  <si>
    <t>0027-8424</t>
  </si>
  <si>
    <t>1091-6490</t>
  </si>
  <si>
    <t>P NATL ACAD SCI USA</t>
  </si>
  <si>
    <t>Proc. Natl. Acad. Sci. U. S. A.</t>
  </si>
  <si>
    <t>FEB 20</t>
  </si>
  <si>
    <t>FW7IJ</t>
  </si>
  <si>
    <t>WOS:000425495000061</t>
  </si>
  <si>
    <t>Chakona, G; Swartz, ER; Chakona, A</t>
  </si>
  <si>
    <t>Africa; biodiversity hotspot; climate change; conservation; Galaxiidae; habitat degradation; non-native species; risk assessment; stream fish</t>
  </si>
  <si>
    <t>FRESH-WATER BIODIVERSITY; FLORISTIC REGION; CONSERVATION ASSESSMENT; PSEUDOBARBUS-SKELTONI; EVOLUTIONARY HISTORY; ECOLOGICAL IMPACTS; REGRESSION TREES; CLIMATE-CHANGE; BERG RIVER; CYPRINIDAE</t>
  </si>
  <si>
    <t>DNA-based studies have uncovered cryptic species and lineages within almost all freshwater fishes studied thus far from the Cape Fold Ecoregion (CFE) of South Africa. These studies have changed the way the CFE is viewed, as almost all stream fishes that were previously considered to be of low conservation priority, because they were perceived to have broad geographical ranges, contain multiple historically isolated lineages, many of which are narrow-range endemics. As stream fishes of the CFE are of conservation concern owing to threats mainly posed by habitat degradation, invasion by alien species and hydrological modification, re-evaluation of the distribution and conservation status of newly identified unique lineages is required to inform the development and implementation of effective conservation and management strategies. The present study conducted an IUCN Red List conservation assessment of a newly identified lineage of the Galaxias zebratus species complex (hereafter referred to as Galaxias sp. Joubertina') to identify key threats and provide recommendations to conservation authorities on appropriate measures to reduce extinction risk. The lineage met the qualifying threshold for the Endangered category because of its very restricted geographic range, few remaining secure populations, small known population sizes and the intensity of threats to most of the populations. Only six populations remain, one of which could be an extralimital' population potentially established through an inter-basin water transfer scheme. Galaxias sp. Joubertina' is threatened by invasive piscivores, habitat degradation and excessive water abstraction. These impacts have fragmented remnant populations, raising concerns about potential long-term adverse impacts on genetic diversity and evolutionary potential of this lineage. Immediate conservation measures should protect remnant populations from further impacts, while long-term measures should aim to restore historical connectivity to reduce the potential deleterious effects of inbreeding in the small isolated populations.</t>
  </si>
  <si>
    <t>[Chakona, Gamuchirai; Swartz, Ernst R.; Chakona, Albert] SAIAB, Private Bag 1015, ZA-6140 Grahamstown, South Africa; [Chakona, Gamuchirai] Rhodes Univ, Dept Ichthyol &amp; Fisheries Sci, Grahamstown, South Africa; [Chakona, Gamuchirai] Rhodes Univ, Dept Environm Sci, Grahamstown, South Africa</t>
  </si>
  <si>
    <t>National Research Foundation - South Africa; South African Institute for Aquatic Biodiversity; Rhodes University; Rhodes University</t>
  </si>
  <si>
    <t>Chakona, G (corresponding author), SAIAB, Private Bag 1015, ZA-6140 Grahamstown, South Africa.</t>
  </si>
  <si>
    <t>matarutseg@yahoo.com</t>
  </si>
  <si>
    <t>Chakona, Albert/M-4265-2017; Swartz, Ernst/C-5139-2009</t>
  </si>
  <si>
    <t>Chakona, Albert/0000-0001-6844-7501; Chakona, Gamuchirai/0000-0003-3784-8980;</t>
  </si>
  <si>
    <t>South African Institute for Aquatic Biodiversity (SAIAB); Rhodes University Margaret Smith bursary; DST/NRF Centre of Excellence for Invasion Biology through OLF Weyl's core team member grant</t>
  </si>
  <si>
    <t>South African Institute for Aquatic Biodiversity (SAIAB)(National Research Foundation - South Africa); Rhodes University Margaret Smith bursary; DST/NRF Centre of Excellence for Invasion Biology through OLF Weyl's core team member grant</t>
  </si>
  <si>
    <t>This work was part of GC's MSc research which was funded by the South African Institute for Aquatic Biodiversity (SAIAB), Rhodes University Margaret Smith bursary and the DST/NRF Centre of Excellence for Invasion Biology through OLF Weyl's core team member grant. Nkosinathi Mazungula, Bruce Ellender, Christine Coppinger, Tuuli Makinen and Roger Smith are thanked for assistance with fieldwork, and Wilbert Kadye for assistance with data collection and analysis. The authors acknowledge that opinions, findings and conclusions or recommendations expressed here are those of the authors and that the NRF accepts no liability whatsoever in this regard.</t>
  </si>
  <si>
    <t>1052-7613</t>
  </si>
  <si>
    <t>1099-0755</t>
  </si>
  <si>
    <t>AQUAT CONSERV</t>
  </si>
  <si>
    <t>Aquat. Conserv.-Mar. Freshw. Ecosyst.</t>
  </si>
  <si>
    <t>FEB</t>
  </si>
  <si>
    <t>Environmental Sciences; Marine &amp; Freshwater Biology; Water Resources</t>
  </si>
  <si>
    <t>Environmental Sciences &amp; Ecology; Marine &amp; Freshwater Biology; Water Resources</t>
  </si>
  <si>
    <t>FW2GU</t>
  </si>
  <si>
    <t>WOS:000425121900007</t>
  </si>
  <si>
    <t>Kuczynski, L; Legendre, P; Grenouillet, G</t>
  </si>
  <si>
    <t>alpha diversity; assemblage reorganization; beta diversity; community uniqueness; freshwater fish; global change; temporal changes</t>
  </si>
  <si>
    <t>LOW-HEAD DAMS; BIOTIC HOMOGENIZATION; BETA-DIVERSITY; MAJOR CAUSE; CONSEQUENCES; POPULATIONS; THREATS; SHIFTS; DISSIMILARITY; URBANIZATION</t>
  </si>
  <si>
    <t>Aim: In response to climate change, species distribution shifts resulting from local extinctions, colonizations and variations in population abundances potentially lead to community-level reorganizations. Here, we assess changes over time in stream fish communities, quantify the extent to which these changes are attributable to population declines or increases and identify their main drivers. Location: France. Time period: 1980-2012. Major taxa studied: Stream fish species. Methods: We used abundance-monitoring data to quantify changes in composition and uniqueness for 332 stream fish communities between a cold historical period (1980-1993) and a warm contemporary period (2004-2012). Then, we used a model-averaging procedure to test the impacts of factors related to climate, land use and non-native species density and their interacting effects in shaping community reorganization. Results: We observed biotic homogenization over time in stream fish communities, although some communities experienced differentiation. Changes in composition mainly resulted from population declines and were favoured by an increase in temperature seasonality and in non-native species density. Population declines decreased with fragmentation and changes in non-native species density, whereas population increases were negatively driven by changes in precipitation and positively by fragmentation. Our results provide evidence that environmental changes can interact with other factors (e.g., upstream-downstream, fragmentation intensity) to determine community reorganization. Main conclusions: In the context of global change, fish assemblage reorganizations mainly result from population declines of species. These reorganizations are spatially structured and driven by both climatic and human-related stressors. Here, we emphasize the need to take into account several components of global change, because the interplay between stressors might play a key role in the ongoing biodiversity changes.</t>
  </si>
  <si>
    <t>[Kuczynski, Lucie; Grenouillet, Gael] Univ Toulouse, CNRS, Lab Evolut &amp; Diversite Biol, ENFA,UPS, Toulouse, France; [Legendre, Pierre] Univ Montreal, Dept Sci Biol, Montreal, PQ, Canada; [Grenouillet, Gael] Inst Univ France, Paris, France</t>
  </si>
  <si>
    <t>Centre National de la Recherche Scientifique (CNRS); Universite Federale Toulouse Midi-Pyrenees (ComUE); Universite de Toulouse; Ecole Nationale Formation Agronomique (ENSFEA); Universite Toulouse III - Paul Sabatier; Universite de Montreal; Institut Universitaire de France</t>
  </si>
  <si>
    <t>Kuczynski, L (corresponding author), Lab Evolut &amp; Diversite Biol, 118 Route Narbonne, F-31062 Toulouse 9, France.</t>
  </si>
  <si>
    <t>lucie.kuczynski@hotmail.com</t>
  </si>
  <si>
    <t>Legendre, Pierre/U-9266-2019; Grenouillet, Gael/E-6518-2019; Legene, Pierre/C-8279-2013</t>
  </si>
  <si>
    <t>Grenouillet, Gaël/0000-0003-3588-3694; Legene, Pierre/0000-0002-3838-3305</t>
  </si>
  <si>
    <t>Investissement d'Avenir [ANR-10-LABX-0025, ANR-10-LABX-41]</t>
  </si>
  <si>
    <t>Investissement d'Avenir(Agence Nationale de la Recherche (ANR))</t>
  </si>
  <si>
    <t>Investissement d'Avenir, Grant/Award Number: ANR-10-LABX-0025 and ANR-10-LABX-41</t>
  </si>
  <si>
    <t>1466-822X</t>
  </si>
  <si>
    <t>1466-8238</t>
  </si>
  <si>
    <t>GLOBAL ECOL BIOGEOGR</t>
  </si>
  <si>
    <t>Glob. Ecol. Biogeogr.</t>
  </si>
  <si>
    <t>Environmental Sciences &amp; Ecology; Physical Geography</t>
  </si>
  <si>
    <t>FS9PN</t>
  </si>
  <si>
    <t>WOS:000422750700005</t>
  </si>
  <si>
    <t>Nicola, GG; Elvira, B; Jonsson, B; Ayllón, D; Almodóvar, A</t>
  </si>
  <si>
    <t>Climate change; Flow alteration; Land-ocean temperature; Long-term abundance; Salmo salar</t>
  </si>
  <si>
    <t>LONG-TERM CHANGES; NORTH-ATLANTIC; SALAR L.; SEAWARD MIGRATION; LIFE-HISTORY; TEMPERATURE; GROWTH; SIZE; ABUNDANCE; TRENDS</t>
  </si>
  <si>
    <t>[Nicola, Graciela G.] UCLM, Dept Environm Sci, Toledo 45071, Spain; [Elvira, Benigno; Ayllon, Daniel; Almodovar, Ana] Complutense Univ Madrid UCM, Dept Zool &amp; Phys Anthropol, Madrid 28040, Spain; [Jonsson, Bror] Norwegian Inst Nat Res, Landscape Ecol Dept, N-0349 Oslo, Norway</t>
  </si>
  <si>
    <t>Universidad de Castilla-La Mancha; Complutense University of Madrid; Norwegian Institute Nature Research</t>
  </si>
  <si>
    <t>Nicola, GG (corresponding author), UCLM, Fac Environm Sci &amp; Biochem, Dept Environm Sci, Toledo 45071, Spain.</t>
  </si>
  <si>
    <t>graciela.nicola@uclm.es; belvira@bio.ucm.es; bror.jonsson@nina.no; daniel.ayllon@bio.ucm.es; aalmodovar@bio.ucm.es</t>
  </si>
  <si>
    <t>Elvira, Benigno/A-9273-2009; G. Nicola, Graciela/ABE-5362-2021; Almodóvar, Ana/L-5400-2014; Ayllon, Daniel/K-6862-2019</t>
  </si>
  <si>
    <t>Elvira, Benigno/0000-0002-6127-5302; Almodóvar, Ana/0000-0003-1465-3857; Ayllon Fernandez, Daniel/0000-0001-7539-5287; , GRACIELA G NICOLA/0009-0009-0601-0609</t>
  </si>
  <si>
    <t>Spanish Ministry of Science and Innovation [CGL2012-36049]; Marie Curie Intraeuropean Fellowship [PIEF-GA-2012-329264]</t>
  </si>
  <si>
    <t>Spanish Ministry of Science and Innovation(Spanish GovernmentMinistry of Science &amp; Innovation, Spain (MICINN)); Marie Curie Intraeuropean Fellowship(European Union (EU))</t>
  </si>
  <si>
    <t>This study was funded by the Spanish Ministry of Science and Innovation through the research project CGL2012-36049. We acknowledge the E-OBS dataset from the EU-FP6 project ENSEMBLES (http://ensembles-eu.metoffice.com) and would like to thank the data providers in the ECA &amp; D project (http://www.ecad.eu). D. Ayllon was supported by a Marie Curie Intraeuropean Fellowship (PIEF-GA-2012-329264). We are very grateful to Enrique Sanchez for his advice on the selection and analysis of climate indicators.</t>
  </si>
  <si>
    <t>0165-7836</t>
  </si>
  <si>
    <t>1872-6763</t>
  </si>
  <si>
    <t>FISH RES</t>
  </si>
  <si>
    <t>Fish Res.</t>
  </si>
  <si>
    <t>Fisheries</t>
  </si>
  <si>
    <t>FN7JJ</t>
  </si>
  <si>
    <t>WOS:000416194200009</t>
  </si>
  <si>
    <t>Amano, T; Székely, T; Sandel, B; Nagy, S; Mundkur, T; Langendoen, T; Blanco, D; Soykan, CU; Sutherland, WJ</t>
  </si>
  <si>
    <t>EXTINCTION RISK; COUNT DATA; DECLINES; BIRDS; BIODIVERSITY; CORRUPTION; FRAMEWORK; PATTERNS; WETLANDS; WINBUGS</t>
  </si>
  <si>
    <t>[Amano, Tatsuya; Sutherland, William J.] Univ Cambridge, Dept Zool, Conservat Sci Grp, David Attenborough Bldg,Pembroke St, Cambridge CB2 3QZ, England; [Amano, Tatsuya] Univ Cambridge, Ctr Study Existential Risk, 16 Mill Lane, Cambridge CB2 1SG, England; [Szekely, Tamas] Univ Bath, Dept Biol &amp; Biochem, Milner Ctr Evolut, Bath BA2 7AY, Avon, England; [Szekely, Tamas] Univ Debrecen, Dept Evolutionary Zool, H-4010 Debrecen, Hungary; [Sandel, Brody] Santa Clara Univ, Dept Biol, 500 El Camino Real, Santa Clara, CA 95053 USA; [Nagy, Szabolcs; Mundkur, Taej; Langendoen, Tom] Wetlands Int Head Off, Horapk 9, NL-6717 LZ Ede, Netherlands; [Blanco, Daniel] Wetlands Int LAC Argentina Off, Capitan Gen Ramon Freire 1512, RA-1426 Buenos Aires, DF, Argentina; [Soykan, Candan U.] Natl Audubon Soc, Conservat Sci, 220 Montgomery St,Suite 1000, San Francisco, CA 94104 USA</t>
  </si>
  <si>
    <t>University of Cambridge; University of Cambridge; University of Bath; University of Debrecen; Santa Clara University</t>
  </si>
  <si>
    <t>Amano, T (corresponding author), Univ Cambridge, Dept Zool, Conservat Sci Grp, David Attenborough Bldg,Pembroke St, Cambridge CB2 3QZ, England.;Amano, T (corresponding author), Univ Cambridge, Ctr Study Existential Risk, 16 Mill Lane, Cambridge CB2 1SG, England.</t>
  </si>
  <si>
    <t>amatatsu830@gmail.com</t>
  </si>
  <si>
    <t>Nagy, Szabolcs/JZE-3966-2024; Sutherland, William/B-1291-2013; Amano, Tatsuya/E-7367-2010; Szekely, Tamas/I-7089-2016</t>
  </si>
  <si>
    <t>Amano, Tatsuya/0000-0001-6576-3410; Szekely, Tamas/0000-0003-2093-0056</t>
  </si>
  <si>
    <t>NATURE PORTFOLIO</t>
  </si>
  <si>
    <t>BERLIN</t>
  </si>
  <si>
    <t>HEIDELBERGER PLATZ 3, BERLIN, 14197, GERMANY</t>
  </si>
  <si>
    <t>0028-0836</t>
  </si>
  <si>
    <t>1476-4687</t>
  </si>
  <si>
    <t>Nature</t>
  </si>
  <si>
    <t>JAN 11</t>
  </si>
  <si>
    <t>+</t>
  </si>
  <si>
    <t>Science Citation Index Expanded (SCI-EXPANDED); Social Science Citation Index (SSCI)</t>
  </si>
  <si>
    <t>FS4WL</t>
  </si>
  <si>
    <t>WOS:000419794800035</t>
  </si>
  <si>
    <t>Qie, L; Lewis, SL; Sullivan, MJP; Lopez-Gonzalez, G; Pickavance, GC; Sunderland, T; Ashton, P; Hubau, W; Abu Salim, K; Aiba, S; Banin, LF; Berry, N; Brearley, FQ; Burslem, DFRP; Dancák, M; Davies, SJ; Fredriksson, G; Hamer, KC; Hédl, R; Kho, LK; Kitayama, K; Krisnawati, H; Lhota, S; Malhi, Y; Maycock, C; Metali, F; Mirmanto, E; Nagy, L; Nilus, R; Ong, R; Pendry, CA; Poulsen, AD; Primack, RB; Rutishauser, E; Samsoedin, I; Saragih, B; Sist, P; Slik, JWF; Sukri, RS; Svátek, M; Tan, S; Tjoa, A; van Nieuwstadt, M; Vernimmen, RRE; Yassir, I; Kidd, PS; Fitriadi, M; Ideris, NKH; Serudin, RM; Lim, LSA; Saparudin, MS; Phillips, OL</t>
  </si>
  <si>
    <t>TROPICAL FORESTS; RAIN-FOREST; SPECIES COMPOSITION; BIOMASS DYNAMICS; TREE MORTALITY; BALANCE; CO2; FRAGMENTATION; SENSITIVITY; DIVERSITY</t>
  </si>
  <si>
    <t>[Qie, Lan; Lewis, Simon L.; Sullivan, Martin J. P.; Lopez-Gonzalez, Gabriela; Pickavance, Georgia C.; Hubau, Wannes; Banin, Lindsay F.; Berry, Nicholas; Phillips, Oliver L.] Univ Leeds, Sch Geog, Leeds LS2 9JT, W Yorkshire, England; [Qie, Lan] Imperial Coll London, Dept Life Sci, Silwood Pk Campus, Ascot SL5 7PY, Berks, England; [Lewis, Simon L.] UCL, Dept Geog, London WC1E 6BT, England; [Sunderland, Terry] Ctr Int Forestry Res, Bogor 16115, Barat, Indonesia; [Sunderland, Terry] James Cook Univ, Sch Environm &amp; Marine Sci, 1 James Cook Dr, Townsville, Qld 4811, Australia; [Ashton, Peter] Harvard Univ, Dept Organism &amp; Evolutionary Biol, 22 Divin Ave, Cambridge, MA 02138 USA; [Hubau, Wannes] Royal Museum Cent Africa, Lab Wood Biol &amp; Xylarium, Leuvensesteenweg 13, B-3080 Tervuren, Belgium; [Abu Salim, Kamariah; Metali, Faizah; Slik, J. W. Ferry; Sukri, Rahayu Sukmaria; Ideris, Nur Khalish Hafizhah; Serudin, Rafizah Mat; Lim, Layla Syaznie Abdullah; Saparudin, Muhammad Shahruney] Univ Brunei Darussalam, Fac Sci, Environm &amp; Life Sci Programme, Gadong BE1410, Brunei; [Aiba, Shin-Ichiro] Kagoshima Univ, Grad Sch Sci &amp; Engn, Kagoshima 8900065, Japan; [Banin, Lindsay F.] Ctr Ecol &amp; Hydrol, Penicuik EH26 0QB, Midlothian, Scotland; [Berry, Nicholas] Bioclimate, Thorn House,5 Rose St, Edinburgh EH2 2PR, Midlothian, Scotland; [Brearley, Francis Q.] Manchester Metropolitan Univ, Sch Sci &amp; Environm, Chester St, Manchester M1 5GD, Lancs, England; [Burslem, David F. R. P.] Univ Aberdeen, Sch Biol Sci, Cruickshank Bldg,St Machar Dr, Aberdeen AB24 3UU, Scotland; [Dancak, Martin] Palacky Univ Olomouc, Fac Sci, Dept Ecol &amp; Environm Sci, Slechtitelu 27, CZ-78371 Olomouc, Czech Republic; [Davies, Stuart J.] Smithsonian Trop Res Inst, Forest Global Earth Observ, Ctr Trop Forest Sci, Washington, DC 20013 USA; [Davies, Stuart J.] Nanyang Technol Univ, Asian Sch Environm, 50 Nanyang Ave, Singapore 639798, Singapore; [Fredriksson, Gabriella] Univ Amsterdam, Inst Biodivers &amp; Ecosystem Dynam, NL-1012 WX Amsterdam, Netherlands; [Fredriksson, Gabriella] Pro Nat Fdn, Jl Jend Sudirman 37, Balikpapan 76112, Indonesia; [Fredriksson, Gabriella] SOCP, Pan Eco, Jl Wahid Hasyim 51-74, Medan 20154, Indonesia; [Hamer, Keith C.] Univ Leeds, Sch Biol, Leeds LS2 9JT, W Yorkshire, England; [Hedl, Radim] Czech Acad Sci, Inst Bot, Dept Vegetat Ecol, Lidicka 25-27, CZ-60200 Brno, Czech Republic; [Hedl, Radim] Palacky Univ Olomouc, Fac Sci, Dept Bot, Slechtitelu 27, CZ-78371 Olomouc, Czech Republic; [Kho, Lip Khoon] Malaysian Palm Oil Board, Trop Peat Res Inst, Biol Res Div, Bangi 43000, Kajang, Malaysia; [Kitayama, Kanehiro] Kyoto Univ, Grad Sch Agr, Kyoto 6068502, Japan; [Krisnawati, Haruni; Samsoedin, Ismayadi] Minist Environm &amp; Forestry, Res Dev &amp; Innovat Agcy, Forest Res &amp; Dev Ctr, Jl Gunung Batu 5, Bogor 16610, Indonesia; [Lhota, Stanislav] Czech Univ Life Sci, Fac Trop Agrisci, Dept Anim Sci &amp; Food Proc, Kamycka 129, Prague 16500 6, Czech Republic; [Lhota, Stanislav] Usti Nad Labem Zoo, Drazdanska 23, Usti Nad Labem 40007, Czech Republic; [Malhi, Yadvinder] Univ Oxford, Environm Change Inst, Sch Geog &amp; Environm, Oxford OX1 3QY, England; [Maycock, Colin] Univ Malaysia Sabah, Fac Sci &amp; Nat Resources, Int Trop Forestry, Kota Kinabalu 88400, Malaysia; [Mirmanto, Edi] Indonesian Inst Sci, Res Ctr Biol, Jl Raya Jakarta Bogor KM 46, Cibinong 16911, Indonesia; [Nagy, Laszlo] Univ Estadual Campinas, BR-13083970 Campinas, SP, Brazil; [Nilus, Reuben; Ong, Robert] Forest Res Ctr, Sabah Forestry Dept, Mile 14 Jl, Sandakan 90000, Malaysia; [Pendry, Colin A.; Poulsen, Axel Dalberg] Royal Bot Garden Edinburgh, Edinburgh EH3 5LR, Midlothian, Scotland; [Primack, Richard B.] Boston Univ, Biol Dept, 5 Cummington Mall, Boston, MA 02215 USA; [Rutishauser, Ervan] Smithsonian Trop Res Inst, Balboa 03092, Ancon, Panama; [Rutishauser, Ervan] Carboforexpert, CH-1248 Hermance, Switzerland; [Saragih, Bernaulus] Mulawarman Univ, Fac Forestry, Samarinda 75123, Indonesia; [Sist, Plinio] CIRAD Univ, Forests &amp; Soc Res Unit, Campus Int Baillarguet,TA C-105-D, F-34398 Montpellier 5, France; [Svatek, Martin] Mendel Univ Brno, Fac Forestry &amp; Wood Technol, Dept Forest Bot Dendrol &amp; Geobiocoenol, Zemedelska 3, Brno 61300, Czech Republic; [Tan, Sylvester] CTFS ForestGEO Program, Miri 98000, Sarawak, Malaysia; [Tjoa, Aiyen] Tadulako Univ, Agr Fac, Jln Soekarno Hatta Km 09, Tondo 94118, Indonesia; [van Nieuwstadt, Mark] Univ Utrecht, Dompl 29, NL-3512 JE Utrecht, Netherlands; [Vernimmen, Ronald R. E.] Deltares, Boussinesqweg 1, NL-2629 HV Delft, Netherlands; [Yassir, Ishak] Minist Environm &amp; Forestry, Res Dev &amp; Innovat Agcy, Balitek KSDA, Jl Soekarno Hatta KM 38,RT 09, Samboja, Indonesia; [Susan Kidd, Petra] CSIC, IIAG, Santiago De Compostela 15705, Spain; [Fitriadi, Muhammad] Sungai Wain Protected Forest Management Unit, KM 23,Kel Karang Joang, Balikpapan 76101, Indonesia</t>
  </si>
  <si>
    <t>University of Leeds; Imperial College London; University of London; University College London; CGIAR; Center for International Forestry Research (CIFOR); James Cook University; Harvard University; Royal Museum for Central Africa; University Brunei Darussalam; Kagoshima University; UK Centre for Ecology &amp; Hydrology (UKCEH); Manchester Metropolitan University; University of Aberdeen; Palacky University Olomouc; Smithsonian Institution; Smithsonian Tropical Research Institute; Nanyang Technological University; University of Amsterdam; University of Leeds; Czech Academy of Sciences; Institute of Botany of the Czech Academy of Sciences; Palacky University Olomouc; Malaysian Palm Oil Board; Kyoto University; Ministry of Environment &amp; Forestry; Czech University of Life Sciences Prague; University of Oxford; Universiti Malaysia Sabah; Universiti Kebangsaan Malaysia; National Research &amp; Innovation Agency of Indonesia (BRIN); Universidade Estadual de Campinas; Pusat Penyelidikan Hutan; Boston University; Smithsonian Institution; Smithsonian Tropical Research Institute; Universitas Mulawarman; CIRAD; Mendel University in Brno; Universitas Tadulako; Utrecht University; Deltares; Ministry of Environment &amp; Forestry; Consejo Superior de Investigaciones Cientificas (CSIC); CSIC - Instituto de Investigaciones Agrobiologicas de Galicia (IIAG)</t>
  </si>
  <si>
    <t>Qie, L (corresponding author), Univ Leeds, Sch Geog, Leeds LS2 9JT, W Yorkshire, England.;Qie, L (corresponding author), Imperial Coll London, Dept Life Sci, Silwood Pk Campus, Ascot SL5 7PY, Berks, England.</t>
  </si>
  <si>
    <t>qie.lan@gmail.com</t>
  </si>
  <si>
    <t>Tjoa, A/AAL-5676-2020; Maycock, Colin/H-3556-2013; Sukri, Rahayu/AAJ-9640-2020; Lewis, Simon/I-9025-2012; Nagy, Laszlo/A-7689-2014; Metali, Faizah/F-5463-2014; Krisnawati, Haruni/R-5025-2019; Malhi, Yadvinder/I-4668-2012; Aiba, Shin-ichiro/A-3011-2010; Phillips, Oliver/A-1523-2011; Sunderland, Terence/AAE-7851-2019; Svátek, Martin/C-1890-2014; Hédl, Radim/A-5631-2011; Qie, Lan/B-8581-2011; Burslem, David/F-1204-2019; Sunderland, Terence/AAS-5080-2021; Rutishauser, Ervan/A-9076-2011; Kho, Lip/AAI-6639-2020; hubau, wannes/AAA-8502-2019; Dančák, Martin/AAB-9537-2019</t>
  </si>
  <si>
    <t>Kidd, Petra/0000-0002-1721-7367; Maycock, Colin/0000-0002-4368-2545; Lewis, Simon/0000-0002-8066-6851; Phillips, Oliver/0000-0002-8993-6168; Peny, Colin Alistair/0000-0002-7619-824X; Dančák, Martin/0000-0002-3851-4969; Vernimmen, Ronald/0000-0002-9899-3826; Lopez-Gonzalez, Gabriela/0000-0002-0814-8830; Svátek, Martin/0000-0003-2328-4627; Krisnawati, Haruni/0000-0002-2366-6230; Nagy, Laszlo/0009-0008-7792-1082; Tjoa, Aiyen/0000-0003-0583-9174; Burslem, David/0000-0001-6033-0990; Sunderland, Terence/0000-0002-1985-9849; Malhi, Yadvinder/0000-0002-3503-4783; Sukri, Rahayu Sukmaria/0000-0002-2662-399X; Sullivan, Martin/0000-0002-5955-0483; Metali, Faizah/0000-0002-2508-1535; Aiba, Shin-ichiro/0000-0002-3844-0138</t>
  </si>
  <si>
    <t>ERC; Indonesian Institute of Sciences (LIPI) (BUL plots); STREK project; CIRAD, The Ministry of Forestry of Indonesia; INHUTANI I (STR plots); ERC (T- FORCES); NERC [NER/A/S/2000/00532, NE/B503384/1, NE/N012542/1, NE/P00363X/1]; T- FORCES; CIFOR; Royal Society University Research Fellowship; Royal Society; NERC; RGS-IBG Henrietta Hutton grant; University of Brunei Darussalam; Czech Academy of Sciences [RVO 67985939]; Primate Conservation Inc.; Ministry of Education, Youth and Sports grant of the Czech Republic [INGO II LG15051]; Netherlands Foundation for the Advancement of Tropical Research (WOTRO) [W76-217]; Natural Environment Research Council [NE/N012542/1, NE/B503384/1, ceh020011, NE/M004848/1, NE/P004806/1, NE/P00363X/1] Funding Source: researchfish; NERC [NE/P00363X/1, ceh020011, NE/M004848/1, NE/P004806/1, NE/N012542/1] Funding Source: UKRI</t>
  </si>
  <si>
    <t>ERC(European Research Council (ERC)); Indonesian Institute of Sciences (LIPI) (BUL plots)(Ministry of Research and Technology of the Republic of Indonesia (RISTEK)); STREK project; CIRAD, The Ministry of Forestry of Indonesia; INHUTANI I (STR plots); ERC (T- FORCES)(European Research Council (ERC)); NERC(UK Research &amp; Innovation (UKRI)Natural Environment Research Council (NERC)); T- FORCES; CIFOR(CGIAR); Royal Society University Research Fellowship(Royal Society UK); Royal Society(Royal Society UK); NERC(UK Research &amp; Innovation (UKRI)Natural Environment Research Council (NERC)); RGS-IBG Henrietta Hutton grant; University of Brunei Darussalam; Czech Academy of Sciences(Czech Academy of Sciences); Primate Conservation Inc.; Ministry of Education, Youth and Sports grant of the Czech Republic; Netherlands Foundation for the Advancement of Tropical Research (WOTRO); Natural Environment Research Council(UK Research &amp; Innovation (UKRI)Natural Environment Research Council (NERC)); NERC(UK Research &amp; Innovation (UKRI)Natural Environment Research Council (NERC))</t>
  </si>
  <si>
    <t>This paper is a product of the T-FORCES forest monitoring network (Tropical Forests in the Changing Earth System), supported by an ERC Advanced Grant to O.L.P. and by many institutions, NGOs, government agencies and local communities in Malaysia, Brunei, and Indonesia. We are grateful for historical plot data contributed by the Center for Tropical Forest Science (CTFS; two LAM plots and one BEL plot), the Global Ecosystem Monitoring network (GEM; two LAM plots), Institute for Biodiversity and Environmental Research, Universiti Brunei Darussalam (Brunei plots), Kagoshima University (KIS and KIU plots), Forest Department Sarawak (BKO, LAM, MER and GMU plots), Forest Research Centre, Sabah Forestry Department (SEP plots), the Tropenbos Kalimantan project (ITCI plots), Project Barito Ulu, supported by Indonesian Institute of Sciences (LIPI) (BUL plots), and the STREK project, supported by CIRAD, The Ministry of Forestry of Indonesia, and INHUTANI I (STR plots). We are indebted to a great many individuals who contributed to historical data collection. Contemporary fieldwork was supported by a grant from the ERC (T- FORCES) and from NERC (grants NER/A/S/2000/00532, NE/B503384/1, NE/N012542/1). L.Q. was supported by T- FORCES, CIFOR and NERC NE/P00363X/1. S.L.L. was supported by a Royal Society University Research Fellowship, T- FORCES and a Phillip Leverhulme Prize. O.L.P. is supported by T- FORCES and a Royal Society Wolfson Research Merit Award. M.J.P.S. is supported by T- FORCES and NERC NE/N012542/1. L.F.B. was supported by a NERC studentship to the University of Leeds and a RGS-IBG Henrietta Hutton grant. R.H. was supported by a University of Brunei Darussalam Research Fellowship (2011) and a long-term research project RVO 67985939 from the Czech Academy of Sciences. S.L. received additional support from Primate Conservation Inc. M.S. was supported by a Ministry of Education, Youth and Sports grant of the Czech Republic INGO II LG15051. R.R.E.V. was supported by the Netherlands Foundation for the Advancement of Tropical Research (WOTRO, grant No. W76-217). We thank Forest Department Sarawak, Sabah Biodiversity Centre, Sabah Forestry Department, Forest Department Brunei, Institute for Biodiversity and Environmental Research, University of Brunei Darussalam and Indonesia Ministry of Research, Technology, and Higher Education for research permissions. We thank Bako National Park, Lambir Hills National Park, Gunung Mulu National Park, Kuala Belalong Field Study Centre (KBFSC), Glen Reynolds (SEARRP), Danum Valley Conservation Area, Rainforest Discovery Centre Sepilok, Sepilok Laut Reception Centre, Borneo Orangutan Survival Foundation (BOSF), Sungai Wain Protection Forest Management Unit, WWF East Kalimantan and PT. ITCIKU East Kalimantan for logistical support for fieldwork. We thank Timothy Baker, Roel Brienen, Emanuel Gloor, Adriane Esquivel Muelbert and Nicolas Labriere for comments on the manuscript. We thank our deceased colleagues, John Proctor and Suriantata, for their invaluable contributions to both historical work and our wider understanding of tropical forest ecology.</t>
  </si>
  <si>
    <t>2041-1723</t>
  </si>
  <si>
    <t>NAT COMMUN</t>
  </si>
  <si>
    <t>Nat. Commun.</t>
  </si>
  <si>
    <t>DEC 19</t>
  </si>
  <si>
    <t>FQ4NK</t>
  </si>
  <si>
    <t>Green Accepted, Green Submitted, gold</t>
  </si>
  <si>
    <t>WOS:000418334200001</t>
  </si>
  <si>
    <t>Zisenis, M</t>
  </si>
  <si>
    <t>Ecosystem approach; EU Biodiversity Strategy; EU land use policy; Landscape connectivity; Participation; Protected areas</t>
  </si>
  <si>
    <t>PROTECTED AREAS; CLIMATE-CHANGE; CONSERVATION; BIRDS; MANAGEMENT; BEETLES; SEA</t>
  </si>
  <si>
    <t>[Zisenis, Marcus] Eisenacher Str 54, D-10823 Berlin, Germany</t>
  </si>
  <si>
    <t>Zisenis, M (corresponding author), Eisenacher Str 54, D-10823 Berlin, Germany.</t>
  </si>
  <si>
    <t>marcus.zisenis@alumni.tu-berlin.de</t>
  </si>
  <si>
    <t>0264-8377</t>
  </si>
  <si>
    <t>1873-5754</t>
  </si>
  <si>
    <t>Land Use Pol.</t>
  </si>
  <si>
    <t>DEC</t>
  </si>
  <si>
    <t>FM3CF</t>
  </si>
  <si>
    <t>WOS:000414881200040</t>
  </si>
  <si>
    <t>Lichtenberg, EM; Kennedy, CM; Kremen, C; Batáry, P; Berendse, F; Bommarco, R; Bosque-Pérez, NA; Carvalheiro, LG; Snyder, WE; Williams, NM; Winfree, R; Klatt, BK; Åström, S; Benjamin, F; Brittain, C; Chaplin-Kramer, R; Clough, Y; Danforth, B; Diekötter, T; Eigenbrode, SD; Ekroos, J; Elle, E; Freitas, BM; Fukuda, Y; Gaines-Day, HR; Grab, H; Gratton, C; Holzschuh, A; Isaacs, R; Isaia, M; Jha, S; Jonason, D; Jones, VP; Klein, AM; Krauss, J; Letourneau, DK; Macfadyen, S; Mallinger, RE; Martin, EA; Martinez, E; Memmott, J; Morandin, L; Neame, L; Otieno, M; Park, MG; Pfiffner, L; Pocock, MJO; Ponce, C; Potts, SG; Poveda, K; Ramos, M; Rosenheim, JA; Rundlöf, M; Sardiñas, H; Saunders, ME; Schon, NL; Sciligo, AR; Sidhu, CS; Steffan-Dewenter, I; Tscharntke, T; Vesely, M; Weisser, WW; Wilson, JK; Crowder, DW</t>
  </si>
  <si>
    <t>agricultural management schemes; arthropod diversity; biodiversity; evenness; functional groups; landscape complexity; meta-analysis; organic farming; plant diversity</t>
  </si>
  <si>
    <t>ORGANIC AGRICULTURE; RESPONSE DIVERSITY; SPECIES RICHNESS; BIODIVERSITY; EVENNESS; INTENSIFICATION; CONSERVATION; METAANALYSIS; MANAGEMENT; PEST</t>
  </si>
  <si>
    <t>[Lichtenberg, Elinor M.; Snyder, William E.; Crowder, David W.] Washington State Univ, Dept Entomol, Pullman, WA 99164 USA; [Lichtenberg, Elinor M.] Univ Arizona, Dept Ecol &amp; Evolut Biol, Tucson, AZ 85721 USA; [Kennedy, Christina M.] Nature Conservancy, Global Lands Program, Ft Collins, CO USA; [Kremen, Claire; Sardinas, Hillary; Sciligo, Amber R.] Univ Calif Berkeley, Dept Environm Sci Policy &amp; Management, Berkeley, CA 94720 USA; [Batary, Peter; Klatt, Bjoern K.; Tscharntke, Teja] Univ Gottingen, Agroecol, Gottingen, Germany; [Berendse, Frank] Wageningen Univ, Nat Conservat &amp; Plant Ecol Grp, Wageningen, Netherlands; [Bommarco, Riccardo] Swedish Univ Agr Sci, Dept Ecol, Uppsala, Sweden; [Bosque-Perez, Nilsa A.; Eigenbrode, Sanford D.] Univ Idaho, Dept Entomol Plant Pathol &amp; Nematol, Moscow, ID 83843 USA; [Carvalheiro, Luisa G.] Univ Brasilia, Dept Ecol, Brasilia, DF, Brazil; [Carvalheiro, Luisa G.] Univ Lisbon, Ctr Ecol Evolut &amp; Environm Changes CE3C, Fac Ciencias, Lisbon, Portugal; [Williams, Neal M.; Brittain, Claire; Rosenheim, Jay A.] Univ Calif Davis, Dept Entomol &amp; Nematol, Davis, CA 95616 USA; [Winfree, Rachael; Benjamin, Faye] Rutgers State Univ, Dept Ecol Evolut &amp; Nat Resources, New Brunswick, NJ USA; [Klatt, Bjoern K.; Clough, Yann; Ekroos, Johan] Lund Univ, Ctr Environm &amp; Climate Res, Lund, Sweden; [Klatt, Bjoern K.; Rundlof, Maj] Lund Univ, Dept Biol, Lund, Sweden; [Astrom, Sandra] Norwegian Inst Nat Res NINA, Trondheim, Norway; [Chaplin-Kramer, Rebecca] Stanford Univ, Nat Capital Project, Stanford, CA 94305 USA; [Danforth, Bryan; Grab, Heather; Park, Mia G.; Poveda, Katja] Cornell Univ, Dept Entomol, Ithaca, NY 14853 USA; [Diekoetter, Tim] Univ Kiel, Dept Landscape Ecol, Kiel, Germany; [Elle, Elizabeth] Simon Fraser Univ, Dept Biol Sci, Burnaby, BC, Canada; [Freitas, Breno M.] Univ Fed Ceara, Dept Zootecnia, Fortaleza, CE, Brazil; [Fukuda, Yuki] Univ Otago, Ctr Study Agr Food &amp; Environm, Dunedin, New Zealand; [Gaines-Day, Hannah R.; Gratton, Claudio; Mallinger, Rachel E.] Univ Wisconsin, Dept Entomol, Madison, WI 53706 USA; [Holzschuh, Andrea; Krauss, Jochen; Martin, Emily A.; Steffan-Dewenter, Ingolf] Univ Wurzburg, Dept Anim Ecol &amp; Trop Biol, Biocenter, Wurzburg, Germany; [Isaacs, Rufus; Wilson, Julianna K.] Michigan State Univ, Dept Entomol, E Lansing, MI 48824 USA; [Isaia, Marco] Univ Torino, Dept Life Sci &amp; Syst Biol, Turin, Italy; [Jha, Shalene] Univ Texas Austin, Dept Integrat Biol, Austin, TX 78712 USA; [Jonason, Dennis] Stockholm Univ, Dept Phys Geog, Stockholm, Sweden; [Jones, Vincent P.] Washington State Univ, Ctr Tree Fruit Res &amp; Extens, Dept Entomol, Wenatchee, WA 98801 USA; [Klein, Alexandra-Maria] Univ Freiburg, Fac Environm &amp; Nat Resources, Nat Conservat &amp; Landscape Ecol, Freiburg, Germany; [Letourneau, Deborah K.] Univ Calif Santa Cruz, Dept Environm Studies, Santa Cruz, CA 95064 USA; [Macfadyen, Sarina] CSIRO, Acton, ACT, Australia; [Martinez, Eliana] Ctr Invest Obonuco, CORPOICA, Pasto, Colombia; [Memmott, Jane] Univ Bristol, Sch Biol Sci, Bristol, Avon, England; [Morandin, Lora] Pollinator Partnership Canada, Victoria, BC, Canada; [Neame, Lisa] Alberta Environm &amp; Parks, Reg Planning Branch, Edmonton, AB, Canada; [Otieno, Mark] Embu Univ Coll, Dept Agr Resource Management, Embu, Kenya; [Park, Mia G.] Univ North Dakota, Dept Humanities &amp; Integrated Studies, Grand Forks, ND 58201 USA; [Pfiffner, Lukas] Res Inst Organ Agr, Dept Crop Sci, Frick, Switzerland; [Pocock, Michael J. O.] NERC Ctr Ecol &amp; Hydrol, Wallingford, Oxon, England; [Ponce, Carlos] Museo Nacl Ciencias Nat, CSIC, Dept Evolutionary Ecol, Madrid, Spain; [Potts, Simon G.] Univ Reading, Sch Agr Policy &amp; Dev, Ctr Agrienvironm Res, Reading, Berks, England; [Ramos, Mariangie] Univ Puerto Rico, Dept Agr Technol, Utuado, PR USA; [Saunders, Manu E.] Charles Sturt Univ, Inst Land Water &amp; Soc, Albury, NSW, Australia; [Schon, Nicole L.] AgResearch, Lincoln Res Ctr, Christchurch, New Zealand; [Sidhu, C. Sheena] Univ Calif Cooperat Extens, Half Moon Bay, CA USA; [Vesely, Milan] Palacky Univ, Fac Sci, Dept Zool, Olomouc, Czech Republic; [Weisser, Wolfgang W.] Tech Univ Munich, Sch Life Sci Weihenstephan, Dept Ecol &amp; Ecosyst Management, Terrestrial Ecol Res Grp, Freising Weihenstephan, Germany</t>
  </si>
  <si>
    <t>Washington State University; University of Arizona; Nature Conservancy; University of California System; University of California Berkeley; University of Gottingen; Wageningen University &amp; Research; Swedish University of Agricultural Sciences; University of Idaho; Universidade de Brasilia; Universidade de Lisboa; University of California System; University of California Davis; Rutgers University System; Rutgers University New Brunswick; Lund University; Lund University; Norwegian Institute Nature Research; Stanford University; Cornell University; University of Kiel; Simon Fraser University; Universidade Federal do Ceara; University of Otago; University of Wisconsin System; University of Wisconsin Madison; University of Wurzburg; Michigan State University; University of Turin; University of Texas System; University of Texas Austin; Stockholm University; Washington State University; University of Freiburg; University of California System; University of California Santa Cruz; Commonwealth Scientific &amp; Industrial Research Organisation (CSIRO); Corporacion Colombiana de Investigacion Agropecuaria, AGROSAVIA; University of Bristol; University of North Dakota Grand Forks; UK Centre for Ecology &amp; Hydrology (UKCEH); Consejo Superior de Investigaciones Cientificas (CSIC); CSIC - Museo Nacional de Ciencias Naturales (MNCN); University of Reading; University of Puerto Rico; University of Puerto Rico at Utuado; Charles Sturt University; AgResearch - New Zealand; University of California System; Palacky University Olomouc; Technical University of Munich</t>
  </si>
  <si>
    <t>Lichtenberg, EM (corresponding author), Univ Texas Austin, Dept Integrat Biol, Austin, TX 78712 USA.</t>
  </si>
  <si>
    <t>elichten@utexas.edu</t>
  </si>
  <si>
    <t>; Isaacs, Rufus/AAF-4646-2019; Lichtenberg, Elinor/I-4126-2012; Freitas, Breno M/F-9509-2012; Schon, Nicole/E-5828-2011; Saunders, Manu/H-4246-2019; Klein, Alexandra/J-5871-2016; Martin, Emily/AAZ-3865-2021; Pocock, Michael/A-5632-2012; Holzschuh, Andrea/X-8989-2018; Klein, Alexana-Maria/J-5871-2016; Batary, Peter/A-2349-2008; Carvalheiro, Luisa/D-9414-2012; Kremen, Claire/AFP-5986-2022; Tscharntke, Teja/N-5123-2014; , Claudio/KRP-6122-2024; Macfadyen, Sarina/C-1511-2008; Letourneau, Deborah/G-3694-2011; Potts, Simon/C-7250-2008; Steffan-Dewenter, Ingolf/AFJ-8134-2022; ISAIA, Marco/I-1629-2015; Diekötter, Tim/L-2463-2016; Rosenheim, Jay/KGL-7578-2024; Krauss, Jochen/C-6216-2014; Bommarco, Riccardo/E-7109-2016; Isaia, Marco/I-1629-2015; Vesely, Milan/MNH-4492-2025; Freitas, Breno/F-9509-2012; Otieno, Mark/ADR-3648-2022; Weisser, Wolfgang/B-9718-2014; Rundlöf, Maj/C-1789-2014; Clough, Yann/B-9739-2014; Neame, Lisa/AAJ-9395-2021; Williams, Neal/AGF-7865-2022</t>
  </si>
  <si>
    <t>Holzschuh, Anea/0000-0002-5235-4746; Lichtenberg, Elinor/0000-0002-2729-4534; Carvalheiro, Luisa/0000-0001-7655-979X; Snyder, William/0000-0002-2747-3102; Freitas, Breno M/0000-0002-9932-2207; Gratton, Claudio/0000-0001-6262-9670; Brittain, Claire/0000-0003-1104-2946; Chaplin-Kramer, Rebecca/0000-0002-1539-5231; Klatt, Björn Kristian/0000-0001-8241-6445; Danforth, Bryan/0000-0002-6495-428X; Otieno, Mark/0000-0002-8509-3298; Berendse, Frank/0009-0005-0623-1517; Pocock, Michael/0000-0003-4375-0445; Eigenbrode, Sanford/0000-0003-0054-8511; Memmott, Jane/0000-0002-2113-2577; Klein, Alexana-Maria/0000-0003-2139-8575; Batary, Peter/0000-0002-1017-6996; Veselý, Milan/0000-0001-6315-8583; Schon, Nicole/0000-0002-8975-1382; Tscharntke, Teja/0000-0002-4482-3178; Crowder, David/0000-0002-3720-1581; Martínez Pachón, Eliana/0000-0002-5144-132X; Wilson, Julianna K/0000-0003-0807-5421; Potts, Simon/0000-0002-2045-980X; Diekötter, Tim/0000-0003-4838-793X; Steffan-Dewenter, Ingolf/0000-0003-1359-3944; ISAIA, Marco/0000-0001-5434-2127; Krauss, Jochen/0000-0003-2304-9117; Bommarco, Riccardo/0000-0001-8888-0476; Saunders, Manu/0000-0003-0645-8277; Martin, Emily/0000-0001-5785-9105; Weisser, Wolfgang/0000-0002-2757-8959; Kennedy, Christina/0000-0001-8902-8728; Rundlöf, Maj/0000-0003-3014-1544;</t>
  </si>
  <si>
    <t>National Institute of Food and Agriculture, U.S. Department of Agriculture [2014-51106-22096]; National Council for Scientific and Technological Development-CNPq [305062/2007-7]; Felix Trust; STEP [EC FP7 244090]</t>
  </si>
  <si>
    <t>National Institute of Food and Agriculture, U.S. Department of Agriculture(United States Department of Agriculture (USDA)); National Council for Scientific and Technological Development-CNPq(Conselho Nacional de Desenvolvimento Cientifico e Tecnologico (CNPQ)); Felix Trust; STEP</t>
  </si>
  <si>
    <t>National Institute of Food and Agriculture, U.S. Department of Agriculture, Grant/Award Number: 2014-51106-22096; National Council for Scientific and Technological Development-CNPq, Grant/Award Number: 305062/2007-7; Felix Trust; STEP Project, Grant/Award Number: EC FP7 244090</t>
  </si>
  <si>
    <t>1354-1013</t>
  </si>
  <si>
    <t>1365-2486</t>
  </si>
  <si>
    <t>GLOBAL CHANGE BIOL</t>
  </si>
  <si>
    <t>Glob. Change Biol.</t>
  </si>
  <si>
    <t>NOV</t>
  </si>
  <si>
    <t>FI9JI</t>
  </si>
  <si>
    <t>WOS:000412322700041</t>
  </si>
  <si>
    <t>Mackey, B; Cadman, S; Rogers, N; Hugh, S</t>
  </si>
  <si>
    <t>Protected areas; Temperate rainforest; Primary forest; Conservation status; World heritage; Climate change; Mining; Commercial logging; Governance; Land tenure; Intact forest blocks</t>
  </si>
  <si>
    <t>AMAZON DEFORESTATION; LANDSCAPE ECOLOGY; PROTECTED AREAS; FIRE; SEVERITY; WILDERNESS; MANAGEMENT; VEGETATION; FEEDBACKS; AUSTRALIA</t>
  </si>
  <si>
    <t>[Mackey, Brendan; Hugh, Sonia] Griffith Univ, Griffith Climate Change Response Programme, Gold Coast Campus,Parklands Dr, Southport, Qld 4222, Australia; [Cadman, Sean] Cadman &amp; Norwood, Environm Consultancy, Canberra, ACT, Australia; [Rogers, Nicole] Southern Cross Univ, Sch Law &amp; Justice, Lismore, NSW, Australia</t>
  </si>
  <si>
    <t>Griffith University; Southern Cross University</t>
  </si>
  <si>
    <t>Mackey, B (corresponding author), Griffith Univ, Griffith Climate Change Response Programme, Gold Coast Campus,Parklands Dr, Southport, Qld 4222, Australia.</t>
  </si>
  <si>
    <t>b.mackey@griffith.edu.au</t>
  </si>
  <si>
    <t>; Mackey, Brendan/ABE-3805-2020</t>
  </si>
  <si>
    <t>Mackey, Brendan/0000-0003-1996-4064; Rogers, Nicole/0000-0002-9878-6077;</t>
  </si>
  <si>
    <t>0006-3207</t>
  </si>
  <si>
    <t>1873-2917</t>
  </si>
  <si>
    <t>BIOL CONSERV</t>
  </si>
  <si>
    <t>Biol. Conserv.</t>
  </si>
  <si>
    <t>FM3CX</t>
  </si>
  <si>
    <t>Green Submitted, hybrid</t>
  </si>
  <si>
    <t>WOS:000414883000003</t>
  </si>
  <si>
    <t>Scarpitta, AB; Bardat, J; Lalanne, A; Vellend, M</t>
  </si>
  <si>
    <t>Bryophytes; Community ecology; Global changes; Legacy data; Long-term study; Multivariate analysis; Nitrogen deposition; Plant ecology; Temperate forest; Temporal changes; Vascular plants; Warming</t>
  </si>
  <si>
    <t>FOREST MANAGEMENT; INDICATOR VALUES; VEGETATION; DIVERSITY; BIODIVERSITY; ECOSYSTEM; ECOLOGY; ACIDIFICATION; GRADIENTS; RICHNESS</t>
  </si>
  <si>
    <t>Aims: Many studies of vegetation change over multiple decades have focused on vascular plants, but very few on bryophytes, despite the importance of bryophytes for overall plant biodiversity and ecosystem functioning. Using a repeated survey of vascular plants and bryophytes in a forest ecosystem, we tested predictions of the hypotheses that: (1) vegetation change has been driven by N deposition and climate warming, and (2) bryophytes are more responsive to environmental change than vascular plants. Location: Lowland temperate forest, northwest France. Methods: In forest plots initially surveyed in 1976, we re-surveyed both vascular plants and bryophytes in 2009 and 2012, respectively. We analysed changes in a-diversity, beta-diversity, and species composition, and we used community-weighted mean values of species affinities for temperature, light, pH, soil moisture and N to assess the temporal responses potentially caused by warming, N deposition, or possibly a changing light regime. Results: We observed significantly increased species richness of bryophytes and decreased richness of vascular plants. Community affinities to N, pH and temperature increased significantly for bryophytes, but not for vascular plants, although the change over time in N affinities for vascular plants was qualitatively in the predicted direction. Bryophytes showed a higher magnitude of temporal community change than vascular plants, both in terms of overall species composition and environmental affinities, indicating a higher responsiveness of bryophytes to environmental change. Conclusion: Overall, the result of more marked temporal community change for bryophytes suggests that the many studies of changes in vascular plant communities over time might underestimate the sensitivity of the broader plant community (including cryptogams) to environmental change.</t>
  </si>
  <si>
    <t>[Scarpitta, Antoine Becker; Vellend, Mark] Univ Sherbrooke, Fac Sci, Dept Biol, 2500 Blvd Univ, Sherbrooke, PQ J1K 2R1, Canada; [Bardat, Jacques] Museum Natl Hist Nat, OSEB UMR7205, CP 39,57 Rue Cuvier, F-75231 Paris 05, France; [Lalanne, Arnault] Univ Bretagne Occidentale, UFR Sci &amp; Tech, EA Geoarchitecture 2219, CS 93867, F-29238 Brest 3, France</t>
  </si>
  <si>
    <t>University of Sherbrooke; Museum National d'Histoire Naturelle (MNHN); Universite de Bretagne Occidentale</t>
  </si>
  <si>
    <t>Scarpitta, AB (corresponding author), Univ Sherbrooke, Fac Sci, Dept Biol, 2500 Blvd Univ, Sherbrooke, PQ J1K 2R1, Canada.</t>
  </si>
  <si>
    <t>antoine.becker.scarpitta@gmail.com; jacques.bardat@gmail.com; arnault.lalanne@developpement-durable.gouv.fr; mark.vellend@usherbrooke.ca</t>
  </si>
  <si>
    <t>; Vellend, Mark/ACZ-5811-2022; Becker-Scarpitta, Antoine/L-2610-2019</t>
  </si>
  <si>
    <t>Becker-Scarpitta, Antoine/0000-0001-9241-091X;</t>
  </si>
  <si>
    <t>Natural Sciences and Engineering Research Council of Canada</t>
  </si>
  <si>
    <t>Natural Sciences and Engineering Research Council of Canada(Natural Sciences and Engineering Research Council of Canada (NSERC)CGIAR)</t>
  </si>
  <si>
    <t>We thank the Office National des Forets for permission to conduct research in the Foret Domaniale de Brotonne, and Jean-Yves Massenet, Emmanuelle Porcher and the Museum National d'Histoire Naturelle de Paris for assistance during the early phases of this project. Three reviewers and the handling editor provided insightful comments and suggestions that greatly improved the paper. MV was supported by the Natural Sciences and Engineering Research Council of Canada. AL and ABS designed the study, JB and ABS collected data. ABS and MV led data analyses and writing of the manuscript, with input from all authors.</t>
  </si>
  <si>
    <t>1100-9233</t>
  </si>
  <si>
    <t>1654-1103</t>
  </si>
  <si>
    <t>J VEG SCI</t>
  </si>
  <si>
    <t>J. Veg. Sci.</t>
  </si>
  <si>
    <t>Plant Sciences; Ecology; Forestry</t>
  </si>
  <si>
    <t>Plant Sciences; Environmental Sciences &amp; Ecology; Forestry</t>
  </si>
  <si>
    <t>FT5JI</t>
  </si>
  <si>
    <t>WOS:000423189400012</t>
  </si>
  <si>
    <t>Cleary, DFR</t>
  </si>
  <si>
    <t>Indonesia; Java; Ordination; RLQ</t>
  </si>
  <si>
    <t>CLIMATE-CHANGE; PHASE-SHIFTS; BEACH LITTER; INDONESIA; COMPLEX; RESILIENCE; ARCHIPELAGO; DISTURBANCE; HERBIVORY; VARIABLES</t>
  </si>
  <si>
    <t>[Cleary, Daniel F. R.] Univ Aveiro, Dept Biol, CESAM, Campus Univ Santiago, P-3810193 Aveiro, Portugal</t>
  </si>
  <si>
    <t>Universidade de Aveiro</t>
  </si>
  <si>
    <t>Cleary, DFR (corresponding author), Univ Aveiro, Dept Biol, CESAM, Campus Univ Santiago, P-3810193 Aveiro, Portugal.</t>
  </si>
  <si>
    <t>cleary@ua.pt</t>
  </si>
  <si>
    <t>Cleary, Daniel/D-2582-2012; Cleary, Daniel/HLH-8491-2023</t>
  </si>
  <si>
    <t>Cleary, Daniel/0000-0002-6143-3390;</t>
  </si>
  <si>
    <t>Council for Earth and Life Sciences of Netherlands Organisation for Scientific Research (ALW-NWO) [852.000.50]</t>
  </si>
  <si>
    <t>Council for Earth and Life Sciences of Netherlands Organisation for Scientific Research (ALW-NWO)</t>
  </si>
  <si>
    <t>This publication is a result of the Thousand Islands Expedition, September 2005, organized by the Research Centre for Oceanography (PPO-LIPI, Jakarta, Indonesia) and Naturalis Biodiversity Center (Leiden, the Netherlands). The research by Naturalis was part of the project 'Climate change and Indonesian coral reef biotas' within the theme Biodiversity in Relation to Global Change' of the Council for Earth and Life Sciences of the Netherlands Organisation for Scientific Research (ALW-NWO grant 852.000.50). Thanks to LIPI Indonesia for granting research permits and the staff of PPO-LIPI for logistical support.</t>
  </si>
  <si>
    <t>SEP 15</t>
  </si>
  <si>
    <t>1-2</t>
  </si>
  <si>
    <t>FE2WC</t>
  </si>
  <si>
    <t>WOS:000408076900039</t>
  </si>
  <si>
    <t>Rosselli, L; Stiles, FG; Camargo, PA</t>
  </si>
  <si>
    <t>elevational shift; global warming; species abundance; tropical mountains; vegetation change</t>
  </si>
  <si>
    <t>CLIMATE-CHANGE; EXTINCTIONS; IMPACTS; SHIFTS</t>
  </si>
  <si>
    <t>[Rosselli, Loreta; Camargo, Pedro A.] Univ Ciencias Aplicadas &amp; Ambientales UDCA, Calle 222 55-37, Bogota, Colombia; [Gary Stiles, F.; Camargo, Pedro A.] Univ Nacl Colombia, Inst &amp; Ciencias Nat, Carrera 45 26-85, Bogota, Colombia</t>
  </si>
  <si>
    <t>Universidad Nacional de Colombia</t>
  </si>
  <si>
    <t>Rosselli, L (corresponding author), Univ Ciencias Aplicadas &amp; Ambientales UDCA, Calle 222 55-37, Bogota, Colombia.</t>
  </si>
  <si>
    <t>lrosselli@udca.edu.co</t>
  </si>
  <si>
    <t>Universidad de Ciencias Aplicadas y Ambientales U.D.C.A.; Universidad Nacional de Colombia; Patrimonio Autonomo Fondo Nacional de Financiamiento para la Ciencia, la Tecnologia y la Innovacion, Francisco Jose de Caldas</t>
  </si>
  <si>
    <t>We are grateful to the Sistema de Parques Nacionales Naturales de Colombia for help with logistics, and field work, and for granting permits for the present study through Autorizacion de Recoleccion en Parques Nacionales Naturales No. 001 del 20 de octubre de 2014. The Empresa de Acueducto de Bogota helped with logistics in 1991-1992 and offered lodging in one of the field trips of the present study. For companionship and valuable help in the field, we thank F. Avellaneda, J. Candil, L. G. Linares, N. Moreno, R. Pulido, L. Tellez, and the students of the Universidad de Ciencias Aplicadas y Ambientales. C. Garzon-Sanabria helped with data organization. We thank G. Castaneda for his enthusiastic support in transportation in the field. A. Romero conducted the multitemporal land cover analysis and prepared Fig. 1 and Figs. S1 and S4; D. Stiles prepared Fig. 4. This project was funded by Universidad de Ciencias Aplicadas y Ambientales U.D.C.A., Universidad Nacional de Colombia, and resources from Patrimonio Autonomo Fondo Nacional de Financiamiento para la Ciencia, la Tecnologia y la Innovacion, Francisco Jose de Caldas. The manuscript benefitted from comments by G. Ritchison, G. Kattan, and two anonymous reviewers.</t>
  </si>
  <si>
    <t>0273-8570</t>
  </si>
  <si>
    <t>1557-9263</t>
  </si>
  <si>
    <t>J FIELD ORNITHOL</t>
  </si>
  <si>
    <t>J. Field Ornithol.</t>
  </si>
  <si>
    <t>FH7DO</t>
  </si>
  <si>
    <t>WOS:000411343300001</t>
  </si>
  <si>
    <t>Brown, CJ; Jupiter, SD; Lin, HY; Albert, S; Klein, C; Maina, JM; Tulloch, VJD; Wenger, AS; Mumby, PJ</t>
  </si>
  <si>
    <t>Coral reef fisheries; Integrated coastal management; Land-use change; Fiji; Trophic-cascade</t>
  </si>
  <si>
    <t>GREAT-BARRIER-REEF; WATER-QUALITY; STRUCTURAL COMPLEXITY; REGRESSION-ANALYSIS; TROPHIC CASCADES; MARINE RESERVES; ALGAL TURFS; COMMUNITIES; ASSEMBLAGES; FISHERIES</t>
  </si>
  <si>
    <t>[Brown, Christopher J.] Griffith Univ, Australian Rivers Inst, Nathan, Qld 4111, Australia; [Jupiter, Stacy D.] Wildlife Conservat Soc, Melanesia Program, 11 Maafu St, Suva, Fiji; [Lin, Hsien-Yung; Maina, Joseph M.; Tulloch, Vivitskaia J. D.] Univ Queensland, Sch Biol Sci, Ctr Biodivers &amp; Conservat Sci, St Lucia, Qld 4072, Australia; [Albert, Simon] Univ Queensland, Sch Civil Engn, St Lucia, Qld 4072, Australia; [Klein, Carissa; Wenger, Amelia S.] Univ Queensland, Sch Earth &amp; Environm Sci, St Lucia, Qld 4072, Australia; [Maina, Joseph M.] Macquarie Univ, Dept Environm Sci, Sydney, NSW 2109, Australia; [Mumby, Peter J.] Univ Queensland, Marine Spatial Ecol Lab, Sch Biol Sci, Goddard Bldg, St Lucia, Qld 4072, Australia</t>
  </si>
  <si>
    <t>Griffith University; University of Queensland; University of Queensland; University of Queensland; Macquarie University; University of Queensland</t>
  </si>
  <si>
    <t>Brown, CJ (corresponding author), Griffith Univ, Australian Rivers Inst, Nathan, Qld 4111, Australia.</t>
  </si>
  <si>
    <t>chris.brown@griffith.edu.au</t>
  </si>
  <si>
    <t>Klein, Carissa/F-1632-2011; Tullochh, Vivitskaia/G-1336-2013; Mumby, Peter/F-9914-2010; Mumby, Peter/LIH-2812-2024; Tulloch, Vivitskaia/G-1336-2013; Wenger, Amelia/S-9135-2019; Brown, Christopher/G-4287-2011; Maina, Joseph/KFR-6167-2024; klein, carissa/F-1632-2011; Lin, Hsien-Yung/H-2303-2013; Albert, Simon/I-1104-2012</t>
  </si>
  <si>
    <t>Albert, Simon/0000-0002-5947-7909; Wenger, Amelia/0000-0002-0433-6164; Jupiter, Stacy/0000-0001-9742-1677; Mumby, Peter/0000-0002-6297-9053; Tulloch, Vivitskaia/0000-0002-7673-3716; Maina, Joseph/0000-0003-1268-6137; Brown, Christopher/0000-0002-7271-4091; klein, carissa/0000-0002-6299-6451;</t>
  </si>
  <si>
    <t>Discovery Early Career Researcher Award from the Australian Research Council [DE160101207]; Science for Nature and People Partnership (SNAPP)</t>
  </si>
  <si>
    <t>Discovery Early Career Researcher Award from the Australian Research Council(Australian Research Council); Science for Nature and People Partnership (SNAPP)</t>
  </si>
  <si>
    <t>Funding for workshops to develop this paper was provided by the Science for Nature and People Partnership (SNAPP) to the Ridges to Reef Fisheries Working Group. SNAPP is a collaboration of The Nature Conservancy, the Wildlife Conservation Society and the National Center for Ecological Analysis and Synthesis (NCEAS). C.J.B. was supported in part by a Discovery Early Career Researcher Award (DE160101207) from the Australian Research Council.</t>
  </si>
  <si>
    <t>AUG 3</t>
  </si>
  <si>
    <t>FD3PC</t>
  </si>
  <si>
    <t>WOS:000407443900005</t>
  </si>
  <si>
    <t>Gregory, SD; Nevoux, M; Riley, WD; Beaumont, WRC; Jeannot, N; Lauridsen, RB; Marchand, F; Scott, LJ; Roussel, JM</t>
  </si>
  <si>
    <t>Atlantic salmon; body size; climate change; density dependence; geographical scale</t>
  </si>
  <si>
    <t>JUVENILE ATLANTIC SALMON; BAYESIAN MODEL SELECTION; BROWN TROUT; WATER TEMPERATURE; DENSITY-DEPENDENCE; CLIMATE-CHANGE; BODY-SIZE; SALAR; GROWTH; TRUTTA</t>
  </si>
  <si>
    <t>[Gregory, Stephen D.; Beaumont, William R. C.; Lauridsen, Rasmus B.; Scott, Luke J.] Game &amp; Wildlife Conservat Trust, Salmon &amp; Trout Res Ctr, FBA River Lab, Wareham, Dorset, England; [Gregory, Stephen D.; Nevoux, Marie; Roussel, Jean-Marc] Agrocampus Ouest, Ecol &amp; Ecosyst Hlth, INRA, ESE, Rennes, France; [Nevoux, Marie; Jeannot, Nicholas; Marchand, Frederic; Roussel, Jean-Marc] AFB, INRA, Pole Gest Aqua, Rennes, France; [Riley, William D.] Ctr Environm Fisheries &amp; Aquaculture Sci, Lowestoft, Suffolk, England; [Jeannot, Nicholas; Marchand, Frederic] INRA, Ecol &amp; Ecotoxicol Aquat U3E, Rennes, France</t>
  </si>
  <si>
    <t>INRAE; Institut Agro; Institut Agro Rennes-Angers; Universite de Rennes; Universite de Rennes; INRAE; Centre for Environment Fisheries &amp; Aquaculture Science; INRAE; Universite de Rennes</t>
  </si>
  <si>
    <t>Gregory, SD (corresponding author), Game &amp; Wildlife Conservat Trust, Salmon &amp; Trout Res Ctr, FBA River Lab, Wareham, Dorset, England.</t>
  </si>
  <si>
    <t>sgregory@gwct.org.uk</t>
  </si>
  <si>
    <t>; Gregory, Stephen/A-1471-2010; Roussel, Jean-Marc/HCH-2300-2022</t>
  </si>
  <si>
    <t>Frederic, MARCHAND/0000-0002-8380-579X; Roussel, Jean-Marc/0000-0002-6301-3234; Gregory, Stephen/0000-0002-8230-0191;</t>
  </si>
  <si>
    <t>European Union; U.K. Government's Department for Environment, Food and Rural Affairs (Defra) [SF0272]</t>
  </si>
  <si>
    <t>European Union(European Union (EU)); U.K. Government's Department for Environment, Food and Rural Affairs (Defra)(Department for Environment, Food &amp; Rural Affairs (DEFRA))</t>
  </si>
  <si>
    <t>European Union; U.K. Government's Department for Environment, Food and Rural Affairs (Defra), Grant/Award Number: SF0272</t>
  </si>
  <si>
    <t>0046-5070</t>
  </si>
  <si>
    <t>1365-2427</t>
  </si>
  <si>
    <t>FRESHWATER BIOL</t>
  </si>
  <si>
    <t>Freshw. Biol.</t>
  </si>
  <si>
    <t>EX1YA</t>
  </si>
  <si>
    <t>WOS:000403021500001</t>
  </si>
  <si>
    <t>Liu, PL; Hao, L; Pan, C; Zhou, DC; Liu, YQ; Sun, G</t>
  </si>
  <si>
    <t>Climate change; Human activity; Leaf area index; Vegetation dynamics; Heihe River Basin</t>
  </si>
  <si>
    <t>LEAF-AREA INDEX; HEIHE RIVER-BASIN; TREND ANALYSIS; BOREAL FOREST; MODIS LAI; PRODUCTIVITY; MODEL; DEGRADATION; VARIABILITY; RAINFALL</t>
  </si>
  <si>
    <t>[Liu, Peilong; Hao, Lu; Pan, Cen; Zhou, Decheng] Nanjing Univ Informat Sci &amp; Technol, Minist Educ KLME,Joint Int Res Lab Climate &amp; Envi, Collaborat Innovat Ctr Forecast &amp; Evaluat Meteoro, Jiangsu Key Lab Agr Meteorol,Key Lab Meteorol Dis, Nanjing 210044, Jiangsu, Peoples R China; [Liu, Yongqiang] US Forest Serv, Ctr Forest Disturbance Sci, Southern Res Stn, USDA, Athens, GA 30602 USA; [Sun, Ge] US Forest Serv, Eastern Forest Environm Threat Assessment Ctr, Southern Res Stn, USDA, Raleigh, NC 27606 USA</t>
  </si>
  <si>
    <t>Nanjing University of Information Science &amp; Technology; United States Department of Agriculture (USDA); United States Forest Service; United States Department of Agriculture (USDA); United States Forest Service</t>
  </si>
  <si>
    <t>Sun, G (corresponding author), US Forest Serv, Eastern Forest Environm Threat Assessment Ctr, Southern Res Stn, USDA, Raleigh, NC 27606 USA.</t>
  </si>
  <si>
    <t>gesun@fs.fed.us</t>
  </si>
  <si>
    <t>Zhou, Decheng/H-5583-2019; Liu, Yongqiang/J-2027-2012; Sun, Ge/ABF-6673-2020</t>
  </si>
  <si>
    <t>Zhou, Decheng/0000-0003-0947-0853; Sun, Ge/0000-0002-0159-1370;</t>
  </si>
  <si>
    <t>Natural Science Foundation of China [91425301, 41571026]; Southern Research Station, United States Department of Agriculture Forest Service</t>
  </si>
  <si>
    <t>Natural Science Foundation of China(National Natural Science Foundation of China (NSFC)); Southern Research Station, United States Department of Agriculture Forest Service</t>
  </si>
  <si>
    <t>This research was funded by the Natural Science Foundation of China (Grant No. 91425301 and 41571026). We appreciate the anonymous reviewers for their constructive comments and suggestions. We thank Beijing Normal University and the Cold and Arid Regions Science Data Center for sharing the climate and vegetation data. Partial support was also received from the Southern Research Station, United States Department of Agriculture Forest Service.</t>
  </si>
  <si>
    <t>ELSEVIER SCIENCE BV</t>
  </si>
  <si>
    <t>PO BOX 211, 1000 AE AMSTERDAM, NETHERLANDS</t>
  </si>
  <si>
    <t>0048-9697</t>
  </si>
  <si>
    <t>1879-1026</t>
  </si>
  <si>
    <t>SCI TOTAL ENVIRON</t>
  </si>
  <si>
    <t>Sci. Total Environ.</t>
  </si>
  <si>
    <t>JUL 1</t>
  </si>
  <si>
    <t>ES9AK</t>
  </si>
  <si>
    <t>WOS:000399848100008</t>
  </si>
  <si>
    <t>Guo, Q; Fu, BH; Shi, PL; Cudahy, T; Zhang, J; Xu, H</t>
  </si>
  <si>
    <t>semi-arid area; climate change; human activities; desertification; Ordos Plateau; remote sensing</t>
  </si>
  <si>
    <t>NET PRIMARY PRODUCTION; INDUCED LAND DEGRADATION; HUMAN APPROPRIATION; NORTH CHINA; ECOLOGICAL RESTORATION; CALIBRATION; SCIENCE; RAINFALL; REGION; TREND</t>
  </si>
  <si>
    <t>[Guo, Qiang; Fu, Bihong; Shi, Pilong; Zhang, Jing; Xu, Huan] Chinese Acad Sci, Inst Remote Sensing &amp; Digital Earth, Beijing 100094, Peoples R China; [Guo, Qiang; Xu, Huan] Univ Chinese Acad Sci, Beijing 100049, Peoples R China; [Cudahy, Thomas] Australian Resources Res Ctr, CSIRO Mineral Resources, 26 Dick Perry Ave, Kensington, NSW 6151, Australia</t>
  </si>
  <si>
    <t>Chinese Academy of Sciences; The Institute of Remote Sensing &amp; Digital Earth, CAS; Chinese Academy of Sciences; University of Chinese Academy of Sciences, CAS; Commonwealth Scientific &amp; Industrial Research Organisation (CSIRO); CSIRO Mineral Resources</t>
  </si>
  <si>
    <t>Fu, BH (corresponding author), Chinese Acad Sci, Inst Remote Sensing &amp; Digital Earth, Beijing 100094, Peoples R China.</t>
  </si>
  <si>
    <t>guoqiang@radi.ac.cn; fubh@radi.ac.cn; shipl@radi.ac.cn; thomas.cudahy@c3dmm.com; zhangjing2015@radi.ac.cn; xuhuan@radi.ac.cn</t>
  </si>
  <si>
    <t>Cudahy, Tom/0000-0002-8323-4544; 付, 碧宏/0000-0002-1715-6859; Guo, Qiang/0000-0002-8610-0269; Xu, Huan/0000-0001-7454-4287; Zhang, Jing/0000-0002-0959-7929</t>
  </si>
  <si>
    <t>CAS-CSIRO Cooperative Research Program [GJHZ1407]</t>
  </si>
  <si>
    <t>CAS-CSIRO Cooperative Research Program</t>
  </si>
  <si>
    <t>This work was supported by the CAS-CSIRO Cooperative Research Program (Grant No. GJHZ1407).</t>
  </si>
  <si>
    <t>MDPI</t>
  </si>
  <si>
    <t>BASEL</t>
  </si>
  <si>
    <t>ST ALBAN-ANLAGE 66, CH-4052 BASEL, SWITZERLAND</t>
  </si>
  <si>
    <t>2072-4292</t>
  </si>
  <si>
    <t>REMOTE SENS-BASEL</t>
  </si>
  <si>
    <t>Remote Sens.</t>
  </si>
  <si>
    <t>Environmental Sciences; Geosciences, Multidisciplinary; Remote Sensing; Imaging Science &amp; Photographic Technology</t>
  </si>
  <si>
    <t>Environmental Sciences &amp; Ecology; Geology; Remote Sensing; Imaging Science &amp; Photographic Technology</t>
  </si>
  <si>
    <t>EZ3PW</t>
  </si>
  <si>
    <t>WOS:000404623900016</t>
  </si>
  <si>
    <t>Vilmi, A; Alahuhta, J; Hjort, J; Kärnä, OM; Leinonen, K; Rocha, MP; Tolonen, KE; Tolonen, KT; Heino, J</t>
  </si>
  <si>
    <t>anthropogenic stress; Arctic; biodiversity; boreal; climate change; high latitudes</t>
  </si>
  <si>
    <t>FRESH-WATER ECOSYSTEMS; CLIMATE-CHANGE; MULTIPLE STRESSORS; BIODIVERSITY LOSS; PATTERNS; DIVERSITY; RESPONSES; THREATS; IMPACT; CONSEQUENCES</t>
  </si>
  <si>
    <t>[Vilmi, Annika; Leinonen, Kirsti; Rocha, Mariana Perez; Tolonen, Katri E.; Tolonen, Kimmo T.; Heino, Jani] Finnish Environm Inst, Nat Environm Ctr, Biodivers, Paavo Havaksen Tie 3, Oulu 90530, Finland; [Vilmi, Annika; Leinonen, Kirsti; Tolonen, Katri E.] Univ Oulu, Ecol Res Unit, Oulu, Finland; [Alahuhta, Janne; Hjort, Jan; Karna, Olli-Matti; Rocha, Mariana Perez] Univ Oulu, Geog Res Unit, Oulu, Finland</t>
  </si>
  <si>
    <t>Finnish Environment Institute; University of Oulu; University of Oulu</t>
  </si>
  <si>
    <t>Vilmi, A (corresponding author), Finnish Environm Inst, Nat Environm Ctr, Biodivers, Paavo Havaksen Tie 3, Oulu 90530, Finland.;Vilmi, A (corresponding author), Univ Oulu, Ecol Res Unit, Oulu, Finland.</t>
  </si>
  <si>
    <t>annika.vilmi@gmail.com</t>
  </si>
  <si>
    <t>Alahuhta, Janne/AAD-8143-2019; Tolonen, Kimmo/AAO-1282-2020; Rocha, Mariana/K-6929-2019; Heino, Jani/E-6342-2010</t>
  </si>
  <si>
    <t>Heino, Jani/0000-0003-1235-6613; Hjort, Jan/0000-0002-4521-2088</t>
  </si>
  <si>
    <t>Academy of Finland; Emil Aaltonen Foundation; Ministry of Education of Brazil and Science Without Borders; Maj and Tor Nessling Foundation</t>
  </si>
  <si>
    <t>Academy of Finland(Research Council of Finland); Emil Aaltonen Foundation; Ministry of Education of Brazil and Science Without Borders; Maj and Tor Nessling Foundation</t>
  </si>
  <si>
    <t>We thank Satu Maaria Karjalainen for constructive discussions, and two reviewers and the editor for valuable comments. We also acknowledge the Academy of Finland, Emil Aaltonen Foundation, Ministry of Education of Brazil and Science Without Borders, and Maj and Tor Nessling Foundation for financial support.</t>
  </si>
  <si>
    <t>CANADIAN SCIENCE PUBLISHING</t>
  </si>
  <si>
    <t>OTTAWA</t>
  </si>
  <si>
    <t>65 AURIGA DR, SUITE 203, OTTAWA, ON K2E 7W6, CANADA</t>
  </si>
  <si>
    <t>1208-6053</t>
  </si>
  <si>
    <t>1181-8700</t>
  </si>
  <si>
    <t>ENVIRON REV</t>
  </si>
  <si>
    <t>Environ. Rev.</t>
  </si>
  <si>
    <t>EW2HS</t>
  </si>
  <si>
    <t>WOS:000402318000004</t>
  </si>
  <si>
    <t>Pilli, R; Grassi, G; Kurz, WA; Fiorese, G; Cescatti, A</t>
  </si>
  <si>
    <t>CLIMATE-CHANGE; STOCK CHANGES; MODEL; IMPACTS; BOREAL; BIODIVERSITY; TEMPERATE; INVENTORY; DYNAMICS; CBM-CFS3</t>
  </si>
  <si>
    <t>[Pilli, Roberto; Grassi, Giacomo; Fiorese, Giulia; Cescatti, Alessandro] European Commiss, Joint Res Ctr, Directorate Sustainable Resources Bioecon Unit D, Via E Fermi 2749, I-21027 Ispra, VA, Italy; [Kurz, Werner A.] Canadian Forest Serv, Nat Resources Canada, Victoria, BC V8Z 1M5, Canada</t>
  </si>
  <si>
    <t>European Commission Joint Research Centre; EC JRC ISPRA Site; Natural Resources Canada; Canadian Forest Service</t>
  </si>
  <si>
    <t>Pilli, R (corresponding author), European Commiss, Joint Res Ctr, Directorate Sustainable Resources Bioecon Unit D, Via E Fermi 2749, I-21027 Ispra, VA, Italy.</t>
  </si>
  <si>
    <t>roberto.pilli@ec.europa.eu</t>
  </si>
  <si>
    <t>Cescatti, Alessandro/ABE-6319-2020</t>
  </si>
  <si>
    <t>Cescatti, Alessano/0000-0002-2769-2591; Pilli, Roberto/0000-0003-4541-7056; Kurz, Werner/0000-0003-4576-7849</t>
  </si>
  <si>
    <t>JRC [31502, 070307/2009/539525/AA/C5]; DG CLIMA [31502, 070307/2009/539525/AA/C5]</t>
  </si>
  <si>
    <t>JRC(European Union (EU)European Commission Joint Research Centre); DG CLIMA</t>
  </si>
  <si>
    <t>This paper was prepared in the context of the contract no. 31502, administrative arrangement 070307/2009/539525/AA/C5 between JRC and DG CLIMA. Further information was collected in the context of the AA 071201/2011/611111/CLIMA.A2. The analysis performed for each country was generally based on publicly available data and on additional information collected at the country level, in collaboration with many colleagues and experts from each country. We especially thank our colleagues, Viorel Blujdea and Tibor Priwitzer, who provided useful comments and suggestions. We also thank all the reviewers and the editor for their critical and constructive comments.</t>
  </si>
  <si>
    <t>COPERNICUS GESELLSCHAFT MBH</t>
  </si>
  <si>
    <t>GOTTINGEN</t>
  </si>
  <si>
    <t>BAHNHOFSALLEE 1E, GOTTINGEN, 37081, GERMANY</t>
  </si>
  <si>
    <t>1726-4170</t>
  </si>
  <si>
    <t>1726-4189</t>
  </si>
  <si>
    <t>Biogeosciences</t>
  </si>
  <si>
    <t>MAY 11</t>
  </si>
  <si>
    <t>Ecology; Geosciences, Multidisciplinary</t>
  </si>
  <si>
    <t>Environmental Sciences &amp; Ecology; Geology</t>
  </si>
  <si>
    <t>EU5WN</t>
  </si>
  <si>
    <t>WOS:000401104900001</t>
  </si>
  <si>
    <t>Wilting, HC; Schipper, AM; Bakkenes, M; Meijer, JR; Huijbregts, MAJ</t>
  </si>
  <si>
    <t>INPUT-OUTPUT DATABASE; INTERNATIONAL-TRADE; LAND-USE; TERRESTRIAL BIODIVERSITY; CLIMATE-CHANGE; IMPACTS; NATIONS; REQUIREMENTS; SCENARIOS; DRIVES</t>
  </si>
  <si>
    <t>[Wilting, Harry C.; Schipper, Aafke M.; Bakkenes, Michel; Meijer, Johan R.; Huijbregts, Mark A. J.] PBL Netherlands Environm Assessment Agcy, POB 30314, NL-2500 GH The Hague, Netherlands; [Huijbregts, Mark A. J.] Radboud Univ Nijmegen, Inst Water &amp; Wetland Res, Dept Environm Sci, POB 9010, NL-6500 GL Nijmegen, Netherlands</t>
  </si>
  <si>
    <t>Radboud University Nijmegen</t>
  </si>
  <si>
    <t>Wilting, HC (corresponding author), PBL Netherlands Environm Assessment Agcy, POB 30314, NL-2500 GH The Hague, Netherlands.</t>
  </si>
  <si>
    <t>Harry.Wilting@pbl.nl</t>
  </si>
  <si>
    <t>; Huijbregts, Mark/B-8971-2011; Schipper, Aafke/C-2758-2011; Huijbregts, Mark/LSL-2248-2024</t>
  </si>
  <si>
    <t>Meijer, Johan/0000-0002-1219-7694; Huijbregts, Mark/0000-0002-7037-680X; Wilting, Harry/0000-0002-2330-8820; Schipper, Aafke/0000-0002-5667-0893</t>
  </si>
  <si>
    <t>AMER CHEMICAL SOC</t>
  </si>
  <si>
    <t>1155 16TH ST, NW, WASHINGTON, DC 20036 USA</t>
  </si>
  <si>
    <t>0013-936X</t>
  </si>
  <si>
    <t>1520-5851</t>
  </si>
  <si>
    <t>ENVIRON SCI TECHNOL</t>
  </si>
  <si>
    <t>Environ. Sci. Technol.</t>
  </si>
  <si>
    <t>MAR 21</t>
  </si>
  <si>
    <t>Engineering; Environmental Sciences &amp; Ecology</t>
  </si>
  <si>
    <t>EP6HA</t>
  </si>
  <si>
    <t>WOS:000397477900021</t>
  </si>
  <si>
    <t>Ducatez, S; Shine, R</t>
  </si>
  <si>
    <t>Amphibians; birds; endangerment; invasive species; IUCN Red List; mammals; reptiles</t>
  </si>
  <si>
    <t>CLIMATE; DIVERSITY; MAMMALS; THREAT; LAND</t>
  </si>
  <si>
    <t>[Ducatez, Simon; Shine, Richard] Univ Sydney, Sch Biol Sci, Sydney, NSW 2006, Australia</t>
  </si>
  <si>
    <t>University of Sydney</t>
  </si>
  <si>
    <t>Ducatez, S (corresponding author), Univ Sydney, Sch Biol Sci, Sydney, NSW 2006, Australia.</t>
  </si>
  <si>
    <t>simon.ducatez@gmail.com</t>
  </si>
  <si>
    <t>Ducatez, Simon/AAA-5378-2020</t>
  </si>
  <si>
    <t>Ducatez, Simon/0000-0003-2865-4674</t>
  </si>
  <si>
    <t>Australian Research Council (ARC)</t>
  </si>
  <si>
    <t>Australian Research Council (ARC)(Australian Research Council)</t>
  </si>
  <si>
    <t>We thank the IUCN, and all the experts whose work has allowed the construction and open access to the IUCN Red List database. Our research was supported by the Australian Research Council (ARC).</t>
  </si>
  <si>
    <t>1755-263X</t>
  </si>
  <si>
    <t>CONSERV LETT</t>
  </si>
  <si>
    <t>Conserv. Lett.</t>
  </si>
  <si>
    <t>MAR-APR</t>
  </si>
  <si>
    <t>ER1PC</t>
  </si>
  <si>
    <t>WOS:000398563500003</t>
  </si>
  <si>
    <t>Wang, Z; Deng, XZ; Song, W; Li, ZH; Chen, JC</t>
  </si>
  <si>
    <t>Ecosystem assessment; Ecosystem service; Inner Mongolia; Grassland; Human wellbeing</t>
  </si>
  <si>
    <t>LAND-USE CHANGE; SOIL PROPERTIES; COUPLED HUMAN; WIND EROSION; CHINA; LIVESTOCK; FARMLAND; PATTERNS</t>
  </si>
  <si>
    <t>In this study, we analyze the changes of indicators of ecosystem services and functions, in order to understand the main cause of grassland degradation due to climatic variation or land use changes in the middle -south Inner Mongolia. The soil nutrient and the water supply of supporting service got recovery during 1988-2008. The loss of net primary production declined, and the quality of the retained unconverted grassland (RUG) even increasingly degraded from 2000 to 2008. Analytical results show that environmental degradation on the land use -changed -area is lower than that on the RUG from 2000 to 2008. It illustrates that climatic variation has more negative impacts on grassland ecosystem service, and which is significantly higher than the so-called overgrazing induced grassland degradation. Moreover, it cannot be excluded that those species died out on the RUG due to natural selection or competitive evolution in an evolutionary process under the deteriorative weather condition rather than overgrazing. The positive impacts of human activities such as conservation programs and wildlife protection laws also benefit to regional grassland ecosystem obviously in the study area, so that can delay the environmental degradation even if each planet has its life cycle. It indicates that an integrated regional planning involving the considerations of climatic conditions, geographical characteristics, socioeconomic factors, and ecological functions and biodiversity can benefit to regional grassland conservation based on monitoring and management via scientific methods. (C) 2016 Elsevier B.V. All rights reserved.</t>
  </si>
  <si>
    <t>[Wang, Zhan; Deng, Xiangzheng; Song, Wei; Li, Zhihui] Chinese Acad Sci, Inst Geog Sci &amp; Nat Resources Res, Beijing 100101, Peoples R China; [Wang, Zhan; Chen, Jiancheng] Beijing Forestry Univ, Sch Econ &amp; Management, Beijing 100083, Peoples R China; [Wang, Zhan; Deng, Xiangzheng; Li, Zhihui] Chinese Acad Sci, Ctr Chinese Agr Policy, Beijing 100101, Peoples R China; [Deng, Xiangzheng; Li, Zhihui] Univ Chinese Acad Sci, Beijing 10049, Peoples R China</t>
  </si>
  <si>
    <t>Chinese Academy of Sciences; Institute of Geographic Sciences &amp; Natural Resources Research, CAS; Beijing Forestry University; Chinese Academy of Sciences; Chinese Academy of Sciences; University of Chinese Academy of Sciences, CAS</t>
  </si>
  <si>
    <t>Deng, XZ (corresponding author), Chinese Acad Sci, Inst Geog Sci &amp; Nat Resources Res, Beijing 100101, Peoples R China.</t>
  </si>
  <si>
    <t>wangz@igsnrr.ac.cn; dengxz.ccap@igsnrr.ac.cn; songw@igsnrr.ac.cn; lizh.12b@igsnrr.ac.cn; chenjc1963@163.com</t>
  </si>
  <si>
    <t>Deng, Xiangzheng/N-1335-2018; Wang, Zhan/Q-9994-2017; Song, Wei/E-8333-2018</t>
  </si>
  <si>
    <t>Wang, Zhan/0000-0002-7351-2731;</t>
  </si>
  <si>
    <t>P.R of China National Natural Science Funds for Distinguished Young Scholar [71225005]; National Key Research and Development Program of P.R. of China [2016YFA0602500]; National Key Programme for Developing Basic Science in P.R. of China [2012CB955700]; Key Project in the National Science &amp; Technology Pillar Program of P.R. of China [2013BAC03B00]; External Cooperation Program of the P.R. of Chinese Academy of Sciences [GJHZ1312]</t>
  </si>
  <si>
    <t>P.R of China National Natural Science Funds for Distinguished Young Scholar; National Key Research and Development Program of P.R. of China; National Key Programme for Developing Basic Science in P.R. of China; Key Project in the National Science &amp; Technology Pillar Program of P.R. of China; External Cooperation Program of the P.R. of Chinese Academy of Sciences</t>
  </si>
  <si>
    <t>This research was financially supported by the P.R of China National Natural Science Funds for Distinguished Young Scholar (grant no. 71225005), the National Key Research and Development Program of P.R. of China (Grant No. 2016YFA0602500), the National Key Programme for Developing Basic Science in P.R. of China (grant no. 2012CB955700), and data supported by the Key Project in the National Science &amp; Technology Pillar Program of P.R. of China (grant no. 2013BAC03B00), and the External Cooperation Program of the P.R. of Chinese Academy of Sciences (grant no. GJHZ1312).</t>
  </si>
  <si>
    <t>0341-8162</t>
  </si>
  <si>
    <t>1872-6887</t>
  </si>
  <si>
    <t>Catena</t>
  </si>
  <si>
    <t>MAR</t>
  </si>
  <si>
    <t>Geosciences, Multidisciplinary; Soil Science; Water Resources</t>
  </si>
  <si>
    <t>Geology; Agriculture; Water Resources</t>
  </si>
  <si>
    <t>EI7NX</t>
  </si>
  <si>
    <t>WOS:000392686000012</t>
  </si>
  <si>
    <t>Giblin, SM</t>
  </si>
  <si>
    <t>Aquatic macrophytes; fisheries guilds; trophic shifts; Mississippi River; total suspended solids; ecological shift; alternative stable state</t>
  </si>
  <si>
    <t>CARP CYPRINUS-CARPIO; UPPER MISSISSIPPI RIVER; SHALLOW EUTROPHIC LAKE; PIKE ESOX-LUCIUS; WATER-QUALITY; SUBMERGED MACROPHYTES; SEDIMENT RESUSPENSION; COMMUNITY STRUCTURE; AQUATIC VEGETATION; BENTHIVOROUS FISH</t>
  </si>
  <si>
    <t>[Giblin, Shawn M.] Wisconsin Dept Nat Resources, La Crosse, WI 54601 USA</t>
  </si>
  <si>
    <t>Giblin, SM (corresponding author), Wisconsin Dept Nat Resources, La Crosse, WI 54601 USA.</t>
  </si>
  <si>
    <t>shawn.giblin@wisconsin.gov</t>
  </si>
  <si>
    <t>Upper Mississippi River Restoration</t>
  </si>
  <si>
    <t>Upper Mississippi River Restoration (additional project element)</t>
  </si>
  <si>
    <t>TAYLOR &amp; FRANCIS INC</t>
  </si>
  <si>
    <t>PHILADELPHIA</t>
  </si>
  <si>
    <t>530 WALNUT STREET, STE 850, PHILADELPHIA, PA 19106 USA</t>
  </si>
  <si>
    <t>0270-5060</t>
  </si>
  <si>
    <t>2156-6941</t>
  </si>
  <si>
    <t>J FRESHWATER ECOL</t>
  </si>
  <si>
    <t>J. Freshw. Ecol.</t>
  </si>
  <si>
    <t>Ecology; Limnology</t>
  </si>
  <si>
    <t>EV4HM</t>
  </si>
  <si>
    <t>WOS:000401719600004</t>
  </si>
  <si>
    <t>Liu, X; Petitpierre, B; Broennimann, O; Li, XP; Guisan, A; Li, YM</t>
  </si>
  <si>
    <t>biological invasions; climate change; niche conservatism; niche limits; niche shift; realized climatic niche</t>
  </si>
  <si>
    <t>PREDICTING SPECIES DISTRIBUTIONS; NONNATIVE BIRDS; SHIFT; ECOLOGY; RANGES; DIVERSITY; INVASIONS; DYNAMICS; BIOGEOGRAPHY; PHYLOGENY</t>
  </si>
  <si>
    <t>AimThe conservatism of the realized climatic niche is a pivotal assumption for predicting invasion risk under present and future climates. To date, however, no studies have identified the particular dimensions of realized climatic niches that are spatially and temporally conserved for a whole taxonomic group on a global scale. Understanding realized niche dynamics along each individual climatic variable separately is a key consideration for improving forecasts of invasive species distributions and anticipating future range expansions. LocationGlobal. MethodsUsing 181 successful invasion events for 128 alien herpetofaunal species across the globe, we applied a robust niche dynamics framework and analysed the conservatism of the realized climatic niche and its influencing factors along 19 temperature and precipitation variables. ResultsWe found that the magnitude of the niche expansion along the maximum temperature of the warmest month (or warmest quarter) was, on average, the lowest compared with the niche expansion magnitude along the minimum, average, range and seasonal temperature characteristics and all precipitation variables. Furthermore, the niche shift along the maximum temperature was only negatively correlated with native range size and was unrelated to residence time, species traits, introduction propagule pressure, topographic heterogeneity or equatorwards and polewards range expansion. Main conclusionsWe provide the first evidence that the realized climatic niche of alien herpetofaunal species is generally most conserved along maximum temperatures. This finding highlights the importance of preferentially choosing conserved climatic niche parameters to develop robust predictions of biological invasions or shifts in species ranges in response to climate change.</t>
  </si>
  <si>
    <t>[Liu, Xuan; Li, Xianping; Li, Yiming] Chinese Acad Sci, Inst Zool, Key Lab Anim Ecol &amp; Conservat Biol, 1 Beichen West Rd, Beijing 100101, Peoples R China; [Petitpierre, Blaise; Broennimann, Olivier; Guisan, Antoine] Univ Lausanne, Dept Ecol &amp; Evolut, Biophore Bldg, CH-1015 Lausanne, Switzerland; [Li, Xianping] Univ Chinese Acad Sci, 19 Yuquan Rd, Beijing 100039, Peoples R China; [Guisan, Antoine] Univ Lausanne, Inst Earth Surface Dynam, Geopolis Bldg, CH-1015 Lausanne, Switzerland</t>
  </si>
  <si>
    <t>Chinese Academy of Sciences; Institute of Zoology, CAS; University of Lausanne; Chinese Academy of Sciences; University of Chinese Academy of Sciences, CAS; University of Lausanne</t>
  </si>
  <si>
    <t>Li, YM (corresponding author), Chinese Acad Sci, Inst Zool, Key Lab Anim Ecol &amp; Conservat Biol, 1 Beichen West Rd, Beijing 100101, Peoples R China.</t>
  </si>
  <si>
    <t>liym@ioz.ac.cn</t>
  </si>
  <si>
    <t>; Petitpierre, Blaise/JMC-4420-2023; Broennimann, Olivier/D-3495-2011; Guisan, Antoine/A-1057-2011; Liu, Xuan/AAF-3703-2020</t>
  </si>
  <si>
    <t>Li, Xianping/0000-0003-4892-5953; Brönnimann, Olivier/0000-0001-5394-4564; Broennimann, Olivier/0000-0001-9913-3695; Petitpierre, Blaise/0000-0002-3087-3422; Guisan, Antoine/0000-0002-3998-4815;</t>
  </si>
  <si>
    <t>National Science Foundation of China [31572284, 31530088]; Ministry of Science and Technology of China [2013FY110300]; Youth Innovation Promotion Association of Chinese Academy of Sciences [2015066]</t>
  </si>
  <si>
    <t>National Science Foundation of China(National Natural Science Foundation of China (NSFC)); Ministry of Science and Technology of China(Ministry of Science and Technology, China); Youth Innovation Promotion Association of Chinese Academy of Sciences</t>
  </si>
  <si>
    <t>We thank Zetian Liu and Shaofei Yan for assisting with the collection of data and F. Kraus for helpful suggestions on data collection. We greatly appreciate the constructive comments that Nicholas Gotelli, Francois Guilhaumon, Regan Early, Peter Linder and other anonymous referees provided for our manuscript. This research was supported by grants from the National Science Foundation of China (31572284 and 31530088), the Ministry of Science and Technology of China (2013FY110300) and the Youth Innovation Promotion Association of Chinese Academy of Sciences (2015066).</t>
  </si>
  <si>
    <t>0305-0270</t>
  </si>
  <si>
    <t>1365-2699</t>
  </si>
  <si>
    <t>J BIOGEOGR</t>
  </si>
  <si>
    <t>J. Biogeogr.</t>
  </si>
  <si>
    <t>JAN</t>
  </si>
  <si>
    <t>EH7MK</t>
  </si>
  <si>
    <t>WOS:000391956900011</t>
  </si>
  <si>
    <t>Davies, JAC; Tipping, E; Whitmore, AP</t>
  </si>
  <si>
    <t>Plant-soil processes; Biogeochemical cycles; Modelling; Land-use change; Atmospheric nitrogen deposition</t>
  </si>
  <si>
    <t>LONG-TERM EXPERIMENTS; SOIL ORGANIC-CARBON; PARK GRASS; NITROGEN; DEPOSITION; PHOSPHORUS; MATTER; RADIOCARBON; TURNOVER; TRENDS</t>
  </si>
  <si>
    <t>[Davies, J. A. C.] Univ Lancaster, Lancaster Environm Ctr, Lancaster LA1 4YQ, England; [Tipping, E.] Ctr Ecol &amp; Hydrol, Lib Ave, Lancaster LA1 4AP, England; [Whitmore, A. P.] Rothamsted Res, Harpenden AL5 2JQ, Herts, England</t>
  </si>
  <si>
    <t>Lancaster University; UK Centre for Ecology &amp; Hydrology (UKCEH); UK Research &amp; Innovation (UKRI); Biotechnology and Biological Sciences Research Council (BBSRC); Rothamsted Research</t>
  </si>
  <si>
    <t>Davies, JAC (corresponding author), Univ Lancaster, Lancaster Environm Ctr, Lancaster LA1 4YQ, England.</t>
  </si>
  <si>
    <t>j.davies4@lancaster.ac.uk</t>
  </si>
  <si>
    <t>; Whitmore, Andrew/B-5102-2008</t>
  </si>
  <si>
    <t>Whitmore, Anew/0000-0001-8984-1436; Davies, Jessica/0000-0001-9832-7412;</t>
  </si>
  <si>
    <t>UK Natural Environment Research Council Macronutrient Cycles Programme (LTLS project) [NE/J011533/1, NE/J011703/1, NE/J0011568/1]; Scottish Government; UK Biotechnology and Biological Sciences Research Council [BBS/E/C/00005189]; Lawes Agricultural Trust; NERC [ceh020008, NE/J011533/1, NE/J011568/1] Funding Source: UKRI; Biotechnology and Biological Sciences Research Council [BBS/E/C/00005189] Funding Source: researchfish; Natural Environment Research Council [NE/J011533/1, NE/J011703/1, ceh020008] Funding Source: researchfish</t>
  </si>
  <si>
    <t>UK Natural Environment Research Council Macronutrient Cycles Programme (LTLS project); Scottish Government; UK Biotechnology and Biological Sciences Research Council(UK Research &amp; Innovation (UKRI)Biotechnology and Biological Sciences Research Council (BBSRC)); Lawes Agricultural Trust; NERC(UK Research &amp; Innovation (UKRI)Natural Environment Research Council (NERC)); Biotechnology and Biological Sciences Research Council(UK Research &amp; Innovation (UKRI)Biotechnology and Biological Sciences Research Council (BBSRC)); Natural Environment Research Council(UK Research &amp; Innovation (UKRI)Natural Environment Research Council (NERC))</t>
  </si>
  <si>
    <t>This research was funded by the UK Natural Environment Research Council Macronutrient Cycles Programme (LTLS project, Grant nos. NE/J011533/1, NE/J011703/1 and NE/J0011568/1), and the Scottish Government. We thank T. Dore and M. Vieno (Centre of Ecology and Hydrology) for provision of deposition data, and the Lawes Agricultural Trust and Rothamsted Research for data from the e-RA database. The Rothamsted Long-term Experiments National Capability (LTE-NCG) is supported by the UK Biotechnology and Biological Sciences Research Council (BBS/E/C/00005189) and the Lawes Agricultural Trust. We also thank Andy Macdonald, Margaret Glendining and Paul Poulton for their helpful advice and comments. The Rothamsted experimental data is available from the Electronic Rothamsted Archive (e-RA) www.era.rothamsted.ac.uk and model data can be requested from the author (Jessica Davies, j.davies4@lancaster.ac.uk).</t>
  </si>
  <si>
    <t>DEC 1</t>
  </si>
  <si>
    <t>EC0RA</t>
  </si>
  <si>
    <t>Green Published, Green Accepted, hybrid</t>
  </si>
  <si>
    <t>WOS:000387807200143</t>
  </si>
  <si>
    <t>Ghosh, MK; Kumar, L; Roy, C</t>
  </si>
  <si>
    <t>mangroves; Sundarbans; remote sensing; image classification; change detection; Landsat</t>
  </si>
  <si>
    <t>FOREST DISTRIBUTIONS; BANGLADESH; DYNAMICS; ACCURACY; IMAGES; CONSERVATION; STRATEGIES; VEGETATION; COASTLINE; WORLD</t>
  </si>
  <si>
    <t>[Ghosh, Manoj Kumer; Kumar, Lalit] Univ New England, Sch Environm &amp; Rural Sci, Ecosyst Management, Armidale, NSW 2351, Australia; [Roy, Chandan] Rajshahi Univ, Geog &amp; Environm Studies, Rajshahi 6205, Bangladesh</t>
  </si>
  <si>
    <t>University of New England; University of Rajshahi</t>
  </si>
  <si>
    <t>Ghosh, MK (corresponding author), Univ New England, Sch Environm &amp; Rural Sci, Ecosyst Management, Armidale, NSW 2351, Australia.</t>
  </si>
  <si>
    <t>mghosh@myune.edu.au; lkumar@une.edu.au; chandanroy@gmail.com</t>
  </si>
  <si>
    <t>; Roy, Chandan/F-4534-2010; Kumar, Lalit/A-6397-2011; Ghosh, Manoj/G-7535-2012</t>
  </si>
  <si>
    <t>Kumar, Lalit/0000-0002-9205-756X; Roy, Chandan/0000-0002-3997-1088; Ghosh, Manoj Kumer/0000-0002-5279-272X;</t>
  </si>
  <si>
    <t>1999-4907</t>
  </si>
  <si>
    <t>Forests</t>
  </si>
  <si>
    <t>EJ6KI</t>
  </si>
  <si>
    <t>WOS:000393327700005</t>
  </si>
  <si>
    <t>Ambarli, D; Zeydanli, US; Balkiz, Ö; Aslan, S; Karaçetin, E; Sözen, M; Ilgaz, Ç; Ergen, AG; Lise, Y; Çaglayan, SD; Welch, HJ; Welch, G; Turak, AS; Bilgin, CC; Özkil, A; Vural, M</t>
  </si>
  <si>
    <t>Dry grassland; Land use; Protected area; Threat; Turkey; Vascular plants</t>
  </si>
  <si>
    <t>SOUTHWEST ASIA; LAND-USE; TURKEY; DOMESTICATION; AGRICULTURE; CHALLENGES; VEGETATION; DIVERSITY; ORIGINS; AREAS</t>
  </si>
  <si>
    <t>The Anatolian Biogeographical Region is unique in the Palearctic realm, with high plant and butterfly species richness and populations of globally threatened birds, mammals and herptiles (amphibians and reptiles). It is a place of diverse land-use practices, dating back to the earliest farming practices in the world. Among 10,930 species of vascular plants, birds, butterflies, mammals and herptiles distributed in Turkey, we identified 1130 living predominantly in steppic environments and being classified either as threatened, near-threatened or data deficient at the national level, if not globally. A total of 28 effective protected areas were present in the region, covering 1.5 % of the 391,597 km(2) land area. Only 16.2 % of the threatened and near-threatened species (n = 809) were distributed within the protected area network, ranging from 94.1 % for birds to as low as 12.9 % for vascular plants. The total area of steppe and steppe forest vegetation has been reduced by at least 44 % of its former extent due to diverse habitat destructive activities. The most significant threats arise from unsustainable agricultural activities including overgrazing, conversion to croplands and afforestation. To maintain steppe diversity, we propose a to-do list, including mainstreaming biodiversity, effective implementation of Turkey's Rangeland Act, conducting effective environmental impact assessments, establishing an effective site network for steppe biodiversity conservation and filling gaps in scientific knowledge.</t>
  </si>
  <si>
    <t>[Ambarli, Didem] Duzce Univ, Fac Agr &amp; Nat Sci, TR-81620 Konuralp, Duzce, Turkey; [Ambarli, Didem] Univ Cambridge, Dept Zool, Conservat Sci Grp, Cambridge CB2 3EJ, England; [Ambarli, Didem; Zeydanli, Ugur S.; Balkiz, Ozge; Lise, Yildiray; Caglayan, Semiha Demirbas; Welch, Hilary J.; Turak, Ayse S.; Ozkil, Aydan] Nat Conservat Ctr, Asagi Ovecler Mah 1065 Cad 1293 Sok 9-32, TR-06460 Ankara, Turkey; [Zeydanli, Ugur S.] Yale Univ, Forestry &amp; Environm Studies, 195 Prospect St, New Haven, CT 06511 USA; [Aslan, Serdar] Duzce Univ, Fac Forestry, TR-81620 Konuralp, Duzce, Turkey; [Karacetin, Evrim] Erciyes Univ, Fac Engn, Dept Environm Engn, TR-38039 Kayseri, Turkey; [Sozen, Mustafa] Bulent Ecevit Univ, Dept Biol, TR-67100 Incivez, Zonguldak, Turkey; [Ilgaz, Cetin] Dokuz Eylul Univ, Dept Biol, Fac Sci, TR-35160 Izmir, Turkey; [Ergen, Arzu Gursoy] Ondokuz MayA s Univ, Fac Sci &amp; Arts, Dept Biol, Samsun, Turkey; [Welch, Geoff] Royal Soc Protect Birds, Sandy SG19 2DL, Beds, England; [Bilgin, C. Can] Middle East Tech Univ, Fac Arts &amp; Sci, Dept Biol, Dumlupinar Bulvari 1, TR-06800 Ankara, Turkey; [Vural, Mecit] Gazi Univ, Fac Sci &amp; Arts, Dept Bot, TR-06500 Ankara, Turkey</t>
  </si>
  <si>
    <t>Duzce University; University of Cambridge; Ministry of National Education - Turkey; Yale University; Duzce University; Erciyes University; Zonguldak Bulent Ecevit University; Dokuz Eylul University; Royal Society for Protection of Birds; Middle East Technical University; Gazi University</t>
  </si>
  <si>
    <t>Ambarli, D (corresponding author), Duzce Univ, Fac Agr &amp; Nat Sci, TR-81620 Konuralp, Duzce, Turkey.;Ambarli, D (corresponding author), Univ Cambridge, Dept Zool, Conservat Sci Grp, Cambridge CB2 3EJ, England.;Ambarli, D (corresponding author), Nat Conservat Ctr, Asagi Ovecler Mah 1065 Cad 1293 Sok 9-32, TR-06460 Ankara, Turkey.</t>
  </si>
  <si>
    <t>didem.ambarli@gmail.com</t>
  </si>
  <si>
    <t>Karacetin, Evrim/AAS-7725-2021; Gursoy Ergen, Arzu/F-5981-2016; Ilgaz, Çetin/P-6603-2019; SOZEN, MUSTAFA/A-6372-2018; Aslan, Serdar/AAB-7966-2020; Ambarlı, Didem/AAE-8648-2022; Gürsoy Ergen, Arzu/F-5981-2016; Bilgin, C Can/H-2159-2011</t>
  </si>
  <si>
    <t>Ambarlı, Didem/0000-0001-5589-9373; Karacetin, Evrim/0000-0002-7311-1989; Bilgin, C Can/0000-0001-9284-307X; Gürsoy Ergen, Arzu/0000-0001-7776-6571;</t>
  </si>
  <si>
    <t>SPRINGER</t>
  </si>
  <si>
    <t>DORDRECHT</t>
  </si>
  <si>
    <t>VAN GODEWIJCKSTRAAT 30, 3311 GZ DORDRECHT, NETHERLANDS</t>
  </si>
  <si>
    <t>0960-3115</t>
  </si>
  <si>
    <t>1572-9710</t>
  </si>
  <si>
    <t>BIODIVERS CONSERV</t>
  </si>
  <si>
    <t>Biodivers. Conserv.</t>
  </si>
  <si>
    <t>SI</t>
  </si>
  <si>
    <t>EA3KI</t>
  </si>
  <si>
    <t>WOS:000386500700016</t>
  </si>
  <si>
    <t>Lai, RWS; Perkins, MJ; Ho, KKY; Astudillo, JC; Yung, MMN; Russell, BD; Williams, GA; Leung, KMY</t>
  </si>
  <si>
    <t>Reclamation; Sewage treatment; Fishery management; Bioinvasion; Ecological threats</t>
  </si>
  <si>
    <t>PEARL RIVER ESTUARY; ENDOCRINE DISRUPTING CHEMICALS; CLIMATE-CHANGE; PROTECTED AREAS; RISK-ASSESSMENT; SOUTH CHINA; OCEAN ACIDIFICATION; COASTAL WATERS; ORGANOCHLORINE PESTICIDES; ORGANOTIN COMPOUNDS</t>
  </si>
  <si>
    <t>Univ Hong Kong, Swire Inst Marine Sci, Pokfulam, Hong Kong, Peoples R China; [Leung, Kenneth M. Y.] Univ Hong Kong, Sch Biol Sci, Pokfulam, Hong Kong, Peoples R China</t>
  </si>
  <si>
    <t>University of Hong Kong; University of Hong Kong</t>
  </si>
  <si>
    <t>Leung, KMY (corresponding author), Univ Hong Kong, Sch Biol Sci, Pokfulam, Hong Kong, Peoples R China.</t>
  </si>
  <si>
    <t>kmyleung@hku.hk</t>
  </si>
  <si>
    <t>Leung, Kenneth Mei Yee/C-1055-2009; Williams, Gray/D-3139-2009; Russell, Bayden/A-9942-2008; Leung, Kenneth/C-1055-2009; Lai, Weng Seng/HMO-8224-2023; Yung, Mana/I-4079-2019</t>
  </si>
  <si>
    <t>Leung, Kenneth Mei Yee/0000-0002-2164-4281; Yung, Mana MN/0000-0001-9627-859X; Astudillo Placencia, Juan Carlos/0000-0002-3350-8279; Russell, Bayden/0000-0003-1282-9978; Racliffe Weng Seng, Lai/0000-0002-9181-3458</t>
  </si>
  <si>
    <t>University Grants Council [HKU5/CRF/12G HKU]; Environment and Conservation Fund [ECF/2014-64]; University of Hong Kong</t>
  </si>
  <si>
    <t>University Grants Council; Environment and Conservation Fund; University of Hong Kong(University of Hong Kong)</t>
  </si>
  <si>
    <t>This work is supported by the University Grants Council via the Collaborative Research Grant (Project no.: HKU5/CRF/12G HKU) to KMYL, and the Environment and Conservation Fund (Project no.: ECF/2014-64) to GAW. RWSL thanks the University of Hong Kong for partially supporting his Ph.D. study via a Type-B studentship.</t>
  </si>
  <si>
    <t>2352-4855</t>
  </si>
  <si>
    <t>REG STUD MAR SCI</t>
  </si>
  <si>
    <t>Reg. Stud. Mar. Sci.</t>
  </si>
  <si>
    <t>FM1VW</t>
  </si>
  <si>
    <t>Green Accepted</t>
  </si>
  <si>
    <t>WOS:000414771500005</t>
  </si>
  <si>
    <t>Bhatta, KP; Vetaas, OR</t>
  </si>
  <si>
    <t>Canopy closure; Climate warming; Himalaya; Land-use change; Mesophication; Oak forest; Thermophilization</t>
  </si>
  <si>
    <t>EUROPEAN VEGETATION CHANGE; RANGE SHIFTS; IMPORTANT DRIVER; DRIVING FACTORS; MICROCLIMATE; EUTROPHICATION; MANAGEMENT; DIVERSITY; RESPONSES; ECOSYSTEM</t>
  </si>
  <si>
    <t>Question: We ask H there are significant changes in plant species composition after 20 yr of documented temperature increase (similar to 1 degrees C), and if the temporal changes are different in closed temperate oak forest compared to semi-open canopy. Answers to these questions may indicate if climate warming and/or canopy closure, controlled by land-use regime, is the main driver of any documented compositional changes in the forest between 1993 and 2013. Location: Phulchoki Mountain, centralHimalaya (Nepal). Methods: We resampled 64 plots of 100 m(2) after 20 yr and recorded all terrestrial vascular plants and percentage canopy cover in each sample plot. We analysed the compositional changes in terms of species abundance, frequency and spatial translocation in relation to atmospheric temperature and canopy cover using univariate and multivariate statistics, Results: We find clear changes in the species composition, with abundance of almost half of the studied species having increased and one-quarter of the species having decreased over the past two decades, The changes vary artiong life forms: trees increased, whereas decreasing species were mainly herbaceous or shrubs, Similarly, shade-tolerant species increased, whereas those adapted to open habitat decreased. The compositional changes are mainly explained through the increased regional temperature, with a significant buffering effect of tree canopy cover. A significant increase in low-elevation (warm-adapted) species is detected, but this thermophilization is only found in the semi-open forest. Conclusions: Fine sc le temporal changes in the temperate oak forests are mainly driven by macroclimate warming, although change land-use regime also has a profound direct effect by governing canopy closure that, in turn, moderates the effect of climate warming. Tree canopy cover governs the relative abundances of different species based on their adaptive characteristics, such as shade tolerance and life-form traits. The magnitude of the temporal vegetation change would therefore be dependent on both the degree of regional climate warming and forest canopy closure.</t>
  </si>
  <si>
    <t>[Bhatta, Kuber P.; Vetaas, Ole R.] Univ Bergen, Dept Geog, Post Box 7802, N-5020 Bergen, Norway</t>
  </si>
  <si>
    <t>University of Bergen</t>
  </si>
  <si>
    <t>Bhatta, KP (corresponding author), Univ Bergen, Dept Geog, Post Box 7802, N-5020 Bergen, Norway.</t>
  </si>
  <si>
    <t>Kuber.Bhatta@uib.no; Ole.Vetaas@uib.no</t>
  </si>
  <si>
    <t>Bhatta, Kuber/J-3105-2019; VETAAS, OLE/ABA-7337-2020</t>
  </si>
  <si>
    <t>Bhatta, Kuber Prasad/0000-0001-7837-1395</t>
  </si>
  <si>
    <t>EC9BU</t>
  </si>
  <si>
    <t>WOS:000388439400009</t>
  </si>
  <si>
    <t>Collier, KJ; Probert, PK; Jeffries, M</t>
  </si>
  <si>
    <t>marine; freshwater; Red List; springs; coral reef, pond; lagoon, conservation assessment</t>
  </si>
  <si>
    <t>FRESH-WATER BIODIVERSITY; CLIMATE-CHANGE; BENTHIC INVERTEBRATES; MARINE CONSERVATION; DIPTERA-CULICIDAE; EXTINCTION RISK; PROTECTED AREAS; GIANT CLAMS; CORAL-REEFS; MANAGEMENT</t>
  </si>
  <si>
    <t>1. Invertebrates inhabiting marine and freshwater ecosystems make important contributions to global biodiversity and provide significant services that have cascading effects across ecosystems. However, this group is grossly under-represented in assessments of conservation status and often neglected in targeted aquatic conservation efforts. 2. In global assessments of 7857 freshwater invertebrates and 2864 marine invertebrates, 30-34% were considered Data Deficient highlighting the paucity of information for making such assessments. Of the invertebrate groups that could be assessed, those with poor dispersal abilities and high local endemism, such as many gastropods, crayfish and mussels, are the most threatened. 3. Springs and subterranean hydrological systems support the highest proportions of threatened freshwater species, while in marine environments coral reefs, lagoons and anchialine systems are particularly vulnerable. 4. Key agents of biodiversity decline in aquatic ecosystems are water pollution, overexploitation and harvesting, habitat degradation and destruction, alien invasive species, and climate change. Effects of dams and water management along with pollution from urban, agricultural and forestry sources are the main threats in freshwater ecosystems, whereas a broad range of factors have impacts on marine invertebrates, including biological resource use. 5. Significant impediments facing conservation of aquatic invertebrates are limited knowledge of their diversity, the need for broadscale actions to account for connectivity within and across ecosystems, lack of political will and investment, and the prospect that conditions may get worse before they improve, possibly not in time to save some already highly imperilled invertebrate species from extinction. Copyright (C) 2016 John Wiley &amp; Sons, Ltd.</t>
  </si>
  <si>
    <t>[Collier, Kevin J.] Univ Waikato, Environm Res Inst, Private Bag 3105, Hamilton 3240, New Zealand; [Probert, P. Keith] Univ Otago, Dept Marine Sci, Dunedin, New Zealand; [Jeffries, Michael] Northumbria Univ, Dept Geog, Newcastle Upon Tyne, Tyne &amp; Wear, England</t>
  </si>
  <si>
    <t>University of Waikato; University of Otago; Northumbria University</t>
  </si>
  <si>
    <t>Collier, KJ (corresponding author), Univ Waikato, Environm Res Inst, Private Bag 3105, Hamilton 3240, New Zealand.</t>
  </si>
  <si>
    <t>kcollier@waikato.ac.nz</t>
  </si>
  <si>
    <t>Collier, Kevin/Q-9863-2017</t>
  </si>
  <si>
    <t>Collier, Kevin/0000-0002-5213-9907</t>
  </si>
  <si>
    <t>EC9DU</t>
  </si>
  <si>
    <t>WOS:000388445200002</t>
  </si>
  <si>
    <t>Phillips, RA; Gales, R; Baker, GB; Double, MC; Favero, M; Quintana, F; Tasker, ML; Weimerskirch, H; Uhart, M; Wolfaardt, A</t>
  </si>
  <si>
    <t>Anthropogenic impacts; Conservation management; Invasive species; Non-target species; Population trends; Regional fisheries management organisations</t>
  </si>
  <si>
    <t>PELAGIC LONGLINE FISHERIES; WHITE-CHINNED PETRELS; PRINCE EDWARD ISLANDS; AT-SEA DISTRIBUTION; BLACK-BROWED ALBATROSSES; GREY-HEADED ALBATROSSES; MANTLED SOOTY ALBATROSS; SOUTHERN-OCEAN SEABIRDS; YELLOW-NOSED ALBATROSS; CYTOCHROME-B GENE</t>
  </si>
  <si>
    <t>[Phillips, R. A.] British Antarctic Survey, Nat Environm Res Council, High Cross,Madingley Rd, Cambridge CB3 0ET, England; [Gales, R.] 259 Howden Rd, Howden, Tas, Australia; [Baker, G. B.] Inst Marine &amp; Antarctic Studies IMAS Hobart, Private Bag 129, Hobart, Tas 7001, Australia; [Double, M. C.] Australian Antarctic Div, 203 Channel Highway, Kingston, Tas 7050, Australia; [Favero, M.] CONICET UNMDP, IIMyC, Mar Del Plata, Argentina; [Quintana, F.] Consejo Nacl Invest Cient &amp; Tecn, Inst Biol Organismos Marines IBIOMAR, Puerto Madryn U9120ACD, Chubut, Argentina; [Tasker, M. L.] Joint Nat Conservat Comm, Inverdee House,Baxter St, Aberdeen AB11 9QA, Scotland; [Weimerskirch, H.] CNRS, Ctr Etud Biol Chize, F-79360 Villiers En Bois, France; [Uhart, M.] Univ Calif Davis, Sch Vet Med, Hlth Inst 1, Davis, CA 95616 USA; [Wolfaardt, A.] POB 64, ZA-6602 Crags, South Africa</t>
  </si>
  <si>
    <t>UK Research &amp; Innovation (UKRI); Natural Environment Research Council (NERC); NERC British Antarctic Survey; Australian Antarctic Division; National University of Mar del Plata; Consejo Nacional de Investigaciones Cientificas y Tecnicas (CONICET); Consejo Nacional de Investigaciones Cientificas y Tecnicas (CONICET); Centre National de la Recherche Scientifique (CNRS); University of California System; University of California Davis</t>
  </si>
  <si>
    <t>Phillips, RA (corresponding author), British Antarctic Survey, Nat Environm Res Council, High Cross,Madingley Rd, Cambridge CB3 0ET, England.</t>
  </si>
  <si>
    <t>raphil@bas.ac.uk</t>
  </si>
  <si>
    <t>; Weimerskirch, Henri/K-7306-2019; Favero, Marco/AGF-7428-2022; phillips, robert/KIE-5050-2024</t>
  </si>
  <si>
    <t>Favero, Marco/0000-0003-1293-3417; Quintana, Flavio/0000-0003-0696-2545; Baker, G Barry/0000-0003-4766-8182; Phillips, Richard/0000-0002-0208-1444</t>
  </si>
  <si>
    <t>NERC [bas0100035, bas0100025, NE/J021083/1] Funding Source: UKRI; Natural Environment Research Council [bas0100025, NE/J021083/1, bas0100035] Funding Source: researchfish</t>
  </si>
  <si>
    <t>NERC(UK Research &amp; Innovation (UKRI)Natural Environment Research Council (NERC)); Natural Environment Research Council(UK Research &amp; Innovation (UKRI)Natural Environment Research Council (NERC))</t>
  </si>
  <si>
    <t>DY0JJ</t>
  </si>
  <si>
    <t>WOS:000384782800019</t>
  </si>
  <si>
    <t>Meng, XW; Xia, P; Li, Z; Meng, DZ</t>
  </si>
  <si>
    <t>Mangrove degradation; Mangrove-derived organic matter; Mangrove pollen; Anthropogenic disturbance; Maowei Sea</t>
  </si>
  <si>
    <t>NITROGEN STABLE-ISOTOPE; ORGANIC-MATTER SOURCES; RIVER ESTUARY; SURFACE SEDIMENTS; ENVIRONMENTAL-CHANGE; YINGLUO BAY; CARBON; HOLOCENE; GULF; RECONSTRUCTION</t>
  </si>
  <si>
    <t>[Meng, Xianwei; Xia, Peng; Meng, Dezhen] State Ocean Adm, Inst Oceanog 1, Qingdao 266061, Peoples R China; [Meng, Xianwei] Qingdao Natl Lab Marine Sci &amp; Technol, Lab Marine Geol &amp; Environm, Qingdao 266061, Peoples R China; [Li, Zhen] Univ Victoria, Sch Earth &amp; Ocean Sci, Victoria, BC V8W 2Y2, Canada</t>
  </si>
  <si>
    <t>First Institute of Oceanography, Ministry of Natural Resources; Laoshan Laboratory; University of Victoria</t>
  </si>
  <si>
    <t>Xia, P (corresponding author), State Ocean Adm, Inst Oceanog 1, Qingdao 266061, Peoples R China.</t>
  </si>
  <si>
    <t>mxw@fio.org.cn; pengxia@fio.org.cn</t>
  </si>
  <si>
    <t>Li, Zhen/G-7667-2012</t>
  </si>
  <si>
    <t>Li, Zhen/0000-0003-3989-7233; Meng, Xianwei/0000-0001-9041-2997</t>
  </si>
  <si>
    <t>National Key Scientific Research Project on Global Climate Change [2010CB951203]; National Natural Science Foundation of China [41376075, 41576061, 41206057, 41576067]</t>
  </si>
  <si>
    <t>National Key Scientific Research Project on Global Climate Change; National Natural Science Foundation of China(National Natural Science Foundation of China (NSFC))</t>
  </si>
  <si>
    <t>The authors thank G.A. Wang (China Agricultural University) for delta13Corg analysis. Sampling assistance was provided by X.Q. Wang, Z. W. Zhu and Z. Li. We are also grateful for critical and constructive comments from and two anonymous reviewers. The work was supported by the National Key Scientific Research Project on Global Climate Change (Grant No. 2010CB951203) and the National Natural Science Foundation of China (Grant Nos. 41376075, 41576061, 41206057 and 41576067).</t>
  </si>
  <si>
    <t>0146-6380</t>
  </si>
  <si>
    <t>1873-5290</t>
  </si>
  <si>
    <t>ORG GEOCHEM</t>
  </si>
  <si>
    <t>Org. Geochem.</t>
  </si>
  <si>
    <t>Geochemistry &amp; Geophysics</t>
  </si>
  <si>
    <t>DR3DH</t>
  </si>
  <si>
    <t>WOS:000379782300014</t>
  </si>
  <si>
    <t>van Strien, AJ; Meyling, AWG; Herder, JE; Hollander, H; Kalkman, VJ; Poot, MJM; Turnhout, S; van der Hoorn, B; van Strien-van Liempt, WTFH; van Swaay, CAM; van Turnhout, CAM; Verweij, RJT; Oerlemans, NJ</t>
  </si>
  <si>
    <t>Biodiversity change; 2020 target; Abundance trends; Occupancy trends; Standardised data; Opportunistic data</t>
  </si>
  <si>
    <t>INDICATORS; TRENDS; DECLINES; NITROGEN; MAMMALS; BIRDS</t>
  </si>
  <si>
    <t>We calculated a Living Planet Index (LPI) for the Netherlands, based on 361 animal species from seven taxonomic groups occurring in terrestrial and freshwater habitats. Our assessment is basically similar to the global LPI, but the latter includes vertebrate species and trends in population abundance only. To achieve inferences on trends in biodiversity more generally, we added two insect groups (butterflies and dragonflies) and added occupancy trends for species for which we had no abundance trends available. According to the LPI, the state of biodiversity has slightly increased from 1990 to 2014. However, large differences exist between habitat types. We found a considerable increase in freshwater animal populations, probably because of improvement of chemical water quality and rehabilitation of marshland habitats. We found no trend in the LPI for woodland populations. In contrast, populations in farmland and open semi-natural habitats (coastal dunes, heathland and semi-natural grassland) declined, which we attribute to intensive agricultural practices and nitrogen deposition, respectively. The LPI shows that, even in a densely populated western European country, ongoing loss of animal biodiversity is not inevitable and may even be reversed if adequate measures are taken. Our approach enabled us to produce summary statistics beyond the level of species groups to monitor the state of biodiversity in a clear and consistent way. (C) 2016 The Authors. Published by Elsevier Ltd. This is an open access article under the CC BY license.</t>
  </si>
  <si>
    <t>[van Strien, Arco J.; Meyling, Adriaan W. Gmelig; Poot, Martin J. M.; Verweij, Richard J. T.] Stat Netherlands, POB 24500, NL-2490 HA The Hague, Netherlands; [Meyling, Adriaan W. Gmelig] Anemoon Fdn, POB 29, NL-2120 AA Bennebroek, Netherlands; [Herder, Jelger E.] Reptile Amphibian &amp; Fish Conservat Netherlands RA, POB 1413, NL-6501 BK Nijmegen, Netherlands; [Hollander, Hans] Dutch Mammal Soc, POB 6531, NL-6503 GA Nijmegen, Netherlands; [Kalkman, Vincent J.] EIS Kennisctr Insecten, Naturalis Biodivers Ctr, POB 9517, NL-2300 RA Leiden, Netherlands; [Turnhout, Sander] SoortenNL, Toernooiveld 1, NL-6500 GL Nijmegen, Netherlands; [van der Hoorn, Berry] Naturals Biodivers Ctr, POB 9517, NL-2300 RA Leiden, Netherlands; [van Strien-van Liempt, Willy T. F. H.] Brederostr 10, NL-2332 BB Leiden, Netherlands; [van Swaay, Chris A. M.] Dutch Butterfly Conservat, POB 506, NL-6700 AM Wageningen, Netherlands; [van Turnhout, Chris A. M.] Sovon Dutch Ctr Field Ornithol, POB 6521, NL-6503 GA Nijmegen, Netherlands; [van Turnhout, Chris A. M.] Radboud Univ Nijmegen, Inst Water &amp; Wetland Res, POB 9010, NL-6500 GL Nijmegen, Netherlands; [Oerlemans, Natasja J.] WWF NL, Driebergseweg 10, NL-3798 JB Zeist, Netherlands</t>
  </si>
  <si>
    <t>Naturalis Biodiversity Center; Naturalis Biodiversity Center; Radboud University Nijmegen</t>
  </si>
  <si>
    <t>van Strien, AJ (corresponding author), Stat Netherlands, POB 24500, NL-2490 HA The Hague, Netherlands.</t>
  </si>
  <si>
    <t>asin@cbs.nl</t>
  </si>
  <si>
    <t>; van Strien, Arco J/AAG-1843-2020; van der Hoorn, Berry/D-3282-2018; Kalkman, Vincent/D-5275-2013; van Strien, Arco/AAG-1843-2020</t>
  </si>
  <si>
    <t>Kalkman, Vincent/0000-0002-1484-7865; van Strien, Arco J/0000-0003-0451-073X; Poot, Martin/0000-0003-0219-8914; Turnhout, Sander/0000-0002-1299-3498</t>
  </si>
  <si>
    <t>Ministry of Economic Affairs in the framework of the Dutch Network Ecological Monitoring program</t>
  </si>
  <si>
    <t>This work would not have been possible without the help of thousands of voluntary field workers. The standardised monitoring schemes are organised by Sovon (breeding birds), Dutch Mammal Society (mammals), RAVON (reptiles, amphibians, fishes) and Dutch Butterfly Conservation (butterflies, dragonflies). These organisations collaborate with Statistics Netherlands and the monitoring schemes are financed by the Ministry of Economic Affairs in the framework of the Dutch Network Ecological Monitoring program.</t>
  </si>
  <si>
    <t>DT2QK</t>
  </si>
  <si>
    <t>WOS:000381325300006</t>
  </si>
  <si>
    <t>Bahaa-el-Din, L; Sollmann, R; Hunter, LTB; Slotow, R; Macdonald, DW; Henschel, P</t>
  </si>
  <si>
    <t>Bushmeat; Camera trap; Density; Gabon; Logging; Spatial capture-recapture</t>
  </si>
  <si>
    <t>CAMERA-TRAP; DENSITY; LEOPARD; CARNIVORES; ABUNDANCE; SELECTION; RESERVES; MAMMALS; SABAH</t>
  </si>
  <si>
    <t>[Bahaa-el-Din, Laila; Slotow, Rob] Univ Kwazulu Natal, Sch Life Sci, Westville Campus,Private Bag X54001, ZA-4000 Durban, South Africa; [Bahaa-el-Din, Laila; Hunter, Luke T. B.; Henschel, Philipp] Panthera, 8 West 40th St,18th Fl, New York, NY 10018 USA; [Bahaa-el-Din, Laila; Macdonald, David W.] Univ Oxford, Dept Zool, Wildlife Conservat Res Unit WiIdCRU, Recanati Kaplan Ctr, Tubney House,Abingdon Rd, Tubney OX13 5QL, England; [Sollmann, Rahel] Univ Calif Davis, Dept Wildlife Fish &amp; Conservat Biol, 1088 Acad Surge,One Shields Ave, Davis, CA 95616 USA; [Sollmann, Rahel] US Forest Serv, USDA, Pacific Southwest Res Stn, 1731 Res Pk Dr, Davis, CA 95618 USA</t>
  </si>
  <si>
    <t>University of Kwazulu Natal; University of Oxford; United States Department of Agriculture (USDA); United States Forest Service</t>
  </si>
  <si>
    <t>Bahaa-el-Din, L (corresponding author), Univ Kwazulu Natal, Sch Life Sci, Westville Campus,Private Bag X54001, ZA-4000 Durban, South Africa.</t>
  </si>
  <si>
    <t>lailab.sp@gmail.com</t>
  </si>
  <si>
    <t>Hunter, Luke/H-3324-2019; Slotow, Rob/AAM-9053-2020</t>
  </si>
  <si>
    <t>Slotow, Rob/0000-0001-9469-1508; Henschel, Philipp/0009-0003-6413-8471</t>
  </si>
  <si>
    <t>Panthera; Wildlife Conservation Research Unit (WildCRU); University of KwaZuluNatal (UKZN); International Society for Endangered Cats (ISEC) Canada; El Tigre Fund</t>
  </si>
  <si>
    <t>Funding for this study was received from Panthera, the Wildlife Conservation Research Unit (WildCRU) and the University of KwaZuluNatal (UKZN). Members of all of these institutions are co-authors of this study, and were involved in helping to design the study and prepare the manuscript for publication. Additional funding was received from the International Society for Endangered Cats (ISEC) Canada, and the El Tigre Fund, neither of which were involved with study design, implementation or manuscript preparation.</t>
  </si>
  <si>
    <t>DQ9WI</t>
  </si>
  <si>
    <t>WOS:000379559600001</t>
  </si>
  <si>
    <t>Araújo, RM; Assis, J; Aguillar, R; Airoldi, L; Bárbara, I; Bartsch, I; Bekkby, T; Christie, H; Davoult, D; Derrien-Courtel, S; Fernandez, C; Fredriksen, S; Gevaert, F; Gundersen, H; Le Gal, A; Lévêque, L; Mieszkowska, N; Norderhaug, KM; Oliveira, P; Puente, A; Rico, JM; Rinde, E; Schubert, H; Strain, EM; Valero, M; Viard, F; Sousa-Pinto, I</t>
  </si>
  <si>
    <t>Kelp forests; Expert consultation; Status and temporal trends; Long-term changes; Europe</t>
  </si>
  <si>
    <t>UNDARIA-PINNATIFIDA LAMINARIALES; LARGE BROWN SEAWEEDS; SACCHARINA-LATISSIMA; GENETIC DIVERSITY; CLIMATE-CHANGE; NORTH COAST; WEST-COAST; SEA; ALGAE; TEMPERATURE</t>
  </si>
  <si>
    <t>[Araujo, R. M.; Oliveira, P.; Sousa-Pinto, I.] Univ Porto, Interdisciplinary Ctr Marine &amp; Environm Res, CIIMAR CIMAR, Rua Bragas 289, P-4050123 Oporto, Portugal; [Assis, J.] Univ Algarve CIMAR Algarve, Ctr Marine Sci, Campus Gambelas, P-8005139 Faro, Portugal; [Aguillar, R.] Oceana, Madrid, Spain; [Airoldi, L.] Univ Bologna, UO CoNISMa, Dipartimento Sci Biol Geol &amp; Ambientali, BIGEA, Via S Alberto 163, I-48123 Ravenna, Italy; [Airoldi, L.] Univ Bologna, UO CoNISMa, CIRSA, Via S Alberto 163, I-48123 Ravenna, Italy; [Barbara, I.] Univ A Coruna, Fac Ciencias, Grp BioCost, Dept Bioloxia Anim Bioloxia Vexetal &amp; Ecoloxia, Campus A Coruna, La Coruna 15008, Spain; Helmholtz Ctr Polar &amp; Marine Res, Alfred Wegener Inst, Handelshafen 12, D-27570 Bremerhaven, Germany; Norwegian Inst Water Res, Gaustadalleen 21, N-0349 Oslo, Norway; [Davoult, D.; Viard, F.] CNRS, UMR M AD2 7144, Stn, Biol, Pl Georges Teissier, F-29680 Roscoff, France; [Davoult, D.; Leveque, L.; Valero, M.; Viard, F.] Univ Paris 06, Sorbonne Univ, Stn Biol, Pl Georges Teissier, F-19680 Roscoff, France; [Derrien-Courtel, S.; Le Gal, A.] Museum Natl Hist Nat, Stn Marine, Pl Croix,BP 225, F-29182 Concarneau, France; [Fernandez, C.; Rico, J. M.] Univ Oviedo, Dept BOS Ecol, E-33071 Oviedo, Spain; [Fredriksen, S.; Norderhaug, K. M.] Univ Oslo, Dept Biosci, POB 1066, N-0316 Oslo, Norway; [Gevaert, F.] Univ Lille 1, Univ Lille Nord France, UMR LOG 8187, F-62930 Wimereux, France; [Gevaert, F.] CNRS, UMR LOG 8187, F-62930 Wimereux, France; [Leveque, L.] CNRS, FR2424, Stn Biol, Pl Georges Teissier, F-29680 Roscoff, France; [Mieszkowska, N.] Marine Biol Assoc UK, Citadel Hill, Plymouth PL1 2PB, Devon, England; [Puente, A.] Univ Cantabria, Environm Hydraul Inst IH Cantabria, Ave Isabel Torres 15,Parque Cient &amp; Tecnol Cantab, Santander 39011, Spain; [Schubert, H.] Univ Rostock, Biosci, Albert Einsteinstr 3, D-18059 Rostock, Germany; [Strain, E. M.] Sydney Inst Marine Sci, 19 Chowder Bay Rd, Mosman, NSW 2088, Australia; [Valero, M.] CNRS, UACH, UC, UMI EBEA 3614,Stn Biol, F-29680 Roscoff, France; [Sousa-Pinto, I.] Univ Porto, Fac Sci, Dept Biol, Oporto, Portugal</t>
  </si>
  <si>
    <t>Universidade do Porto; Universidade do Algarve; University of Bologna; University of Bologna; Universidade da Coruna; Helmholtz Association; Alfred Wegener Institute, Helmholtz Centre for Polar &amp; Marine Research; Norwegian Institute for Water Research (NIVA); Centre National de la Recherche Scientifique (CNRS); Sorbonne Universite; Museum National d'Histoire Naturelle (MNHN); University of Oviedo; University of Oslo; Universite de Lille; Centre National de la Recherche Scientifique (CNRS); CNRS - National Institute for Earth Sciences &amp; Astronomy (INSU); Centre National de la Recherche Scientifique (CNRS); CNRS - National Institute for Earth Sciences &amp; Astronomy (INSU); Centre National de la Recherche Scientifique (CNRS); Sorbonne Universite; Marine Biological Association United Kingdom; Universidad de Cantabria; IHCantabria - Instituto de Hidraulica Ambiental de la Universidad de Cantabria; University of Rostock; Sydney Institute of Marine Science; Sorbonne Universite; Centre National de la Recherche Scientifique (CNRS); Universidade do Porto</t>
  </si>
  <si>
    <t>Araújo, RM (corresponding author), Univ Porto, Interdisciplinary Ctr Marine &amp; Environm Res, CIIMAR CIMAR, Rua Bragas 289, P-4050123 Oporto, Portugal.</t>
  </si>
  <si>
    <t>ritaraujo@ciimar.up.pt</t>
  </si>
  <si>
    <t>Bekkby, Trine/GRY-2922-2022; Valero, Myriam/C-7550-2011; Airoldi, Laura/I-3553-2019; Gevaert, Francois/B-9629-2018; Pinto, Isabel/W-1591-2019; Viard, Frédérique/O-4360-2018; Oliveira, Patrícia/J-9447-2013; Assis, Jorge/G-9688-2012; Gundersen, Hege/F-1494-2013; Assis, Jorge/G-9688-2012; Rico, Jose/C-7441-2013; Araujo, Rita/I-2964-2015; Sousa Pinto, Isabel/G-1497-2010; Mieszkowska, Nova/U-8479-2019; Davoult, Dominique/D-5932-2012; Araujo, Rita/S-2065-2019; Strain, Elisabeth/U-3520-2017; Puente, Araceli/H-3163-2015; Gevaert, François/B-9629-2018; Valero, Myriam/M-6052-2019; Puente, Araceli/H-3163-2015; Davoult, dominique/D-5932-2012</t>
  </si>
  <si>
    <t>Valero, Myriam/0000-0002-9000-1423; Bekkby, Trine/0000-0001-8188-8264; Aguilar, Ricardo/0000-0001-6615-8626; Viard, Frédérique/0000-0001-5603-9527; Norderhaug, Kjell Magnus/0000-0001-6374-4275; Rico-Ordas, Jose Manuel/0000-0001-6253-257X; Bárbara, Ignacio/0000-0003-1779-0224; Assis, Jorge/0000-0002-6624-4820; Gundersen, Hege/0000-0001-9706-1325; Assis, Jorge/0000-0002-6624-4820; Araujo, Rita/0000-0001-8062-972X; Sousa Pinto, Isabel/0000-0002-9231-0553; Davoult, Dominique/0000-0001-8678-3998; Mieszkowska, Nova/0000-0002-9570-7759; Airoldi, Laura/0000-0001-5046-0871; Strain, Elisabeth/0000-0003-2165-9544; Puente, Araceli/0000-0001-7627-4743; Gevaert, François/0000-0002-5078-1154; Puente, Araceli/0000-0001-7627-4743;</t>
  </si>
  <si>
    <t>Brittany REBENT; European Water Framework Directive; European Regional Development Fund; Loire-Brittany Water Agency; ONEMA; Ifremer; MNHN; Estuaires Loire Vilaine association; Portuguese Foundation for Science and Technology [EXCL/AAG-GLO/0661/2012, PTDC/MAR-EST/6053/2014, SFRH/BPD/111003/2015, SFRH/BPD/75843/2011]; European Commission [265299]; Fundação para a Ciência e a Tecnologia [SFRH/BPD/75843/2011, EXCL/AAG-GLO/0661/2012] Funding Source: FCT</t>
  </si>
  <si>
    <t>Brittany REBENT; European Water Framework Directive; European Regional Development Fund(European Union (EU)); Loire-Brittany Water Agency; ONEMA; Ifremer; MNHN; Estuaires Loire Vilaine association; Portuguese Foundation for Science and Technology(Fundacao para a Ciencia e a Tecnologia (FCT)); European Commission(European Union (EU)European Commission Joint Research Centre); Fundação para a Ciência e a Tecnologia</t>
  </si>
  <si>
    <t>We would like to thank to the following persons or entities: (1) Lise Tveiten (NIVA) and Frithjof Moy (Institute of Marine Research, IMR), who for many years have sampled data on kelp forest ecology and distribution along the Norwegian coast; (2) The financial partners of the two monitoring programs the Brittany REBENT and the European Water Framework Directive for making it possible to obtain valuable data: the Brittany Region, the European Regional Development Fund, the Loire-Brittany Water Agency, the ONEMA, Ifremer, the MNHN and the Estuaires Loire Vilaine association; (3) Elodie Catherine, Francois-Xavier Decaris, Rene Derrien, Marie Mercier-Pecard, Nicolas Mercier and Thomas Abiven Annie Castric-Fey, Annie Girard-Descatoire, Marie-Therese L'Hardy-Halos (MNHN Station de Biologie Marine de Concarneau) who have, for many years, also contributed to French data on kelp forest ecology and distribution; (4) The marine operation department (Service Mer et Observation) of the Station Biologique de Roscoff and the natural marine park Parc Naturel Marin d'Iroise; (5) The MarClim project at the Marine Biological Association of the UK that has maintained long-term studies of kelps in the UK thanks to funding from Natural England and Natural Resources Wales; (6) Rolf Karez and the State Agency for Agriculture, Environment and Rural Areas, Lower Saxony, Germany who have a regular kelp monitoring program in the German North Sea with Philipp Schubert, being the main responsible diving expert; (7) Christian Wiencke (Alfred-Wegener-Institute, Bremerhaven, Germany) who established the recent quantitative diving study at Kongsfjorden, Spitsbergen, where the sampling was performed with major help from Max Schwanitz and Martin Paar; (8) Annalisa Falace who reviewed the data for the Adriatic Sea; (9) The Portuguese Foundation for Science and Technology (projects of Ester Serrao: EXCL/AAG-GLO/0661/2012 and PTDC/MAR-EST/6053/2014) and postdoctoral fellowship to JA (SFRH/BPD/111003/2015) and RA (SFRH/BPD/75843/2011); (10) The project TETRIS (PRIN 2010-2011, MIUR) for support to LA and EMS. This work was funded by the European Commission under FP7 as the coordination action KNEU-Developing a Knowledge Network for EUropean expertise on biodiversity and ecosystem services to inform policy making economic sectors (Grant No. 265299).</t>
  </si>
  <si>
    <t>DQ2BT</t>
  </si>
  <si>
    <t>WOS:000379006400008</t>
  </si>
  <si>
    <t>Hunter, A; Speirs, DC; Heath, MR</t>
  </si>
  <si>
    <t>Firth of Clyde; Growth rate; Demersal fish</t>
  </si>
  <si>
    <t>SIZE-SELECTIVE MORTALITY; COD GADUS-MORHUA; BODY-SIZE; TEMPERATURE; LENGTH; AGE; POPULATION; TRAITS; DENSITY; HARVEST</t>
  </si>
  <si>
    <t>[Hunter, Aidan; Speirs, Douglas C.; Heath, Michael R.] Univ Strathclyde, Dept Math &amp; Stat, Marine Populat Modelling Grp, 26 Richmond St, Glasgow G1 1XH, Lanark, Scotland</t>
  </si>
  <si>
    <t>University of Strathclyde</t>
  </si>
  <si>
    <t>Hunter, A (corresponding author), Univ Strathclyde, Dept Math &amp; Stat, Marine Populat Modelling Grp, 26 Richmond St, Glasgow G1 1XH, Lanark, Scotland.</t>
  </si>
  <si>
    <t>aidan.hunter@strath.ac.uk; d.c.speirs@strath.ac.uk; m.heath@strath.ac.uk</t>
  </si>
  <si>
    <t>Hunter, Aidan/HTP-5511-2023; Speirs, Douglas/D-7526-2013; Heath, Michael/D-5765-2013</t>
  </si>
  <si>
    <t>Heath, Michael/0000-0001-6602-3107; Hunter, Aidan/0000-0003-2621-9978; Speirs, Douglas/0000-0002-4367-1459;</t>
  </si>
  <si>
    <t>Natural Environment Research Council (NERC) [NE/K508911/1]; Marine Scotland Science (MSS) Marine Laboratory in Aberdeen [MF0762]; Natural Environment Research Council [1263497] Funding Source: researchfish</t>
  </si>
  <si>
    <t>Natural Environment Research Council (NERC)(UK Research &amp; Innovation (UKRI)Natural Environment Research Council (NERC)); Marine Scotland Science (MSS) Marine Laboratory in Aberdeen; Natural Environment Research Council(UK Research &amp; Innovation (UKRI)Natural Environment Research Council (NERC))</t>
  </si>
  <si>
    <t>Data not publicly available were provided by the Marine Scotland Science (MSS) Marine Laboratory in Aberdeen under research project MF0762, as part of a Memorandum of Understanding between MSS and the University of Strathclyde. The authors thank Dr Robin Cook for guidance in using OpenBUGS, and the Natural Environment Research Council (NERC) for funding this work (grant reference NE/K508911/1).</t>
  </si>
  <si>
    <t>DG9BU</t>
  </si>
  <si>
    <t>Green Accepted, hybrid</t>
  </si>
  <si>
    <t>WOS:000372378600009</t>
  </si>
  <si>
    <t>Izmest'eva, LR; Moore, MV; Hampton, SE; Ferwerda, CJ; Gray, DK; Woo, KH; Pislegina, HV; Krashchuk, LS; Shimaraeva, SV; Silow, EA</t>
  </si>
  <si>
    <t>Lake warming; Eutrophication; Zooplankton; Lake Baikal; Lake monitoring</t>
  </si>
  <si>
    <t>CLIMATE-CHANGE; EUTROPHICATION; COPEPODS; PHYTOPLANKTON; ZOOPLANKTON; POLLUTION; IMPACTS; SIBERIA; CARBON; ALGAE</t>
  </si>
  <si>
    <t>[Izmest'eva, Lyubov R.; Pislegina, Helena V.; Krashchuk, Lyudmila S.; Shimaraeva, Svetlana V.; Silow, Eugene A.] Irkutsk State Univ, Inst Biol, POB 24, Irkutsk 664003, Russia; [Moore, Marianne V.] Wellesley Coll, Dept Biol Sci, Wellesley, MA 02481 USA; [Hampton, Stephanie E.; Woo, Kara H.] Washington State Univ, Ctr Environm Res Educ &amp; Outreach, Pullman, WA 99164 USA; [Ferwerda, Carolin J.] Wellesley Coll, Lib Serv, Wellesley, MA 02481 USA; [Ferwerda, Carolin J.] Wellesley Coll, Technol Serv, Wellesley, MA 02481 USA; [Gray, Derek K.] Calif Univ Penn, Dept Biol &amp; Environm Sci, California, PA 15419 USA; [Izmest'eva, Lyubov R.] 5th Armee St,46, Irkutsk 664025 3, Russia</t>
  </si>
  <si>
    <t>Irkutsk State University; Wellesley College; Washington State University; Wellesley College; Wellesley College; Pennsylvania State System of Higher Education (PASSHE); California University of Pennsylvania</t>
  </si>
  <si>
    <t>Moore, MV (corresponding author), Wellesley Coll, Dept Biol Sci, Wellesley, MA 02481 USA.</t>
  </si>
  <si>
    <t>mmoore@wellesley.edu</t>
  </si>
  <si>
    <t>Shimaraeva, Svetlana/ABC-7160-2021; Silow, Eugene/C-2958-2011</t>
  </si>
  <si>
    <t>Silow, Eugene/0000-0002-7039-3220; Woo, Kara/0000-0002-5125-4188; Hampton, Stephanie/0000-0003-2389-4249</t>
  </si>
  <si>
    <t>Russian Ministry of Education and Science research project [GR 01201461929]; Brachman Hoffman Fund; Fiske Fund; Committee on Faculty Awards at Wellesley College; Russian Science Foundation [14-14-00400]; Irkutsk State University; Dimensions of Biodiversity program of the US National Science Foundation [DEB-1136637, DEB-1136657]; Division Of Environmental Biology; Direct For Biological Sciences [1136710, 1136657] Funding Source: National Science Foundation; Russian Science Foundation [14-14-00400] Funding Source: Russian Science Foundation</t>
  </si>
  <si>
    <t>Russian Ministry of Education and Science research project; Brachman Hoffman Fund; Fiske Fund; Committee on Faculty Awards at Wellesley College; Russian Science Foundation(Russian Science Foundation (RSF)); Irkutsk State University; Dimensions of Biodiversity program of the US National Science Foundation; Division Of Environmental Biology; Direct For Biological Sciences(National Science Foundation (NSF)NSF - Directorate for Biological Sciences (BIO)); Russian Science Foundation(Russian Science Foundation (RSF))</t>
  </si>
  <si>
    <t>This paper is dedicated to Nadezhda P. Blokhina, Olga H. Pen'kova, Galina I. Pomazkova (zooplankton specialists) and other students, staff, faculty, ship captains, and crew members who collected or processed the limnological samples from the circumBaikal sampling program at Irkutsk State University's General Hydrobiology Laboratory of the Institute of Biology now supported by the Russian Ministry of Education and Science research project GR 01201461929. These Lake Baikal data are part of a data set (No. 2005620028 and No. 2014621482) registered with the government of the Russian Federation. Data analyses were supported by the Dimensions of Biodiversity program of the US National Science Foundation (DEB-1136637; DEB-1136657) in addition to the awards from the Brachman Hoffman Fund, Fiske Fund, and the Committee on Faculty Awards at Wellesley College. E. Silow was partially supported by the Russian Science Foundation Project No. 14-14-00400. A Howard Hughes grant and a Strategic Investment in Research and Teaching grant to Wellesley College supported student assistants from Irkutsk State University: Denis Axenov-Gribanov, Margarita Tsitsenko, Kirill Shchapov, and Nadia Shakhtanova. Student assistants from Wellesley College included Ashley Ortiz, Julia Shalnova, Genia Nizkorodov, Iris Lin, and Graeme Durovich. We are grateful to Jonathan Lefcheck for sharing the code to calculate the goodness of fit for mixed models and Steve Katz for many conversations about mixed models. We thank Oleg Timoshkin, Ted Ozersky, Nick Rodenhouse, and two anonymous reviewers for comments that improved the manuscript.</t>
  </si>
  <si>
    <t>0380-1330</t>
  </si>
  <si>
    <t>J GREAT LAKES RES</t>
  </si>
  <si>
    <t>J. Gt. Lakes Res.</t>
  </si>
  <si>
    <t>Environmental Sciences; Limnology; Marine &amp; Freshwater Biology</t>
  </si>
  <si>
    <t>DD7PB</t>
  </si>
  <si>
    <t>WOS:000370115500002</t>
  </si>
  <si>
    <t>Olah, G; Butchart, SHM; Symes, A; Guzmán, IM; Cunningham, R; Brightsmith, DJ; Heinsohn, R</t>
  </si>
  <si>
    <t>Extinction risk; Anthropogenic threat; Psittaciformes; IUCN; Comparative analysis; Socioeconomics</t>
  </si>
  <si>
    <t>RED-LIST-INDEXES; DEVELOPING-COUNTRIES; NESTING BIRDS; CONSERVATION; URBANIZATION; BIODIVERSITY; TRADE; DEFORESTATION; PROGRESS; FORESTS</t>
  </si>
  <si>
    <t>[Olah, George; Cunningham, Ross; Heinsohn, Robert] Australian Natl Univ, Fenner Sch Environm &amp; Soc, Frank Fenner Bldg 141, Canberra, ACT 0200, Australia; [Butchart, Stuart H. M.; Symes, Andy] BirdLife Int, Attenborough Bldg,Pembroke St, Cambridge CB2 3QZ, England; [Butchart, Stuart H. M.] Univ Cambridge, Dept Zool, Downing St, Cambridge CB2 3EJ, England; [Guzman, Iliana Medina] Australian Natl Univ, Res Sch Biol, Dept Ecol Evolut &amp; Genet, Canberra, ACT 0200, Australia; [Brightsmith, Donald J.] Texas A&amp;M Univ, Dept Vet Pathobiol, Schubot Exot Bird Hlth Ctr, College Stn, TX USA</t>
  </si>
  <si>
    <t>Australian National University; BirdLife International; University of Cambridge; Australian National University; Texas A&amp;M University System; Texas A&amp;M University College Station</t>
  </si>
  <si>
    <t>Olah, G (corresponding author), Australian Natl Univ, Fenner Sch Environm &amp; Soc, Frank Fenner Bldg 141, Canberra, ACT 0200, Australia.</t>
  </si>
  <si>
    <t>george.olah@anu.edu.au</t>
  </si>
  <si>
    <t>; Butchart, Stuart/Y-2711-2018; Brightsmith, Donald/AFP-6335-2022; Olah, George/J-1409-2014</t>
  </si>
  <si>
    <t>Brightsmith, Donald Joseph/0000-0002-3306-6490; Butchart, Stuart/0000-0002-1140-4049; Heinsohn, Robert/0000-0002-2514-9448; Olah, George/0000-0002-7935-8843</t>
  </si>
  <si>
    <t>DD7XA</t>
  </si>
  <si>
    <t>WOS:000370137100001</t>
  </si>
  <si>
    <t>Wenger, AS; Williamson, DH; da Silva, ET; Ceccarelli, DM; Browne, NK; Petus, C; Devlin, MJ</t>
  </si>
  <si>
    <t>coastal development; disturbance; Great Barrier Reef; local adaptation; MPA; resilience</t>
  </si>
  <si>
    <t>GREAT-BARRIER-REEF; NUTRIENT ENRICHMENT; COMMUNITY STRUCTURE; PROTECTED AREAS; PUERTO-RICO; RESILIENCE; SEDIMENTATION; CONSERVATION; BIODIVERSITY; DEGRADATION</t>
  </si>
  <si>
    <t>[Wenger, Amelia S.; Williamson, David H.; Ceccarelli, Daniela M.] James Cook Univ, ARC Ctr Excellence Coral Reef Studies, Townsville, Qld 4811, Australia; [da Silva, Eduardo T.; Petus, Caroline; Devlin, Michelle J.] James Cook Univ, TropWater, Townsville, Qld 4811, Australia; [Browne, Nicola K.] Curtin Univ, Fac Sci &amp; Engn, Dept Environm &amp; Agr, Bentley Campus, Perth, WA 6102, Australia</t>
  </si>
  <si>
    <t>James Cook University; ARC Centre of Excellence for Coral Reef Studies; James Cook University; Curtin University</t>
  </si>
  <si>
    <t>Wenger, AS (corresponding author), James Cook Univ, ARC Ctr Excellence Coral Reef Studies, Townsville, Qld 4811, Australia.</t>
  </si>
  <si>
    <t>amelia.wenger@gmail.com</t>
  </si>
  <si>
    <t>Ceccarelli, Daniela/AAN-3577-2020; browne, Nicola/W-6612-2019; Devlin, Michelle Jillian/M-5870-2014; Petus, Caroline/A-6937-2015; Wenger, Amelia/S-9135-2019; Devlin, Michelle/HGC-1104-2022</t>
  </si>
  <si>
    <t>Williaon, David/0000-0001-8447-039X; Devlin, Michelle Jillian/0000-0003-2194-2534; Browne, nicola/0000-0002-7160-6865; Wenger, Amelia/0000-0002-0433-6164</t>
  </si>
  <si>
    <t>Australian Research Council; National Environmental Research Program; Marine Monitoring Program</t>
  </si>
  <si>
    <t>Australian Research Council(Australian Research Council); National Environmental Research Program; Marine Monitoring Program</t>
  </si>
  <si>
    <t>We acknowledge the Australian Research Council, the National Environmental Research Program, and the Marine Monitoring Program for funding and support. This paper greatly benefited from discussions with J. Lamb.</t>
  </si>
  <si>
    <t>0888-8892</t>
  </si>
  <si>
    <t>1523-1739</t>
  </si>
  <si>
    <t>CONSERV BIOL</t>
  </si>
  <si>
    <t>Conserv. Biol.</t>
  </si>
  <si>
    <t>DC0WG</t>
  </si>
  <si>
    <t>WOS:000368938000016</t>
  </si>
  <si>
    <t>Araújo, FG; de Azevedo, MCC; Guedes, APP</t>
  </si>
  <si>
    <t>Estuarine fishes; Biodiversity; Habitat heterogeneity; Richness; Long-term change; Bay</t>
  </si>
  <si>
    <t>SEPETIBA BAY; TEMPORAL VARIATION; BIODIVERSITY LOSS; WATER-QUALITY; ASSEMBLAGES; MARINE; ESTUARY; ABUNDANCE; TRENDS; DIVERSITY</t>
  </si>
  <si>
    <t>[Araujo, Francisco Gerson; Costa de Azevedo, Marcia Cristina; Penha Guedes, Ana Paula] Univ Fed Rural Rio de Janeiro, Lab Ecol Peixes, BR 465,Km 7, BR-23851930 Seropedica, RJ, Brazil</t>
  </si>
  <si>
    <t>Universidade Federal Rural do Rio de Janeiro (UFRRJ)</t>
  </si>
  <si>
    <t>Araújo, FG (corresponding author), Univ Fed Rural Rio de Janeiro, Lab Ecol Peixes, BR 465,Km 7, BR-23851930 Seropedica, RJ, Brazil.</t>
  </si>
  <si>
    <t>gerson@ufrrj.br</t>
  </si>
  <si>
    <t>Guedes, Ana/AAO-9848-2020; Araújo, Francisco/O-4343-2014</t>
  </si>
  <si>
    <t>Araújo, Francisco Gerson/0000-0003-4551-1974</t>
  </si>
  <si>
    <t>CNPq-Brazilian National Agency for Scientific and Technological Development [304954/2011-0]</t>
  </si>
  <si>
    <t>CNPq-Brazilian National Agency for Scientific and Technological Development(Conselho Nacional de Desenvolvimento Cientifico e Tecnologico (CNPQ)Fundacao de Apoio a Pesquisa do Distrito Federal (FAPDF))</t>
  </si>
  <si>
    <t>We thank Antonio Gomes Cruz-Filho, Andre Luiz Machado Pessanha and Iracema David Gomes for helping in fieldwork. This work was partially supported by CNPq-Brazilian National Agency for Scientific and Technological Development (Grants for the first author, Process: 304954/2011-0).</t>
  </si>
  <si>
    <t>FM1QS</t>
  </si>
  <si>
    <t>WOS:000414755500014</t>
  </si>
  <si>
    <t>Berndes, G; Ahlgren, S; Börjesson, P; Cowie, AL</t>
  </si>
  <si>
    <t>Lund, PD; Byrne, J; Berndes, G; Vasalos, IA</t>
  </si>
  <si>
    <t>Bioenergy and Land Use Change-State of the Art</t>
  </si>
  <si>
    <t>ADVANCES IN BIOENERGY: THE SUSTAINABILITY CHALLENGE</t>
  </si>
  <si>
    <t>GREENHOUSE-GAS EMISSIONS; BIOFUELS TESTING PREDICTIONS; CLIMATE-CHANGE MITIGATION; ENERGY WOOD PRODUCTION; NET PRIMARY PRODUCTION; CARBON-DIOXIDE; TRADE-OFFS; STOVER REMOVAL; FOOD SECURITY; NORWAY SPRUCE</t>
  </si>
  <si>
    <t>[Berndes, Goran; Borjesson, Pal] Chalmers Univ Technol, Dept Energy &amp; Environm, Phys Resource Theory, Gothenburg, Sweden; [Ahlgren, Serina] Lund Univ, Dept Technol &amp; Soc Environm &amp; Energy Syst Studies, Lund, Sweden; [Cowie, Annette L.] Univ New England, Rural Climate Solut, Armidale, NSW, Australia</t>
  </si>
  <si>
    <t>Chalmers University of Technology; Lund University; University of New England</t>
  </si>
  <si>
    <t>Berndes, G (corresponding author), Chalmers Univ Technol, Dept Energy &amp; Environm, Phys Resource Theory, Gothenburg, Sweden.</t>
  </si>
  <si>
    <t>goran.berndes@chalmers.se</t>
  </si>
  <si>
    <t>Cowie, Annette/E-1485-2016</t>
  </si>
  <si>
    <t>JOHN WILEY &amp; SONS LTD</t>
  </si>
  <si>
    <t>CHICHESTER</t>
  </si>
  <si>
    <t>THE ATRIUM, SOUTHERN GATE, CHICHESTER PO19 8SQ, WEST SUSSEX, ENGLAND</t>
  </si>
  <si>
    <t>978-1-118-95786-8; 978-1-118-95787-5</t>
  </si>
  <si>
    <t>10.1002/9781118957844</t>
  </si>
  <si>
    <t>Agricultural Engineering; Green &amp; Sustainable Science &amp; Technology; Energy &amp; Fuels</t>
  </si>
  <si>
    <t>Agriculture; Science &amp; Technology - Other Topics; Energy &amp; Fuels</t>
  </si>
  <si>
    <t>BF8SA</t>
  </si>
  <si>
    <t>WOS:000385226400017</t>
  </si>
  <si>
    <t>Han, JJ; Li, LH; Chu, HS; Miao, Y; Chen, SP; Chen, JQ</t>
  </si>
  <si>
    <t>Human disturbances; Phenology; Carbon; Desert steppe; Grazing; Water</t>
  </si>
  <si>
    <t>CARBON SEQUESTRATION; FLOWERING PHENOLOGY; CHANGING CLIMATE; PLANT-GROWTH; LAND-COVER; SOIL; EVAPOTRANSPIRATION; RESPIRATION; RESPONSES; DROUGHT</t>
  </si>
  <si>
    <t>[Han, Juanjuan] Nanjing Univ Informat Sci &amp; Technol, Int Ctr Ecol Meteorol &amp; Environm, Nanjing 210044, Jiangsu, Peoples R China; [Han, Juanjuan; Li, Linghao; Chen, Shiping] Chinese Acad Sci, Inst Bot, Key Lab Vegetat &amp; Environm Change, Beijing 100093, Peoples R China; [Chen, Jiquan] Michigan State Univ, CGCEO Geog, E Lansing, MI 48824 USA; [Chu, Housen] Univ Calif Berkeley, Dept Environm Sci Policy &amp; Management, Berkeley, CA 94720 USA; [Miao, Yuan] Henan Univ, Coll Life Sci, China &amp; State Key Lab Cotton Biol, Key Lab Plant Stress Biol, Kaifeng 475004, Henan, Peoples R China</t>
  </si>
  <si>
    <t>Nanjing University of Information Science &amp; Technology; Chinese Academy of Sciences; Institute of Botany, CAS; Michigan State University; University of California System; University of California Berkeley; Henan University</t>
  </si>
  <si>
    <t>Chen, JQ (corresponding author), Michigan State Univ, CGCEO Geog, E Lansing, MI 48824 USA.</t>
  </si>
  <si>
    <t>jqchen@msu.edu</t>
  </si>
  <si>
    <t>Chen, Shiping/AAH-9751-2019; Li, Linghao/NXX-9139-2025; Chen, Jiquan/D-1955-2009; Chu, Housen/Q-6517-2016</t>
  </si>
  <si>
    <t>Chen, Jiquan/0000-0003-0761-9458; Chu, Housen/0000-0002-8131-4938</t>
  </si>
  <si>
    <t>National Natural Science Foundation of China [31500403, 31229001]; NSF [1313761]; China Postdoctoral Science Foundation; ICER; Directorate For Geosciences [1523628] Funding Source: National Science Foundation; ICER; Directorate For Geosciences [1313761] Funding Source: National Science Foundation</t>
  </si>
  <si>
    <t>National Natural Science Foundation of China(National Natural Science Foundation of China (NSFC)); NSF(National Science Foundation (NSF)); China Postdoctoral Science Foundation(China Postdoctoral Science Foundation); ICER; Directorate For Geosciences(National Science Foundation (NSF)NSF - Directorate for Geosciences (GEO)); ICER; Directorate For Geosciences(National Science Foundation (NSF)NSF - Directorate for Geosciences (GEO))</t>
  </si>
  <si>
    <t>We thank Guodong Han for maintaining the grazing platform and constructive suggestions for phenological observation. We also thank to Gabriela Shirkey for language editing of the manuscript. Our research were supported by the National Natural Science Foundation of China (31500403, 31229001), the Dynamics of Coupled Natural and Human Systems (CNH) Program of the NSF (#1313761), and China Postdoctoral Science Foundation.</t>
  </si>
  <si>
    <t>ACADEMIC PRESS INC ELSEVIER SCIENCE</t>
  </si>
  <si>
    <t>SAN DIEGO</t>
  </si>
  <si>
    <t>525 B ST, STE 1900, SAN DIEGO, CA 92101-4495 USA</t>
  </si>
  <si>
    <t>0013-9351</t>
  </si>
  <si>
    <t>1096-0953</t>
  </si>
  <si>
    <t>ENVIRON RES</t>
  </si>
  <si>
    <t>Environ. Res.</t>
  </si>
  <si>
    <t>Environmental Sciences; Public, Environmental &amp; Occupational Health</t>
  </si>
  <si>
    <t>Environmental Sciences &amp; Ecology; Public, Environmental &amp; Occupational Health</t>
  </si>
  <si>
    <t>CY5JF</t>
  </si>
  <si>
    <t>WOS:000366443200007</t>
  </si>
  <si>
    <t>Knop, E</t>
  </si>
  <si>
    <t>arthropods; Auchenorrhyncha; beta-diversity; biodiversity; Coleoptera; Heteroptera; nestedness; urbanization</t>
  </si>
  <si>
    <t>SPECIES RICHNESS; BETA-DIVERSITY; URBAN FLORAS; BIODIVERSITY; PATTERNS; SIMILARITY; TURNOVER; INVASION; DISTANCE; ECOLOGY</t>
  </si>
  <si>
    <t>[Knop, Eva] Univ Bern, Dept Community Ecol, Inst Ecol &amp; Evolut, CH-3012 Bern, Switzerland</t>
  </si>
  <si>
    <t>University of Bern</t>
  </si>
  <si>
    <t>Knop, E (corresponding author), Univ Bern, Dept Community Ecol, Inst Ecol &amp; Evolut, Baltzerstr 6, CH-3012 Bern, Switzerland.</t>
  </si>
  <si>
    <t>evaknop@gmx.ch</t>
  </si>
  <si>
    <t>Knop, Eva/D-2298-2018</t>
  </si>
  <si>
    <t>Knop, Eva/0000-0001-9402-2216</t>
  </si>
  <si>
    <t>DA7KL</t>
  </si>
  <si>
    <t>WOS:000367982900018</t>
  </si>
  <si>
    <t>Banger, K; Tian, HQ; Tao, B; Ren, W; Pan, SF; Dangal, S; Yang, J</t>
  </si>
  <si>
    <t>CARBON STORAGE; TROPOSPHERIC OZONE; CLIMATE-CHANGE; AMAZONIAN ECOSYSTEMS; PLANT RESPIRATION; SATELLITE DATA; SURFACE OZONE; GLOBAL CHANGE; MONSOON ASIA; SOIL QUALITY</t>
  </si>
  <si>
    <t>[Banger, Kamaljit; Tian, Hanqin; Tao, Bo; Ren, Wei; Pan, Shufen; Dangal, Shree; Yang, Jia] Auburn Univ, Sch Forestry &amp; Wildlife Sci, Int Ctr Climate &amp; Global Change Res, Auburn, AL 36849 USA</t>
  </si>
  <si>
    <t>Auburn University System; Auburn University</t>
  </si>
  <si>
    <t>Tian, HQ (corresponding author), Auburn Univ, Sch Forestry &amp; Wildlife Sci, Int Ctr Climate &amp; Global Change Res, Auburn, AL 36849 USA.</t>
  </si>
  <si>
    <t>tianhan@auburn.edu</t>
  </si>
  <si>
    <t>Banger, Kamaljit/B-3215-2016; Tian, Hanqin/A-6484-2012; Ren, Wei/G-8317-2016; TAO, BO/I-4166-2014; Pan, Shufen/JJC-1864-2023; Dangal, Shree/N-3393-2015; Yang, Jia/A-6483-2012</t>
  </si>
  <si>
    <t>Tian, Hanqin/0000-0002-1806-4091; Pan, Shufen/0000-0001-7920-1427;</t>
  </si>
  <si>
    <t>NASA Land Cover and Land Use Change Program [NNX08AL73G]; US National Science Foundation [AGS-1243232, CNS-1059376]; NASA [98551, NNX08AL73G] Funding Source: Federal RePORTER</t>
  </si>
  <si>
    <t>NASA Land Cover and Land Use Change Program(National Aeronautics &amp; Space Administration (NASA)); US National Science Foundation(National Science Foundation (NSF)); NASA(National Aeronautics &amp; Space Administration (NASA))</t>
  </si>
  <si>
    <t>This study has been supported by NASA Land Cover and Land Use Change Program (NNX08AL73G) and US National Science Foundation Grants (AGS-1243232, CNS-1059376).</t>
  </si>
  <si>
    <t>0165-0009</t>
  </si>
  <si>
    <t>1573-1480</t>
  </si>
  <si>
    <t>Clim. Change</t>
  </si>
  <si>
    <t>OCT</t>
  </si>
  <si>
    <t>CS1CC</t>
  </si>
  <si>
    <t>WOS:000361799100009</t>
  </si>
  <si>
    <t>Bernhardt-Römermann, M; Baeten, L; Craven, D; De Frenne, P; Hédl, R; Lenoir, J; Bert, D; Brunet, J; Chudomelová, M; Decocq, G; Dierschke, H; Dirnböck, T; Dörfler, I; Heinken, T; Hermy, M; Hommel, P; Jaroszewicz, B; Keczynski, A; Kelly, DL; Kirby, KJ; Kopecky, M; Macek, M; Mális, F; Mirtl, M; Mitchell, FJG; Naaf, T; Newman, M; Peterken, G; Petrík, P; Schmidt, W; Standovár, T; Tóth, Z; Van Calster, H; Verstraeten, G; Vladovic, J; Vild, O; Wulf, M; Verheyen, K</t>
  </si>
  <si>
    <t>atmospheric nitrogen deposition; evenness; forestREplot; forest management; game browsing; Shannon diversity; spatiotemporal resurvey data; species richness</t>
  </si>
  <si>
    <t>CLIMATE-CHANGE IMPACTS; NITROGEN DEPOSITION; DECIDUOUS FOREST; HERBACEOUS LAYER; BIODIVERSITY CHANGE; COMMUNITY CHANGES; SPECIES RICHNESS; METAANALYSIS; VEGETATION; WOODLAND</t>
  </si>
  <si>
    <t>[Bernhardt-Roemermann, Markus] Univ Jena, Inst Ecol, D-07743 Jena, Germany; [Baeten, Lander; De Frenne, Pieter; Verstraeten, Gorik; Verheyen, Kris] Univ Ghent, Forest &amp; Nat Lab, B-9090 Gontrode Melle, Belgium; [Baeten, Lander] Univ Ghent, Terr Ecol Unit, Dept Biol, B-9000 Ghent, Belgium; [Craven, Dylan] German Ctr Integrat Biodivers Res iDiv, Synth Ctr Biodivers Sci sDiv, D-04103 Leipzig, Germany; [Craven, Dylan] Univ Leipzig, Inst Biol, D-04103 Leipzig, Germany; [Hedl, Radim; Chudomelova, Marketa; Kopecky, Martin; Vild, Ondrej] Acad Sci Czech Republ, Inst Bot, Dept Vegetat Ecol, CZ-60200 Brno, Czech Republic; [Hedl, Radim] Palacky Univ, Dept Bot, Fac Sci, CZ-78371 Olomouc, Czech Republic; [Lenoir, Jonathan; Decocq, Guillaume] Jules Verne Univ Picardie, EDYSAN, FRE CNRS UPJV 3498, Ecol &amp; Dynam Syst Anthropises, F-80037 Amiens, France; [Bert, Didier] INRA, UMR BIOGECO 1202, F-33610 Cestas, France; [Bert, Didier] Univ Bordeaux, BIOGECO, UMR1202, F-33615 Pessac, France; [Brunet, Jorg] Swedish Univ Agr Sci, Southern Swedish Forest Res Ctr, S-23053 Alnarp, Sweden; [Chudomelova, Marketa; Vild, Ondrej] Masaryk Univ, Dept Bot &amp; Zool, CZ-61137 Brno, Czech Republic; [Dierschke, Hartmut] Univ Gottingen, Albrecht von Haller Inst Plant Sci, Dept Vegetat &amp; Phytodivers Anal, D-37073 Gottingen, Germany; [Dirnboeck, Thomas; Mirtl, Michael] Environm Agcy Austria, Ecosyst Res &amp; Environm Informat Management, A-1090 Vienna, Austria; [Doerfler, Inken] Tech Univ Munich, Dept Ecol &amp; Ecosyst management, D-85350 Freising Weihenstephan, Germany; [Heinken, Thilo] Univ Potsdam, Inst Biochem &amp; Biol, Biodivers Res Systemat Bot, D-14471 Potsdam, Germany; [Hermy, Martin] Katholieke Univ Leuven, Dept Earth &amp; Environm Sci, Div Forest Nat &amp; Landscape, B-3001 Louvain, Belgium; [Hommel, Patrick] Wageningen UR, Alterra Res Inst, NL-6700 AA Wageningen, Netherlands; [Jaroszewicz, Bogdan] Univ Warsaw, Bialowieza Geobot Stn, Fac Biol, PL-17230 Bialowieza, Poland; [Keczynski, Andrzej] Bialowieza Natl Pk, PL-17230 Bialowieza, Poland; [Kelly, Daniel L.; Mitchell, Fraser J. G.; Newman, Miles] Univ Dublin Trinity Coll, Sch Nat Sci, Dept Bot, Dublin 2, Ireland; [Kelly, Daniel L.; Mitchell, Fraser J. G.; Newman, Miles] Univ Dublin Trinity Coll, Sch Nat Sci, Trinity Ctr Biodivers Res, Dublin 2, Ireland; [Kirby, Keith J.] Univ Oxford, Dept Plant Sci, Oxford OX1 3RB, England; [Macek, Martin; Petrik, Petr] Acad Sci Czech Republ, Inst Bot, Dept GIS &amp; Remote Sensing, CZ-25243 Pruhonice, Czech Republic; [Malis, Frantisek] Tech Univ Zvolen, Fac Forestry, SK-96053 Zvolen, Slovakia; [Malis, Frantisek; Vladovic, Jozef] Forest Res Inst Zvolen, Natl Forest Ctr, SK-96052 Zvolen, Slovakia; [Naaf, Tobias; Wulf, Monika] Leibniz Ctr Agr Landscape Res ZALF, Inst Land Use Syst, D-15374 Muncheberg, Germany; [Schmidt, Wolfgang] Univ Gottingen, Burckhardt Inst, Dept Silviculture &amp; Forest Ecol Temperate Zones, D-37077 Gottingen, Germany; [Standovar, Tibor; Toth, Zoltan] Eotvos Lorand Univ, Inst Biol, Dept Plant Systemat Ecol &amp; Theoret Biol, H-1117 Budapest, Hungary; [Van Calster, Hans] Res Inst Nat &amp; Forest, B-1070 Brussels, Belgium; [Wulf, Monika] Univ Potsdam, Inst Biochem &amp; Biol, D-14469 Potsdam, Germany</t>
  </si>
  <si>
    <t>Friedrich Schiller University of Jena; Ghent University; Ghent University; German Research Foundation (DFG); German Centre for Integrative Biodiversity Research (iDiv); Leipzig University; Czech Academy of Sciences; Institute of Botany of the Czech Academy of Sciences; Palacky University Olomouc; Universite de Picardie Jules Verne (UPJV); INRAE; Universite de Bordeaux; Swedish University of Agricultural Sciences; Masaryk University; University of Gottingen; Technical University of Munich; University of Potsdam; KU Leuven; Wageningen University &amp; Research; University of Warsaw; Trinity College Dublin; Trinity College Dublin; University of Oxford; Czech Academy of Sciences; Institute of Botany of the Czech Academy of Sciences; Technical University Zvolen; National Forest Center - Slovakia; Leibniz Association; Leibniz Zentrum fur Agrarlandschaftsforschung (ZALF); University of Gottingen; Eotvos Lorand University; Research Institute for Nature &amp; Forest; University of Potsdam</t>
  </si>
  <si>
    <t>Bernhardt-Römermann, M (corresponding author), Univ Jena, Inst Ecol, Dornburger Str 159, D-07743 Jena, Germany.</t>
  </si>
  <si>
    <t>markus.bernhardt@uni-jena.de</t>
  </si>
  <si>
    <t>; Bert, Didier/JZE-3544-2024; Malis, Frantisek/AAD-5364-2019; Macek, Martin/A-3371-2016; Standovár, Tibor/H-5021-2017; Mitchell, Fraser/L-9292-2014; Baeten, Lander/G-1490-2010; Hermy, Martin/A-3769-2009; Heinken, Thilo/GRS-3133-2022; Lenoir, Jonathan/AAE-8441-2019; Mirtl, Michael/LEM-0818-2024; Naaf, Tobias/AAS-7183-2020; Petřík, Petr/H-1649-2014; De Frenne, Pieter/N-4969-2014; Bernhardt-Römermann, Markus/B-3027-2009; Chudomelová, Markéta/KFS-0934-2024; Hédl, Radim/A-5631-2011; Vild, Ondřej/AAC-4043-2019; Máliš, František/R-8687-2016; Kopecký, Martin/A-1466-2009; Craven, Dylan/K-2717-2012; Jaroszewicz, Bogdan/AAC-8184-2020; Brunet, Jörg/B-3583-2012</t>
  </si>
  <si>
    <t>Verheyen, Kris/0000-0002-2067-9108; Chudomelová, Markéta/0000-0001-7845-4000; Macek, Martin/0000-0002-5609-5921; Craven, Dylan/0000-0003-3940-833X; Naaf, Tobias/0000-0002-4809-3694; Petřík, Petr/0000-0001-8518-6737; De Frenne, Pieter/0000-0002-8613-0943; Dirnböck, Thomas/0000-0002-8294-0690; Mitchell, Fraser/0000-0002-9857-5632; Baeten, Lander/0000-0003-4262-9221; Jaroszewicz, Bogdan/0000-0002-2042-8245; Van Calster, Hans/0000-0001-8595-8426; Máliš, František/0000-0003-2760-6988; Vild, Ondřej/0000-0002-0728-2392; Kopecký, Martin/0000-0002-1018-9316</t>
  </si>
  <si>
    <t>European Research Council under European Union's Seventh Framework Program - ERC Grant [278065]; Ministry of Education of the Czech Republic [CZ.1.07/2.3.00/20.0267]; ERC Consolidator Grant [614839 - PASTFORWARD]; National Parks &amp; Wildlife Service of Government of Ireland; German Centre for Integrative Biodiversity Research (iDiv) Halle-Jena-Leipzig - German Science Foundation [FZT 118]; [RVO 67985939]</t>
  </si>
  <si>
    <t>European Research Council under European Union's Seventh Framework Program - ERC Grant(European Research Council (ERC)); Ministry of Education of the Czech Republic(Ministry of Education, Youth &amp; Sports - Czech Republic); ERC Consolidator Grant(European Research Council (ERC)); National Parks &amp; Wildlife Service of Government of Ireland; German Centre for Integrative Biodiversity Research (iDiv) Halle-Jena-Leipzig - German Science Foundation;</t>
  </si>
  <si>
    <t>YY The research of RH, MC, MK, FM, MM, PP, and OV has received funding from the European Research Council under the European Union's Seventh Framework Program (FP7/2007-2013) - ERC Grant agreement no. 278065, long-term research development project no. RVO 67985939, and grant no. CZ.1.07/2.3.00/20.0267 of the Ministry of Education of the Czech Republic. The research of KV is supported by the ERC Consolidator Grant 614839 - PASTFORWARD. The research of DLK, FJGM, and MN has been supported by the National Parks &amp; Wildlife Service of the Government of Ireland. DC was supported by the German Centre for Integrative Biodiversity Research (iDiv) Halle-Jena-Leipzig, funded by the German Science Foundation (FZT 118). We thank Germund Tyler and Johnny Cornelis for providing data.</t>
  </si>
  <si>
    <t>CR0FS</t>
  </si>
  <si>
    <t>WOS:000360994500014</t>
  </si>
  <si>
    <t>Brummitt, NA; Bachman, SP; Griffiths-Lee, J; Lutz, M; Moat, JF; Farjon, A; Donaldson, JS; Hilton-Taylor, C; Meagher, TR; Albuquerque, S; Aletrari, E; Andrews, AK; Atchison, G; Baloch, E; Barlozzini, B; Brunazzi, A; Carretero, J; Celesti, M; Chadburn, H; Cianfoni, E; Cockel, C; Coldwell, V; Concetti, B; Contu, S; Crook, V; Dyson, P; Gardiner, L; Ghanim, N; Greene, H; Groom, A; Harker, R; Hopkins, D; Khela, S; Lakeman-Fraser, P; Lindon, H; Lockwood, H; Loftus, C; Lombrici, D; Lopez-Poveda, L; Lyon, J; Malcolm-Tompkins, P; McGregor, K; Moreno, L; Murray, L; Nazar, K; Power, E; Tuijtelaars, MQ; Salter, R; Segrott, R; Thacker, H; Thomas, LJ; Tingvoll, S; Watkinson, G; Wojtaszekova, K; Lughadha, EMN</t>
  </si>
  <si>
    <t>CONSERVATION ASSESSMENT; EXTINCTION RISK; BIODIVERSITY; PROGRESS; TRENDS; CONVENTION; DIVERSITY; THREAT</t>
  </si>
  <si>
    <t>[Brummitt, Neil A.; Aletrari, Elina; Atchison, Guy; Contu, Sara; Greene, Hannah; Harker, Ruth; Hopkins, Della; Lindon, Heather; Lopez-Poveda, Lucia] Nat Hist Museum, London SW7 5BD, England; [Bachman, Steven P.; Griffiths-Lee, Janine; Lutz, Maiko; Moat, Justin F.; Farjon, Aljos; Albuquerque, Sara; Aletrari, Elina; Andrews, A. Kei; Baloch, Elisabeth; Barlozzini, Barbara; Brunazzi, Alice; Carretero, Julia; Celesti, Marco; Chadburn, Helen; Cianfoni, Eduardo; Cockel, Chris; Coldwell, Vanessa; Concetti, Benedetta; Contu, Sara; Crook, Vicki; Dyson, Philippa; Gardiner, Lauren; Ghanim, Nadia; Groom, Alice; Harker, Ruth; Khela, Sonia; Lakeman-Fraser, Poppy; Lindon, Heather; Lockwood, Helen; Loftus, Christine; Lombrici, Debora; Lopez-Poveda, Lucia; Lyon, James; Malcolm-Tompkins, Patricia; McGregor, Kirsty; Moreno, Laura; Murray, Linda; Nazar, Keara; Power, Emily; Tuijtelaars, Mireya Quiton; Salter, Ruth; Segrott, Robert; Thacker, Hannah; Thomas, Leighton J.; Tingvoll, Sarah; Watkinson, Gemma; Wojtaszekova, Katerina; Lughadha, Eimear M. Nic] Royal Bot Gardens, Richmond TW9 3AB, Surrey, England; [Bachman, Steven P.; Moat, Justin F.] Univ Nottingham, Sch Geog, Nottingham NG7 2RD, England; [Donaldson, John S.] KRC, South African Natl Biodivers Inst, Claremont, South Africa; [Hilton-Taylor, Craig] IUCN Red List Unit, Cambridge, England; [Meagher, Thomas R.] Univ St Andrews, Sch Biol, St Andrews, Fife, Scotland; [Aletrari, Elina] Kings Coll London, London WC2R 2LS, England</t>
  </si>
  <si>
    <t>Natural History Museum London; Royal Botanic Gardens, Kew; University of Nottingham; South African National Biodiversity Institute; University of St Andrews; University of London; King's College London</t>
  </si>
  <si>
    <t>Brummitt, NA (corresponding author), Nat Hist Museum, Cromwell Rd, London SW7 5BD, England.</t>
  </si>
  <si>
    <t>n.brummitt@nhm.ac.uk</t>
  </si>
  <si>
    <t>; Lughadha, Eimear/N-4560-2014; Celesti, Marco/M-6738-2019; Albuquerque, Sara/O-9327-2014; Donaldson, John/F-6833-2011; Nic Lughadha, Eimear/N-4560-2014</t>
  </si>
  <si>
    <t>Celesti, Marco/0000-0001-7249-7106; McGregor, Kirsty/0000-0003-3696-7216; Gardiner, Lauren/0000-0002-8843-0317; Moat, Justin/0000-0002-5513-3615; Carretero, Julia/0000-0002-3697-1947; Bachman, Steven/0000-0003-1085-6075; Donaldson, John/0000-0002-7930-1695; Nic Lughadha, Eimear/0000-0002-8806-4345; Lutz, Maiko/0000-0002-6695-8380</t>
  </si>
  <si>
    <t>Charles Wolfson Charitable Trust; Esmee Fairbairn Foundation; Rio Tinto plc.; World Summit on Sustainable Development Implementation Fund of the Department of Environment; Food and Rural Affairs (Defra) of the United Kingdom government; World Collections Programme; Natural History Museum; Royal Botanic Gardens, Kew; Rufford Foundation; MAVA Foundation; Environment Agency of Abu Dhabi; NERC [NE/L013045/1] Funding Source: UKRI; Natural Environment Research Council [NE/L013045/1] Funding Source: researchfish</t>
  </si>
  <si>
    <t>Charles Wolfson Charitable Trust; Esmee Fairbairn Foundation; Rio Tinto plc.; World Summit on Sustainable Development Implementation Fund of the Department of Environment; Food and Rural Affairs (Defra) of the United Kingdom government; World Collections Programme; Natural History Museum; Royal Botanic Gardens, Kew; Rufford Foundation; MAVA Foundation; Environment Agency of Abu Dhabi; NERC(UK Research &amp; Innovation (UKRI)Natural Environment Research Council (NERC)); Natural Environment Research Council(UK Research &amp; Innovation (UKRI)Natural Environment Research Council (NERC))</t>
  </si>
  <si>
    <t>Funding and support for the first phase of the IUCN Sampled Red List Index for Plants has been provided by the Charles Wolfson Charitable Trust, the Esmee Fairbairn Foundation, Rio Tinto plc., the World Summit on Sustainable Development Implementation Fund of the Department of Environment, Food and Rural Affairs (Defra) of the United Kingdom government and the World Collections Programme, as well as The Natural History Museum and the Royal Botanic Gardens, Kew. The IUCN Red List Unit is generously supported by the Rufford Foundation, the MAVA Foundation and the Environment Agency of Abu Dhabi. Artisan Plant Nurseries did not have any additional role in the study design, data collection and analysis, decision to publish, or preparation of the manuscript. Rio Tinto plc. contributed to the funding of digitisation of specimen data and Red List assessment generation during the course of the project, but in no way did this hold any influence over the scientific outputs of this project. The funders had no role in the study design, data collection and analysis, decision to publish, or preparation of the manuscript.</t>
  </si>
  <si>
    <t>AUG 7</t>
  </si>
  <si>
    <t>e0135152</t>
  </si>
  <si>
    <t>CO4HF</t>
  </si>
  <si>
    <t>WOS:000359121100125</t>
  </si>
  <si>
    <t>Ginter, K; Kangur, A; Kangur, P; Kangur, K</t>
  </si>
  <si>
    <t>Pikeperch; Truncation of size-structure; Fisheries; Large lakes; Size-selective fishing</t>
  </si>
  <si>
    <t>FISHERIES MANAGEMENT; SPATIAL-DISTRIBUTION; POPULATION-DYNAMICS; PARNU BAY; PEIPSI; L.; PHOSPHORUS; VORTSJARV; GROWTH; BIODIVERSITY</t>
  </si>
  <si>
    <t>[Ginter, Kai; Kangur, Andu; Kangur, Peeter; Kangur, Kuelil] Estonian Univ Life Sci, Ctr Limnol, Inst Agr &amp; Environm Sci, EE-61117 Rannu, Estonia</t>
  </si>
  <si>
    <t>Estonian University of Life Sciences</t>
  </si>
  <si>
    <t>Ginter, K (corresponding author), Estonian Univ Life Sci, Ctr Limnol, Inst Agr &amp; Environm Sci, EE-61117 Rannu, Estonia.</t>
  </si>
  <si>
    <t>kai.ginter@emu.ee</t>
  </si>
  <si>
    <t>Ginter, Kai/G-9358-2017; Kangur, Külli/H-3631-2016</t>
  </si>
  <si>
    <t>Ginter, Kai/0000-0001-8222-1517; Kangur, Külli/0000-0003-2484-4075</t>
  </si>
  <si>
    <t>Estonian Science Foundation [6820]; Estonian Target Financed Project [SF0170006s08]</t>
  </si>
  <si>
    <t>Estonian Science Foundation(Estonian Research Council); Estonian Target Financed Project</t>
  </si>
  <si>
    <t>The research was supported by the Estonian Science Foundation (Grant number 6820) and the Estonian Target Financed Project SF0170006s08. We gratefully acknowledge Elsevier Language Service for language editing and Marina Haldna for guidance in statistical modelling. We are also grateful to the Estonian-Swiss Cooperation Programme Project Increasing the capability of environmental monitoring on Estonian lakes and rivers for basic infrastructure modernisation.</t>
  </si>
  <si>
    <t>CF7PM</t>
  </si>
  <si>
    <t>WOS:000352748800007</t>
  </si>
  <si>
    <t>Piao, SL; Yin, GD; Tan, JG; Cheng, L; Huang, MT; Li, Y; Liu, RG; Mao, JF; Myneni, RB; Peng, SS; Poulter, B; Shi, XY; Xiao, ZQ; Zeng, N; Zeng, ZZ; Wang, YP</t>
  </si>
  <si>
    <t>afforestation; attribution; China; CO2 fertilization effect; detection; greening trend; nitrogen deposition</t>
  </si>
  <si>
    <t>LEAF-AREA INDEX; TERRESTRIAL CARBON-CYCLE; NET PRIMARY PRODUCTION; PLANT GEOGRAPHY; CLIMATE-CHANGE; CO2; TEMPERATURE; NITROGEN; ECOSYSTEMS; SEASONALITY</t>
  </si>
  <si>
    <t>[Piao, Shilong; Yin, Guodong; Tan, Jianguang; Huang, Mengtian; Li, Yue; Peng, Shushi; Zeng, ZhenZhong] Peking Univ, Coll Urban &amp; Environm Sci, Sino French Inst Earth Syst Sci, Beijing 100871, Peoples R China; [Piao, Shilong] Chinese Acad Sci, Inst Tibetan Plateau Res, Ctr Excellence Tibetan Earth Scicence, Beijing 100085, Peoples R China; [Cheng, Lei; Wang, Yingping] Ctr Australian Weather &amp; Climate Res, CSIRO Marine &amp; Atmospher Res, Aspendale, Vic 3195, Australia; [Liu, Ronggao; Shi, Xiaoying] Chinese Acad Sci, Inst Geog Sci &amp; Nat Resources Res, Beijing 100101, Peoples R China; [Mao, Jiafu] Oak Ridge Natl Lab, Climate Change Sci Inst, Oak Ridge, TN USA; [Mao, Jiafu] Oak Ridge Natl Lab, Div Environm Sci, Oak Ridge, TN 37831 USA; [Myneni, Ranga B.] Boston Univ, Dept Earth &amp; Environm, Boston, MA 02215 USA; [Poulter, Ben] Montana State Univ, Inst Ecosyst, Bozeman, MT 59717 USA; [Poulter, Ben] Montana State Univ, Dept Ecol, Bozeman, MT 59717 USA; [Xiao, Zhiqiang] Beijing Normal Univ, Sch Geog, Beijing 100875, Peoples R China; [Zeng, Ning] Univ Maryland, Dept Atmospher &amp; Ocean Sci, College Pk, MD 20740 USA</t>
  </si>
  <si>
    <t>Peking University; Chinese Academy of Sciences; Institute of Tibetan Plateau Research, CAS; Commonwealth Scientific &amp; Industrial Research Organisation (CSIRO); Chinese Academy of Sciences; Institute of Geographic Sciences &amp; Natural Resources Research, CAS; United States Department of Energy (DOE); Oak Ridge National Laboratory; United States Department of Energy (DOE); Oak Ridge National Laboratory; Boston University; Montana State University System; Montana State University Bozeman; Montana State University System; Montana State University Bozeman; Beijing Normal University; University System of Maryland; University of Maryland College Park</t>
  </si>
  <si>
    <t>Piao, SL (corresponding author), Peking Univ, Coll Urban &amp; Environm Sci, Sino French Inst Earth Syst Sci, Beijing 100871, Peoples R China.</t>
  </si>
  <si>
    <t>slpiao@pku.edu.cn</t>
  </si>
  <si>
    <t>Li, Yue/O-9938-2018; wang, ying-ping/A-9765-2011; Cheng, Lei/J-5552-2013; PENG, Shushi/AAS-2603-2020; Huang, Mengtian/JFK-8084-2023; Myneni, Ranga/F-5129-2012; Zeng, Zhenzhong/GQR-0044-2022; Li, Yue/M-8824-2019; Poulter, Ben/ABB-5886-2021; Liu, Ronggao/L-8531-2019; Shi, Xiaoying/C-4447-2012; Tan, Jianguang/AAY-5463-2020; Zeng, Ning/A-3130-2008; wang, yingping/A-9765-2011; Mao, Jiafu/B-9689-2012; Huang, Mengtian/JFK-8084-2023</t>
  </si>
  <si>
    <t>Li, Yue/0000-0003-2997-6368; Cheng, Lei/0000-0002-5298-9573; Zeng, Zhenzhong/0000-0001-6851-2756; Huang, Mengtian/0000-0002-1092-1562; Myneni, Ranga/0000-0002-0234-6393; Poulter, Benjamin/0000-0002-9493-8600; Shi, Xiaoying/0000-0001-8994-5032; wang, yingping/0000-0002-4614-6203; Mao, Jiafu/0000-0002-2050-7373; Huang, Mengtian/0000-0002-1092-1562</t>
  </si>
  <si>
    <t>National Basic Research Program of China [2013CB956303]; Chinese Ministry of Environmental Protection Grant [201209031]; National Natural Science Foundation of China [41125004, 31321061]; National Youth Top-notch Talent Support Program in China; 111 Project [B14001]; US Department of Energy (DOE), Office of Science, Biological and Environmental Research; DOE [DE-AC05-00OR22725]; Office of Integrative Activities; Office Of The Director [1443108] Funding Source: National Science Foundation</t>
  </si>
  <si>
    <t>National Basic Research Program of China(National Basic Research Program of China); Chinese Ministry of Environmental Protection Grant; National Natural Science Foundation of China(National Natural Science Foundation of China (NSFC)); National Youth Top-notch Talent Support Program in China; 111 Project(Ministry of Education, China - 111 Project); US Department of Energy (DOE), Office of Science, Biological and Environmental Research(United States Department of Energy (DOE)); DOE(United States Department of Energy (DOE)); Office of Integrative Activities; Office Of The Director(National Science Foundation (NSF)NSF - Office of the Director (OD)NSF - Office of Integrative Activities (OIA))</t>
  </si>
  <si>
    <t>This study was supported by the National Basic Research Program of China (Grant No. 2013CB956303), Chinese Ministry of Environmental Protection Grant (201209031), National Natural Science Foundation of China (41125004 and 31321061), National Youth Top-notch Talent Support Program in China and the 111 Project (B14001). Jiafu Mao and Xiaoying Shi are supported by the US Department of Energy (DOE), Office of Science, Biological and Environmental Research. Oak Ridge National Laboratory is managed by UT-BATTELLE for DOE under contract DE-AC05-00OR22725. The simulation of CLM is supported by the US Department of Energy (DOE), Office of Science, Biological and Environmental Research. Oak Ridge National Laboratory is managed by UT-BATTELLE for DOE under contract DE-AC05-00OR22725.</t>
  </si>
  <si>
    <t>CD6QM</t>
  </si>
  <si>
    <t>WOS:000351214100022</t>
  </si>
  <si>
    <t>De Grave, S; Smith, KG; Adeler, NA; Allen, DJ; Alvarez, F; Anker, A; Cai, YX; Carrizo, SF; Klotz, W; Mantelatto, FL; Page, TJ; Shy, JY; Villalobos, JL; Wowor, D</t>
  </si>
  <si>
    <t>CONSERVATION; BIODIVERSITY; DIVERSITY; GENUS; RADIATION; THREATS; TRENDS; LAKES</t>
  </si>
  <si>
    <t>[De Grave, Sammy] Univ Oxford, Museum Nat Hist, Oxford, England; [Smith, Kevin G.; Adeler, Nils A.; Allen, Dave J.; Carrizo, Savrina F.] Int Union Conservat Nat, Global Species Programme, Cambridge, England; [Alvarez, Fernando; Luis Villalobos, Jose] Univ Nacl Autonoma Mexico, Inst Biol, Colecc Nacl Crustaceos, Mexico City 04510, DF, Mexico; [Anker, Arthur] Natl Univ Singapore, Trop Marine Sci Inst, Singapore 117548, Singapore; [Cai, Yixiong] Natl Pk Board, Singapore, Singapore; [Mantelatto, Fernando L.] Univ Sao Paulo, Dept Biol, Lab Bioecol &amp; Crustacean Systemat, BR-14049 Ribeirao Preto, Brazil; [Page, Timothy J.] Griffith Univ, Australian Rivers Inst, Nathan, Qld 4111, Australia; [Shy, Jhy-Yun] Natl Penghu Univ Sci &amp; Technol, Penghu, Taiwan; [Wowor, Daisy] Indonesian Inst Sci LIPI, Biol Res Ctr, Div Zool, Cibinong, Indonesia</t>
  </si>
  <si>
    <t>University of Oxford; Universidad Nacional Autonoma de Mexico; National University of Singapore; Universidade de Sao Paulo; Griffith University; National Penghu University of Science &amp; Technology; National Research &amp; Innovation Agency of Indonesia (BRIN)</t>
  </si>
  <si>
    <t>De Grave, S (corresponding author), Univ Oxford, Museum Nat Hist, Oxford, England.</t>
  </si>
  <si>
    <t>sammy.degrave@oum.ox.ac.uk</t>
  </si>
  <si>
    <t>Mantelatto, Fernando/H-2695-2012; Anker, Arthur/AAL-5555-2021; Álvarez, Fernando/G-6503-2018; Cai, Yixiong/JYO-3969-2024; Mantelatto, Fernando L/H-2695-2012; Page, Timothy/B-9000-2008; Fapesp, Biota/F-8655-2017</t>
  </si>
  <si>
    <t>Cai, Yixiong/0009-0008-6499-5795; Klotz, Werner/0000-0002-1104-5613; Villalobos Hiriart, José Luis/0000-0001-6810-2300; smith, kevin/0000-0002-0785-3028; Mantelatto, Fernando L/0000-0002-8497-187X; Page, Timothy/0000-0002-3521-3503; Fapesp, Biota/0000-0002-9887-8449</t>
  </si>
  <si>
    <t>'Biodiversity of Freshwater Ecosystems: Trends, Pressures and Conservation Priorities (BioFresh)' FP7 project - European Union</t>
  </si>
  <si>
    <t>This work was supported through the 'Biodiversity of Freshwater Ecosystems: Trends, Pressures and Conservation Priorities (BioFresh)' FP7 project funded by the European Union.</t>
  </si>
  <si>
    <t>MAR 25</t>
  </si>
  <si>
    <t>e0120198</t>
  </si>
  <si>
    <t>CE5MO</t>
  </si>
  <si>
    <t>WOS:000351880000071</t>
  </si>
  <si>
    <t>Giri, C; Long, J; Abbas, S; Murali, RM; Qamer, FM; Pengra, B; Thau, D</t>
  </si>
  <si>
    <t>Mangrove forests; Mangrove forest cover change; South Asia; Landsat; Remote sensing; Image processing</t>
  </si>
  <si>
    <t>NICOBAR ISLANDS; TSUNAMI; CONSERVATION; CLASSIFICATION; BANGLADESH; SUNDARBANS; IMPACT; WORLD</t>
  </si>
  <si>
    <t>Mangrove forests in South Asia occur along the tidal sea edge of Bangladesh, India, Pakistan, and Sri Lanka. These forests provide important ecosystem goods and services to the region's dense coastal populations and support important functions of the biosphere. Mangroves are under threat from both natural and anthropogenic stressors; however the current status and dynamics of the region's mangroves are poorly understood. We mapped the current extent of mangrove forests in South Asia and identified mangrove forest cover change (gain and loss) from 2000 to 2012 using Landsat satellite data. We also conducted three case studies in Indus Delta (Pakistan), Goa (India), and Sundarbans (Bangladesh and India) to identify rates, patterns, and causes of change in greater spatial and thematic details compared to regional assessment of mangrove forests. Our findings revealed that the areal extent of mangrove forests in South Asia is approximately 1,187,476 ha representing similar to 7% of the global total. Our results showed that from 2000 to 2012, 92,135 ha of mangroves were deforested and 80,461 ha were reforested with a net loss of 11,673 ha. In all three case studies, mangrove areas have remained the same or increased slightly, however, the turnover was greater than the net change. Both, natural and anthropogenic factors are responsible for the change and turnover. The major causes of forest cover change are similar throughout the region; however, specific factors may be dominant in specific areas. Major causes of deforestation in South Asia include (i) conversion to other land use (e.g. conversion to agriculture, shrimp farms, development, and human settlement), (ii) over-harvesting (e.g. grazing, browsing and lopping, and fishing), (iii) pollution, (iv) decline in freshwater availability, (v) floodings, (vi) reduction of silt deposition, (vii) coastal erosion, and (viii) disturbances from tropical cyclones and tsunamis. Our analysis in the region's diverse socio-economic and environmental conditions highlights complex patterns of mangrove distribution and change. Results from this study provide important insight to the conservation and management of the important and threatened South Asian mangrove ecosystem. Published by Elsevier Ltd.</t>
  </si>
  <si>
    <t>[Giri, Chandra] US Geol Survey, Earth Resources Observat &amp; Sci EROS Ctr, Sioux Falls, SD 57198 USA; [Long, Jordan] ASRC InuTeq, Contractor US Geol Survey, Earth Resources Observat &amp; Sci EROS Ctr, Sioux Falls, SD 57198 USA; [Abbas, Sawaid] Hong Kong Polytech Univ, Hong Kong, Hong Kong, Peoples R China; [Murali, R. Mani] CSIR, Natl Inst Oceanog, Panaji 403004, Goa, India; [Qamer, Faisal M.] Int Ctr Integrated Mt Dev ICIMOD, Kathmandu, Nepal; [Pengra, Bruce] SGT, Contractor US Geol Survey, Earth Resources Observat &amp; Sci EROS Ctr, Sioux Falls, SD 57198 USA; [Thau, David] Google Earth Engine, Mountain View, CA USA</t>
  </si>
  <si>
    <t>United States Department of the Interior; United States Geological Survey; United States Department of the Interior; United States Geological Survey; Hong Kong Polytechnic University; Council of Scientific &amp; Industrial Research (CSIR) - India; CSIR - National Institute of Oceanography (NIO); Stinger Ghaffarian Technologies, Inc. (SGT); United States Department of the Interior; United States Geological Survey; Alphabet Inc.; Google Incorporated</t>
  </si>
  <si>
    <t>Giri, C (corresponding author), US Geol Survey, Earth Resources Observat &amp; Sci EROS Ctr, Sioux Falls, SD 57198 USA.</t>
  </si>
  <si>
    <t>cgiri@usgs.gov</t>
  </si>
  <si>
    <t>; Qamer, Faisal/L-9892-2018; .R, MANI/A-9291-2010; Abbas, Sawaid/Y-4432-2019</t>
  </si>
  <si>
    <t>ABBAS, Sawaid/0000-0003-3417-217X; Thau, David/0000-0001-8598-9820; Pengra, Bruce/0000-0003-2497-8284;</t>
  </si>
  <si>
    <t>ACADEMIC PRESS LTD- ELSEVIER SCIENCE LTD</t>
  </si>
  <si>
    <t>24-28 OVAL RD, LONDON NW1 7DX, ENGLAND</t>
  </si>
  <si>
    <t>0301-4797</t>
  </si>
  <si>
    <t>1095-8630</t>
  </si>
  <si>
    <t>J ENVIRON MANAGE</t>
  </si>
  <si>
    <t>J. Environ. Manage.</t>
  </si>
  <si>
    <t>JAN 15</t>
  </si>
  <si>
    <t>AZ1RU</t>
  </si>
  <si>
    <t>WOS:000348016400011</t>
  </si>
  <si>
    <t>C</t>
  </si>
  <si>
    <t>Macko, SA</t>
  </si>
  <si>
    <t>Nordquist, MH; Moore, JN; Beckman, RC; Long, R</t>
  </si>
  <si>
    <t>Proceedings Paper</t>
  </si>
  <si>
    <t>37th Annual Conference on Freedom of Navigation and Globalization</t>
  </si>
  <si>
    <t>MAY 02-03, 2013</t>
  </si>
  <si>
    <t>Seoul, SOUTH KOREA</t>
  </si>
  <si>
    <t>Ctr Oceans Law &amp; Policy,Korea Maritime Inst,Natl Univ Singapore, Ctr Int Law,Natl Univ Ireland,Xiamen Univ, S China Sea Inst,Minist Oceans &amp; Fisheries,Korea Inst Ocean Sci Technology,Korea Coast Guard,Univ Bergen, Fac Law,US Naval War Coll, Int Law Dept</t>
  </si>
  <si>
    <t>HIGH-CO2 WORLD; CO2</t>
  </si>
  <si>
    <t>[Macko, Stephen A.] Univ Virginia, Dept Environm Sci, Charlottesville, VA 22903 USA</t>
  </si>
  <si>
    <t>University of Virginia</t>
  </si>
  <si>
    <t>Macko, SA (corresponding author), Univ Virginia, Dept Environm Sci, Charlottesville, VA 22903 USA.</t>
  </si>
  <si>
    <t>sam8f@virginia.edu</t>
  </si>
  <si>
    <t>Macko, Stephen/K-4588-2015</t>
  </si>
  <si>
    <t>MARTINUS NIJHOFF</t>
  </si>
  <si>
    <t>PO BOX 163, AD-3300 DORDRECHT, NETHERLANDS</t>
  </si>
  <si>
    <t>978-90-04-28408-1; 978-90-04-28407-4</t>
  </si>
  <si>
    <t>Law</t>
  </si>
  <si>
    <t>Conference Proceedings Citation Index - Social Science &amp; Humanities (CPCI-SSH)</t>
  </si>
  <si>
    <t>Government &amp; Law</t>
  </si>
  <si>
    <t>BF3GM</t>
  </si>
  <si>
    <t>WOS:000380540800016</t>
  </si>
  <si>
    <t>Wörz, A; Thiv, M</t>
  </si>
  <si>
    <t>Floristic mapping; Vascular plants; Invasive species; Red lists; Urbanisation; Climatic change; Nitrogen input</t>
  </si>
  <si>
    <t>LAND-USE CHANGE; PLANT BIODIVERSITY; DIVERSITY; CLIMATE; INTENSIFICATION; EXTINCTION; SCALE</t>
  </si>
  <si>
    <t>The main trends in changes in the global vascular plant biodiversity are generally considered to be a decrease in rare indigenous species and a spread of invasive plants. In the present paper, the impact of these changes on the flora of the state of Baden-Wurttemberg (Southwest-Germany) is examined. The data come from a regional floristic mapping project, which consists of two consecutive surveys, dating from 1970 to 1998 and from 2005 to present. In contrast to many other studies, not only a part of the flora or of an ecosystem was studied but the entire vascular plant flora of a region. As the recent survey is not yet completed, samples of 46 out of 1100 grid cells are analysed as a preliminary study on the trends in entire Baden-Wurttemberg. In the present paper we address the issues (1) whether changes in biodiversity observed in other studies, e.g. decrease of rare native species and increase of invasives, affect the flora of Baden-Wurttemberg, (2) which abiotic factors, i.e. climatic or soil conditions, cause these changes of species diversity. The analysis of the two consecutive surveys revealed a continuing decrease of rare native species and a constant increase of neophytes, thus reflecting the global trends. Many extinction events happened before 1970, some already in the 19th century. Changes in land use and urbanisation of former rural regions are two important factors for these changes. A statistic analysis using Ellenberg indicator values revealed the nitrogen input from agriculture and the effects of global warming as further potential causes for these trends. (C) 2015 Elsevier GmbH. All rights reserved.</t>
  </si>
  <si>
    <t>[Woerz, A.; Thiv, M.] Staatliches Museum Nat Kunde, D-70191 Stuttgart, Germany</t>
  </si>
  <si>
    <t>Wörz, A (corresponding author), Staatliches Museum Nat Kunde, Rosenstein 1, D-70191 Stuttgart, Germany.</t>
  </si>
  <si>
    <t>arno.woerz@smns-bw.de; mike.thiv@smns-bw.de</t>
  </si>
  <si>
    <t>Ministerium fur den Landlichen Raum und Verbraucherschutz (Stuttgart); Landesanstalt fur Umwelt und Messungen Baden-Wurttemberg (LUBW, Karlsruhe)</t>
  </si>
  <si>
    <t>We want to express our warm gratitude to all our volunteers for their busy mapping activities, which are the precondition to implementation of the project and the present paper. Furthermore, we thank Anita Roth-Nebelsick and Helmut Dalitz for their help with the statistic methods, and the Ministerium fur den Landlichen Raum und Verbraucherschutz (Stuttgart) and the Landesanstalt fur Umwelt und Messungen Baden-Wurttemberg (LUBW, Karlsruhe) for their funding and support of the project. We also express our gratitude to the anonymous reviewers and the editor Karsten Wesche for their valuable help and comments.</t>
  </si>
  <si>
    <t>ELSEVIER GMBH</t>
  </si>
  <si>
    <t>MUNICH</t>
  </si>
  <si>
    <t>HACKERBRUCKE 6, 80335 MUNICH, GERMANY</t>
  </si>
  <si>
    <t>0367-2530</t>
  </si>
  <si>
    <t>1618-0585</t>
  </si>
  <si>
    <t>Flora</t>
  </si>
  <si>
    <t>Plant Sciences; Ecology</t>
  </si>
  <si>
    <t>Plant Sciences; Environmental Sciences &amp; Ecology</t>
  </si>
  <si>
    <t>CZ4YY</t>
  </si>
  <si>
    <t>WOS:000367110300012</t>
  </si>
  <si>
    <t>Zhou, W; Li, JL; Mu, SJ; Gang, CC; Sun, ZG</t>
  </si>
  <si>
    <t>grassland net primary productivity; ecological restoration programmes; land use and cover change; climate change; Shiyanghe River</t>
  </si>
  <si>
    <t>INNER-MONGOLIA; VEGETATION DYNAMICS; COVER PRODUCTS; CLIMATE-CHANGE; CARBON; DESERTIFICATION; URBANIZATION; CONSEQUENCES; ECOSYSTEMS; SATELLITE</t>
  </si>
  <si>
    <t>[Zhou, W.; Li, J. L.; Mu, S. J.; Gang, C. C.; Sun, Z. G.] Nanjing Univ, Sch Life Sci, Nanjing 210093, Jiangsu, Peoples R China</t>
  </si>
  <si>
    <t>Nanjing University</t>
  </si>
  <si>
    <t>Li, JL (corresponding author), Nanjing Univ, Sch Life Sci, Hankou Rd 22, Nanjing 210093, Jiangsu, Peoples R China.</t>
  </si>
  <si>
    <t>jianlongli@gmail.com</t>
  </si>
  <si>
    <t>Gang, Chengcheng/Z-4286-2019</t>
  </si>
  <si>
    <t>Gang, Chengcheng/0000-0002-2804-5636</t>
  </si>
  <si>
    <t>National Basic Research Program of China [2010CB950702]; National High Technology Research and Development Program of China [2007AA10Z231]; National Natural Science Foundation of China [40871012]; Asia-Pacific Network [ARCP-2013-16NMY]; Public Sector Linkages Program by Australian Agency for International Development [64828]</t>
  </si>
  <si>
    <t>National Basic Research Program of China(National Basic Research Program of China); National High Technology Research and Development Program of China(National High Technology Research and Development Program of China); National Natural Science Foundation of China(National Natural Science Foundation of China (NSFC)); Asia-Pacific Network; Public Sector Linkages Program by Australian Agency for International Development</t>
  </si>
  <si>
    <t>We are grateful to the chief editor and anonymous reviewers for illuminating comments. This work was supported by National Basic Research Program of China (2010CB950702) and the National High Technology Research and Development Program of China (2007AA10Z231), the National Natural Science Foundation of China (40871012), the Asia-Pacific Network (ARCP-2013-16NMY-Li) and the Public Sector Linkages Program supported by Australian Agency for International Development (64828). We are grateful to Dr. Victor Squires from University of Adelaide, Australia, for his help in modifying the language. We also thank the China Meteorological Data-Sharing Service System for granting us access to climate data sets.</t>
  </si>
  <si>
    <t>0142-5242</t>
  </si>
  <si>
    <t>1365-2494</t>
  </si>
  <si>
    <t>GRASS FORAGE SCI</t>
  </si>
  <si>
    <t>Grass Forage Sci.</t>
  </si>
  <si>
    <t>Agronomy</t>
  </si>
  <si>
    <t>Agriculture</t>
  </si>
  <si>
    <t>AR7JA</t>
  </si>
  <si>
    <t>WOS:000343754300004</t>
  </si>
  <si>
    <t>Rodrigues, ASL; Brooks, TM; Butchart, SHM; Chanson, J; Cox, N; Hoffmann, M; Stuart, SN</t>
  </si>
  <si>
    <t>RED-LIST INDEX; BREEDING BIRDS; BIODIVERSITY; WORLDS; EXTINCTIONS; ECOREGIONS; ALLOCATION; IMPACT; LAND; MAP</t>
  </si>
  <si>
    <t>[Rodrigues, Ana S. L.] CNRS, Ctr Ecol Fonct &amp; Evolut, UMR5175, F-34293 Montpellier, France; [Brooks, Thomas M.; Chanson, Janice; Cox, Neil; Hoffmann, Michael; Stuart, Simon N.] IUCN, CH-1196 Gland, Switzerland; [Brooks, Thomas M.] Univ Philippines Los Banos, World Agroforestry Ctr ICRAF, Laguna 4031, Philippines; [Brooks, Thomas M.] Univ Tasmania, Sch Geog &amp; Environm Studies, Hobart, Tas 7001, Australia; [Butchart, Stuart H. M.] BirdLife Int, Cambridge, England; [Cox, Neil; Stuart, Simon N.] Conservat Int, Arlington, VA 22202 USA; [Hoffmann, Michael; Stuart, Simon N.] United Nations, Environm Programme, World Conservat Monitoring Ctr, Cambridge CB3 0DL, England; Univ Bath, Dept Biol &amp; Biochem, Bath BA2 7AY, Avon, England; Al Ain Zoo, Abu Dhabi, U Arab Emirates</t>
  </si>
  <si>
    <t>Universite PSL; Ecole Pratique des Hautes Etudes (EPHE); Institut Agro; Montpellier SupAgro; CIRAD; Centre National de la Recherche Scientifique (CNRS); Institut de Recherche pour le Developpement (IRD); Universite Paul-Valery; Universite de Montpellier; CNRS - Institute of Ecology &amp; Environment (INEE); CGIAR; World Agroforestry (ICRAF); University of the Philippines System; University of the Philippines Los Banos; University of Tasmania; BirdLife International; Conservation International; University of Bath</t>
  </si>
  <si>
    <t>Rodrigues, ASL (corresponding author), CNRS, Ctr Ecol Fonct &amp; Evolut, UMR5175, 1919 Route Mende, F-34293 Montpellier, France.</t>
  </si>
  <si>
    <t>ana.rodrigues@cefe.cnrs.fr</t>
  </si>
  <si>
    <t>Rodrigues, Ana/A-5914-2009; Butchart, Stuart/Y-2711-2018; Hoffmann, Michael/E-6419-2010; Roigues, Ana/A-5914-2009</t>
  </si>
  <si>
    <t>Hoffmann, Michael/0000-0003-4785-2254; Brooks, Thomas/0000-0001-8159-3116; Butchart, Stuart/0000-0002-1140-4049; Roigues, Ana/0000-0003-4775-0127</t>
  </si>
  <si>
    <t>Gordon and Betty Moore Foundation; Critical Ecosystem Partnership Fund; Conservation International; BirdLife's Founder Patrons; Aage V. Jensen Charity Foundation; French National Research Agency [MORSE: ANR 11 CEPL 006 01]; NatureServe; Division Of Environmental Biology; Direct For Biological Sciences [1136586] Funding Source: National Science Foundation</t>
  </si>
  <si>
    <t>Gordon and Betty Moore Foundation(Gordon &amp; Betty Moore Foundation); Critical Ecosystem Partnership Fund; Conservation International; BirdLife's Founder Patrons; Aage V. Jensen Charity Foundation; French National Research Agency(Agence Nationale de la Recherche (ANR)); NatureServe; Division Of Environmental Biology; Direct For Biological Sciences(National Science Foundation (NSF)NSF - Directorate for Biological Sciences (BIO))</t>
  </si>
  <si>
    <t>This analysis is based on data compiled under the IUCN Red List of Threatened Species for bird, mammals and amphibians, an effort involving thousands of individuals over decades. This compilation was funded by a diversity of donors (full list in reference 7), and in particular by: Gordon and Betty Moore Foundation (http://www.moore.org/); Critical Ecosystem Partnership Fund (http://www.cepf.net); Conservation International (http://www.conservation.org); NatureServe (www.natureserve.org); BirdLife's Founder Patrons (http://www.birdlife.org/worldwide/partnership/major-donors-and-supporters); Aage V. Jensen Charity Foundation (www.avjf.dk). A.S.L.R. was funded by the French National Research Agency (project MORSE: ANR 11 CEPL 006 01). The funders had no role in study design, data collection and analysis, decision to publish, or preparation of the manuscript.</t>
  </si>
  <si>
    <t>NOV 26</t>
  </si>
  <si>
    <t>e113934</t>
  </si>
  <si>
    <t>CA8CZ</t>
  </si>
  <si>
    <t>WOS:000349145400104</t>
  </si>
  <si>
    <t>Vu, QM; Le, QB; Vlek, PLG</t>
  </si>
  <si>
    <t>land degradation; NDVI; net primary productivity; spatio-temporal analysis; socio-ecological hotspot; national scale; Vietnam</t>
  </si>
  <si>
    <t>DROUGHT-INDUCED REDUCTION; LESS-DEVELOPED-COUNTRIES; PROXY GLOBAL ASSESSMENT; NET PRIMARY PRODUCTION; SPECTRAL REFLECTANCE; TRENDS; NDVI; DEFORESTATION; DYNAMICS; VIETNAM</t>
  </si>
  <si>
    <t>[Vu, Quyet Manh; Le, Quang Bao] Swiss Fed Inst Technol, IED, CH-8092 Zurich, Switzerland; [Vu, Quyet Manh; Vlek, Paul L. G.] Univ Bonn, Ctr Dev Res ZEF, D-53113 Bonn, Germany; [Vu, Quyet Manh] SFRI, Hanoi, Vietnam</t>
  </si>
  <si>
    <t>Swiss Federal Institutes of Technology Domain; ETH Zurich; University of Bonn</t>
  </si>
  <si>
    <t>Vu, QM (corresponding author), Swiss Fed Inst Technol, IED, Nat &amp; Social Interface NSSI, Zurich, Switzerland.</t>
  </si>
  <si>
    <t>vum@student.eth.ch; quang.le@env.ethz.ch; p.vlek@uni-bonn.de</t>
  </si>
  <si>
    <t>; Le, Quang/AAG-5174-2019</t>
  </si>
  <si>
    <t>Le, Quang Bao/0000-0001-8514-1088; Vu, Quyet/0000-0003-4778-0991;</t>
  </si>
  <si>
    <t>Agricultural Science and Technology Project (AST), under the Ministry of Agriculture and Rural Development (MARD) of Vietnam</t>
  </si>
  <si>
    <t>This research was funded by the Agricultural Science and Technology Project (AST), under the Ministry of Agriculture and Rural Development (MARD) of Vietnam. This support is gratefully acknowledged. The authors wish to thanks two anonymous reviewers for their constructive comments on earlier version of the present paper; the Department of Geography at the University of Maryland, Climate Research Unit at the University of East Anglia, the General Statistical Office of Vietnam, Michael Epprecht for providing data used in this study; constructive comments of two reviewers on a shortened version of this paper presented at the IEEE International Geoscience and Remote Sensing Symposium 2012, Munich, Germany (Vu et al., 2012); Roland W. Scholz for his overall comments on the study; Michael Stauffacher, Laura S. de Baan, Gregoire Meylan and Andrea E. Ulrich for their valuable comments on the earlier drafts of this paper.</t>
  </si>
  <si>
    <t>0921-8181</t>
  </si>
  <si>
    <t>1872-6364</t>
  </si>
  <si>
    <t>GLOBAL PLANET CHANGE</t>
  </si>
  <si>
    <t>Glob. Planet. Change</t>
  </si>
  <si>
    <t>Physical Geography; Geology</t>
  </si>
  <si>
    <t>AO7US</t>
  </si>
  <si>
    <t>WOS:000341558700007</t>
  </si>
  <si>
    <t>Anderson, R; Morrall, C; Jossart, J; Nimrod, S; Bolda, E; Musser, K; Berg, C; Balza, R</t>
  </si>
  <si>
    <t>benthic cover; reef fish; monitoring; Grenada; Eastern Caribbean; marine protected area</t>
  </si>
  <si>
    <t>CORAL</t>
  </si>
  <si>
    <t>[Anderson, Robert; Bolda, Emily; Musser, Katie; Balza, Robert] Wisconsin Lutheran Coll, 8800 W Bluemound Rd, Milwaukee, WI 53226 USA; [Morrall, Clare; Nimrod, Steve] St Georges Univ, St Georges, Grenada; [Jossart, Jonathan] Univ Virgin Isl, St Louis, MO USA; [Berg, Craig] Milwaukee Cty Zoo, Milwaukee, WI 53226 USA</t>
  </si>
  <si>
    <t>University of the Virgin Islands</t>
  </si>
  <si>
    <t>Anderson, R (corresponding author), Wisconsin Lutheran Coll, 8800 W Bluemound Rd, Milwaukee, WI 53226 USA.</t>
  </si>
  <si>
    <t>banderson@wlc.edu; cmorrall@sgu.edu; jossart1@gmail.com; snimrod@sgu.edu; ebolda@hotmail.com; katie.musser@mail.wlc.edu; craig.berg@milwcnty.com; rob.balza@wlc.edu</t>
  </si>
  <si>
    <t>Jossart, Jonathan/0000-0003-4352-2178</t>
  </si>
  <si>
    <t>Fischer Family Foundation</t>
  </si>
  <si>
    <t>Funding for this project was provided by the Fischer Family Foundation and Gary Stimac and is greatly appreciated. Thanks are also offered to Jacob Krause, Jillian Groeschel, Kyle Foster, Svetlana Bornschlegl, Victoria Krueger, Thomas Dietrich, Ben Hermanson, Laurelyn Dexter, Angela Majeskie, Allison Page, and Angela Blasezyk, Andrew Dunlop, Nate Sorum, Joe DuFore, Courtney Moll, Arielle Schildback, Heather McLain and Henry Tews for data collection. Billie Harrison of the Milwaukee County Zoo is thanked for expert field work.</t>
  </si>
  <si>
    <t>SAN JOSE</t>
  </si>
  <si>
    <t>UNIVERSIDAD DE COSTA RICA CIUDAD UNIVERSITARIA, SAN JOSE, 00000, COSTA RICA</t>
  </si>
  <si>
    <t>0034-7744</t>
  </si>
  <si>
    <t>2215-2075</t>
  </si>
  <si>
    <t>REV BIOL TROP</t>
  </si>
  <si>
    <t>Rev. Biol. Trop.</t>
  </si>
  <si>
    <t>Life Sciences &amp; Biomedicine - Other Topics</t>
  </si>
  <si>
    <t>V41YF</t>
  </si>
  <si>
    <t>Green Published, gold</t>
  </si>
  <si>
    <t>WOS:000209580800026</t>
  </si>
  <si>
    <t>Barausse, A; Correale, V; Curkovic, A; Finotto, L; Riginella, E; Visentin, E; Mazzoldi, C</t>
  </si>
  <si>
    <t>Climate; fishery; landings; management; seawater temperature; shark; skate</t>
  </si>
  <si>
    <t>SHARKS; EXTINCTION; COMMUNITY; RAJIDAE; SURVIVAL; CHIMERAS; CATCHES; RAYS</t>
  </si>
  <si>
    <t>[Barausse, Alberto] Univ Padua, Dept Ind Engn, Environm Syst Anal Lab LASA, Padua, Italy; [Correale, Vittoria; Curkovic, Aleksia; Finotto, Licia; Riginella, Emilio; Visentin, Eleonora; Mazzoldi, Carlotta] Univ Padua, Dept Biol, Padua, Italy</t>
  </si>
  <si>
    <t>University of Padua; University of Padua</t>
  </si>
  <si>
    <t>Mazzoldi, C (corresponding author), Univ Padua, Dept Biol, Padua, Italy.</t>
  </si>
  <si>
    <t>carlotta.mazzoldi@unipd.it</t>
  </si>
  <si>
    <t>; Finotto, Licia/HJO-9195-2023; Mazzoldi, Carlotta/AAU-8628-2020; Riginella, Emilio/Q-2987-2019</t>
  </si>
  <si>
    <t>Riginella, Emilio/0000-0002-1442-8310; MAZZOLDI, CARLOTTA/0000-0002-2798-3030; Barausse, Alberto/0000-0002-2849-7624;</t>
  </si>
  <si>
    <t>CLODIA project - Veneto Region (Italy) (DGR) [4069]; Athenaeum Project - University of Padova [CPDA110183]; European Community's Seventh Framework Programme (KnowSeas project) [226675]</t>
  </si>
  <si>
    <t>CLODIA project - Veneto Region (Italy) (DGR); Athenaeum Project - University of Padova; European Community's Seventh Framework Programme (KnowSeas project)</t>
  </si>
  <si>
    <t>The study was supported by the CLODIA project, funded by the Veneto Region (Italy) Law 15/2007 (DGR n. 4069), and the Athenaeum Project CPDA110183, funded by the University of Padova (to CM), and the European Community's Seventh Framework Programme (grant agreement 226675, KnowSeas project) to AB.</t>
  </si>
  <si>
    <t>OXFORD UNIV PRESS</t>
  </si>
  <si>
    <t>GREAT CLARENDON ST, OXFORD OX2 6DP, ENGLAND</t>
  </si>
  <si>
    <t>1054-3139</t>
  </si>
  <si>
    <t>1095-9289</t>
  </si>
  <si>
    <t>ICES J MAR SCI</t>
  </si>
  <si>
    <t>ICES J. Mar. Sci.</t>
  </si>
  <si>
    <t>SEP-OCT</t>
  </si>
  <si>
    <t>Fisheries; Marine &amp; Freshwater Biology; Oceanography</t>
  </si>
  <si>
    <t>AR1BT</t>
  </si>
  <si>
    <t>WOS:000343315900008</t>
  </si>
  <si>
    <t>Berthon, V; Alric, B; Rimet, F; Perga, ME</t>
  </si>
  <si>
    <t>additive model; climate change; diatoms; fisheries; nutrients</t>
  </si>
  <si>
    <t>LONG-TERM; CLADOCERAN COMMUNITIES; MULTIPLE STRESSORS; PEG-MODEL; BOTTOM-UP; PRODUCTIVITY; RESTORATION; VARIABILITY; PATTERNS; DAPHNIA</t>
  </si>
  <si>
    <t>1. Diatom communities have been shown to respond strongly to current climate warming in remote lakes, while evidence remains equivocal for lakes under strong local human pressures. 2. Temporal dynamics of planktonic diatoms in three subalpine lakes (Geneva, Annecy and Bourget) reconstructed from palaeolimnological approaches were used to assess the relative effects of phosphorus concentrations, fisheries management practices and climate warming in structuring communities over the last century. 3. Changes in total phosphorous concentration (TP), air temperature and fish predation pressure could explain the temporal dynamics of most diatom species in the sediment records. TP was found to be not only the main driver of changes in community composition but also an important factor modulating diatom sensitivity and responses to climate warming. 4. The diatom community of Lake Bourget showed the highest vulnerability and direct responses to climate warming, favouring spring species that can resist earlier stratification in mesotrophic lakes (such as Asterionella formosa, Aulacoseira islandica and Stephanodiscus parvus) and summer species that can make the best trade-off between decreasing nutrient concentrations and increased water column stability (Diatoma tenuis, A. islandica). In Lake Geneva, climate warming also contributed to shaping diatom communities but through an indirect pathway; fisheries management practices and climate warming interacted to reinforce top-down control, favouring large, colonial inedible species (Stephanodicus binderanus and A. formosa). For Lake Annecy, the most nutrient limited of the three lakes studied, no changes in diatom community structure were directly related to warmer air temperatures over the last 25 years. 5. All three lakes have been subjected to the same climate variability. Yet the magnitude and responses of their diatom communities to climate warming were dissimilar and strongly modulated by differences in lake trophic status and fish management practices.</t>
  </si>
  <si>
    <t>[Berthon, Vincent; Alric, Benjamin; Rimet, Frederic; Perga, Marie-Elodie] INRA, CARRTEL, F-74200 Thonon Les Bains, France; [Berthon, Vincent; Rimet, Frederic; Perga, Marie-Elodie] Univ Savoie, CARRTEL, Chambery, France; [Alric, Benjamin] IMBE, IRD 237, UMR CNRS 7263, Marseille, France</t>
  </si>
  <si>
    <t>INRAE; Universite Savoie Mont Blanc; Universite Savoie Mont Blanc; Aix-Marseille Universite; Centre National de la Recherche Scientifique (CNRS); Institut de Recherche pour le Developpement (IRD); CNRS - Institute of Ecology &amp; Environment (INEE)</t>
  </si>
  <si>
    <t>Perga, ME (corresponding author), INRA, CARRTEL, F-74200 Thonon Les Bains, France.</t>
  </si>
  <si>
    <t>marie-elodie.perga@thonon.inra.fr</t>
  </si>
  <si>
    <t>Rimet, Frédéric/S-2702-2018; RIMET, Frédéric/S-2702-2018; alric, benjamin/F-5068-2019</t>
  </si>
  <si>
    <t>Rimet, Frédéric/0000-0002-5514-869X; Perga, Marie-Elodie/0000-0002-9003-0769;</t>
  </si>
  <si>
    <t>French National Research Agency [ANR-VUL 005]; University of Savoie</t>
  </si>
  <si>
    <t>French National Research Agency(Agence Nationale de la Recherche (ANR)); University of Savoie</t>
  </si>
  <si>
    <t>We thank RK Johnson, JP Smol and G Simpson for their thoughtful reviews that clearly contributed to improve previous versions of this manuscript. This study was supported by the French National Research Agency (ANR-VUL 005: 'IPER-RETRO' project). VB was supported by a PhD fellowship from the University of Savoie. Emmanuel Malet, Bernard Fanget and Emmanuelle Dormia have to be thanked for their help in the field or in the laboratory.</t>
  </si>
  <si>
    <t>AL8JR</t>
  </si>
  <si>
    <t>WOS:000339385100016</t>
  </si>
  <si>
    <t>Zhang, YZ; Liang, SL</t>
  </si>
  <si>
    <t>forest biomass dynamics; forest disturbances; northeastern China</t>
  </si>
  <si>
    <t>NET PRIMARY PRODUCTION; BIOTIC DISTURBANCES; CONIFEROUS FORESTS; CARBON STOCKS; UNITED-STATES; FIRE; PRODUCTIVITY; ECOSYSTEMS; MANAGEMENT; REGRESSION</t>
  </si>
  <si>
    <t>[Zhang, Yuzhen; Liang, Shunlin] Beijing Normal Univ, State Key Lab Remote Sensing Sci, Coll Global Change &amp; Earth Syst Sci, Beijing 100875, Peoples R China; [Liang, Shunlin] Univ Maryland, Dept Geog Sci, College Pk, MD 20742 USA</t>
  </si>
  <si>
    <t>Beijing Normal University; University System of Maryland; University of Maryland College Park</t>
  </si>
  <si>
    <t>Zhang, YZ (corresponding author), Beijing Normal Univ, State Key Lab Remote Sensing Sci, Coll Global Change &amp; Earth Syst Sci, Beijing 100875, Peoples R China.</t>
  </si>
  <si>
    <t>yuzhenzhang86@gmail.com</t>
  </si>
  <si>
    <t>Zhang, Yuzhen/GZK-3740-2022; Liang, Shunlin/C-2809-2015</t>
  </si>
  <si>
    <t>[2013AA122800]</t>
  </si>
  <si>
    <t>We are very grateful for anonymous reviewers for their constructive comments and suggestions. This study is funded by grant 2013AA122800.</t>
  </si>
  <si>
    <t>AL4JW</t>
  </si>
  <si>
    <t>WOS:000339100200021</t>
  </si>
  <si>
    <t>Hagerthey, SE; Cook, MI; Mac Kobza, R; Newman, S; Bellinger, BJ</t>
  </si>
  <si>
    <t>community; crayfish; ecosystem restoration; fish; stoichiometry</t>
  </si>
  <si>
    <t>SAMPLING CHARACTERISTICS; NORTHERN EVERGLADES; CATTAIL MANAGEMENT; PROCAMBARUS-ALLENI; CHEYENNE-BOTTOMS; STOICHIOMETRY; VEGETATION; FLORIDA; FISHES; CRAYFISH</t>
  </si>
  <si>
    <t>[Hagerthey, Scot E.; Cook, Mark I.; Mac Kobza, R.; Newman, Susan] South Florida Water Management Dist, Everglades Syst Assessment Sect, W Palm Beach, FL 33411 USA; [Bellinger, Brent J.] Univ Florida, Soil &amp; Water Sci Dept, Gainesville, FL USA</t>
  </si>
  <si>
    <t>South Florida Water Management District; State University System of Florida; University of Florida</t>
  </si>
  <si>
    <t>Cook, MI (corresponding author), South Florida Water Management Dist, Everglades Syst Assessment Sect, 8894 Belvedere Rd,Bldg 374, W Palm Beach, FL 33411 USA.</t>
  </si>
  <si>
    <t>mcook@sfwmd.gov</t>
  </si>
  <si>
    <t>; Kobza, Robert/C-6400-2015</t>
  </si>
  <si>
    <t>Newman, Susan/0000-0001-8340-2600; Hagerthey, Scot/0000-0002-1361-359X;</t>
  </si>
  <si>
    <t>AJ2XP</t>
  </si>
  <si>
    <t>WOS:000337528600004</t>
  </si>
  <si>
    <t>Chen, BX; Zhang, XZ; Tao, J; Wu, JS; Wang, JS; Shi, PL; Zhang, YJ; Yu, CQ</t>
  </si>
  <si>
    <t>The Qinghai-Tibet plateau; Alpine grassland ecosystem; Net primary production; Climate change; Anthropogenic activities</t>
  </si>
  <si>
    <t>NET PRIMARY PRODUCTION; INDUCED LAND DEGRADATION; HUMAN APPROPRIATION; PRIMARY PRODUCTIVITY; VARIABILITY; VEGETATION; SATELLITE; RESTORATION; ECOSYSTEMS; DESERTIFICATION</t>
  </si>
  <si>
    <t>[Chen, Baoxiong; Zhang, Xianzhou; Tao, Jian; Wu, Jianshuang; Wang, Jingsheng; Shi, Peili; Zhang, Yangjian; Yu, Chengqun] Chinese Acad Sci, Lhasa Plateau Ecosyst Res Stn, Key Lab Ecosyst Network Observat &amp; Modeling, Inst Geog Sci &amp; Nat Resources Res, Beijing 100101, Peoples R China; [Chen, Baoxiong] Chinese Acad Sci, Grad Univ, Beijing 100049, Peoples R China</t>
  </si>
  <si>
    <t>Chinese Academy of Sciences; Institute of Geographic Sciences &amp; Natural Resources Research, CAS; Chinese Academy of Sciences; University of Chinese Academy of Sciences, CAS</t>
  </si>
  <si>
    <t>Zhang, XZ (corresponding author), Chinese Acad Sci, Lhasa Plateau Ecosyst Res Stn, Key Lab Ecosyst Network Observat &amp; Modeling, Inst Geog Sci &amp; Nat Resources Res, Beijing 100101, Peoples R China.</t>
  </si>
  <si>
    <t>zhangxz@igsnrr.ac.cn</t>
  </si>
  <si>
    <t>; Wang, Jingsheng/GXZ-8874-2022; Peili, SHi/AAT-6450-2021; Wu, Jianshuang/N-4694-2015; Zhang, Yangjian/D-1012-2014; WU, Jianshuang/N-4694-2015</t>
  </si>
  <si>
    <t>Tao, Jian/0000-0003-1374-8678; Wu, Jianshuang/0000-0002-6768-8255; 石, 培礼/0000-0002-1120-0003</t>
  </si>
  <si>
    <t>Chinese Academy of Sciences project [XDB03030400]; National Basic Research Program of China [2010CB951704]; National Sciences Foundation of China [41171044]</t>
  </si>
  <si>
    <t>Chinese Academy of Sciences project(Chinese Academy of Sciences); National Basic Research Program of China(National Basic Research Program of China); National Sciences Foundation of China(National Natural Science Foundation of China (NSFC))</t>
  </si>
  <si>
    <t>This study was jointly supported by Chinese Academy of Sciences project (XDB03030400), the National Basic Research Program of China (No. 2010CB951704), and the National Sciences Foundation of China (41171044). The constructive comments and suggestions from anonymous reviewers are also highly appreciated.</t>
  </si>
  <si>
    <t>0168-1923</t>
  </si>
  <si>
    <t>1873-2240</t>
  </si>
  <si>
    <t>AGR FOREST METEOROL</t>
  </si>
  <si>
    <t>Agric. For. Meteorol.</t>
  </si>
  <si>
    <t>JUN 1</t>
  </si>
  <si>
    <t>Agronomy; Forestry; Meteorology &amp; Atmospheric Sciences</t>
  </si>
  <si>
    <t>Agriculture; Forestry; Meteorology &amp; Atmospheric Sciences</t>
  </si>
  <si>
    <t>AE3BW</t>
  </si>
  <si>
    <t>WOS:000333852900003</t>
  </si>
  <si>
    <t>Dai, ZH; Birdsey, RA; Johnson, KD; Dupuy, JM; Hernandez-Stefanoni, JL; Richardson, K</t>
  </si>
  <si>
    <t>Biomass; Forest-DNDC; Greenhouse gas; Disturbance; Tropical dry forest</t>
  </si>
  <si>
    <t>PROCESS-ORIENTED MODEL; SEMI-DECIDUOUS FOREST; METHANE UPTAKE; NO EMISSIONS; CLIMATE; SOILS; DYNAMICS; BIOMASS; N2O; SEQUESTRATION</t>
  </si>
  <si>
    <t>[Dai, Zhaohua; Birdsey, Richard A.; Johnson, Kristofer D.] US Forest Serv, USDA, Newtown Sq, PA 19073 USA; [Dai, Zhaohua; Richardson, Karen] Commiss Environm Cooperat North Amer, Montreal, PQ H2Y 1N9, Canada; [Manuel Dupuy, Juan; Luis Hernandez-Stefanoni, Jose] Ctr Invest Cient Yucatan AC, Unidad Recursos Nat, Merida 97200, Yucatan, Mexico</t>
  </si>
  <si>
    <t>United States Department of Agriculture (USDA); United States Forest Service; Centro de Investigacion Cientifica de Yucatan</t>
  </si>
  <si>
    <t>Dai, ZH (corresponding author), US Forest Serv, USDA, 11 Campus Blvd,Suite 200, Newtown Sq, PA 19073 USA.</t>
  </si>
  <si>
    <t>zdai@fs.fed.us</t>
  </si>
  <si>
    <t>; Hernandez-Stefanoni, J/B-3958-2008</t>
  </si>
  <si>
    <t>Hernandez-Stefanoni, Jose Luis/0000-0002-9559-7131;</t>
  </si>
  <si>
    <t>North American Commission for Environmental Cooperation; US Agency for International Development</t>
  </si>
  <si>
    <t>North American Commission for Environmental Cooperation; US Agency for International Development(United States Agency for International Development (USAID))</t>
  </si>
  <si>
    <t>This project was supported by the North American Commission for Environmental Cooperation and the US Agency for International Development. This research was conducted with data from the Mexican network of Intensive Carbon Monitoring Sites (MEX-SMIC). The network is an affiliation of Academic Institutions, Government and NGO investigators with various funding sources. The network currently includes five forested sites located in strategic landscapes for MRV-REDD + activities. Ecosystem C has been estimated using similar protocols since 2012 at various spatial and temporal scales with a variety of methods (e.g., inventory plots, remote sensing, eddy covariance, and ecosystem carbon models). More details can be found at: http://www.mrv.mx/mexsmic. We thank Dr. Jeff Masek of NASA for providing the disturbance map.</t>
  </si>
  <si>
    <t>SPRINGER INT PUBL AG</t>
  </si>
  <si>
    <t>CHAM</t>
  </si>
  <si>
    <t>GEWERBESTRASSE 11, CHAM, CH-6330, SWITZERLAND</t>
  </si>
  <si>
    <t>0049-6979</t>
  </si>
  <si>
    <t>1573-2932</t>
  </si>
  <si>
    <t>WATER AIR SOIL POLL</t>
  </si>
  <si>
    <t>Water Air Soil Pollut.</t>
  </si>
  <si>
    <t>Environmental Sciences &amp; Ecology; Meteorology &amp; Atmospheric Sciences; Water Resources</t>
  </si>
  <si>
    <t>AF2YL</t>
  </si>
  <si>
    <t>WOS:000334578300016</t>
  </si>
  <si>
    <t>Wu, SH; Zhou, SL; Chen, DX; Wei, ZQ; Dai, L; Li, XG</t>
  </si>
  <si>
    <t>NPP; Urbanisation; Climate change; Relative contributions; Yangtze River Delta</t>
  </si>
  <si>
    <t>NET PRIMARY PRODUCTIVITY; NDVI TIME-SERIES; NIGHTTIME LIGHT DATA; USE EFFICIENCY; RELATIVE ROLE; VEGETATION; IMPACT; DYNAMICS; DESERTIFICATION; REGION</t>
  </si>
  <si>
    <t>[Wu, Shaohua; Zhou, Shenglu; Wei, Zongqiang; Dai, Liang] Nanjing Univ, Sch Geog &amp; Oceanog Sci, Nanjing 210023, Jiangsu, Peoples R China; [Chen, Dongxiang] Nanjing Univ, Sch Jinling, Nanjing 210089, Jiangsu, Peoples R China; [Li, Xingong] Univ Kansas, Dept Geog, Lawrence, KS 66045 USA</t>
  </si>
  <si>
    <t>Nanjing University; Nanjing University; University of Kansas</t>
  </si>
  <si>
    <t>Wu, SH (corresponding author), Nanjing Univ, Sch Geog &amp; Oceanog Sci, 163 Xianlin Rd, Nanjing 210023, Jiangsu, Peoples R China.</t>
  </si>
  <si>
    <t>wsh@nju.edu.cn</t>
  </si>
  <si>
    <t>Chen, Dongxiang/F-4462-2018; Wu, Shaohua/B-8259-2009</t>
  </si>
  <si>
    <t>Wei, Zongqiang/0000-0002-7680-4617; Wu, shaohua/0000-0002-8202-836X;</t>
  </si>
  <si>
    <t>National Natural Science Foundation of China [41001047]</t>
  </si>
  <si>
    <t>This work was supported by the National Natural Science Foundation of China (41001047).</t>
  </si>
  <si>
    <t>FEB 15</t>
  </si>
  <si>
    <t>AB6RB</t>
  </si>
  <si>
    <t>WOS:000331916100047</t>
  </si>
  <si>
    <t>Blamey, LK; Plagányi, ÉE; Branch, GM</t>
  </si>
  <si>
    <t>Abalone; Ecosystem model; Predator; Regime shift; Rock lobster; Urchin</t>
  </si>
  <si>
    <t>TOP-DOWN CONTROL; KELP FOREST ECOSYSTEMS; ABALONE HALIOTIS-MIDAE; ROCK LOBSTERS; SOUTH-AFRICA; SEA-URCHINS; REEF-FISH; PARECHINUS-ANGULOSUS; COMMUNITY STRUCTURE; JUVENILE ABALONE</t>
  </si>
  <si>
    <t>[Blamey, Laura K.; Branch, George M.] Univ Cape Town, Marine Res MA RE Inst, ZA-7701 Rondebosch, South Africa; [Blamey, Laura K.; Branch, George M.] Univ Cape Town, Dept Biol Sci, ZA-7701 Rondebosch, South Africa; [Plaganyi, Eva E.] Univ Cape Town, Dept Math &amp; Appl Math, ZA-7701 Rondebosch, South Africa</t>
  </si>
  <si>
    <t>University of Cape Town; University of Cape Town; University of Cape Town</t>
  </si>
  <si>
    <t>Blamey, LK (corresponding author), Univ Cape Town, Marine Res MA RE Inst, Private Bag X3, ZA-7701 Rondebosch, South Africa.</t>
  </si>
  <si>
    <t>laura.k.blamey@gmail.com; eva.plaganyi-lloyd@csiro.au; mbranch@mweb.co.za</t>
  </si>
  <si>
    <t>Blamey, Laura/X-1093-2019; Plaganyi, Eva/C-5130-2011</t>
  </si>
  <si>
    <t>Blamey, Laura/0000-0003-3713-091X; Plaganyi, Eva/0000-0002-4740-4200</t>
  </si>
  <si>
    <t>University of Cape Town; National Research Foundation; Andrew Mellon Foundation</t>
  </si>
  <si>
    <t>We gratefully acknowledge financial support from the University of Cape Town, the National Research Foundation and the Andrew Mellon Foundation. We thank the Department of Agriculture, Forestry and Fisheries, and in particular A. Cockcroft, D. van Zyl, A. Mackenzie, R. Tarr and S. Kerwath, for making available data on lobster, abalone and linefish abundances that were used in our study. Thanks to A. Smith, M. Savina-Rolland, J. Estes and an anonymous reviewer for their helpful comments on the manuscript.</t>
  </si>
  <si>
    <t>0304-3800</t>
  </si>
  <si>
    <t>1872-7026</t>
  </si>
  <si>
    <t>ECOL MODEL</t>
  </si>
  <si>
    <t>Ecol. Model.</t>
  </si>
  <si>
    <t>FEB 10</t>
  </si>
  <si>
    <t>AB3EJ</t>
  </si>
  <si>
    <t>WOS:000331673800014</t>
  </si>
  <si>
    <t>Qin, Y; Yi, S; Ren, S; Li, N; Chen, J</t>
  </si>
  <si>
    <t>Qinghai-Tibetan Plateau; Typical alpine grassland; Carbon budgets; Climate change; Anthropogenic disturbances</t>
  </si>
  <si>
    <t>LEAF-AREA INDEX; ALPINE MEADOW; PRIMARY PRODUCTIVITY; CO2 EXCHANGE; CARBON POOL; SOIL CARBON; VEGETATION; ECOSYSTEM; NITROGEN; RESPIRATION</t>
  </si>
  <si>
    <t>[Qin, Y.; Yi, S.; Ren, S.; Li, N.; Chen, J.] Chinese Acad Sci, Cold &amp; Arid Reg Environm &amp; Engn Res Inst, State Key Lab Cryospher Sci, Lanzhou 730000, Peoples R China</t>
  </si>
  <si>
    <t>Chinese Academy of Sciences; Cold &amp; Arid Regions Environmental &amp; Engineering Research Institute, CAS</t>
  </si>
  <si>
    <t>Yi, S (corresponding author), Chinese Acad Sci, Cold &amp; Arid Reg Environm &amp; Engn Res Inst, State Key Lab Cryospher Sci, 320 Donggang West Rd, Lanzhou 730000, Peoples R China.</t>
  </si>
  <si>
    <t>yis@lzb.ac.cn</t>
  </si>
  <si>
    <t>Carbide, 陈建军Silicon/AAL-2068-2020</t>
  </si>
  <si>
    <t>Chen, Jianjun/0000-0001-9464-3442</t>
  </si>
  <si>
    <t>Major State Basic Research Development Programme of China (973 Programme) [2010CB951402]; Strategic Priority Research Program [XDB030303]; Chinese Academy of Sciences [0927581001]; Chinese National Natural Science Foundation Commission [41271089]; State Key Laboratory of Cryospheric Sciences [SKLCS-ZZ-2012-2-2]</t>
  </si>
  <si>
    <t>Major State Basic Research Development Programme of China (973 Programme)(National Basic Research Program of China); Strategic Priority Research Program(Chinese Academy of Sciences); Chinese Academy of Sciences(Chinese Academy of Sciences); Chinese National Natural Science Foundation Commission(National Natural Science Foundation of China (NSFC)); State Key Laboratory of Cryospheric Sciences</t>
  </si>
  <si>
    <t>The authors acknowledge all of the technicians for their help with the fieldwork and the critical comments and constructive suggestions from Dr. Eugenie Euskirchen of University of Alaska Fairbanks and Dr. Matthias Peichl of Swedish University of Agricultural Sciences. This study was jointly supported by grants from the Major State Basic Research Development Programme of China (973 Programme) (No 2010CB951402), the Strategic Priority Research Program (XDB030303), the One Hundred People Plan (0927581001) of the Chinese Academy of Sciences and the Chinese National Natural Science Foundation Commission (41271089), and by independent grants from State Key Laboratory of Cryospheric Sciences (SKLCS-ZZ-2012-2-2).</t>
  </si>
  <si>
    <t>NEW YORK</t>
  </si>
  <si>
    <t>233 SPRING ST, NEW YORK, NY 10013 USA</t>
  </si>
  <si>
    <t>1866-6280</t>
  </si>
  <si>
    <t>1866-6299</t>
  </si>
  <si>
    <t>ENVIRON EARTH SCI</t>
  </si>
  <si>
    <t>Environ. Earth Sci.</t>
  </si>
  <si>
    <t>Environmental Sciences; Geosciences, Multidisciplinary; Water Resources</t>
  </si>
  <si>
    <t>Environmental Sciences &amp; Ecology; Geology; Water Resources</t>
  </si>
  <si>
    <t>295NZ</t>
  </si>
  <si>
    <t>WOS:000330124100038</t>
  </si>
  <si>
    <t>Sturtevant, BR; Miranda, BR; Wolter, PT; James, PMA; Fortin, MJ; Townsend, PA</t>
  </si>
  <si>
    <t>Forest harvest patterns; Natural disturbance patterns; Landscape disturbance legacy; Disturbance regime; Forest recovery; Boreal forest</t>
  </si>
  <si>
    <t>BOREAL FOREST; SPRUCE BUDWORM; LANDSCAPE PATTERNS; WESTERN OREGON; COVER CHANGE; LAND-COVER; DYNAMICS; VEGETATION; LEGACIES; STAND</t>
  </si>
  <si>
    <t>[Sturtevant, Brian R.; Miranda, Brian R.] US Forest Serv, Inst Appl Ecosyst Studies, No Res Stn, Rhinelander, WI 54501 USA; [Wolter, Peter T.] Iowa State Univ, Dept Nat Resource Ecol &amp; Management, Ames, IA 50011 USA; [James, Patrick M. A.] Univ Montreal, Dept Sci Biol, Montreal, PQ H2V 2S9, Canada; [Fortin, Marie-Josee] Univ Toronto, Dept Ecol &amp; Evolutionary Biol, Toronto, ON M5S 3B2, Canada; [Townsend, Philip A.] Univ Wisconsin, Dept Forest &amp; Wildlife Ecol, Madison, WI 53706 USA</t>
  </si>
  <si>
    <t>United States Department of Agriculture (USDA); United States Forest Service; Iowa State University; Universite de Montreal; University of Toronto; University of Wisconsin System; University of Wisconsin Madison</t>
  </si>
  <si>
    <t>Sturtevant, BR (corresponding author), US Forest Serv, Inst Appl Ecosyst Studies, No Res Stn, 5985 Hwy K Rhinelander, Rhinelander, WI 54501 USA.</t>
  </si>
  <si>
    <t>bsturtevant@fs.fed.us</t>
  </si>
  <si>
    <t>Townsend, Philip/B-5741-2008; Sturtevant, Brian/KHV-0383-2024</t>
  </si>
  <si>
    <t>Townsend, Philip/0000-0001-7003-8774; Miranda, Brian/0000-0002-3506-8297;</t>
  </si>
  <si>
    <t>USDA Cooperative State Research, Education and Extension Service (CSREES) [2005-35101-16342]; US National Fire Plan</t>
  </si>
  <si>
    <t>USDA Cooperative State Research, Education and Extension Service (CSREES)(United States Department of Agriculture (USDA)National Institute of Food &amp; Agriculture); US National Fire Plan</t>
  </si>
  <si>
    <t>This research was supported by the USDA Cooperative State Research, Education and Extension Service (CSREES) Managed Ecosystems program (2005-35101-16342) and the US National Fire Plan. We wish to thank Sue Lietz for technical support. John Stanovick provided valuable guidance on our statistical methods. We also thank Doug Shinneman, Brian Palik, and two anonymous reviewers for helpful comments on the manuscript.</t>
  </si>
  <si>
    <t>FEB 1</t>
  </si>
  <si>
    <t>AB3BF</t>
  </si>
  <si>
    <t>WOS:000331665600023</t>
  </si>
  <si>
    <t>Zhou, W; Gang, CC; Zhou, L; Chen, YZ; Li, JL; Ju, WM; Odeh, I</t>
  </si>
  <si>
    <t>Grassland degradation; Climate change; Human intervention; Grassland restoration; Tibetan plateau</t>
  </si>
  <si>
    <t>LAND DEGRADATION; HUMAN APPROPRIATION; TIBETAN PLATEAU; CLIMATE-CHANGE; RELATIVE ROLE; DESERTIFICATION; MANAGEMENT; TRENDS; CARBON; PRECIPITATION</t>
  </si>
  <si>
    <t>[Zhou, Wei; Gang, Chengcheng; Chen, Yizhao; Li, Jianlong] Nanjing Univ, Sch Life Sci, Nanjing 210093, Jiangsu, Peoples R China; [Zhou, Liang] Nanjing Univ, Sch Geog &amp; Oceanog Sci, Nanjing 270093, Jiangsu, Peoples R China; [Ju, Weimin] Nanjing Univ, Int Inst Earth Syst Sci, Nanjing 210093, Jiangsu, Peoples R China; [Odeh, Inakwu] Univ Sydney, Fac Agr &amp; Environm, Dept Environm Sci, Sydney, NSW 2006, Australia</t>
  </si>
  <si>
    <t>Nanjing University; Nanjing University; Nanjing University; University of Sydney</t>
  </si>
  <si>
    <t>; Gang, Chengcheng/Z-4286-2019; Zhou, Liang/D-9403-2016</t>
  </si>
  <si>
    <t>Gang, Chengcheng/0000-0002-2804-5636; Zhou, Liang/0000-0003-3968-1897;</t>
  </si>
  <si>
    <t>National Basic Research Program of China [2010CB950702]; Asia-Pacific Network [ARCP-2013-16NMY-Li]; National Natural Science Foundation of China [41271361]; Public Sector Linkages Program by Australian Agency for International Development [64828]; Directorate For Geosciences; ICER [1348085] Funding Source: National Science Foundation</t>
  </si>
  <si>
    <t>National Basic Research Program of China(National Basic Research Program of China); Asia-Pacific Network; National Natural Science Foundation of China(National Natural Science Foundation of China (NSFC)); Public Sector Linkages Program by Australian Agency for International Development; Directorate For Geosciences; ICER(National Science Foundation (NSF)NSF - Directorate for Geosciences (GEO))</t>
  </si>
  <si>
    <t>We are grateful to the chief editor and anonymous reviewers for illuminating comments. This work was supported by National Basic Research Program of China (2010CB950702), the Asia-Pacific Network (ARCP-2013-16NMY-Li), and National Natural Science Foundation of China (41271361), the Public Sector Linkages Program supported by Australian Agency for International Development (64828). We also thank the China Meteorological Data Sharing Service System for granting us access to climate datasets.</t>
  </si>
  <si>
    <t>1146-609X</t>
  </si>
  <si>
    <t>1873-6238</t>
  </si>
  <si>
    <t>ACTA OECOL</t>
  </si>
  <si>
    <t>Acta Oecol.-Int. J. Ecol.</t>
  </si>
  <si>
    <t>AB4PT</t>
  </si>
  <si>
    <t>WOS:000331773100012</t>
  </si>
  <si>
    <t>Zhou, W; Sun, ZG; Li, JL; Gang, CC; Zhang, CB</t>
  </si>
  <si>
    <t>desertification; net primary productivity (NPP); climate change; human activities; quantitative assessment; Heihe River Basin</t>
  </si>
  <si>
    <t>NET PRIMARY PRODUCTION; WEST-AFRICAN SAHEL; LAND DEGRADATION; VEGETATION DYNAMICS; NORTHWEST CHINA; TERRESTRIAL; VARIABILITY; DROUGHT</t>
  </si>
  <si>
    <t>[Zhou, Wei; Sun, ZhengGuo; Li, JianLong; Gang, ChengCheng; Zhang, ChaoBin] Nanjing Univ, Sch Life Sci, Nanjing 210093, Jiangsu, Peoples R China</t>
  </si>
  <si>
    <t>Li, JL (corresponding author), Nanjing Univ, Sch Life Sci, Nanjing 210093, Jiangsu, Peoples R China.</t>
  </si>
  <si>
    <t>jlli2008@nju.edu.cn</t>
  </si>
  <si>
    <t>; Gang, Chengcheng/Z-4286-2019</t>
  </si>
  <si>
    <t>Gang, Chengcheng/0000-0002-2804-5636;</t>
  </si>
  <si>
    <t>National Basic Research Program of China [2010CB950702]; National High Technology Research and Development Program of China [2007AA10Z231]; National Natural Science Foundation of China [40871012, J1103512, J1210026]; Asia-Pacific Network [ARCP-2012-SP25-Li]; Australian Agency for International Development [64828]; Directorate For Geosciences; ICER [1348085] Funding Source: National Science Foundation</t>
  </si>
  <si>
    <t>National Basic Research Program of China(National Basic Research Program of China); National High Technology Research and Development Program of China(National High Technology Research and Development Program of China); National Natural Science Foundation of China(National Natural Science Foundation of China (NSFC)); Asia-Pacific Network; Australian Agency for International Development(Norwegian Agency for Development Cooperation - NORAD); Directorate For Geosciences; ICER(National Science Foundation (NSF)NSF - Directorate for Geosciences (GEO))</t>
  </si>
  <si>
    <t>This work was supported by the National Basic Research Program of China (2010CB950702), the National High Technology Research and Development Program of China (2007AA10Z231), the National Natural Science Foundation of China (40871012, J1103512, J1210026), the Asia-Pacific Network (ARCP-2012-SP25-Li), and the Australian Agency for International Development (64828). We are grateful to Dr. Victor SQUIRES from University of Adelaide, Australia for his help in modifying the language. We also thank the China Meteorological Data Sharing Service System for providing climate datasets.</t>
  </si>
  <si>
    <t>SPRINGER HEIDELBERG</t>
  </si>
  <si>
    <t>HEIDELBERG</t>
  </si>
  <si>
    <t>TIERGARTENSTRASSE 17, D-69121 HEIDELBERG, GERMANY</t>
  </si>
  <si>
    <t>1674-6767</t>
  </si>
  <si>
    <t>2194-7783</t>
  </si>
  <si>
    <t>J ARID LAND</t>
  </si>
  <si>
    <t>J. Arid Land</t>
  </si>
  <si>
    <t>179YJ</t>
  </si>
  <si>
    <t>WOS:000321558700006</t>
  </si>
  <si>
    <t>van Asselen, S; Verburg, PH; Vermaat, JE; Janse, JH</t>
  </si>
  <si>
    <t>LAND-USE; CONSERVATION; AGRICULTURE; STRATEGIES; SYSTEMS</t>
  </si>
  <si>
    <t>[van Asselen, Sanneke; Verburg, Peter H.; Vermaat, Jan E.] Vrije Univ Amsterdam, Inst Environm Studies, Amsterdam, Netherlands; [Vermaat, Jan E.] Vrije Univ Amsterdam, Fac Earth &amp; Life Sci, Amsterdam, Netherlands; [Janse, Jan H.] PBL Netherlands Environm Assessment Agcy, Bilthoven, Netherlands</t>
  </si>
  <si>
    <t>Vrije Universiteit Amsterdam; Vrije Universiteit Amsterdam</t>
  </si>
  <si>
    <t>van Asselen, S (corresponding author), Vrije Univ Amsterdam, Inst Environm Studies, Amsterdam, Netherlands.</t>
  </si>
  <si>
    <t>svasselen@gmail.com</t>
  </si>
  <si>
    <t>Vermaat, Jan/I-5856-2012; Verburg, Peter/A-8469-2010; Janse, Jan/OUI-7427-2025; Verburg, Peter/Z-1582-2019</t>
  </si>
  <si>
    <t>Verburg, Peter/0000-0002-6977-7104;</t>
  </si>
  <si>
    <t>Netherlands Organization for Scientific Research (NWO) [IGLO-830.10.003]; European Research Council under the European Union's Seventh Framework Programme ERC (GLOLAND) [311819]; Netherlands Environmental Assessment Agency; NWO</t>
  </si>
  <si>
    <t>Netherlands Organization for Scientific Research (NWO)(Netherlands Organization for Scientific Research (NWO)); European Research Council under the European Union's Seventh Framework Programme ERC (GLOLAND); Netherlands Environmental Assessment Agency; NWO(Netherlands Organization for Scientific Research (NWO))</t>
  </si>
  <si>
    <t>This research is funded by the Netherlands Organization for Scientific Research (NWO; project IGLO-830.10.003), the European Research Council under the European Union's Seventh Framework Programme ERC Grant Agreement nr. 311819 (GLOLAND), and the Netherlands Environmental Assessment Agency. The position of the corresponding author (SVA) at the Institute for Environmental Studies was funded by NWO. She had a role in study design, data collection and analysis, decision to publish and preparation of the manuscript. The funders had no role in study design, data collection and analysis, decision to publish, or preparation of the manuscript.</t>
  </si>
  <si>
    <t>NOV 25</t>
  </si>
  <si>
    <t>e81292</t>
  </si>
  <si>
    <t>259RH</t>
  </si>
  <si>
    <t>Green Published, Green Submitted, gold</t>
  </si>
  <si>
    <t>WOS:000327543500082</t>
  </si>
  <si>
    <t>Koyanagi, TF; Furukawa, T</t>
  </si>
  <si>
    <t>Biodiversity indicator; Extinction risk; Marginal semi-natural grassland; Plant functional groups; Red Data Book; Red List Index (RLI)</t>
  </si>
  <si>
    <t>LIFE-HISTORY TRAITS; PLANT-COMMUNITIES; HUMAN-POPULATION; MANAGEMENT; EXTINCTION; LANDSCAPE; CONSERVATION; PERSISTENCE; DIVERSITY; FOREST</t>
  </si>
  <si>
    <t>To integrate monitoring and conservation of biodiversity at multiple spatial scales, biodiversity indicators measured at coarse spatial scales should be linked with anthropogenic pressures reported at finer scales. Applying the Red List Index (RLI) at the regional level, we investigated the relationship between Japanese semi-natural grassland species and proxies of threats caused by human activities over the past 50 years. We calculated and compared RLI values at the national and prefectural levels for all grassland species, plant functional groups (PFGs), and resource use types. Analyses of prefectural RLIs revealed trends that were not visible at the national level: annuals and wind-dispersed, tall and short perennials were more extinction prone (i.e., had lower RLI values) than tall and short perennials with unassisted and other types of dispersal mechanisms. Species with horticultural use also had higher risk of extinction than those without. Prefectural RLIs were further analyzed for their relationship to social factors (i.e., demographic and land use statistics). As a result, the conservation status of grassland plants was more deteriorated in prefectures with larger decrease in commercial and subsistence agrarian population density in the past (during 1960-1980) than the recent (1980-2000). This supports the perception that the underuse of agricultural landscapes, indicated by agrarian depopulation, has had a large impact on semi-natural grassland biodiversity in Japan. Our approach of relating regional RLIs to proxies of anthropogenic pressures demonstrated that human-induced drivers of species loss can be readily interpreted from spatial differences in RLI values in order to derive effective conservation strategies across regions. (C) 2013 Elsevier Ltd. All rights reserved.</t>
  </si>
  <si>
    <t>[Koyanagi, Tomoyo F.] Waseda Univ, Fac Human Sci, Tokorozawa, Saitama 3591192, Japan; [Furukawa, Takuya] Yokohama Natl Univ, Grad Sch Environm &amp; Informat Sci, Hodogaya Ku, Yokohama, Kanagawa 2408501, Japan</t>
  </si>
  <si>
    <t>Waseda University; Yokohama National University</t>
  </si>
  <si>
    <t>Furukawa, T (corresponding author), Yokohama Natl Univ, Grad Sch Environm &amp; Informat Sci, Hodogaya Ku, 79-7 Tokiwadai, Yokohama, Kanagawa 2408501, Japan.</t>
  </si>
  <si>
    <t>t-koyanagi@aoni.waseda.jp; tkyfurukawa@gmail.com</t>
  </si>
  <si>
    <t>; Furukawa, Takuya/JXL-3358-2024</t>
  </si>
  <si>
    <t>Furukawa, Takuya/0000-0003-2006-6560;</t>
  </si>
  <si>
    <t>Ministry of the Environment, Japan [S-9]</t>
  </si>
  <si>
    <t>Ministry of the Environment, Japan(Ministry of the Environment, Japan)</t>
  </si>
  <si>
    <t>This research was supported by the Environment Research and Technology Development Fund S-9 of the Ministry of the Environment, Japan.</t>
  </si>
  <si>
    <t>277FL</t>
  </si>
  <si>
    <t>WOS:000328804300001</t>
  </si>
  <si>
    <t>Mu, SJ; Zhou, SX; Chen, YZ; Li, JL; Ju, WM; Odeh, IOA</t>
  </si>
  <si>
    <t>Inner Mongolia grassland; vegetation restoration programs; land use and cover change; net primary productivity; human activities</t>
  </si>
  <si>
    <t>HORQIN SANDY LAND; CARBON SEQUESTRATION; SOIL PROPERTIES; CLIMATE-CHANGE; RELATIVE ROLE; DESERTIFICATION; CROPLAND; ECOLOGY; STEPPE; CLASSIFICATION</t>
  </si>
  <si>
    <t>[Mu, Shaojie; Chen, Yizhao; Li, Jianlong] Nanjing Univ, Sch Life Sci, Nanjing 210093, Jiangsu, Peoples R China; [Zhou, Shuangxi] Macquarie Univ, Dept Biol Sci, Sydney, NSW 2109, Australia; [Ju, Weimin] Nanjing Univ, Int Inst Earth Syst Sci, Nanjing 210093, Jiangsu, Peoples R China; [Odeh, I. O. A.] Univ Sydney, Fac Agr Food &amp; Nat Resources, Sydney, NSW 2006, Australia</t>
  </si>
  <si>
    <t>Nanjing University; Macquarie University; Nanjing University; University of Sydney</t>
  </si>
  <si>
    <t>; Odeh, Inakwu/F-7758-2011</t>
  </si>
  <si>
    <t>Zhou, Shuangxi/0009-0006-5022-3044; Zhou, Shuangxi/0000-0003-2930-2910;</t>
  </si>
  <si>
    <t>key project of Chinese national programs for fundamental research and development (973 program) [2010CB950702]; China's high-tech special projects (863 plan) [2007AA10Z231]; APN project [ARCP2011-06CMY-Li]</t>
  </si>
  <si>
    <t>key project of Chinese national programs for fundamental research and development (973 program)(National Basic Research Program of China); China's high-tech special projects (863 plan); APN project</t>
  </si>
  <si>
    <t>We would like to thank Yongliang You from China Agricultural University and Qiang Li from Inner Mongolia University for their help during the field investigation. This work was supported by the key project of Chinese national programs for fundamental research and development (973 program, 2010CB950702), the China's high-tech special projects (863 plan, No. 2007AA10Z231) and APN project (ARCP2011-06CMY-Li). The constructive comments and suggestions from anonymous reviewers are also highly appreciated.</t>
  </si>
  <si>
    <t>205UR</t>
  </si>
  <si>
    <t>WOS:000323470800003</t>
  </si>
  <si>
    <t>Wilcove, DS; Giam, X; Edwards, DP; Fisher, B; Koh, LP</t>
  </si>
  <si>
    <t>extinction; deforestation; oil palm; forest degradation; Southeast Asia</t>
  </si>
  <si>
    <t>SELECTIVELY LOGGED FORESTS; OIL PALM PLANTATIONS; TROPICAL RAIN-FORESTS; REDUCED-IMPACT; CONSERVATION VALUE; HUMAN DISTURBANCE; SPECIES RICHNESS; CENTRAL SULAWESI; BIRD DIVERSITY; LAND-USE</t>
  </si>
  <si>
    <t>[Wilcove, David S.; Giam, Xingli] Princeton Univ, Woodrow Wilson Sch, Princeton, NJ 08544 USA; [Wilcove, David S.; Giam, Xingli] Princeton Univ, Dept Ecol &amp; Evolutionary Biol, Princeton, NJ 08544 USA; [Giam, Xingli] Natl Univ Singapore, Raffles Museum Biodivers Res, Singapore 117546, Singapore; [Edwards, David P.] James Cook Univ, Ctr Trop Environm &amp; Sustainabil Sci TESS, Cairns, Qld 4878, Australia; [Edwards, David P.] James Cook Univ, Sch Marine &amp; Trop Biol, Cairns, Qld 4878, Australia; [Fisher, Brendan] World Wildlife Fund, Washington, DC 20037 USA; [Koh, Lian Pin] ETH, Dept Environm Syst Sci, CH-8092 Zurich, Switzerland</t>
  </si>
  <si>
    <t>Princeton University; Princeton University; National University of Singapore; James Cook University; James Cook University; World Wildlife Fund; Swiss Federal Institutes of Technology Domain; ETH Zurich</t>
  </si>
  <si>
    <t>Wilcove, DS (corresponding author), Princeton Univ, Woodrow Wilson Sch, Princeton, NJ 08544 USA.</t>
  </si>
  <si>
    <t>dwilcove@princeton.edu</t>
  </si>
  <si>
    <t>; Edwards, David/AAC-5091-2019; Koh, Lian/A-5794-2010</t>
  </si>
  <si>
    <t>Wilcove, David S/0000-0002-1354-0503; Giam, Xingli/0000-0002-5239-9477; Edwards, David/0000-0001-8562-3853; Koh, Lian Pin/0000-0001-8152-3871</t>
  </si>
  <si>
    <t>High Meadows Foundation</t>
  </si>
  <si>
    <t>We thank Bert Harris, Tien Ming Lee, and three anonymous reviewers for their helpful comments on this manuscript. We also thank Jukka Miettinen for advice and discussions on fires in Southeast Asia. Our work in Southeast Asia has been supported in part by a grant from the High Meadows Foundation to D.S.W.</t>
  </si>
  <si>
    <t>ELSEVIER SCIENCE LONDON</t>
  </si>
  <si>
    <t>84 THEOBALDS RD, LONDON WC1X 8RR, ENGLAND</t>
  </si>
  <si>
    <t>0169-5347</t>
  </si>
  <si>
    <t>1872-8383</t>
  </si>
  <si>
    <t>TRENDS ECOL EVOL</t>
  </si>
  <si>
    <t>Trends Ecol. Evol.</t>
  </si>
  <si>
    <t>Environmental Sciences &amp; Ecology; Evolutionary Biology; Genetics &amp; Heredity</t>
  </si>
  <si>
    <t>225PV</t>
  </si>
  <si>
    <t>WOS:000324975700010</t>
  </si>
  <si>
    <t>Fu, YC; Lu, XY; Zhao, YL; Zeng, XT; Xia, LL</t>
  </si>
  <si>
    <t>NPP; spatiotemporal pattern; weather variation; LULC change; effects</t>
  </si>
  <si>
    <t>CLIMATE-CHANGE; ECOSYSTEM SERVICES; SOIL-MOISTURE; TERRESTRIAL; HEALTH; CITY; DEGRADATION; SATELLITE; BENEFITS; PATTERN</t>
  </si>
  <si>
    <t>[Fu, Yingchun; Lu, Xueyu; Zhao, Yaolong; Zeng, Xiantie; Xia, Lili] S China Normal Univ, Sch Geog, Guangzhou 510631, Guangdong, Peoples R China; [Zeng, Xiantie] China RS Geoinformat Co Ltd, Dongguan 523808, Peoples R China</t>
  </si>
  <si>
    <t>South China Normal University</t>
  </si>
  <si>
    <t>Zhao, YL (corresponding author), S China Normal Univ, Sch Geog, Guangzhou 510631, Guangdong, Peoples R China.</t>
  </si>
  <si>
    <t>fuyc@scnu.edu.cn; praymer1007@gmail.com; yaolong@scnu.edu.cn; feandyi@163.com; hslily@163.com</t>
  </si>
  <si>
    <t>Zhao, Yaolong/V-1489-2019</t>
  </si>
  <si>
    <t>National Natural Science Foundation of China [41101152, 40901090]; Scientific Research Foundation for the Returned Overseas Chinese Scholars, State Education Ministry; talents introduced into Universities Foundation of Guangdong Province of China; China Scholarship Council (CSC); Guangdong Province Foundation [C10092]; Scientific Research Foundation of Graduate School of South China Normal University</t>
  </si>
  <si>
    <t>National Natural Science Foundation of China(National Natural Science Foundation of China (NSFC)); Scientific Research Foundation for the Returned Overseas Chinese Scholars, State Education Ministry(Scientific Research Foundation for the Returned Overseas Chinese Scholars); talents introduced into Universities Foundation of Guangdong Province of China; China Scholarship Council (CSC)(China Scholarship Council); Guangdong Province Foundation; Scientific Research Foundation of Graduate School of South China Normal University</t>
  </si>
  <si>
    <t>This work was supported by the National Natural Science Foundation of China (No. 41101152, No. 40901090), the Scientific Research Foundation for the Returned Overseas Chinese Scholars, State Education Ministry, the talents introduced into Universities Foundation of Guangdong Province of China, the China Scholarship Council (CSC) funding 2013, and the universities disciplinary and special construction funds of Guangdong Province Foundation (C10092), the Scientific Research Foundation of Graduate School of South China Normal University.</t>
  </si>
  <si>
    <t>274SI</t>
  </si>
  <si>
    <t>WOS:000328626100023</t>
  </si>
  <si>
    <t>Vayreda, J; Gracia, M; Martinez-Vilalta, J; Retana, J</t>
  </si>
  <si>
    <t>Broadleaved trees; climate warming; conifers; disturbance; ingrowth rate; National Forest Inventory; sapling abundance; shade tolerance; stand structure; water availability</t>
  </si>
  <si>
    <t>OAK SEEDLING SURVIVAL; MEDITERRANEAN FORESTS; VEGETATION SHIFTS; SCOTS PINE; RECRUITMENT; DYNAMICS; VULNERABILITY; VARIABILITY; DROUGHT; GROWTH</t>
  </si>
  <si>
    <t>[Vayreda, Jordi; Gracia, Marc; Martinez-Vilalta, Jordi; Retana, Javier] CREAF, Cerdanyola Del Valles 08193, Spain; [Vayreda, Jordi; Gracia, Marc; Martinez-Vilalta, Jordi; Retana, Javier] Univ Autonoma Barcelona, Cerdanyola Del Valles 08193, Spain</t>
  </si>
  <si>
    <t>Centro de Investigacion Ecologica y Aplicaciones Forestales (CREAF-CERCA); Autonomous University of Barcelona</t>
  </si>
  <si>
    <t>Vayreda, J (corresponding author), CREAF, Cerdanyola Del Valles 08193, Spain.</t>
  </si>
  <si>
    <t>j.vayreda@creaf.uab.es</t>
  </si>
  <si>
    <t>; Martinez-Vilalta, Jordi/D-3385-2014; Retana, Javier/L-1214-2014; Martínez-Vilalta, Jordi/D-3385-2014; Vayreda, Jordi/U-8172-2017; Retana, Javier/L-1214-2014</t>
  </si>
  <si>
    <t>Gracia, Marc/0000-0002-7492-800X; Martinez-Vilalta, Jordi/0000-0002-2332-7298; Retana, Javier/0000-0002-7505-9467; Vayreda, Jordi/0000-0002-9538-7361; Retana, Javier/0000-0002-7505-9467</t>
  </si>
  <si>
    <t>CONSOLIDER INGENIO [CSD2008-0040]</t>
  </si>
  <si>
    <t>CONSOLIDER INGENIO(Spanish GovernmentMinistry of Science &amp; Innovation, Spain (MICINN))</t>
  </si>
  <si>
    <t>This study was supported by the CONSOLIDER INGENIO 2010 CSD2008-0040 project. We are very grateful to all persons who made possible the two Spanish forest inventories and, especially, to their main coordinators, Ramon Villaescusa (IFN2) and Jose Antonio Villanueva (IFN3). We thank Llorenc Badiella for statistical advice and Rosa Maria Roman for her help with recent warming data.</t>
  </si>
  <si>
    <t>161ES</t>
  </si>
  <si>
    <t>WOS:000320175400005</t>
  </si>
  <si>
    <t>Castaldelli, G; Pluchinotta, A; Milardi, M; Lanzoni, M; Giari, L; Rossi, R; Fano, EA</t>
  </si>
  <si>
    <t>endangered species; alien species; fish; biodiversity; water quality; catchment</t>
  </si>
  <si>
    <t>FRESH-WATER FISH; CATFISH SILURUS-GLANIS; EUROPEAN CATFISH; RIVER; REQUIREMENTS; COMMUNITIES; ASSEMBLAGES; TOXICITY; INVASION; PREVENT</t>
  </si>
  <si>
    <t>[Castaldelli, Giuseppe; Pluchinotta, Angela; Lanzoni, Mattia; Giari, Luisa; Rossi, Remigio; Fano, Elisa Anna] Univ Ferrara, Dept Life Sci &amp; Biotechnol, I-44121 Ferrara, Italy; [Milardi, Marco] Univ Helsinki, Dept Biol &amp; Environm Sci, FIN-00014 Helsinki, Finland</t>
  </si>
  <si>
    <t>University of Ferrara; University of Helsinki</t>
  </si>
  <si>
    <t>Pluchinotta, A (corresponding author), Univ Ferrara, Dept Life Sci &amp; Biotechnol, Borsari St 46, I-44121 Ferrara, Italy.</t>
  </si>
  <si>
    <t>angela.pluchinotta@unife.it</t>
  </si>
  <si>
    <t>Giari, Luisa/F-5909-2015; Castaldelli, Giuseppe/Q-8301-2016; Fano, Elisa Anna/M-6731-2015; Fano, Elisa/M-6731-2015; Milardi, Marco/ACZ-4214-2022; Lanzoni, Mattia/AAL-5938-2021</t>
  </si>
  <si>
    <t>Giari, Luisa/0000-0003-1058-0910; Castaldelli, Giuseppe/0000-0001-5954-1133; Fano, Elisa Anna/0000-0001-8552-9621; Milardi, Marco/0000-0001-6104-294X;</t>
  </si>
  <si>
    <t>Province of Ferrara</t>
  </si>
  <si>
    <t>This study was made possible by a long-term programme financed by the Province of Ferrara. The authors thank the Director of the Bureau for Wildlife Conservation and Management of the Province of Ferrara, Dr Elisabetta Mantovani, for support and constructive cooperation and Dr Raffaele Barbirati, Dr Ivan Zucconelli, and Dr Elena Rizzati for their work in the sampling campaigns. Dr Roberto Spaggiari and Dr Silvia Franceschini, of the Emilia-Romagna Region Environmental Protection Agency (ARPA-EMR) and Dr Silvia Bignami, of the Division of Ferrara (ARPA-FE) are also thanked for sharing their water quality database. Special thanks go to all the volunteers of the sport angling association ARCI Ferrara who worked in the fishing campaigns, and to its late president, Mr Adriano Zucchini, who recently left us for a better place. Finally, The Lucidus Consultancy is acknowledged for English correction of the manuscript.</t>
  </si>
  <si>
    <t>157CQ</t>
  </si>
  <si>
    <t>WOS:000319873700007</t>
  </si>
  <si>
    <t>Ohlberger, J; Otero, J; Edeline, E; Winfield, IJ; Stenseth, NC; Vollestad, LA</t>
  </si>
  <si>
    <t>PERCA-FLUVIATILIS L; DEPENDENT LIFE-HISTORY; BODY-SIZE; COMMUNITY STRUCTURE; CLASS STRENGTHS; CLIMATE-CHANGE; WINDERMERE; DYNAMICS; POPULATIONS; FOOD</t>
  </si>
  <si>
    <t>[Ohlberger, Jan; Otero, Jaime; Stenseth, Nils Chr; Vollestad, L. Asbjorn] Univ Oslo, Dept Biol, Ctr Ecol &amp; Evolutionary Synth, NO-0316 Oslo, Norway; [Edeline, Eric] Univ Paris 06, UMR 7618, CNRS, Lab Biogeochim &amp; Ecol Milieux Continent, FR-75230 Paris 05, France; [Winfield, Ian J.] Lancaster Environm Ctr, Ctr Ecol &amp; Hydrol, Lancaster LA1 4AP, Lancs, England</t>
  </si>
  <si>
    <t>University of Oslo; Universite Paris-Est-Creteil-Val-de-Marne (UPEC); AgroParisTech; Centre National de la Recherche Scientifique (CNRS); Institut de Recherche pour le Developpement (IRD); Sorbonne Universite; UK Centre for Ecology &amp; Hydrology (UKCEH); Lancaster University</t>
  </si>
  <si>
    <t>Ohlberger, J (corresponding author), Univ Oslo, Dept Biol, Ctr Ecol &amp; Evolutionary Synth, POB 1066 Blindern, NO-0316 Oslo, Norway.</t>
  </si>
  <si>
    <t>jan.ohlberger@bio.uio.no</t>
  </si>
  <si>
    <t>Ohlberger, Jan/H-3262-2019; Stenseth, Nils Christian/G-5212-2016; Vøllestad, Leif/H-7305-2019; Otero, Jaime/C-4848-2015; Stenseth, Nils/G-5212-2016; Winfield, Ian/I-6085-2012</t>
  </si>
  <si>
    <t>Stenseth, Nils Christian/0000-0002-1591-5399; Vøllestad, Leif Asbjørn/0000-0002-9389-7982; Ohlberger, Jan/0000-0001-6795-240X;</t>
  </si>
  <si>
    <t>Research Council of Norway; Natural Environment Research Council of the UK</t>
  </si>
  <si>
    <t>Research Council of Norway(Research Council of Norway); Natural Environment Research Council of the UK(UK Research &amp; Innovation (UKRI)Natural Environment Research Council (NERC))</t>
  </si>
  <si>
    <t>We thank Janice Fletcher, Ben James and other colleagues for undertaking the field and laboratory work of the Windermere monitoring programme. We are also grateful to the Freshwater Biological Association for their joint stewardship of the long-term Windermere data. Geir Ottersen and Bruno Ernande provided constructive comments that helped to improve the manuscript. The Research Council of Norway and the Natural Environment Research Council of the UK supported this work.</t>
  </si>
  <si>
    <t>0030-1299</t>
  </si>
  <si>
    <t>1600-0706</t>
  </si>
  <si>
    <t>Oikos</t>
  </si>
  <si>
    <t>150RJ</t>
  </si>
  <si>
    <t>WOS:000319408300004</t>
  </si>
  <si>
    <t>[Berndes, Goran; Borjesson, Pal] Chalmers Univ Technol, Environm &amp; Energy Dept, S-41296 Gothenburg, Sweden; [Ahlgren, Serina] Lund Univ, Dept Technol &amp; Soc, Lund, Sweden; [Cowie, Annette L.] Univ New England, Rural Climate Solut, Armidale, NSW 2351, Australia</t>
  </si>
  <si>
    <t>Berndes, G (corresponding author), Chalmers Univ Technol, Environm &amp; Energy Dept, S-41296 Gothenburg, Sweden.</t>
  </si>
  <si>
    <t>; Cowie, Annette/E-1485-2016</t>
  </si>
  <si>
    <t>Ahlgren, Serina/0000-0002-0086-8059; Cowie, Annette/0000-0002-3858-959X</t>
  </si>
  <si>
    <t>WILEY PERIODICALS, INC</t>
  </si>
  <si>
    <t>ONE MONTGOMERY ST, SUITE 1200, SAN FRANCISCO, CA 94104 USA</t>
  </si>
  <si>
    <t>2041-8396</t>
  </si>
  <si>
    <t>2041-840X</t>
  </si>
  <si>
    <t>WIRES ENERGY ENVIRON</t>
  </si>
  <si>
    <t>Wiley Interdiscip. Rev. Energy Environ.</t>
  </si>
  <si>
    <t>MAY-JUN</t>
  </si>
  <si>
    <t>Energy &amp; Fuels</t>
  </si>
  <si>
    <t>AQ9WI</t>
  </si>
  <si>
    <t>WOS:000343208300003</t>
  </si>
  <si>
    <t>Dalton, CM; Mokiao-Lee, A; Sakihara, TS; Weber, MG; Roco, CA; Han, Z; Dudley, B; MacKenzie, RA; Hairston, NG</t>
  </si>
  <si>
    <t>SHRIMP HALOCARIDINA-RUBRA; FRESH-WATER; GAMBUSIA-AFFINIS; NUTRIENT STOICHIOMETRY; STRUCTURAL COMPLEXITY; PREDATION MORTALITY; FORAGING EFFICIENCY; VERTICAL MIGRATION; STREAM PERIPHYTON; TROPHIC STRUCTURE</t>
  </si>
  <si>
    <t>[Dalton, C. M.; Weber, M. G.; Han, Z.; Hairston, N. G., Jr.] Cornell Univ, Dept Ecol &amp; Evolutionary Biol, Ithaca, NY 14853 USA; [Mokiao-Lee, A.; Sakihara, T. S.] Univ Hawaii, Trop Conservat Biol &amp; Environm Sci Grad Program, Hilo, HI 96720 USA; [Sakihara, T. S.] Dept Land &amp; Nat Resources, Div Aquat Resources, Hilo, HI 96720 USA; [Roco, C. A.] Cornell Univ, Dept Microbiol, Ithaca, NY 14853 USA; [Dudley, B.] Univ Hawaii, Dept Biol, Hilo, HI 96720 USA; [MacKenzie, R. A.] US Forest Serv, USDA, Pacific Southwest Res Stn, Inst Pacific Isl Forestry, Hilo, HI 96720 USA</t>
  </si>
  <si>
    <t>Cornell University; University of Hawaii System; University Hawaii Hilo; Cornell University; University of Hawaii System; University Hawaii Hilo; United States Department of Agriculture (USDA); United States Forest Service</t>
  </si>
  <si>
    <t>Dalton, CM (corresponding author), Cornell Univ, Dept Ecol &amp; Evolutionary Biol, Ithaca, NY 14853 USA.</t>
  </si>
  <si>
    <t>cmd273@cornell.edu</t>
  </si>
  <si>
    <t>Dudley, Bruce/0000-0002-8937-4310; Sakihara, Troy/0000-0002-8944-7153; Roco, Constance Armanda/0000-0001-7748-3846</t>
  </si>
  <si>
    <t>National Science Foundation Centers of Research Excellence in Science and Technology [0833211]; Cornell Univ.</t>
  </si>
  <si>
    <t>National Science Foundation Centers of Research Excellence in Science and Technology; Cornell Univ.</t>
  </si>
  <si>
    <t>We thank M. Takabayashi for collaboration, and L. Mead and T. Holitzki at UHH Analytical Laboratory for water quality sample analysis. We thank C. M. Kearns for assistance analyzing CN samples, J. P. Friel for assistance identifying poeciliids and J. L. Simonis and G. Hooker for assistance with statistical analyses. We thank the instructors and students of the Cornell graduate Hawai'i field course for feedback on methods and the interpretation of results. We also thank Hawai'i Preparatory Academy for accommodations, Cornell Univ. for accommodations of Univ. of Hawai'i, Hilo students, and the Experimental Program to Stimulate Competitive Research Hawai'i for providing travel assistance. We thank D. Chai and Aunty Lei for assistance at the Hualalai Four Seasons and Kona Village Resorts, and the resorts themselves for permitting us access to their properties. This work was partly funded by National Science Foundation Centers of Research Excellence in Science and Technology grant 0833211 and Cornell Univ.</t>
  </si>
  <si>
    <t>131GS</t>
  </si>
  <si>
    <t>WOS:000317981400015</t>
  </si>
  <si>
    <t>Zhuravleva, I; Turubanova, S; Potapov, P; Hansen, M; Tyukavina, A; Minnemeyer, S; Laporte, N; Goetz, S; Verbelen, F; Thies, C</t>
  </si>
  <si>
    <t>primary forests; intact forest landscapes; deforestation; forest degradation; remote sensing; Landsat; Democratic Republic of the Congo</t>
  </si>
  <si>
    <t>CENTRAL-AFRICA; DEFORESTATION; WORLDS; COVER; CONSERVATION; LANDSCAPES; ECOSYSTEMS; INTACT</t>
  </si>
  <si>
    <t>[Zhuravleva, I.] Greenpeace Russia, Moscow 125040, Russia; [Turubanova, S.; Potapov, P.; Hansen, M.; Tyukavina, A.] Univ Maryland, Dept Geog Sci, College Pk, MD 20742 USA; [Minnemeyer, S.] World Resources Inst, Washington, DC 20002 USA; [Laporte, N.; Goetz, S.] Woods Hole Res Ctr, Falmouth, MA 02540 USA; [Verbelen, F.; Thies, C.] Greenpeace Int, NL-1066 AZ Amsterdam, Netherlands</t>
  </si>
  <si>
    <t>Greenpeace; University System of Maryland; University of Maryland College Park; Woodwell Climate Research Center; Greenpeace</t>
  </si>
  <si>
    <t>Zhuravleva, I (corresponding author), Greenpeace Russia, Leningradsky Prospekt 26-1, Moscow 125040, Russia.</t>
  </si>
  <si>
    <t>ilona.zhuravleva@greenpeace.org</t>
  </si>
  <si>
    <t>Hansen, Matthew/ABE-7226-2020; Goetz, Scott/A-3393-2015; Tyukavina, Alexandra/AGW-0785-2022; Potapov, Peter/AAE-7388-2019</t>
  </si>
  <si>
    <t>Tyukavina, Alexana/0000-0003-3872-9844; Goetz, Scott/0000-0002-6326-4308; Zhuravleva, Ilona/0000-0001-7897-281X; Potapov, Peter/0000-0003-3977-0021</t>
  </si>
  <si>
    <t>APR-JUN</t>
  </si>
  <si>
    <t>178DU</t>
  </si>
  <si>
    <t>WOS:000321425100038</t>
  </si>
  <si>
    <t>Gao, ZQ; Cao, XM; Gao, W</t>
  </si>
  <si>
    <t>carbon cycle; climate changes; LULC; remote sensing; Earth system modeling</t>
  </si>
  <si>
    <t>ANNUAL NET FLUX; TERRESTRIAL ECOSYSTEMS; INTERANNUAL VARIATIONS; PRIMARY PRODUCTIVITY; DYNAMIC-RESPONSES; ATMOSPHERIC CO2; SATELLITE DATA; BALANCE; STORAGE; PATTERNS</t>
  </si>
  <si>
    <t>[Gao, Zhiqiang] Chinese Acad Sci, Yantai Inst Coastal Zone Res, Yantai 264003, Peoples R China; [Cao, Xiaoming] Chinese Acad Sci, Inst Geog Sci &amp; Nat Resources Res, Beijing 100101, Peoples R China; [Gao, Zhiqiang; Gao, Wei] Colorado State Univ, Nat Resource Ecol Lab, USDA UV B Monitoring &amp; Res Program, Ft Collins, CO 80521 USA</t>
  </si>
  <si>
    <t>Chinese Academy of Sciences; Yantai Institute of Coastal Zone Research, CAS; Chinese Academy of Sciences; Institute of Geographic Sciences &amp; Natural Resources Research, CAS; United States Department of Agriculture (USDA); Colorado State University System; Colorado State University Fort Collins</t>
  </si>
  <si>
    <t>Cao, XM (corresponding author), Chinese Acad Sci, Inst Geog Sci &amp; Nat Resources Res, Beijing 100101, Peoples R China.</t>
  </si>
  <si>
    <t>caoxm@lreis.ac.cn</t>
  </si>
  <si>
    <t>Gao, Wei/HLH-2787-2023; Xiaoming, Cao/JRW-3576-2023</t>
  </si>
  <si>
    <t>National Natural Science Foundation of China [41171334, 41071278]; USDA NIFA Project [2010-34263-21075]</t>
  </si>
  <si>
    <t>National Natural Science Foundation of China(National Natural Science Foundation of China (NSFC)); USDA NIFA Project</t>
  </si>
  <si>
    <t>This work was supported by the National Natural Science Foundation of China (Grant Nos. 41171334 and 41071278) and USDA NIFA Project (No. 2010-34263-21075). The authors acknowledge all the financial support gratefully.</t>
  </si>
  <si>
    <t>2095-0195</t>
  </si>
  <si>
    <t>2095-0209</t>
  </si>
  <si>
    <t>FRONT EARTH SCI-PRC</t>
  </si>
  <si>
    <t>Front. Earth Sci.</t>
  </si>
  <si>
    <t>Geology</t>
  </si>
  <si>
    <t>080YD</t>
  </si>
  <si>
    <t>WOS:000314279400009</t>
  </si>
  <si>
    <t>Liu, JY</t>
  </si>
  <si>
    <t>Chinese Acad Sci, Inst Oceanol, Qingdao, Peoples R China</t>
  </si>
  <si>
    <t>Chinese Academy of Sciences; Institute of Oceanology, CAS</t>
  </si>
  <si>
    <t>Liu, JY (corresponding author), Chinese Acad Sci, Inst Oceanol, Qingdao, Peoples R China.</t>
  </si>
  <si>
    <t>pmilos@usb.ve</t>
  </si>
  <si>
    <t>External Cooperation Program of the Chinese Academy of Sciences [GJHZ200808]; Main Direction Program of Knowledge Innovation of the Chinese Academy of Sciences [KZCX2-YW-417, KSCX2-EW-Z-5]; Special funds for science infrastructure of the Ministry of Science and Technology of the People's Republic of China [2006FY110500-4]; Alfred P. Sloan Foundation</t>
  </si>
  <si>
    <t>External Cooperation Program of the Chinese Academy of Sciences(Chinese Academy of Sciences); Main Direction Program of Knowledge Innovation of the Chinese Academy of Sciences(Chinese Academy of Sciences); Special funds for science infrastructure of the Ministry of Science and Technology of the People's Republic of China; Alfred P. Sloan Foundation(Alfred P. Sloan Foundation)</t>
  </si>
  <si>
    <t>Dr. Liu received funding for this study from the following organizations: The External Cooperation Program of the Chinese Academy of Sciences (GJHZ200808); Main Direction Program of Knowledge Innovation of the Chinese Academy of Sciences (KZCX2-YW-417), (KSCX2-EW-Z-5); Special funds for science infrastructure of the Ministry of Science and Technology of the People's Republic of China (2006FY110500-4); and The Alfred P. Sloan Foundation. The funders had no role in study design, data collection and analysis, decision to publish, or preparation of the manuscript.</t>
  </si>
  <si>
    <t>JAN 8</t>
  </si>
  <si>
    <t>e50719</t>
  </si>
  <si>
    <t>069IY</t>
  </si>
  <si>
    <t>WOS:000313429800005</t>
  </si>
  <si>
    <t>Fox, R</t>
  </si>
  <si>
    <t>Biodiversity conservation; climate change; habitat degradation; light pollution; macro-moths; population trends</t>
  </si>
  <si>
    <t>CLIMATE-CHANGE; SPECIES RICHNESS; AGRICULTURAL INTENSIFICATION; BRITISH BUTTERFLIES; EXTINCTION RISK; LAND-USE; FARMLAND BIODIVERSITY; DISTRIBUTION PATTERNS; NITROGEN DEPOSITION; POPULATION TRENDS</t>
  </si>
  <si>
    <t>Butterfly Conservat, Manor Yard, Wareham BH20 5QP, Dorset, England</t>
  </si>
  <si>
    <t>Fox, R (corresponding author), Butterfly Conservat, Manor Yard, Wareham BH20 5QP, Dorset, England.</t>
  </si>
  <si>
    <t>rfox@butterfly-conservation.org</t>
  </si>
  <si>
    <t>Fox, Richard/G-3873-2011</t>
  </si>
  <si>
    <t>Fox, Richard/0000-0001-6992-3522</t>
  </si>
  <si>
    <t>1752-458X</t>
  </si>
  <si>
    <t>1752-4598</t>
  </si>
  <si>
    <t>INSECT CONSERV DIVER</t>
  </si>
  <si>
    <t>Insect. Conserv. Divers.</t>
  </si>
  <si>
    <t>Biodiversity Conservation; Entomology</t>
  </si>
  <si>
    <t>Biodiversity &amp; Conservation; Entomology</t>
  </si>
  <si>
    <t>075JC</t>
  </si>
  <si>
    <t>WOS:000313880200002</t>
  </si>
  <si>
    <t>Clark, KL; Skowronski, N; Gallagher, M; Renninger, H; Schäfer, K</t>
  </si>
  <si>
    <t>Evapotranspiration; Leaf area index; Eddy covariance; Gypsy moth defoliation; Prescribed fire; Disturbance</t>
  </si>
  <si>
    <t>WATER FLUXES; PINE FORESTS; CARBON; CHRONOSEQUENCE; MATURE; VAPOR</t>
  </si>
  <si>
    <t>[Clark, Kenneth L.; Skowronski, Nicholas; Gallagher, Michael] US Forest Serv, USDA, No Res Stn, New Lisbon, NJ 08064 USA; [Renninger, Heidi; Schaefer, Karina] Rutgers State Univ, Dept Biol Sci, Newark, NJ 07102 USA</t>
  </si>
  <si>
    <t>United States Department of Agriculture (USDA); United States Forest Service; Rutgers University System; Rutgers University New Brunswick; Rutgers University Newark</t>
  </si>
  <si>
    <t>Clark, KL (corresponding author), POB 232, New Lisbon, NJ 08064 USA.</t>
  </si>
  <si>
    <t>kennethclark@fs.fed.us</t>
  </si>
  <si>
    <t>Skowronski, Nicholas/N-4417-2013; Renninger, Heidi/E-5237-2015</t>
  </si>
  <si>
    <t>Skowronski, Nicholas/0000-0002-5801-5614; Renninger, Heidi/0000-0002-2485-9835</t>
  </si>
  <si>
    <t>DEC 15</t>
  </si>
  <si>
    <t>070AV</t>
  </si>
  <si>
    <t>WOS:000313479100007</t>
  </si>
  <si>
    <t>Bell, RJ; Collie, JS; Jamu, D; Banda, M</t>
  </si>
  <si>
    <t>Lake Malawi; Oreochromis; Chambo; Cichlid; Lake height; Stock assessment</t>
  </si>
  <si>
    <t>TRAWL FISHERY; LAND-USE; FLUCTUATIONS; VARIABILITY; LIMNOLOGY; AFRICA; IMPACT; LEVEL</t>
  </si>
  <si>
    <t>[Bell, Richard J.; Collie, Jeremy S.] Univ Rhode Isl, Grad Sch Oceanog, Narragansett, RI 02882 USA; [Jamu, Daniel] WorldFish Ctr, Zomba, Malawi; [Banda, Moses] Malawi Dept Fisheries, Fisheries Res Unit, Monkey Bay, Malawi</t>
  </si>
  <si>
    <t>University of Rhode Island; CGIAR; Worldfish</t>
  </si>
  <si>
    <t>Bell, RJ (corresponding author), Univ Rhode Isl, Grad Sch Oceanog, Narragansett, RI 02882 USA.</t>
  </si>
  <si>
    <t>rbell@gso.uri.edu</t>
  </si>
  <si>
    <t>USAid</t>
  </si>
  <si>
    <t>USAid(United States Agency for International Development (USAID))</t>
  </si>
  <si>
    <t>We would like to thanks the World Fish Center for initiating this work and facilitating the project. We would also like to thank all the members of the Malawi Fisheries Department for their assistance, advice and use of their data. In particular we would like to thank George Sodzapanja for working late nights sorting through thousands of files to retrieve all the catch and effort data. The original manuscript was improved by two anonymous reviewers. Thank you to the crew of the Ndunduma and to USAid for funding the project through the USAid CGIAR Linkage Fund.</t>
  </si>
  <si>
    <t>052FM</t>
  </si>
  <si>
    <t>WOS:000312183100013</t>
  </si>
  <si>
    <t>Hanafiah, MM; Hendriks, AJ; Huijbregts, MAJ</t>
  </si>
  <si>
    <t>Mean species abundance; Land use; Ecoinvent; Life cycle assessment</t>
  </si>
  <si>
    <t>LIFE-CYCLE ASSESSMENT; LAND-USE IMPACTS; DIVERSITY</t>
  </si>
  <si>
    <t>[Hanafiah, Marlia M.; Hendriks, A. Jan; Huijbregts, Mark A. J.] Radboud Univ Nijmegen, Fac Sci, Dept Environm Sci, NL-6500 GL Nijmegen, Netherlands; [Hanafiah, Marlia M.] Natl Univ Malaysia, Dept Environm Sci, Fac Sci &amp; Technol, Sch Environm &amp; Nat Resource Sci, Ukm Bangi 43600, Selangor, Malaysia</t>
  </si>
  <si>
    <t>Radboud University Nijmegen; Universiti Kebangsaan Malaysia</t>
  </si>
  <si>
    <t>Huijbregts, MAJ (corresponding author), Radboud Univ Nijmegen, Fac Sci, Dept Environm Sci, NL-6500 GL Nijmegen, Netherlands.</t>
  </si>
  <si>
    <t>M.Huijbregts@science.ru.nl</t>
  </si>
  <si>
    <t>Huijbregts, Mark/B-8971-2011; Hendriks, Aalbert/C-6767-2013; Hanafiah, Marlia/AAN-4611-2020; Huijbregts, Mark/LSL-2248-2024</t>
  </si>
  <si>
    <t>Huijbregts, Mark/0000-0002-7037-680X;</t>
  </si>
  <si>
    <t>Ministry of Higher Education Malaysia; National University of Malaysia</t>
  </si>
  <si>
    <t>Ministry of Higher Education Malaysia(Ministry of Education, Malaysia); National University of Malaysia</t>
  </si>
  <si>
    <t>We thank the anonymous reviewers for their useful suggestions. Marlia Mohd Hanafiah was financed by the Ministry of Higher Education Malaysia and the National University of Malaysia.</t>
  </si>
  <si>
    <t>0959-6526</t>
  </si>
  <si>
    <t>1879-1786</t>
  </si>
  <si>
    <t>J CLEAN PROD</t>
  </si>
  <si>
    <t>J. Clean Prod.</t>
  </si>
  <si>
    <t>Science &amp; Technology - Other Topics; Engineering; Environmental Sciences &amp; Ecology</t>
  </si>
  <si>
    <t>014KS</t>
  </si>
  <si>
    <t>WOS:000309375200010</t>
  </si>
  <si>
    <t>Abraham, RK; Kelkar, N</t>
  </si>
  <si>
    <t>Diversity; fish; freshwater; India; Western Ghats</t>
  </si>
  <si>
    <t>RIVER-BASIN; SRI-LANKA; BIODIVERSITY; NETWORKS; LANDSCAPE; PATTERNS; FORESTS; RESERVE; THREATS; RANGE</t>
  </si>
  <si>
    <t>Tata Inst Fundamental Res, Natl Ctr Biol Sci, Bangalore, Karnataka, India</t>
  </si>
  <si>
    <t>Tata Institute of Fundamental Research (TIFR); National Centre for Biological Sciences (NCBS)</t>
  </si>
  <si>
    <t>Kelkar, N (corresponding author), TC 11-1123,Kowdiar PO, Thiruvananthapuram 695003, Kerala, India.</t>
  </si>
  <si>
    <t>rainmaker.nsk@gmail.com</t>
  </si>
  <si>
    <t>Conservation Leadership Programme</t>
  </si>
  <si>
    <t>We thank the Conservation Leadership Programme for funding, and the Kerala Forest Department for research permits and logistic support, and two anonymous reviewers and Geoff Hyde of the National Centre for Biological Sciences (NCBS), Bangalore, for constructive comments that greatly enhanced this article. We are also grateful to Uma Ramakrishnan of NCBS, and Ajith Kumar and Jagdish Krishnaswamy of the Wildlife Conservation Society-India for their continuous support, R. Rajesh, Chacko, Chandrankutty, Francis, Sukumaran and Thomas Ammavan for field assistance and logistic support, and A. Bijukumar, C. P. Shaji and Kurian Mathew Abraham who shared vital information and provided logistic support.</t>
  </si>
  <si>
    <t>CAMBRIDGE UNIV PRESS</t>
  </si>
  <si>
    <t>CAMBRIDGE</t>
  </si>
  <si>
    <t>EDINBURGH BLDG, SHAFTESBURY RD, CB2 8RU CAMBRIDGE, ENGLAND</t>
  </si>
  <si>
    <t>0030-6053</t>
  </si>
  <si>
    <t>1365-3008</t>
  </si>
  <si>
    <t>Oryx</t>
  </si>
  <si>
    <t>015UT</t>
  </si>
  <si>
    <t>WOS:000309472600015</t>
  </si>
  <si>
    <t>Comeros-Raynal, MT; Choat, JH; Polidoro, BA; Clements, KD; Abesamis, R; Craig, MT; Lazuardi, ME; McIlwain, J; Muljadi, A; Myers, RF; Nañola, CL; Pardede, S; Rocha, LA; Russell, B; Sanciangco, JC; Stockwell, B; Harwell, H; Carpenter, KE</t>
  </si>
  <si>
    <t>IUCN RED LIST; CLIMATE-CHANGE; PHASE-SHIFTS; HABITAT DEGRADATION; MARINE RESERVE; BOLBOMETOPON-MURICATUM; STOPLIGHT PARROTFISH; EVOLUTIONARY HISTORY; CHEILINUS-UNDULATUS; NUTRITIONAL ECOLOGY</t>
  </si>
  <si>
    <t>[Comeros-Raynal, Mia T.; Polidoro, Beth A.; Sanciangco, Jonnell C.; Harwell, Heather; Carpenter, Kent E.] Old Dominion Univ, IUCN Species Programme, SSC Marine Biodivers Unit Global Marine Species A, Norfolk, VA 23529 USA; [Choat, John Howard] James Cook Univ, Sch Marine Biol &amp; Aquaculture, Townsville, Qld 4811, Australia; [Clements, Kendall D.] Univ Auckland, Sch Biol Sci, Auckland 1, New Zealand; [Abesamis, Rene] Silliman Univ, Dumaguete, Negros Oriental, Philippines; [Craig, Matthew T.] Univ San Diego, Dept Marine Sci &amp; Environm Studies, San Diego, CA 92110 USA; [Lazuardi, Muhammad Erdi] Conservat Int, Denpasar, Bali, Indonesia; [McIlwain, Jennifer] Curtin Univ Technol, Dept Environm &amp; Agr, Perth, WA, Australia; [Muljadi, Andreas] Coral Triangle Ctr, Sanur, Bali, Indonesia; [Myers, Robert F.] Coral Graph, Wellington, FL USA; [Nanola, Cleto L., Jr.] Univ Philippines Mindanao, Coll Sci &amp; Math, Davao, Philippines; [Pardede, Shinta] Wildlife Conservat Soc, Indonesia Marine Program, Bogor, Jawa Barat, Indonesia; [Rocha, Luiz A.] Calif Acad Sci, San Francisco, CA 94118 USA; [Russell, Barry] Charles Darwin Univ, Arafura Timor Res Facil C, Sch Environm &amp; Life Sci, Brinkin, NT, Australia</t>
  </si>
  <si>
    <t>Old Dominion University; James Cook University; University of Auckland; Silliman University; University of San Diego; Conservation International - Indonesia; Curtin University; University of the Philippines System; University of the Philippines Mindanao; Wildlife Conservation Society - Indonesia; California Academy of Sciences; Charles Darwin University</t>
  </si>
  <si>
    <t>Comeros-Raynal, MT (corresponding author), Old Dominion Univ, IUCN Species Programme, SSC Marine Biodivers Unit Global Marine Species A, Norfolk, VA 23529 USA.</t>
  </si>
  <si>
    <t>mcome003@odu.edu</t>
  </si>
  <si>
    <t>Rocha, Luiz/T-6326-2019; Abesamis, Rene/AAE-1917-2022; McIlwain, Jennifer/J-9179-2012</t>
  </si>
  <si>
    <t>Lazuardi, Muhammad Erdi/0000-0001-8964-8898; Sanciangco, Jonnell Cueto/0000-0001-8268-3180; Abesamis, Rene/0000-0001-7456-1415; Stockwell, Brian/0000-0001-9983-4723; Rocha, Luiz/0000-0003-4011-569X; McIlwain, Jennifer/0000-0002-7790-5081; Muljadi, Aneas Hary/0000-0001-9239-9124; Clements, Kendall/0000-0001-8512-5977; Comeros-Raynal, Mia Theresa/0000-0002-5087-8984</t>
  </si>
  <si>
    <t>New Hampshire Charitable Foundation</t>
  </si>
  <si>
    <t>This research was supported by core funding from Tom Haas and the New Hampshire Charitable Foundation. The funders had no role in study design, data collection and analysis, decision to publish, or preparation of the manuscript.</t>
  </si>
  <si>
    <t>JUL 11</t>
  </si>
  <si>
    <t>e39825</t>
  </si>
  <si>
    <t>973LU</t>
  </si>
  <si>
    <t>WOS:000306362400022</t>
  </si>
  <si>
    <t>Béguer, M; Bergé, J; Gardia-Parège, C; Beaulaton, L; Castelnaud, G; Girardin, M; Boët, P</t>
  </si>
  <si>
    <t>Palaemon longirostris; Long term; Life history-traits; Gironde estuary; Global change; Indicator</t>
  </si>
  <si>
    <t>NORTH-ATLANTIC OSCILLATION; HIGHLY TURBID ESTUARY; CLIMATE-CHANGE; VARIABILITY; ENVIRONMENT; MARINE; RIVER; FISH; ABUNDANCE; PARADOX</t>
  </si>
  <si>
    <t>[Beguer, Melanie; Berge, Julien; Gardia-Parege, Caroline; Castelnaud, Gerard; Girardin, Michel; Boet, Philippe] Irstea, F-33612 Cestas, France; [Beaulaton, Laurent] ONEMA, Direct Act Sci &amp; Tech, F-94300 Vincennes, France</t>
  </si>
  <si>
    <t>INRAE</t>
  </si>
  <si>
    <t>Béguer, M (corresponding author), Irstea, 50 Ave Verdun, F-33612 Cestas, France.</t>
  </si>
  <si>
    <t>melanie.beguer@gmail.com</t>
  </si>
  <si>
    <t>Boët, Philippe/A-2778-2013; Beaulaton, Laurent/B-6391-2013; Laurent, Beaulaton/B-6391-2013</t>
  </si>
  <si>
    <t>Boët, Philippe/0000-0002-9387-9071; Beaulaton, Laurent/0000-0002-9614-8602;</t>
  </si>
  <si>
    <t>CNPE of Blayais; Aquitaine Regional Council</t>
  </si>
  <si>
    <t>CNPE of Blayais; Aquitaine Regional Council(Region Nouvelle-Aquitaine)</t>
  </si>
  <si>
    <t>We would like to thank Bernard Ballion, Romaric Le Barh, Jean-Francois Bigot, Christine Gazeau, Aymeric Guibert, Philippe Jatteau, Mario Lepage and everyone who took part in sampling surveys. This study was partly funded by CNPE of Blayais and the Aquitaine Regional Council. We also wish to thank Jose D. Benchetrit for English corrections.</t>
  </si>
  <si>
    <t>1559-2723</t>
  </si>
  <si>
    <t>1559-2731</t>
  </si>
  <si>
    <t>ESTUAR COAST</t>
  </si>
  <si>
    <t>Estuaries Coasts</t>
  </si>
  <si>
    <t>951CF</t>
  </si>
  <si>
    <t>WOS:000304697600014</t>
  </si>
  <si>
    <t>Olsson, J; Bergström, L; Gårdmark, A</t>
  </si>
  <si>
    <t>climate change; community structure; eutrophication; geographical scale; species composition; Kattegat; Baltic Proper; Bothnian Sea</t>
  </si>
  <si>
    <t>GENETIC POPULATION-STRUCTURE; REGIME SHIFTS; TROPHIC CASCADES; MARINE ECOSYSTEM; FISHERIES; CLIMATE; COD</t>
  </si>
  <si>
    <t>[Olsson, Jens; Bergstrom, Lena; Gardmark, Anna] Swedish Univ Agr Sci, Dept Aquat Resources, Inst Coastal Res, S-74222 Oregrund, Sweden</t>
  </si>
  <si>
    <t>Swedish University of Agricultural Sciences</t>
  </si>
  <si>
    <t>Olsson, J (corresponding author), Swedish Univ Agr Sci, Dept Aquat Resources, Inst Coastal Res, Skolgatan 6, S-74222 Oregrund, Sweden.</t>
  </si>
  <si>
    <t>Jens.Olsson@slu.se</t>
  </si>
  <si>
    <t>Gårdmark, Anna/AAC-3909-2021</t>
  </si>
  <si>
    <t>Bergström, Lena/0000-0002-8059-8764</t>
  </si>
  <si>
    <t>Swedish Environmental Protection Agency; Swedish Board of Fisheries; Swedish University of Agricultural Sciences</t>
  </si>
  <si>
    <t>We thank Kerstin Soderberg, four anonymous reviewers, the editor Verena Trenkel, and the ICES/HELCOM Working Group on Integrated Assessments of the Baltic Sea (WGIAB) for help and inspiration during the construction of this manuscript. This study is part of the project Integrated analyses of Baltic Sea ecosystems, financially supported by the Swedish Environmental Protection Agency, the Swedish Board of Fisheries, and the Swedish University of Agricultural Sciences.</t>
  </si>
  <si>
    <t>961JR</t>
  </si>
  <si>
    <t>WOS:000305461200004</t>
  </si>
  <si>
    <t>Vaughan, IP; Ormerod, SJ</t>
  </si>
  <si>
    <t>biological recovery; climate; pollution; resilience; urbanization; water</t>
  </si>
  <si>
    <t>NORTH-ATLANTIC OSCILLATION; WATER-QUALITY; POPULATION TRENDS; BIODIVERSITY; RECOVERY; STREAMS; RESTORATION; ECOSYSTEMS; SECURITY; SERVICES</t>
  </si>
  <si>
    <t>[Vaughan, Ian P.; Ormerod, Steve J.] Cardiff Univ, Catchment Res Grp, Cardiff Sch Biosci, Cardiff CF10 3AX, S Glam, Wales</t>
  </si>
  <si>
    <t>Cardiff University</t>
  </si>
  <si>
    <t>Vaughan, IP (corresponding author), Cardiff Univ, Catchment Res Grp, Cardiff Sch Biosci, Cardiff CF10 3AX, S Glam, Wales.</t>
  </si>
  <si>
    <t>vaughanip@cardiff.ac.uk</t>
  </si>
  <si>
    <t>Ormerod, Stephen J/A-4326-2010; Ormerod, Steve/A-4326-2010; Vaughan, Ian/A-4782-2010</t>
  </si>
  <si>
    <t>Ormerod, Stephen J/0000-0002-8174-302X; Vaughan, Ian/0000-0002-7263-3822</t>
  </si>
  <si>
    <t>Research Councils UK</t>
  </si>
  <si>
    <t>Research Councils UK(UK Research &amp; Innovation (UKRI))</t>
  </si>
  <si>
    <t>We wish to thank the Environment Agency for providing the data used in the analysis and in particular the assistance of Lucy Baker, Alice Hiley and Carol Langley in compiling the data. Two referees and the Editor made valuable comments on an earlier version of the manuscript. This work was funded by a Research Councils UK fellowship for IPV.</t>
  </si>
  <si>
    <t>952VD</t>
  </si>
  <si>
    <t>WOS:000304820300009</t>
  </si>
  <si>
    <t>Zhang, FM; Chen, JM; Pan, YD; Birdsey, RA; Shen, SH; Ju, WM; He, LM</t>
  </si>
  <si>
    <t>NET PRIMARY PRODUCTION; SOIL ORGANIC-MATTER; CLIMATE-CHANGE; UNITED-STATES; TERRESTRIAL BIOSPHERE; CO2 FERTILIZATION; ATMOSPHERIC CO2; TREE MORTALITY; CANADA FORESTS; BOREAL FOREST</t>
  </si>
  <si>
    <t>[Zhang, Fangmin; Shen, Shuanghe] Nanjing Univ Informat Sci &amp; Technol, Jiangsu Key Lab Agr Meteorol, Coll Appl Meteorol, Nanjing 210044, Jiangsu, Peoples R China; [Zhang, Fangmin; Chen, Jing M.; He, Liming] Univ Toronto, Dept Geog, Toronto, ON M5S 1A1, Canada; [Pan, Yude; Birdsey, Richard A.] US Forest Serv, USDA, Newtown Sq, PA USA; [Ju, Weimin] Nanjing Univ, Int Inst Earth Syst Sci, Nanjing, Jiangsu, Peoples R China</t>
  </si>
  <si>
    <t>Nanjing University of Information Science &amp; Technology; University of Toronto; United States Department of Agriculture (USDA); United States Forest Service; Nanjing University</t>
  </si>
  <si>
    <t>Zhang, FM (corresponding author), Nanjing Univ Informat Sci &amp; Technol, Jiangsu Key Lab Agr Meteorol, Coll Appl Meteorol, Nanjing 210044, Jiangsu, Peoples R China.</t>
  </si>
  <si>
    <t>fmin.zhang@utoronto.ca</t>
  </si>
  <si>
    <t>Pan, Yude/F-6145-2015; Chen, Jing/AAD-4768-2020; He, Liming/E-1910-2015</t>
  </si>
  <si>
    <t>He, Liming/0000-0003-4010-6814;</t>
  </si>
  <si>
    <t>National Basic Research Program of China (973 Program) [2010CB950702]; Jiangsu Graduate Innovation Program [CX09B_223Z]; Canadian Foundation for Climate and Atmospheric Sciences; USDA Forest Service [07-JV-11242300-114]; Priority Academic Program Development of Jiangsu Higher Education Institutions (PARO); Canadian Carbon Program</t>
  </si>
  <si>
    <t>National Basic Research Program of China (973 Program)(National Basic Research Program of China); Jiangsu Graduate Innovation Program; Canadian Foundation for Climate and Atmospheric Sciences; USDA Forest Service(United States Department of Agriculture (USDA)United States Forest Service); Priority Academic Program Development of Jiangsu Higher Education Institutions (PARO); Canadian Carbon Program</t>
  </si>
  <si>
    <t>This research was supported by a grant from National Basic Research Program of China (973 Program) (2010CB950702), Jiangsu Graduate Innovation Program (CX09B_223Z), Canadian Carbon Program funded by the Canadian Foundation for Climate and Atmospheric Sciences, grant 07-JV-11242300-114 from the USDA Forest Service, and the Priority Academic Program Development of Jiangsu Higher Education Institutions (PARO).</t>
  </si>
  <si>
    <t>AMER GEOPHYSICAL UNION</t>
  </si>
  <si>
    <t>2000 FLORIDA AVE NW, WASHINGTON, DC 20009 USA</t>
  </si>
  <si>
    <t>2169-8953</t>
  </si>
  <si>
    <t>2169-8961</t>
  </si>
  <si>
    <t>J GEOPHYS RES-BIOGEO</t>
  </si>
  <si>
    <t>J. Geophys. Res.-Biogeosci.</t>
  </si>
  <si>
    <t>JUN 7</t>
  </si>
  <si>
    <t>G02021</t>
  </si>
  <si>
    <t>957IF</t>
  </si>
  <si>
    <t>WOS:000305154000001</t>
  </si>
  <si>
    <t>Szabo, JK; Butchart, SHM; Possingham, HP; Garnett, ST</t>
  </si>
  <si>
    <t>Australia; Birds; IUCN Red List; Biodiversity trends; State of the environment; Threatened taxa</t>
  </si>
  <si>
    <t>EXTINCTION RISK; WOODLAND BIRDS; CONSERVATION; PROGRESS; ERADICATION; TRENDS</t>
  </si>
  <si>
    <t>[Szabo, Judit K.; Garnett, Stephen T.] Charles Darwin Univ, Res Inst Environm &amp; Livelihoods, Darwin, NT 0909, Australia; [Butchart, Stuart H. M.] BirdLife Int, Wellbrook Court, Cambridge CB3 0NA, England; [Possingham, Hugh P.] Univ Queensland, Ctr Excellence Environm Decis, St Lucia, Qld 4072, Australia</t>
  </si>
  <si>
    <t>Charles Darwin University; BirdLife International; University of Queensland</t>
  </si>
  <si>
    <t>Szabo, JK (corresponding author), Charles Darwin Univ, Res Inst Environm &amp; Livelihoods, Darwin, NT 0909, Australia.</t>
  </si>
  <si>
    <t>judit.szabo@cdu.edu.au</t>
  </si>
  <si>
    <t>Garnett, Stephen/M-3877-2013; Possingham, Hugh/B-1337-2008; Szabo, Judit/C-1247-2012; Butchart, Stuart/Y-2711-2018</t>
  </si>
  <si>
    <t>Garnett, Stephen/0000-0002-0724-7060; Possingham, Hugh/0000-0001-7755-996X; Szabo, Judit/0000-0002-8786-1887; Butchart, Stuart/0000-0002-1140-4049;</t>
  </si>
  <si>
    <t>Australian Research Council [LP0990395]; Birds Australia; Australian Wildlife Conservancy; Biosis and BirdLife International; Australian Research Council [LP0990395] Funding Source: Australian Research Council</t>
  </si>
  <si>
    <t>Australian Research Council(Australian Research Council); Birds Australia; Australian Wildlife Conservancy; Biosis and BirdLife International; Australian Research Council(Australian Research Council)</t>
  </si>
  <si>
    <t>The Red List assessments upon which these analyses are based would not have been possible without input from hundreds of experts. For the 2010 assessment we wish to thank particularly members of the Birds Australia threatened species committee: Barry Baker, Andrew Burbidge, Allan Burbidge, Graham Carpenter, Les Christidis, Guy Dutson, Hugh Ford, Tim Holmes, Sarah Legge, Richard Loyn, Peter Menkhorst, James O'Connor, Penny Olsen, Don Saunders, Andy Symes, David Watson and John Woinarski. The project was funded under Australian Research Council Linkage Grant LP0990395 with support from Birds Australia, the Australian Wildlife Conservancy, Biosis and BirdLife International.</t>
  </si>
  <si>
    <t>926OG</t>
  </si>
  <si>
    <t>WOS:000302840100007</t>
  </si>
  <si>
    <t>Croxall, JP; Butchart, SHM; Lascelles, B; Stattersfield, AJ; Sullivan, B; Symes, A; Taylor, P</t>
  </si>
  <si>
    <t>BIODIVERSITY; ERADICATION; ALBATROSSES; INDICATORS; MORTALITY</t>
  </si>
  <si>
    <t>[Croxall, John P.; Butchart, Stuart H. M.; Lascelles, Ben; Stattersfield, Alison J.; Symes, Andy; Taylor, Phil] BirdLife Int, Wellbrook Court, Cambridge CB3 0NA, England; [Sullivan, Ben] Royal Soc Protect Birds, Sandy SG19 2DL, Beds, England</t>
  </si>
  <si>
    <t>BirdLife International; Royal Society for Protection of Birds</t>
  </si>
  <si>
    <t>Croxall, JP (corresponding author), BirdLife Int, Wellbrook Court, Girton Rd, Cambridge CB3 0NA, England.</t>
  </si>
  <si>
    <t>john.croxall@birdlife.org</t>
  </si>
  <si>
    <t>; Butchart, Stuart/Y-2711-2018</t>
  </si>
  <si>
    <t>Butchart, Stuart/0000-0002-1140-4049; Taylor, Philip/0000-0002-0751-6451;</t>
  </si>
  <si>
    <t>32 AVENUE OF THE AMERICAS, NEW YORK, NY 10013-2473 USA</t>
  </si>
  <si>
    <t>0959-2709</t>
  </si>
  <si>
    <t>1474-0001</t>
  </si>
  <si>
    <t>BIRD CONSERV INT</t>
  </si>
  <si>
    <t>Bird Conserv. Int.</t>
  </si>
  <si>
    <t>Biodiversity Conservation; Ornithology</t>
  </si>
  <si>
    <t>Biodiversity &amp; Conservation; Zoology</t>
  </si>
  <si>
    <t>905TW</t>
  </si>
  <si>
    <t>WOS:000301298900001</t>
  </si>
  <si>
    <t>Greig, HS; Kratina, P; Thompson, PL; Palen, WJ; Richardson, JS; Shurin, JB</t>
  </si>
  <si>
    <t>allochthonous resources; amphibians; climate warming; detritus decomposition; global change; insect emergence; spatial subsidies; top-down control</t>
  </si>
  <si>
    <t>LENGTH-MASS RELATIONSHIPS; GLOBAL CARBON-CYCLE; ORGANIC-CARBON; CLIMATE-CHANGE; STREAM ECOSYSTEM; TROPHIC CASCADES; RIPARIAN SPIDER; FOOD; SUPPORT; LAKES</t>
  </si>
  <si>
    <t>[Greig, Hamish S.; Kratina, Pavel; Thompson, Patrick L.; Richardson, John S.; Shurin, Jonathan B.] Univ British Columbia, Biodivers Res Ctr, Vancouver, BC V6T 1Z4, Canada; [Greig, Hamish S.; Kratina, Pavel; Thompson, Patrick L.; Richardson, John S.; Shurin, Jonathan B.] Univ British Columbia, Dept Zool, Vancouver, BC V6T 1Z4, Canada; [Greig, Hamish S.; Richardson, John S.] Univ British Columbia, Dept Forest Sci, Vancouver, BC V6T 1Z4, Canada; [Thompson, Patrick L.] McGill Univ, Dept Biol, Montreal, PQ H3A 1B1, Canada; [Palen, Wendy J.] Simon Fraser Univ, Dept Biol Sci, Burnaby, BC V5A 1S6, Canada; [Shurin, Jonathan B.] Univ Calif San Diego, Sect Ecol Behav &amp; Evolut, La Jolla, CA 92093 USA</t>
  </si>
  <si>
    <t>University of British Columbia; University of British Columbia; University of British Columbia; McGill University; Simon Fraser University; University of California System; University of California San Diego</t>
  </si>
  <si>
    <t>Greig, HS (corresponding author), Univ Canterbury, Sch Biol Sci, Christchurch 8140, New Zealand.</t>
  </si>
  <si>
    <t>hamish.greig@canterbury.ac.nz</t>
  </si>
  <si>
    <t>Richardson, John/G-1513-2012; Thompson, Patrick/B-6213-2012; Kratina, Pavel/O-5192-2019</t>
  </si>
  <si>
    <t>Richardson, John/0000-0001-8135-7447; Kratina, Pavel/0000-0002-9144-7937; Thompson, Patrick/0000-0002-5278-9045;</t>
  </si>
  <si>
    <t>Natural Sciences and Engineering Research Council of Canada; New Zealand Foundation for Research, Science Technology [UBX0901]</t>
  </si>
  <si>
    <t>Natural Sciences and Engineering Research Council of Canada(Natural Sciences and Engineering Research Council of Canada (NSERC)CGIAR); New Zealand Foundation for Research, Science Technology(New Zealand Foundation for Research, Science and Technology)</t>
  </si>
  <si>
    <t>We thank Annalise Barber, Ticiana Carvalho-Pereira, Amanda Klemmer, Sacha O'Regan, Dylan Rawlyk, Matt Robinson, and Anne Rutherford for laboratory and field assistance, and Laurie Marczak and members of the UBC Stream and Riparian Research Laboratory for valuable discussions. Comments from Seth Rudman, Takuya Sato and three anonymous reviewers greatly improved the manuscript. Funding was provided by the Natural Sciences and Engineering Research Council of Canada to PK and WJP and the New Zealand Foundation for Research, Science &amp; Technology (UBX0901) to HSG.</t>
  </si>
  <si>
    <t>875PB</t>
  </si>
  <si>
    <t>WOS:000299042500010</t>
  </si>
  <si>
    <t>Harris, PT; Baker, EK</t>
  </si>
  <si>
    <t>Elsevier Insights</t>
  </si>
  <si>
    <t>Naturalness; surrogates; spatial marine planning; habitat classification schemes; habitat mapping clients; environmental data</t>
  </si>
  <si>
    <t>CLASSIFICATION SCHEME; RED-SEA; CORAL; AUSTRALIA; REEFS</t>
  </si>
  <si>
    <t>This chapter presents a broad synthesis and overview based on the 57 case studies included in Part 2 of this book and on questionnaires completed by the authors. The case studies covered areas of seafloor ranging from 0.15 km(2) to over 1.000.000 km(2) (average of 26.600 km(2)) and a broad range of geomorphic feature types. The mean depths of the study areas ranged from 8 to 2.375 m. with about half of the studies on the shelf (depth &lt; 120 m) and half on the slope and at greater depths. Mapping resolution ranged from 0.1 to 170 m (mean of 13 m). There is a relatively equal distribution of studies across the four naturalness categories: near pristine (n = 17), largely unmodified (n = 16), modified (n = 13), and extensively modified (n = 10). In terms of threats to habitats, most authors identified fishing (n = 46) as the most significant threat, followed by pollution (n = 12), oil and gas development (n = 7), and aggregate mining (n = 7). Anthropogenic climate change was viewed as an immediate threat to benthic habitats by only three authors (n = 3). Water depth was found to be the most useful surrogate for benthic communities in the most studies (n = 17). followed by substrate/sediment type (n = 14). acoustic backscatter (n = 12). wave-current exposure (n = 10). grain size (n = 10). seabed rugosity (n = 9). and bathymetric/topographic position index (BPI/TPI) (n = 8). Water properties (temperature. salinity) and seabed slope are less useful surrogates. Multiple analytical methods were used to identify surrogates, with ARC GIS being by far the most popular method (23 out of 44 studies that specified a methodology). Of the many purposes for mapping benthic habitats, four stand out as preeminent: (1) to support government spatial marine planning, management, and decision making; (2) to support and underpin the design of marine protected areas (MPAs); (3) to conduct scientific research programs aimed at generating knowledge of benthic ecosystems and seafloor geology; and (4) to conduct living and nonliving seabed resource assessments for economic and management purposes. Out of 57 case studies, habitat mapping was intended to be part of an ongoing monitoring program in 24 cases, whereas the mapping was considered to be a one-off exercise in 33 cases. However, out of the 33 one-off cases, the authors considered that their habitat map would form the baseline for monitoring future changes in 24 cases. This suggests that governments and regulators generally view habitat mapping as a useful means of measuring and monitoring change. In terms of the perceived clients and users of habitat maps, most authors considered industry, marine conservation, and the scientific community to be the primary users of habitat maps. However, the overwhelming majority of habitat surveys were funded by government or government-funded agencies/institutions (n = 49), with only minor funding from private industry (n = 7) or nongovernment organizations (n = 4). A gap analysis (i.e., geomorphic features and habitats not included in the case studies) illustrates that whereas shelf and slope habitats are well represented in the case studies, estuarine and deltaic coastal habitats plus deep ocean (abyssal-hadal) environments were described in only a few case studies. Geographically, about half of the case studies were from waters around Western Europe, while the margins of the continents of Africa, Asia, and South America were not represented in any case study. Given the intense pressures facing benthic habitats and broad regional differences in ecosystems, species, and habitats, future case studies from these regions should be specifically sought for future editions of the Atlas.</t>
  </si>
  <si>
    <t>[Harris, Peter T.] Geosci Australia, Marine &amp; Coastal Environm Grp, Canberra, ACT, Australia; [Baker, Elaine K.] Univ Sydney, Arendal Sch Geosci, UNEP GRID, Sydney, NSW 2006, Australia</t>
  </si>
  <si>
    <t>Geoscience Australia; University of Sydney</t>
  </si>
  <si>
    <t>Harris, PT (corresponding author), Geosci Australia, Marine &amp; Coastal Environm Grp, Canberra, ACT, Australia.</t>
  </si>
  <si>
    <t>; Harris, Peter/AAI-7100-2020</t>
  </si>
  <si>
    <t>baker, elaine/0000-0001-9925-4403;</t>
  </si>
  <si>
    <t>SARA BURGERHARTSTRAAT 25, PO BOX 211, 1000 AE AMSTERDAM, NETHERLANDS</t>
  </si>
  <si>
    <t>978-0-12-385141-3</t>
  </si>
  <si>
    <t>ELSEV INSIGHT</t>
  </si>
  <si>
    <t>BGC23</t>
  </si>
  <si>
    <t>WOS:000322237000066</t>
  </si>
  <si>
    <t>Zhang, CX; Wang, XM; Li, JC; Hua, T</t>
  </si>
  <si>
    <t>Land degradation; Climate changes; NPP; HANPP; Shiyanghe Basin</t>
  </si>
  <si>
    <t>HUMAN APPROPRIATION; RIVER-BASIN; DESERTIFICATION; TERRESTRIAL; IMPACTS; BIOSPHERE; DYNAMICS; PATTERNS; AFRICA; MINQIN</t>
  </si>
  <si>
    <t>[Zhang, Caixia; Wang, Xunming; Hua, Ting] Chinese Acad Sci, Cold &amp; Arid Reg Environm &amp; Engn Res Inst, Key Lab Desert &amp; Desertificat, Lanzhou 730000, Peoples R China; [Wang, Xunming] Beijing Normal Univ, Coll Resources Sci &amp; Technol, Beijing 100875, Peoples R China; [Li, Jinchang] Shanxi Univ, Inst Loess Plateau, Taiyuan 030006, Peoples R China</t>
  </si>
  <si>
    <t>Chinese Academy of Sciences; Cold &amp; Arid Regions Environmental &amp; Engineering Research Institute, CAS; Beijing Normal University; Shanxi University</t>
  </si>
  <si>
    <t>Zhang, CX (corresponding author), Chinese Acad Sci, Cold &amp; Arid Reg Environm &amp; Engn Res Inst, Key Lab Desert &amp; Desertificat, 320 W Donggang Rd, Lanzhou 730000, Peoples R China.</t>
  </si>
  <si>
    <t>zhangcaixia@lzb.ac.cn</t>
  </si>
  <si>
    <t>National Natural Science Foundation of China [40871012]; National Key Project for Basic Research [2009CB421304]</t>
  </si>
  <si>
    <t>National Natural Science Foundation of China(National Natural Science Foundation of China (NSFC)); National Key Project for Basic Research(National Basic Research Program of China)</t>
  </si>
  <si>
    <t>This work was supported by the National Natural Science Foundation of China (No. 40871012), and the National Key Project for Basic Research (No. 2009CB421304). The land use and cover class types data were derived from data provided by the Environment and Ecological Science Data Center for West China. Our special thanks are due to Dr. Wenquan Zhu for helping with the model implementation.</t>
  </si>
  <si>
    <t>850AD</t>
  </si>
  <si>
    <t>WOS:000297165900017</t>
  </si>
  <si>
    <t>Lotze, HK; Coll, M; Magera, AM; Ward-Paige, C; Airoldi, L</t>
  </si>
  <si>
    <t>SEAGRASS RECOVERY; CLIMATE-CHANGE; SEA OTTERS; CONSERVATION; IMPACTS; EXTINCTION; DECLINE; WHALES; STOCK; BIODIVERSITY</t>
  </si>
  <si>
    <t>[Lotze, Heike K.; Coll, Marta; Magera, Anna M.; Ward-Paige, Christine] Dalhousie Univ, Dept Biol, Halifax, NS B3H 4R2, Canada; [Coll, Marta] CSIC, ICM, E-08003 Barcelona, Spain; [Airoldi, Laura] Univ Bologna, Dipartimento Biol Evoluzionist Sperimentale, I-48123 Ravenna, Italy; [Airoldi, Laura] Univ Bologna, CIRSA, I-48123 Ravenna, Italy</t>
  </si>
  <si>
    <t>Dalhousie University; Consejo Superior de Investigaciones Cientificas (CSIC); CSIC - Centro Mediterraneo de Investigaciones Marinas y Ambientales (CMIMA); CSIC - Instituto de Ciencias del Mar (ICM); University of Bologna; University of Bologna</t>
  </si>
  <si>
    <t>Lotze, HK (corresponding author), Dalhousie Univ, Dept Biol, Halifax, NS B3H 4R2, Canada.</t>
  </si>
  <si>
    <t>hlotze@dal.ca</t>
  </si>
  <si>
    <t>; Airoldi, Laura/I-3553-2019; Coll, Marta/A-9488-2012</t>
  </si>
  <si>
    <t>Ward-Paige, Christine A/0000-0002-2394-9898; Lotze, Heike/0000-0001-6258-1304; Airoldi, Laura/0000-0001-5046-0871; Coll, Marta/0000-0001-6235-5868</t>
  </si>
  <si>
    <t>Sloan Foundation; Natural Sciences and Engineering Research Council of Canada; Dalhousie University; European Community [FP7-PEOPLE-2007-4-1-IOF]; European Commission [FP7.2009-1, 244104-THESEUS]</t>
  </si>
  <si>
    <t>Sloan Foundation(Alfred P. Sloan Foundation); Natural Sciences and Engineering Research Council of Canada(Natural Sciences and Engineering Research Council of Canada (NSERC)CGIAR); Dalhousie University; European Community; European Commission(European Union (EU)European Commission Joint Research Centre)</t>
  </si>
  <si>
    <t>We are grateful to B. Worm, F. Ferretti, M.W. Beck and many colleagues for inspiring discussions and critical comments on this subject. Financial support was provided by the Sloan Foundation's Census of Marine Life FMAP Program, the Natural Sciences and Engineering Research Council of Canada and Dalhousie University. MC was funded by the European Community Marie-Curie Post-doctoral Fellowship through the International Outgoing Fellowships (IOF; Call: FP7-PEOPLE-2007-4-1-IOF) to ECOFUN and LA by the European Commission through FP7.2009-1, Contract 244104-THESEUS.</t>
  </si>
  <si>
    <t>843SM</t>
  </si>
  <si>
    <t>WOS:000296692900011</t>
  </si>
  <si>
    <t>Hoffmann, M; Belant, JL; Chanson, JS; Cox, NA; Lamoreux, J; Rodrigues, ASL; Schipper, J; Stuart, SN</t>
  </si>
  <si>
    <t>IUCN Red List; extinction risk; threat category; conservation status; biodiversity indicators; conservation action</t>
  </si>
  <si>
    <t>RED LIST; AMPHIBIAN DECLINES; EMERGING DISEASE; EXTINCTION RISK; CONSERVATION; TRENDS; INDICATORS; CLASSIFICATIONS; WILDLIFE; IMPACT</t>
  </si>
  <si>
    <t>[Hoffmann, Michael; Stuart, Simon N.] IUCN Species Survival Commiss, CH-1196 Gland, Switzerland; [Chanson, Janice S.; Cox, Neil A.; Lamoreux, John] IUCN Global Species Programme, CH-1196 Gland, Switzerland; [Hoffmann, Michael; Stuart, Simon N.] World Conservat Monitoring Ctr, United Nations Environm Programme, Cambridge CB3 0DL, England; [Hoffmann, Michael; Cox, Neil A.; Stuart, Simon N.] Conservat Int, Arlington, VA 22202 USA; [Belant, Jerrold L.] Mississippi State Univ, Carnivore Ecol Lab, Forest &amp; Wildlife Res Ctr, Mississippi State, MS 39762 USA; [Rodrigues, Ana S. L.] CNRS, Ctr Ecol Fonct &amp; Evolut, UMR5175, F-34293 Montpellier, France; [Schipper, Jan] Univ Hawaii, Big Isl Invas Species Comm, Pacific Cooperat Studies Unit, Hilo, HI 96720 USA; [Stuart, Simon N.] Univ Bath, Dept Biol &amp; Biochem, Bath BA2 7AY, Avon, England; [Stuart, Simon N.] Al Ain Wildlife Pk &amp; Resort, Abu Dhabi, U Arab Emirates</t>
  </si>
  <si>
    <t>Conservation International; Mississippi State University; Universite PSL; Ecole Pratique des Hautes Etudes (EPHE); Institut Agro; Montpellier SupAgro; CIRAD; Centre National de la Recherche Scientifique (CNRS); Institut de Recherche pour le Developpement (IRD); Universite Paul-Valery; Universite de Montpellier; CNRS - Institute of Ecology &amp; Environment (INEE); University of Hawaii System; University Hawaii Hilo; University of Bath</t>
  </si>
  <si>
    <t>Hoffmann, M (corresponding author), IUCN Species Survival Commiss, Rue Mauverney 28, CH-1196 Gland, Switzerland.</t>
  </si>
  <si>
    <t>mike.hoffmann@iucn.org</t>
  </si>
  <si>
    <t>Belant, Jerrold/HDM-7749-2022; Hoffmann, Michael/E-6419-2010; Rodrigues, Ana/A-5914-2009; Schipper, Jan/N-5266-2015; Roigues, Ana/A-5914-2009</t>
  </si>
  <si>
    <t>Hoffmann, Michael/0000-0003-4785-2254; Schipper, Jan/0000-0002-8338-7874; Roigues, Ana/0000-0003-4775-0127</t>
  </si>
  <si>
    <t>Gordon and Betty Moore Foundation; Moore Family Foundation; Conservation International; Critical Ecosystem Partnership Fund; NatureServe; Sapienza Universita di Roma; Texas AM University; Arizona State University; Zoological Society of London; University of Virginia</t>
  </si>
  <si>
    <t>Gordon and Betty Moore Foundation(Gordon &amp; Betty Moore Foundation); Moore Family Foundation; Conservation International; Critical Ecosystem Partnership Fund; NatureServe; Sapienza Universita di Roma; Texas AM University(Texas A&amp;M University College Station); Arizona State University; Zoological Society of London; University of Virginia(University of Virginia)</t>
  </si>
  <si>
    <t>This paper draws on the contributions of more than 1700 experts (see Hoffmann et al. [47] for full acknowledgements); here we particularly thank: John Aguiar, Giovanni Amori, Ricardo Baldi, Patricia Black-Decima, Julian Blanc, James Burton, Gianluca Catullo, Federica Chiozza, Andrew Derocher, Will Duckworth, Richard Emslie, David Garshelis, Cormack Gates, Rich Harris, Larry Heaney, Simon Hedges, Syed Hussain, Nobuo Ishii, Richard Jenkins, Kit Kovacs, Kristin Leus, Rebecca Lewison, Gabriela Lichtenstein, David Mallon, Rodrigo Medellin, Patricia Moehlman, Sanjay Molur, Kristin Nowell, Wanda Olech, Bill Perrin, Paul Racey, Galen Rathbun, Carlo Rondinini, Anthony Rylands, Caryn Self-Sullivan, Alan Shoemaker, Claudio Sillero-Zubiri, Andrew Smith, Andrew Taber, Bibhab Talukdar, Rob Timmins, Katerina Tsytsulina, Liza Veiga and Liz Williamson. Thanks are also due to Jonathan Baillie, Luigi Boitani, Thomas Brooks, Claude Gascon, Kris Helgen, Thomas Lacher, Georgina Mace and Russell Mittermeier. We extend thanks to our many colleagues in the IUCN Global Species Programme, particularly Craig Hilton-Taylor, Caroline Pollock and Jean-Christophe Vie. This paper benefitted greatly from discussions with Stuart Butchart around the RLI. We are grateful to Jon Paul Rodriguez, Belinda Reyers and Stuart Butchart for their insightful comments that improved the scope and intent of the paper. We gratefully acknowledge the support of major donors and partners: the Gordon and Betty Moore Foundation and the Moore Family Foundation; Conservation International and its regional programmes; the Critical Ecosystem Partnership Fund; NatureServe; Sapienza Universita di Roma; Texas A&amp;M University; Arizona State University; the Zoological Society of London; and the University of Virginia.</t>
  </si>
  <si>
    <t>ROYAL SOC</t>
  </si>
  <si>
    <t>6-9 CARLTON HOUSE TERRACE, LONDON SW1Y 5AG, ENGLAND</t>
  </si>
  <si>
    <t>0962-8436</t>
  </si>
  <si>
    <t>1471-2970</t>
  </si>
  <si>
    <t>PHILOS T R SOC B</t>
  </si>
  <si>
    <t>Philos. Trans. R. Soc. B-Biol. Sci.</t>
  </si>
  <si>
    <t>SEP 27</t>
  </si>
  <si>
    <t>806ZU</t>
  </si>
  <si>
    <t>WOS:000293858100002</t>
  </si>
  <si>
    <t>Liu, JX; Vogelmann, JE; Zhu, ZL; Key, CH; Sleeter, BM; Price, DT; Chen, JM; Cochrane, MA; Eidenshink, JC; Howard, SM; Bliss, NB; Jiang, H</t>
  </si>
  <si>
    <t>Conference of the International-Society-for-Ecological-Modelling</t>
  </si>
  <si>
    <t>OCT 06-09, 2009</t>
  </si>
  <si>
    <t>Quebec City, CANADA</t>
  </si>
  <si>
    <t>Int Soc Ecolog Modelling</t>
  </si>
  <si>
    <t>Fire disturbance; Land cover change; CO2 fertilization; Climate change; IBIS</t>
  </si>
  <si>
    <t>INTEGRATED BIOSPHERE SIMULATOR; CO2 FERTILIZATION; BOREAL; CLIMATE; BALANCE; GROWTH</t>
  </si>
  <si>
    <t>Land use change, natural disturbance, and climate change directly alter ecosystem productivity and carbon stock level. The estimation of ecosystem carbon dynamics depends on the quality of land cover change data and the effectiveness of the ecosystem models that represent the vegetation growth processes and disturbance effects. We used the Integrated Biosphere Simulator (IBIS) and a set of 30- to 60-m resolution fire and land cover change data to examine the carbon changes of California's forests, shrublands, and grasslands. Simulation results indicate that during 1951-2000, the net primary productivity (NPP) increased by 7%, from 72.2 to 77.1 Tg C yr(-1) (1 teragram = 10(12) g), mainly due to CO2 fertilization, since the climate hardly changed during this period. Similarly, heterotrophic respiration increased by 5%, from 69.4 to 73.1 Tg Cyr(-1), mainly due to increased forest soil carbon and temperature. Net ecosystem production (NEP) was highly variable in the 50-year period but on average equalled 3.0 Tg C yr(-1) (total of 149 Tg C). As with NEP, the net biome production (NBP) was also highly variable but averaged -0.55 Tg C yr(-1) (total of -27.3 Tg C) because NBP in the 1980s was very low (-5.34 Tg C yr(-1)). During the study period, a total of 126 Tg carbon were removed by logging and land use change, and 50 Tg carbon were directly removed by wildland fires. For carbon pools, the estimated total living upper canopy (tree) biomass decreased from 928 to 834 Tg C, and the understory (including shrub and grass) biomass increased from 59 to 63 Tg C. Soil carbon and dead biomass carbon increased from 1136 to 1197 Tg C. Our analyses suggest that both natural and human processes have significant influence on the carbon change in California. During 1951-2000, climate interannual variability was the key driving force for the large interannual changes of ecosystem carbon source and sink at the state level, while logging and fire were the dominant driving forces for carbon balances in several specific ecoregions. From a long-term perspective. CO2 fertilization plays a key role in maintaining higher NPP. However, our study shows that the increase in C sequestration by CO2 fertilization is largely offset by logging/land use change and wildland fires. (C) 2011 Elsevier B.V. All rights reserved.</t>
  </si>
  <si>
    <t>[Liu, Jinxun] SGT Inc, EROS Ctr, Sioux Falls, SD 57198 USA; [Vogelmann, James E.; Eidenshink, Jeffery C.; Howard, Stephen M.] US Geol Survey, EROS Ctr, Sioux Falls, SD 57198 USA; [Zhu, Zhiliang] US Geol Survey, Reston, VA 20192 USA; [Key, Carl H.] USGS No Rocky Mt Sci Ctr, Glacier Field Stn, W Glacier, MT 59936 USA; [Sleeter, Benjamin M.] US Geol Survey, Western Geog Sci Ctr, Pacific Geog Sci Team, Menlo Pk, CA 94025 USA; [Price, David T.] Nat Resources Canada, Canadian Forest Serv, No Forestry Ctr, Edmonton, AB T6H 3S5, Canada; [Chen, Jing M.] Univ Toronto, Dept Geog, Toronto, ON M5S 3G3, Canada; [Chen, Jing M.] Univ Toronto, Program Planning, Toronto, ON M5S 3G3, Canada; [Cochrane, Mark A.] S Dakota State Univ, GIScCE, Brookings, SD 57007 USA; [Bliss, Norman B.] ASRC Res &amp; Technol Solut, Sioux Falls, SD 57198 USA; [Jiang, Hong] Zhejiang Forestry Univ, Int Ctr Spatial Ecol &amp; Ecosyst Ecol, Hangzhou 311300, Zhejiang, Peoples R China; [Jiang, Hong] Nanjing Univ, Int Inst Earth Syst Sci, Nanjing 210093, Peoples R China</t>
  </si>
  <si>
    <t>Stinger Ghaffarian Technologies, Inc. (SGT); United States Department of the Interior; United States Geological Survey; United States Department of the Interior; United States Geological Survey; United States Department of the Interior; United States Geological Survey; United States Department of the Interior; United States Geological Survey; Natural Resources Canada; Canadian Forest Service; University of Toronto; University of Toronto; South Dakota State University; Zhejiang A&amp;F University; Nanjing University</t>
  </si>
  <si>
    <t>Liu, JX (corresponding author), SGT Inc, EROS Ctr, 47914 252nd St, Sioux Falls, SD 57198 USA.</t>
  </si>
  <si>
    <t>jxliu@usgs.gov</t>
  </si>
  <si>
    <t>; Zhu, Zhiliang/I-2686-2018; Liu, Jinxun/H-8604-2018; Chen, Jing/AAD-4768-2020; Cochrane, Mark/A-1735-2018</t>
  </si>
  <si>
    <t>Vogelmann, James/0000-0002-0804-5823; Zhu, Zhiliang/0000-0002-6860-6936; Liu, Jinxun/0000-0003-0561-8988;</t>
  </si>
  <si>
    <t>JUL 24</t>
  </si>
  <si>
    <t>Science Citation Index Expanded (SCI-EXPANDED); Conference Proceedings Citation Index - Science (CPCI-S)</t>
  </si>
  <si>
    <t>796GB</t>
  </si>
  <si>
    <t>WOS:000293038700014</t>
  </si>
  <si>
    <t>Tian, HQ; Melillo, J; Lu, CQ; Kicklighter, D; Liu, ML; Ren, W; Xu, XF; Chen, GS; Zhang, C; Pan, SF; Liu, JY; Running, S</t>
  </si>
  <si>
    <t>NET PRIMARY PRODUCTION; LAND-USE HISTORY; CLIMATE-CHANGE; TEMPORAL PATTERNS; SOIL CARBON; NITROGEN INTERACTIONS; DIOXIDE EXCHANGE; OZONE POLLUTION; NORTH-AMERICA; ECOSYSTEMS</t>
  </si>
  <si>
    <t>[Tian, Hanqin; Lu, Chaoqun; Liu, Mingliang; Ren, Wei; Xu, Xiaofeng; Chen, Guangsheng; Zhang, Chi; Pan, Shufen] Auburn Univ, Ecosyst Dynam &amp; Global Ecol Lab, Sch Forestry &amp; Wildlife Sci, Auburn, AL 36849 USA; [Tian, Hanqin; Lu, Chaoqun; Liu, Mingliang; Ren, Wei; Xu, Xiaofeng; Chen, Guangsheng; Zhang, Chi; Pan, Shufen] Auburn Univ, Int Ctr Climate &amp; Global Change Res, Auburn, AL 36849 USA; [Melillo, Jerry; Kicklighter, David] Marine Biol Lab, Ctr Ecosyst, Woods Hole, MA 02543 USA; [Liu, Jiyuan] Chinese Acad Sci, Inst Geog Sci &amp; Nat Resources Res, Beijing 100101, Peoples R China; [Running, Steven] Univ Montana, Coll Forestry &amp; Conservat, Missoula, MT 59812 USA</t>
  </si>
  <si>
    <t>Auburn University System; Auburn University; Auburn University System; Auburn University; Marine Biological Laboratory - Woods Hole; Chinese Academy of Sciences; Institute of Geographic Sciences &amp; Natural Resources Research, CAS; University of Montana System; University of Montana</t>
  </si>
  <si>
    <t>Tian, HQ (corresponding author), Auburn Univ, Ecosyst Dynam &amp; Global Ecol Lab, Sch Forestry &amp; Wildlife Sci, Auburn, AL 36849 USA.</t>
  </si>
  <si>
    <t>; Xu, Xiaofeng/B-2391-2008; Pan, Shufen/JJC-1864-2023; Ren, Wei/G-8317-2016; Tian, Hanqin/A-6484-2012; Lu, Chaoqun/HCH-9102-2022; Chen, Guangsheng/AAC-4462-2022; Liu, Mingliang/B-1361-2009; Zhang, Chi/ABB-1176-2021</t>
  </si>
  <si>
    <t>Lu, Chaoqun/0000-0002-1526-0513; Xu, Xiaofeng/0000-0002-6553-6514; Tian, Hanqin/0000-0002-1806-4091; Pan, Shufen/0000-0001-7920-1427; 张, 弛/0000-0003-4866-1441; Liu, Mingliang/0000-0002-1963-5933;</t>
  </si>
  <si>
    <t>NASA [NNG04GM39C, NNX08AL73G_S01]; China's Ministry of Science and Technology (MOST) [2002CB412500]; Div Of Information &amp; Intelligent Systems; Direct For Computer &amp; Info Scie &amp; Enginr [1027955] Funding Source: National Science Foundation</t>
  </si>
  <si>
    <t>NASA(National Aeronautics &amp; Space Administration (NASA)); China's Ministry of Science and Technology (MOST)(Ministry of Science and Technology, China); Div Of Information &amp; Intelligent Systems; Direct For Computer &amp; Info Scie &amp; Enginr(National Science Foundation (NSF)NSF - Directorate for Computer &amp; Information Science &amp; Engineering (CISE)NSF - Division of Information &amp; Intelligent Systems (IIS))</t>
  </si>
  <si>
    <t>This study has been supported by NASA IDS Program (NNG04GM39C), NASA LCLUC Program (NNX08AL73G_S01), and China's Ministry of Science and Technology (MOST) 973 Program (2002CB412500). We thank Maosheng Zhao at the University of Montana for processing the MODIS NPP data, Pieter Tans and his team at NOAA Earth System Science Laboratory for approving us to use the CarbonTracker 2008 results for model evaluation, and three anonymous reviewers for helpful comments on an earlier draft of the manuscript.</t>
  </si>
  <si>
    <t>0886-6236</t>
  </si>
  <si>
    <t>1944-9224</t>
  </si>
  <si>
    <t>GLOBAL BIOGEOCHEM CY</t>
  </si>
  <si>
    <t>Glob. Biogeochem. Cycle</t>
  </si>
  <si>
    <t>MAR 31</t>
  </si>
  <si>
    <t>GB1007</t>
  </si>
  <si>
    <t>Environmental Sciences &amp; Ecology; Geology; Meteorology &amp; Atmospheric Sciences</t>
  </si>
  <si>
    <t>744HL</t>
  </si>
  <si>
    <t>WOS:000289085400001</t>
  </si>
  <si>
    <t>Guo, HL; He, XH; Chen, J; Zhao, YF</t>
  </si>
  <si>
    <t>Wu, Y</t>
  </si>
  <si>
    <t>Procedia Environmental Sciences</t>
  </si>
  <si>
    <t>3rd International Conference on Environmental Science and Information Application Technology (ESIAT)</t>
  </si>
  <si>
    <t>AUG 20-21, 2011</t>
  </si>
  <si>
    <t>Xian, PEOPLES R CHINA</t>
  </si>
  <si>
    <t>Hong Kong Educ,Engn Technol Press,Asia Pacific Environm Sci Res Ctr,Wuhan Univ,Huazhong Normal Univ,China Univ Geosci,Wuhan Inst Technol</t>
  </si>
  <si>
    <t>Zhengzhou Yellow River Wetland; disturbance; natural vegetation; biological diversity</t>
  </si>
  <si>
    <t>[Guo, Hengliang; He, Xiaohui; Chen, Jie; Zhao, Yanfeng] Zhengzhou Univ, Sch Water Conservancy &amp; Environm, Zhengzhou 450001, Henan Province, Peoples R China</t>
  </si>
  <si>
    <t>Zhengzhou University</t>
  </si>
  <si>
    <t>Guo, HL (corresponding author), Zhengzhou Univ, Sch Water Conservancy &amp; Environm, Zhengzhou 450001, Henan Province, Peoples R China.</t>
  </si>
  <si>
    <t>guoyimin333@sina.cn</t>
  </si>
  <si>
    <t>Zhao, Yanfeng/GQQ-8053-2022; guo, hengliang/JDC-8381-2023</t>
  </si>
  <si>
    <t>1878-0296</t>
  </si>
  <si>
    <t>PROCEDIA ENVIRON SCI</t>
  </si>
  <si>
    <t>Engineering, Multidisciplinary; Environmental Sciences</t>
  </si>
  <si>
    <t>Conference Proceedings Citation Index - Science (CPCI-S)</t>
  </si>
  <si>
    <t>BDA15</t>
  </si>
  <si>
    <t>WOS:000312275800049</t>
  </si>
  <si>
    <t>Last, PR; White, WT; Gledhill, DC; Hobday, AJ; Brown, R; Edgar, GJ; Pecl, G</t>
  </si>
  <si>
    <t>Climate change; fishing; south-eastern Australia; spatial shift; Tasmania; temperate fishes; temporal shift</t>
  </si>
  <si>
    <t>BENTHIC COMMUNITIES; MARINE FISHES; REEF FISHES; AUSTRALIA; ECOSYSTEMS; BRACHIONICHTHYIDAE; LOPHIIFORMES; DYNAMICS; PLANTS; CATCH</t>
  </si>
  <si>
    <t>Aim South-eastern Australia is a climate change hotspot with well-documented recent changes in its physical marine environment. The impact on and temporal responses of the biota to change are less well understood, but appear to be due to influences of climate, as well as the non-climate related past and continuing human impacts. We attempt to resolve the agents of change by examining major temporal and distributional shifts in the fish fauna and making a tentative attribution of causal factors. Location Temperate seas of south-eastern Australia. Methods Mixed data sources synthesized from published accounts, scientific surveys, spearfishing and angling competitions, commercial catches and underwater photographic records, from the 'late 1800s' to the 'present', were examined to determine shifts in coastal fish distributions. Results Forty-five species, representing 27 families (about 30% of the inshore fish families occurring in the region), exhibited major distributional shifts thought to be climate related. These are distributed across the following categories: species previously rare or unlisted (12), with expanded ranges (23) and/or abundance increases (30), expanded populations in south-eastern Tasmania (16) and extra-limital vagrants (4). Another 9 species, representing 7 families, experienced longer-term changes (since the 1800s) probably due to anthropogenic factors, such as habitat alteration and fishing pressure: species now extinct locally (3), recovering (3), threatened (2) or with remnant populations (1). One species is a temporary resident periodically recruited from New Zealand. Of fishes exhibiting an obvious poleward movement, most are reef dwellers from three Australian biogeographic categories: widespread southern, western warm temperate (Flindersian) or eastern warm temperate (Peronian) species. Main conclusions Some of the region's largest predatory reef fishes have become extinct in Tasmanian seas since the 'late 1800s', most likely as a result of poor fishing practices. In more recent times, there have been major changes in the distribution patterns of Tasmanian fishes that correspond to dramatic warming observed in the local marine environment.</t>
  </si>
  <si>
    <t>[Last, Peter R.; White, William T.; Gledhill, Daniel C.; Hobday, Alistair J.] CSIRO Marine &amp; Atmospher Res, Climate Adaptat Flagship, Hobart, Tas 7001, Australia; [Last, Peter R.; White, William T.; Gledhill, Daniel C.; Hobday, Alistair J.] CSIRO Marine &amp; Atmospher Res, Wealth Oceans Flagship, Hobart, Tas 7001, Australia; [Brown, Rebecca; Edgar, Graham J.; Pecl, Gretta] Tasmanian Aquaculture &amp; Fisheries Inst, Hobart, Tas 7001, Australia</t>
  </si>
  <si>
    <t>Commonwealth Scientific &amp; Industrial Research Organisation (CSIRO); Commonwealth Scientific &amp; Industrial Research Organisation (CSIRO); University of Tasmania</t>
  </si>
  <si>
    <t>Last, PR (corresponding author), CSIRO Marine &amp; Atmospher Res, Climate Adaptat Flagship, GPO Box 1538, Hobart, Tas 7001, Australia.</t>
  </si>
  <si>
    <t>peter.last@csiro.au</t>
  </si>
  <si>
    <t>Pecl, Gretta/D-7267-2011; Edgar, Graham/AAY-3797-2020; Hobday, Alistair/A-1460-2012; Edgar, Graham/C-8341-2013; White, William/B-9748-2009; Last, Peter/B-9740-2009</t>
  </si>
  <si>
    <t>Pecl, Gretta/0000-0003-0192-4339; Edgar, Graham/0000-0003-0833-9001; White, William/0000-0001-9705-2453;</t>
  </si>
  <si>
    <t>WILEY-BLACKWELL</t>
  </si>
  <si>
    <t>691VP</t>
  </si>
  <si>
    <t>WOS:000285109200005</t>
  </si>
  <si>
    <t>Perry, JJ; Kutt, AS; Garnett, ST; Crowley, GM; Vanderduys, EP; Perkins, GC</t>
  </si>
  <si>
    <t>EMU-AUSTRAL ORNITHOLOGY</t>
  </si>
  <si>
    <t>conservation; fire frequency; MAXENT; niche modelling; northern Australia; species richness; temporal variation</t>
  </si>
  <si>
    <t>TROPICAL SAVANNA WOODLAND; NEOCHMIA-RUFICAUDA; BIRD ASSEMBLAGES; STAR FINCH; AUSTRALIA; PATTERNS; MIGRATION; IMPACT; LANDSCAPES; DECLINE</t>
  </si>
  <si>
    <t>[Perry, J. J.; Kutt, A. S.; Vanderduys, E. P.; Perkins, G. C.] CSIRO Ecosyst Sci, Aitkenvale, Qld 4814, Australia; [Garnett, S. T.; Crowley, G. M.] Charles Darwin Univ, Casuarina, NT 0810, Australia</t>
  </si>
  <si>
    <t>Commonwealth Scientific &amp; Industrial Research Organisation (CSIRO); Charles Darwin University</t>
  </si>
  <si>
    <t>Perry, JJ (corresponding author), CSIRO Ecosyst Sci, ATSIP Bldg,PMB PO, Aitkenvale, Qld 4814, Australia.</t>
  </si>
  <si>
    <t>justin.perry@csiro.au</t>
  </si>
  <si>
    <t>Garnett, Stephen/M-3877-2013; Vanderduys, Eric/AAI-6259-2021; Crowley, Gabriel/GNP-5984-2022; Perry, Justin/AAX-4932-2020; Kutt, Alex/B-2020-2008; Perry, Justin/F-7740-2011; Perkins, Genevieve/D-3338-2011; Crowley, Gabriel M/GNP-5984-2022</t>
  </si>
  <si>
    <t>Garnett, Stephen/0000-0002-0724-7060; Kutt, Alexander Sulev/0000-0001-9679-2206; Perry, Justin/0000-0002-5823-7364; Crowley, Gabriel M/0000-0002-6171-3026</t>
  </si>
  <si>
    <t>Australian Government Natural Heritage Trust through Cape York Peninsula Sustainable Futures</t>
  </si>
  <si>
    <t>Australian Government Natural Heritage Trust through Cape York Peninsula Sustainable Futures(Australian Government)</t>
  </si>
  <si>
    <t>This project was funded by the Australian Government Natural Heritage Trust through Cape York Peninsula Sustainable Futures. This survey would not have been possible without the expertise of the following staff and volunteers in field data collection: Nick Colman (CSIRO Ecosystem Sciences), George Madani, Damien Farine (CSIRO Ecosystem Sciences), and April Reside (CSIRO Ecosystem Sciences), Inka Veltheim, Kath Shurcliffe, Dave Houghton and Lyle Greene (Birds Australia volunteers). Special thanks to Niilo Gobius from Cape York Peninsula Sustainable Futures for fantastic logistical, planning and GIS support. We thank two anonymous referees for their valuable comments on the original manuscript. Thanks to all of the Cape York Peninsula properties and land managers that allowed us access to their land and gave us advice on local wildlife, and in particular the traditional owners and rangers at Pormpuraaw, Kulla, Lama Lama, Mungkan Kandju, Aurukun and Injinoo. Also, many thanks to Jeremy VanDerWal and Stephen Phillips for providing invaluable advice and technical assistance on species distribution modelling. The first survey was undertaken by numerous volunteers from Birds Australia. The random points were created by H. Mills of the Queensland Government in consultation with one of the authors (S. T. Garnett), Graham Harrington and Alastair Freeman.</t>
  </si>
  <si>
    <t>TAYLOR &amp; FRANCIS AUSTRALIA</t>
  </si>
  <si>
    <t>MELBOURNE</t>
  </si>
  <si>
    <t>LEVEL 2, 11 QUEENS RD, MELBOURNE, VIC 3004, AUSTRALIA</t>
  </si>
  <si>
    <t>0158-4197</t>
  </si>
  <si>
    <t>1448-5540</t>
  </si>
  <si>
    <t>Emu</t>
  </si>
  <si>
    <t>769RM</t>
  </si>
  <si>
    <t>WOS:000291035900004</t>
  </si>
  <si>
    <t>Morris, RJ</t>
  </si>
  <si>
    <t>anthropogenic impacts; biodiversity; deforestation; ecosystem functioning; interactions; network structure</t>
  </si>
  <si>
    <t>FOOD WEBS; HABITAT FRAGMENTATION; APPARENT COMPETITION; SPECIES INTERACTIONS; ECOLOGICAL NETWORKS; CLIMATE; EXTINCTION; RESPONSES; DRIVERS; FUTURE</t>
  </si>
  <si>
    <t>Univ Oxford, Dept Zool, Oxford OX1 3PS, England</t>
  </si>
  <si>
    <t>Morris, RJ (corresponding author), Univ Oxford, Dept Zool, S Parks Rd, Oxford OX1 3PS, England.</t>
  </si>
  <si>
    <t>rebecca.morris@zoo.ox.ac.uk</t>
  </si>
  <si>
    <t>Royal Society</t>
  </si>
  <si>
    <t>Royal Society(Royal Society UK)</t>
  </si>
  <si>
    <t>R.M. is funded by a Royal Society University Research Fellowship. I am grateful to Anne Magurran for the invitation to participate in the Royal Society Discussion Meeting and to Charles Godfray, Owen Lewis and two anonymous reviewers for helpful and insightful suggestions on earlier drafts of this manuscript.</t>
  </si>
  <si>
    <t>NOV 27</t>
  </si>
  <si>
    <t>673LU</t>
  </si>
  <si>
    <t>WOS:000283665200011</t>
  </si>
  <si>
    <t>Anadón, JD; Sánchez-Zapata, JA; Carrete, M; Donázar, JA; Hiraldo, F</t>
  </si>
  <si>
    <t>species richness; people; land uses; birds; Africa; conservation; harvesting</t>
  </si>
  <si>
    <t>LAND-USE CHANGES; SPECIES RICHNESS; HUMAN PRESSURE; SPATIAL SCALE; WEST-AFRICA; DECLINES; ENERGY; BIODIVERSITY; EXTINCTION; ABUNDANCE</t>
  </si>
  <si>
    <t>[Anadon, J. D.] UFZ Helmholtz Ctr Environm Res, Dept Ecol Modelling, D-04318 Leipzig, Germany; [Anadon, J. D.; Sanchez-Zapata, J. A.] Univ Miguel Hernandez, Dept Biol Aplicada, Alicante, Spain; [Carrete, M.; Donazar, J. A.; Hiraldo, F.] CSIC, Dept Conservat Biol, Estac Biol Donana, E-41080 Seville, Spain</t>
  </si>
  <si>
    <t>Helmholtz Association; Helmholtz Center for Environmental Research (UFZ); Universidad Miguel Hernandez de Elche; Consejo Superior de Investigaciones Cientificas (CSIC); CSIC - Estacion Biologica de Donana (EBD)</t>
  </si>
  <si>
    <t>Anadón, JD (corresponding author), UFZ Helmholtz Ctr Environm Res, Dept Ecol Modelling, Permoserstr 14, D-04318 Leipzig, Germany.</t>
  </si>
  <si>
    <t>jdanadon@umh.es</t>
  </si>
  <si>
    <t>Sanchez-Zapata, Jose/H-1413-2015; Sanchez-Zapata, Jose Antonio/H-1413-2015; Anadon, Jose/H-6482-2015; Carrete, Martina/D-2618-2017; Carrete, Martina/A-6376-2009; Hiraldo, Fernando/AAA-8314-2019</t>
  </si>
  <si>
    <t>Sanchez-Zapata, Jose Antonio/0000-0001-8230-4953; Carrete, Martina/0000-0002-0491-2950; Donázar, José Antonio/0000-0002-9433-9755;</t>
  </si>
  <si>
    <t>Canal Sur Televison (J.M. Montero and the Dream Team); Egmasa Award; Ibersilva Award; BBVA 2004 Conservation Award</t>
  </si>
  <si>
    <t>Canal Sur Televison (J.M. Montero and the Dream Team); Egmasa Award; Ibersilva Award; BBVA 2004 Conservation Award(BBVA Foundation)</t>
  </si>
  <si>
    <t>M. de la Riva, J.R. Benitez, F. Hernandez, O. Ceballos and M. Barcell de Arizon helped with the field work. Pascal Shako and Nadia Loth provided logistic support. This study benefited from funding from Canal Sur Televison (J.M. Montero and the Dream Team), Egmasa, Ibersilva and BBVA 2004 Conservation Awards.</t>
  </si>
  <si>
    <t>1367-9430</t>
  </si>
  <si>
    <t>1469-1795</t>
  </si>
  <si>
    <t>ANIM CONSERV</t>
  </si>
  <si>
    <t>Anim. Conserv.</t>
  </si>
  <si>
    <t>656VZ</t>
  </si>
  <si>
    <t>WOS:000282370500011</t>
  </si>
  <si>
    <t>Coleman, FC; Koenig, CC</t>
  </si>
  <si>
    <t>SEA-LEVEL RISE; LOPHOLATILUS-CHAMAELEONTICEPS; GOLIATH GROUPER; INTERACTION STRENGTH; EPINEPHELUS-ITAJARA; YELLOWEDGE GROUPER; MANGROVE FORESTS; MID-ATLANTIC; MARINE FISH; OIL-SPILL</t>
  </si>
  <si>
    <t>[Coleman, Felicia C.] Florida State Univ, Coastal &amp; Marine Lab, St Teresa, FL 32358 USA; [Coleman, Felicia C.; Koenig, Christopher C.] Florida State Univ, Dept Biol Sci, Tallahassee, FL 32306 USA</t>
  </si>
  <si>
    <t>State University System of Florida; Florida State University; State University System of Florida; Florida State University</t>
  </si>
  <si>
    <t>Coleman, FC (corresponding author), Florida State Univ, Coastal &amp; Marine Lab, 3618 Coastal Highway, St Teresa, FL 32358 USA.</t>
  </si>
  <si>
    <t>coleman@bio.fsu.edu</t>
  </si>
  <si>
    <t>Coleman, Felicia/IAN-6791-2023</t>
  </si>
  <si>
    <t>Coleman, Felicia/0000-0001-6286-9471; Koenig, Christopher/0000-0002-2592-7975</t>
  </si>
  <si>
    <t>Marine Conservation Biology Institute; The Pew Fellows Program in Marine Conservation; The National Sea [R/LR-B-51]; The National Undersea Research Center, University of North Carolina, Wilmington (NOAA) [03OAR4300088]; The National Oceanic and Atmospheric Administration Fisheries Service Marine Fisheries Initiative [NA17FF2876]; Direct For Biological Sciences; Division Of Integrative Organismal Systems [0938257] Funding Source: National Science Foundation</t>
  </si>
  <si>
    <t>Marine Conservation Biology Institute; The Pew Fellows Program in Marine Conservation; The National Sea; The National Undersea Research Center, University of North Carolina, Wilmington (NOAA)(National Oceanic Atmospheric Admin (NOAA) - USA); The National Oceanic and Atmospheric Administration Fisheries Service Marine Fisheries Initiative; Direct For Biological Sciences; Division Of Integrative Organismal Systems(National Science Foundation (NSF)NSF - Directorate for Biological Sciences (BIO)NSF - Division of Integrative Organismal Systems (IOS))</t>
  </si>
  <si>
    <t>Marine Conservation Biology Institute; The Pew Fellows Program in Marine Conservation; The National Sea Grant (R/LR-B-51); The National Undersea Research Center, University of North Carolina, Wilmington (NOAA grant #03OAR4300088); and The National Oceanic and Atmospheric Administration Fisheries Service Marine Fisheries Initiative (NA17FF2876).</t>
  </si>
  <si>
    <t>OXFORD UNIV PRESS INC</t>
  </si>
  <si>
    <t>CARY</t>
  </si>
  <si>
    <t>JOURNALS DEPT, 2001 EVANS RD, CARY, NC 27513 USA</t>
  </si>
  <si>
    <t>1540-7063</t>
  </si>
  <si>
    <t>1557-7023</t>
  </si>
  <si>
    <t>INTEGR COMP BIOL</t>
  </si>
  <si>
    <t>Integr. Comp. Biol.</t>
  </si>
  <si>
    <t>630NJ</t>
  </si>
  <si>
    <t>WOS:000280279800005</t>
  </si>
  <si>
    <t>Shackell, NL; Frank, KT; Fisher, JAD; Petrie, B; Leggett, WC</t>
  </si>
  <si>
    <t>climate change; trophic interactions; body size; marine fisheries</t>
  </si>
  <si>
    <t>MARINE FISH COMMUNITIES; CASCADES; PREY; INDICATORS; STABILITY; DYNAMICS; SHELF</t>
  </si>
  <si>
    <t>[Shackell, Nancy L.; Frank, Kenneth T.; Fisher, Jonathan A. D.; Petrie, Brian] Bedford Inst Oceanog, Ocean Sci Div, Dartmouth, NS B2Y 4A2, Canada; [Fisher, Jonathan A. D.; Leggett, William C.] Queens Univ, Dept Biol, Kingston, ON K7L 3N6, Canada</t>
  </si>
  <si>
    <t>Fisheries &amp; Oceans Canada; Bedford Institute of Oceanography; Queens University - Canada</t>
  </si>
  <si>
    <t>Shackell, NL (corresponding author), Bedford Inst Oceanog, Ocean Sci Div, POB 1006, Dartmouth, NS B2Y 4A2, Canada.</t>
  </si>
  <si>
    <t>nancy.shackell@dfo-mpo.gc.ca</t>
  </si>
  <si>
    <t>; Leggett, William/F-6009-2011; Shackell, Nancy/AAF-8209-2019</t>
  </si>
  <si>
    <t>Shackell, Nancy/0000-0001-5128-948X;</t>
  </si>
  <si>
    <t>Department of Fisheries and Oceans, Canada; Natural Sciences and Engineering Research Council of Canada</t>
  </si>
  <si>
    <t>Department of Fisheries and Oceans, Canada; Natural Sciences and Engineering Research Council of Canada(Natural Sciences and Engineering Research Council of Canada (NSERC)CGIAR)</t>
  </si>
  <si>
    <t>This research was supported by the Department of Fisheries and Oceans, Canada, and Natural Sciences and Engineering Research Council of Canada Discovery grants to K. T. F. and W. C. L. We thank the Editor and two anonymous reviewers, whose comments helped us clarify our ideas.</t>
  </si>
  <si>
    <t>0962-8452</t>
  </si>
  <si>
    <t>1471-2954</t>
  </si>
  <si>
    <t>P ROY SOC B-BIOL SCI</t>
  </si>
  <si>
    <t>Proc. R. Soc. B-Biol. Sci.</t>
  </si>
  <si>
    <t>MAY 7</t>
  </si>
  <si>
    <t>Life Sciences &amp; Biomedicine - Other Topics; Environmental Sciences &amp; Ecology; Evolutionary Biology</t>
  </si>
  <si>
    <t>574PI</t>
  </si>
  <si>
    <t>WOS:000276003400008</t>
  </si>
  <si>
    <t>Edgar, GJ; Last, PR; Barrett, NS; Gowlett-Holmes, K; Driessen, M; Mooney, P</t>
  </si>
  <si>
    <t>benthic invertebrates; climate change; diver impacts; fishes; introduced marine pests; World Heritage Area</t>
  </si>
  <si>
    <t>CLIMATE-CHANGE; IMPACTS; CORAL; COMMUNITIES; EXTINCTION; HABITAT; SCALE; VULNERABILITY; ENVIRONMENT; OIL</t>
  </si>
  <si>
    <t>1. Port Davey and associated Bathurst Harbour in south-western Tasmania represent one of the world's most anomalous estuarine systems owing to an unusual combination of environmental factors. These include: (i) large uninhabited catchment protected as a National Park; (ii) ria geomorphology but with fjord characteristics that include a shallow entrance and deep 12-km long channel connecting an almost land-locked harbour to the sea; (iii) high rainfall and riverine input that generate strongly-stratified estuarine conditions, with a low-salinity surface layer and marine bottom water; (iv) a deeply tannin-stained surface layer that blocks light penetration to depth; (v) very low levels of nutrients and low aquatic productivity; (vi) weak tidal influences; (vii) marine bottom water with stable temperature throughout the year; (viii) numerous endemic species; (ix) strongly depth-stratified benthic assemblages exhibiting high compositional variability over small spatial scales; (x) deepsea species present at anomalously shallow depths; (xi) no conspicuous introduced taxa; (xii) a predominance of fragile sessile invertebrates, including slow-growing fenestrate bryozoans; and (xiii) sponge spicule-and bryozoan-based sediments that are more characteristic of deep sea and polar environments than those inshore. 2. Although this region has historically been protected by its isolation, seven major anthropogenic stressors now threaten its natural integrity: boating, fishing, dive tourism, nutrient enrichment, introduced species, onshore development, and global climate change. These threats are not randomly distributed but disproportionately affect particular habitat types. 3. For management of environmental risk, the Port Davey-Bathurst Harbour region is subdivided into six biophysical zones, each with different ecological characteristics, values, and types and levels of potential threat. In response to the various threats, the Tasmanian Government has enacted an adaptive management regime that includes a multi-zoned marine protected area and the largest 'no-take' estuarine protected area in Australia. Copyright (C) 2009 John Wiley &amp; Sons, Ltd.</t>
  </si>
  <si>
    <t>[Edgar, Graham J.; Barrett, Neville S.] Univ Tasmania, Tasmanian Aquaculture &amp; Fisheries Inst, Hobart, Tas 7001, Australia; [Edgar, Graham J.] Aquenal Pty Ltd, Hobart, Tas 7001, Australia; [Last, Peter R.; Gowlett-Holmes, Karen] CSIRO, Div Marine &amp; Atmospher Res, Hobart, Tas 7000, Australia; [Driessen, Michael] Dept Primary Ind &amp; Water, Hobart, Tas 7000, Australia; [Mooney, Peter] Pk &amp; Wildlife Serv, Hobart, Tas 7000, Australia</t>
  </si>
  <si>
    <t>University of Tasmania; Commonwealth Scientific &amp; Industrial Research Organisation (CSIRO)</t>
  </si>
  <si>
    <t>Edgar, GJ (corresponding author), Univ Tasmania, Tasmanian Aquaculture &amp; Fisheries Inst, GPO Box 252-49, Hobart, Tas 7001, Australia.</t>
  </si>
  <si>
    <t>g.edgar@utas.edu.au</t>
  </si>
  <si>
    <t>Barrett, Neville/J-7593-2014; Edgar, Graham/AAY-3797-2020; Last, Peter/B-9740-2009; Driessen, Michael/X-3642-2019; Edgar, Graham/C-8341-2013</t>
  </si>
  <si>
    <t>Barrett, Neville/0000-0002-6167-1356; Edgar, Graham/0000-0003-0833-9001</t>
  </si>
  <si>
    <t>Tasmanian government through the Wilderness Ecosystem Baseline Studies (WEBS); Australian government through the Wilderness Ecosystem Baseline Studies (WEBS); Tasmanian Aquaculture and Fisheries Institute; Australian Research Council; National Heritage Trust; Fisheries Research and Development Corporation; Commonwealth Environment Research Facilities programme</t>
  </si>
  <si>
    <t>Tasmanian government through the Wilderness Ecosystem Baseline Studies (WEBS); Australian government through the Wilderness Ecosystem Baseline Studies (WEBS)(Australian Government); Tasmanian Aquaculture and Fisheries Institute; Australian Research Council(Australian Research Council); National Heritage Trust; Fisheries Research and Development Corporation; Commonwealth Environment Research Facilities programme</t>
  </si>
  <si>
    <t>We would particularly like to thank support to the project from the Tasmanian and Australian governments through the Wilderness Ecosystem Baseline Studies (WEBS) and associated Tasmanian Wilderness World Heritage Area fauna programmes, and from the Tasmanian Aquaculture and Fisheries Institute. The Australian Research Council, National Heritage Trust, Fisheries Research and Development Corporation, and Commonwealth Environment Research Facilities programme provided additional funding. We thank Miles Lawler for drafting Figure 1.</t>
  </si>
  <si>
    <t>598IW</t>
  </si>
  <si>
    <t>WOS:000277830200007</t>
  </si>
  <si>
    <t>Polidoro, BA; Carpenter, KE; Collins, L; Duke, NC; Ellison, AM; Ellison, JC; Farnsworth, EJ; Fernando, ES; Kathiresan, K; Koedam, NE; Livingstone, SR; Miyagi, T; Moore, GE; Vien, NN; Ong, JE; Primavera, JH; Salmo, SG; Sanciangco, JC; Sukardjo, S; Wang, YM; Yong, JWH</t>
  </si>
  <si>
    <t>RED LIST INDEXES; CONSERVATION; BIODIVERSITY; ECOSYSTEM; FORESTS; MANAGEMENT; DYNAMICS; TRENDS; FISH; SUSTAINABILITY</t>
  </si>
  <si>
    <t>[Polidoro, Beth A.; Carpenter, Kent E.; Livingstone, Suzanne R.; Sanciangco, Jonnell C.] Old Dominion Univ, IUCN Species Programme, SSC, Norfolk, VA 23529 USA; [Collins, Lorna] Nature Conservancy, Ctr Global Trends, Arlington, VA USA; [Collins, Lorna] Univ Plymouth, Sch Biol Sci, Plymouth PL4 8AA, Devon, England; [Duke, Norman C.; Salmo, Severino G., III] Univ Queensland, Ctr Marine Studies, St Lucia, Qld, Australia; [Ellison, Aaron M.] Harvard Univ, Petersham, MA USA; [Ellison, Joanna C.] Univ Tasmania, Sch Geog &amp; Environm Studies, Launceston, Tas 7250, Australia; [Farnsworth, Elizabeth J.] New England Wild Flower Soc, Framingham, MA USA; [Fernando, Edwino S.] Univ Philippines, Los Banos Coll, Dept Forest Biol Sci, Laguna, Philippines; [Kathiresan, Kandasamy] Annamalai Univ, Ctr Adv Study Marine Biol, Parangipettai, India; [Koedam, Nico E.] Vrije Univ Brussel, Fac Sci &amp; Bioengn Sci, Brussels, Belgium; [Miyagi, Toyohiko] Tohoku Gakuin Univ, Fac Liberal Art, Dept Reg Management, Sendai, Miyagi 980, Japan; [Moore, Gregg E.] Univ New Hampshire, Dept Biol Sci, Durham, NH 03824 USA; [Moore, Gregg E.] Univ New Hampshire, Jackson Estuarine Lab, Durham, NH 03824 USA; [Vien Ngoc Nam] Nong Lam Univ, Fac Forestry, Ho Chi Minh City, Vietnam; [Ong, Jin Eong] Univ Sains Malaysia, Ctr Marine &amp; Coastal Studies, George Town, Malaysia; [Primavera, Jurgenne H.] SE Asian Fisheries Dev Ctr, Dept Aquaculture, Iloilo, Philippines; [Salmo, Severino G., III] Cent Luzon State Univ, Coll Agr, Sci City Of Munoz, Nueva Ecija, Philippines; [Sukardjo, Sukristijono] Indonesian Inst Sci, Ctr Oceanol Res &amp; Dev, Jakarta, Indonesia; [Wang, Yamin] Shandong Univ, Coll Ocean, Weihai, Peoples R China; [Yong, Jean Wan Hong] Nanyang Technol Univ, Natl Inst Educ, Nat Sci &amp; Sci Educ Acad Grp, Singapore, Singapore</t>
  </si>
  <si>
    <t>Old Dominion University; Nature Conservancy; University of Plymouth; University of Queensland; Harvard University; University of Tasmania; University of the Philippines System; University of the Philippines Los Banos; Annamalai University; Vrije Universiteit Brussel; Tohoku Gakuin University; University System Of New Hampshire; University of New Hampshire; University System Of New Hampshire; University of New Hampshire; Nong Lam University; Universiti Sains Malaysia; Southeast Asian Fisheries Development Center; Central Luzon State University; National Research &amp; Innovation Agency of Indonesia (BRIN); Shandong University; Nanyang Technological University; National Institute of Education (NIE) Singapore</t>
  </si>
  <si>
    <t>Polidoro, BA (corresponding author), Old Dominion Univ, IUCN Species Programme, SSC, Norfolk, VA 23529 USA.</t>
  </si>
  <si>
    <t>bpolidor@odu.edu</t>
  </si>
  <si>
    <t>Salmo, Severino/T-4794-2018; Duke, Norman/K-5729-2013; Ellison, Joanna/C-2372-2014; Wang, Yamin/JZT-3868-2024; Yong, Jean/B-9976-2019; Kandasamy, Kathiresan/X-7933-2019</t>
  </si>
  <si>
    <t>Salmo, Severino/0000-0001-6807-4397; Duke, Norman/0000-0003-2081-9120; Kandasamy, Kathiresan/0000-0003-1203-0023; Ellison, Joanna/0000-0003-0692-8347; Yong, Jean/0000-0003-3325-8254; Sanciangco, Jonnell Cueto/0000-0001-8268-3180; Ellison, Aaron/0000-0003-4151-6081; Fernando, Edwino/0000-0001-9422-5451</t>
  </si>
  <si>
    <t>Tom Haas; New Hampshire Charitable Foundation</t>
  </si>
  <si>
    <t>This research was generously supported by core funding from Tom Haas and the New Hampshire Charitable Foundation. The funders had no role in study design, data collection and analysis, decision to publish, or preparation of the manuscript.</t>
  </si>
  <si>
    <t>APR 8</t>
  </si>
  <si>
    <t>e10095</t>
  </si>
  <si>
    <t>580WT</t>
  </si>
  <si>
    <t>WOS:000276482000021</t>
  </si>
  <si>
    <t>Casini, M; Bartolino, V; Molinero, JC; Kornilovs, G</t>
  </si>
  <si>
    <t>Condition; Weight-at-age; WAA; Ecological threshold; Inter-specific density-dependence; Hydro-climate; Herring; Sprat; Ecosystem-based fisheries management; Alternative dynamics</t>
  </si>
  <si>
    <t>SPRAT SPRATTUS-SPRATTUS; NORTH-SEA; POPULATION-DYNAMICS; MARINE ECOSYSTEM; REGIME SHIFTS; MEAN LENGTH; BOTTOM-UP; TOP-DOWN; AT-AGE; FISH</t>
  </si>
  <si>
    <t>[Casini, Michele; Bartolino, Valerio] Inst Marine Res, Swedish Board Fisheries, S-45321 Lysekil, Sweden; [Molinero, Juan Carlos] Leibniz Inst Marine Sci IFM GEOMAR, D-24105 Kiel, Germany; [Kornilovs, Georgs] Latvian Fish Resources Agcy, LV-1048 Riga, Latvia</t>
  </si>
  <si>
    <t>Helmholtz Association; GEOMAR Helmholtz Center for Ocean Research Kiel</t>
  </si>
  <si>
    <t>Casini, M (corresponding author), Inst Marine Res, Swedish Board Fisheries, POB 4, S-45321 Lysekil, Sweden.</t>
  </si>
  <si>
    <t>michele.casini@fiskeriverket.se</t>
  </si>
  <si>
    <t>Bartolino, Valerio/0000-0002-4506-4329; Casini, Michele/0000-0003-4910-5236</t>
  </si>
  <si>
    <t>646TW</t>
  </si>
  <si>
    <t>WOS:000281566900019</t>
  </si>
  <si>
    <t>McGeoch, MA; Butchart, SHM; Spear, D; Marais, E; Kleynhans, EJ; Symes, A; Chanson, J; Hoffmann, M</t>
  </si>
  <si>
    <t>Biological invasions; Convention on Biological Diversity 2010 Biodiversity Target; environmental legislation; invasive alien species; Red List Index; species richness</t>
  </si>
  <si>
    <t>RED LIST INDEXES; TEMPORAL TRENDS; PLANT INVASIONS; ALIEN FLORA; RICHNESS; GLOBALIZATION; DIVERSITY; PATHWAYS; PATTERNS; DECLINES</t>
  </si>
  <si>
    <t>Aim Invasive alien species (IAS) pose a significant threat to biodiversity. The Convention on Biological Diversity's 2010 Biodiversity Target, and the associated indicator for IAS, has stimulated globally coordinated efforts to quantify patterns in the extent of biological invasion, its impact on biodiversity and policy responses. Here, we report on the outcome of indicators of alien invasion at a global scale. Location Global. Methods We developed four indicators in a pressure-state-response framework, i.e. number of documented IAS (pressure), trends in the impact of IAS on biodiversity (state) and trends in international agreements and national policy adoption relevant to reducing IAS threats to biodiversity (response). These measures were considered best suited to providing globally representative, standardized and sustainable indicators by 2010. Results We show that the number of documented IAS is a significant underestimate, because its value is negatively affected by country development status and positively by research effort and information availability. The Red List Index demonstrates that IAS pressure is driving declines in species diversity, with the overall impact apparently increasing. The policy response trend has nonetheless been positive for the last several decades, although only half of countries that are signatory to the Convention on Biological Diversity (CBD) have IAS-relevant national legislation. Although IAS pressure has apparently driven the policy response, this has clearly not been sufficient and/or adequately implemented to reduce biodiversity impact. Main conclusion For this indicator of threat to biodiversity, the 2010 Biodiversity Target has thus not been achieved. The results nonetheless provide clear direction for bridging the current divide between information available on IAS and that needed for policy and management for the prevention and control of IAS. It further highlights the need for measures to ensure that policy is effectively implemented, such that it translates into reduced IAS pressure and impact on biodiversity beyond 2010.</t>
  </si>
  <si>
    <t>[McGeoch, Melodie A.] S African Natl Pk, Ctr Invas Biol, ZA-7947 Steenberg, South Africa; [McGeoch, Melodie A.] S African Natl Pk, Cape Res Ctr, ZA-7947 Steenberg, South Africa; [Butchart, Stuart H. M.; Symes, Andy] BirdLife Int, Cambridge CB3 0NA, England; [Spear, Dian; Marais, Elrike; Kleynhans, Elizabeth J.] Univ Stellenbosch, Ctr Invas Biol, ZA-7602 Matieland, South Africa; [Chanson, Janice] IUCN SSC CI CABS Biodivers Assessment Unit, Cheltenham, Vic 3192, Australia; [Hoffmann, Michael] Conservat Int, Ctr Appl Biodivers Sci, IUCN SSC CI CABS Biodivers Assessment Unit, Arlington, VA 22202 USA; [Hoffmann, Michael] IUCN, IUCN Species Programme, CH-1196 Gland, Switzerland</t>
  </si>
  <si>
    <t>BirdLife International; Stellenbosch University; Conservation International</t>
  </si>
  <si>
    <t>McGeoch, MA (corresponding author), S African Natl Pk, Ctr Invas Biol, POB 216, ZA-7947 Steenberg, South Africa.</t>
  </si>
  <si>
    <t>melodiem@sanparks.org</t>
  </si>
  <si>
    <t>Spear, Dian/B-2469-2009; Hoffmann, Michael/E-6419-2010; Butchart, Stuart/Y-2711-2018; McGeoch, Melodie/F-8353-2011</t>
  </si>
  <si>
    <t>Spear, Dian/0000-0002-2417-3980; Butchart, Stuart/0000-0002-1140-4049; Hoffmann, Michael/0000-0003-4785-2254; McGeoch, Melodie/0000-0003-3388-2241</t>
  </si>
  <si>
    <t>The Global Invasive Species Programme; Centre for Invasion Biology</t>
  </si>
  <si>
    <t>We thank Sarah Simons and The Global Invasive Species Programme, as well as Sarah Davies, Karla Coombe-Davis, Steven Chown and the Centre for Invasion Biology for discussion and supporting and funding this research. We are grateful to the members of GISP's Expert Working Group on IAS Indicators who provided advice: Georgina Mace, Tim Blackburn, Michael Browne, Richard Smith, Jean-Christophe Vie, Tristan Tyrrell, Martin Parr, Geoffrey Howard. We thank CABI, GISD and DAISIE for access to their databases and Piero Genovesi and Shyama Pagad (Invasive Species Specialist Group) for assistance with data collation. For the RLI, we thank all who have contributed to the Red List assessments upon which the indicator is based (for birds, see BirdLife International 2008). Simon Stuart kindly helped in determining the primary drivers for the RLI for mammals. We also thank Ben Collen and two anonymous referees for insightful comments on the manuscript.</t>
  </si>
  <si>
    <t>WILEY-BLACKWELL PUBLISHING, INC</t>
  </si>
  <si>
    <t>MALDEN</t>
  </si>
  <si>
    <t>COMMERCE PLACE, 350 MAIN ST, MALDEN 02148, MA USA</t>
  </si>
  <si>
    <t>545HM</t>
  </si>
  <si>
    <t>WOS:000273723100010</t>
  </si>
  <si>
    <t>Erb, KH; Krausmann, F; Gaube, V; Gingrich, S; Bondeau, A; Fischer-Kowalski, M; Haberl, H</t>
  </si>
  <si>
    <t>Erb, Karl-Heinz; Krausmann, Fridolin; Gaube, Veronika; Gingrich, Simone; Bondeau, Alberte; Fischer-Kowalski, Marina; Haberl, Helmut</t>
  </si>
  <si>
    <t>Analyzing the global human appropriation of net primary production - processes, trajectories, implications. An introduction</t>
  </si>
  <si>
    <t>ECOLOGICAL ECONOMICS</t>
  </si>
  <si>
    <t>Human appropriation of net primary production; Biophysical indicators; Land use; Biomass flows; Socioeconomic drivers; Strong sustainability</t>
  </si>
  <si>
    <t>LAND-USE CHANGE; SOCIOECONOMIC METABOLISM; ATMOSPHERIC CO2; PATTERNS; SUSTAINABILITY; AUSTRIA; CLIMATE; 20TH-CENTURY; ENVIRONMENT; ECOSYSTEMS</t>
  </si>
  <si>
    <t>Humanity's role in shaping patterns and processes in the terrestrial biosphere is large and growing. Most of the earth's fertile land is used more or less intensively by humans for resource extraction, production, transport, consumption and waste deposition or as living space. Biomass production on cropland, grazing areas and in managed forests dominates area requirements, but other processes such as soil degradation, human-induced fires and expansion of settlements and infrastructure play an increasingly important role as well. The growing human domination of terrestrial ecosystems contributes to biodiversity loss as well as to a reduced capability of ecosystems to deliver vital services such as buffering capacity. soil conservation or self-regulation. This special section is devoted to the presentation of recent research into the patterns, determinants and implications of the human appropriation of net primary production (HANPP), an integrated socio-ecological indicator of land use intensity. By measuring the combined effect of land conversion and biomass harvest on the availability of trophic energy (biomass) in ecosystems, HANPP explicitly links natural with socioeconomic processes and allows for integrated analyses of land systems. This introductory article explains the rationale that links current HANPP research to Ecological Economics and discusses issues of definition and methods shared by all articles included in the special section. Finally. it gives an overview of the individual papers, provides some general conclusions and presents an outlook for future research: a better understanding of long-term trajectories of HANPP, of the significance of trade patterns as well as of the future role of bioenergy are highlighted as important issues to be addressed in the coming years. (C) 2009 Elsevier B.V. All rights reserved.</t>
  </si>
  <si>
    <t>[Erb, Karl-Heinz; Krausmann, Fridolin; Gaube, Veronika; Gingrich, Simone; Fischer-Kowalski, Marina; Haberl, Helmut] Alpen Adria Univ Klagenfurt Graz Wien, Inst Social Ecol, A-1070 Vienna, Austria; [Bondeau, Alberte] Potsdam Inst Climate Impact Res, D-14412 Potsdam, Germany</t>
  </si>
  <si>
    <t>University of Klagenfurt; Potsdam Institut fur Klimafolgenforschung</t>
  </si>
  <si>
    <t>Erb, KH (corresponding author), Alpen Adria Univ Klagenfurt Graz Wien, Inst Social Ecol, Schottenfeldgasse 29, A-1070 Vienna, Austria.</t>
  </si>
  <si>
    <t>karlheinz.erb@uni-klu.ac.at</t>
  </si>
  <si>
    <t>Erb, Karlheinz/F-1282-2016; Gingrich, Simone/L-4862-2016; Haberl, Helmut/G-3679-2013; Erb, Karlheinz/F-1282-2016; Krausmann, Fridolin/N-1918-2015; Fischer-Kowalski, Marina/O-9646-2019; Bondeau, Alberte/E-9909-2012; Gaube, Veronika/AAB-3097-2020</t>
  </si>
  <si>
    <t>Erb, Karlheinz/0000-0002-8335-4159; Gingrich, Simone/0000-0001-7891-8688; Gaube, Veronika/0000-0002-1620-0408; Haberl, Helmut/0000-0003-2104-5446; Erb, Karlheinz/0000-0002-8335-4159; Fischer-Kowalski, Marina/0000-0003-3345-4538; Krausmann, Fridolin/0000-0002-9995-2372; Bondeau, Alberte/0000-0002-8729-5061;</t>
  </si>
  <si>
    <t>Austrian Science Fund (FWF) [P16692-GO5, P20812-GII]; Direct For Social, Behav &amp; Economic Scie; Division Of Behavioral and Cognitive Sci [0810837] Funding Source: National Science Foundation; Austrian Science Fund (FWF) [P 21012] Funding Source: researchfish; Austrian Science Fund (FWF) [P16692] Funding Source: Austrian Science Fund (FWF)</t>
  </si>
  <si>
    <t>Austrian Science Fund (FWF)(Austrian Science Fund (FWF)); Direct For Social, Behav &amp; Economic Scie; Division Of Behavioral and Cognitive Sci(National Science Foundation (NSF)NSF - Directorate for Social, Behavioral &amp; Economic Sciences (SBE)); Austrian Science Fund (FWF)(Austrian Science Fund (FWF)); Austrian Science Fund (FWF)(Austrian Science Fund (FWF))</t>
  </si>
  <si>
    <t>We thank Wolfgang Lucht, Joan Martinez-Alier, Christoph Plutzar, Anette Reenberg, and Helga Weisz for discussions and collaboration. This article draws from research funded by the Austrian Science Fund (FWF) within the projects P16692-GO5 and P20812-GII, which is gratefully acknowledged, and contributes to A Long-Term Biodiversity, Ecosystem and Awareness Research Network (ALTER-Net, http://www.alter-net.info), and the Global Land Project (httP://www.globallandproject.org).</t>
  </si>
  <si>
    <t>0921-8009</t>
  </si>
  <si>
    <t>1873-6106</t>
  </si>
  <si>
    <t>ECOL ECON</t>
  </si>
  <si>
    <t>Ecol. Econ.</t>
  </si>
  <si>
    <t>Ecology; Economics; Environmental Sciences; Environmental Studies</t>
  </si>
  <si>
    <t>Environmental Sciences &amp; Ecology; Business &amp; Economics</t>
  </si>
  <si>
    <t>534BX</t>
  </si>
  <si>
    <t>WOS:000272871600005</t>
  </si>
  <si>
    <t>Laurance, WF; Useche, DC</t>
  </si>
  <si>
    <t>climatic change; endangered species; environmental synergisms; extinction; fire; habitat fragmentation; hunting; IUCN Red Data Book; logging; species invasions; tropical forests</t>
  </si>
  <si>
    <t>RAIN-FOREST; CLIMATE-CHANGE; HABITAT FRAGMENTATION; AMPHIBIAN EXTINCTIONS; EPIDEMIC DISEASE; LOGGED FORESTS; UV-B; BIODIVERSITY; ECOLOGY; DYNAMICS</t>
  </si>
  <si>
    <t>[Laurance, William F.; Useche, Diana C.] Smithsonian Trop Res Inst, Balboa, Ancon, Panama; [Laurance, William F.] James Cook Univ, Sch Marine &amp; Trop Biol, Cairns, Qld 4870, Australia</t>
  </si>
  <si>
    <t>Smithsonian Institution; Smithsonian Tropical Research Institute; James Cook University</t>
  </si>
  <si>
    <t>Laurance, WF (corresponding author), Smithsonian Trop Res Inst, Apartado 0843-03092, Balboa, Ancon, Panama.</t>
  </si>
  <si>
    <t>bill.laurance@jcu.edu.au</t>
  </si>
  <si>
    <t>Laurance, William/B-2709-2012</t>
  </si>
  <si>
    <t>Smithsonian Institution; Science Committee of the Smithsonian National Board; Frank Levinson Family Foundation</t>
  </si>
  <si>
    <t>Smithsonian Institution(Smithsonian Institution); Science Committee of the Smithsonian National Board; Frank Levinson Family Foundation</t>
  </si>
  <si>
    <t>We thank J. Wright, R. Ewers, R. Butler, and two anonymous referees for many helpful comments, C. Vera for permission to use Fig. 5, and the Smithsonian Institution, Science Committee of the Smithsonian National Board, and Frank Levinson Family Foundation for support.</t>
  </si>
  <si>
    <t>524SL</t>
  </si>
  <si>
    <t>WOS:000272163100015</t>
  </si>
  <si>
    <t>Dodson, EK; Peterson, DW</t>
  </si>
  <si>
    <t>Erosion; Conservation; Diversity; Exotic; Invasion; Resilience</t>
  </si>
  <si>
    <t>INCREASED SOIL-NITROGEN; POSTFIRE REHABILITATION; STRAW MULCH; EROSION; VEGETATION; FOREST; FIRE; RESPONSES; COLORADO; RESTORATION</t>
  </si>
  <si>
    <t>[Dodson, Erich K.; Peterson, David W.] US Forest Serv, Pacific NW Res Stn, Wenatchee, WA 98801 USA</t>
  </si>
  <si>
    <t>United States Department of Agriculture (USDA); United States Forest Service</t>
  </si>
  <si>
    <t>Dodson, EK (corresponding author), US Forest Serv, Pacific NW Res Stn, 1133 N Western Ave, Wenatchee, WA 98801 USA.</t>
  </si>
  <si>
    <t>edodson@fs.fed.us</t>
  </si>
  <si>
    <t>Peterson, David/B-1105-2008</t>
  </si>
  <si>
    <t>Peterson, David/0000-0001-8333-7642</t>
  </si>
  <si>
    <t>498OW</t>
  </si>
  <si>
    <t>WOS:000270152300065</t>
  </si>
  <si>
    <t>Eyre, TJ; Maron, M; Mathieson, MT; Haseler, M</t>
  </si>
  <si>
    <t>grazing; habitat selection; noisy miner; road; selective logging</t>
  </si>
  <si>
    <t>SPECIES COMPOSITION; NOISY MINERS; AUSTRALIA; WOODLANDS; FRAGMENTATION; COMMUNITIES; EUCALYPTUS; REMNANT; FIRE; EDGE</t>
  </si>
  <si>
    <t>[Eyre, Teresa J.; Mathieson, Michael T.; Haseler, Murray] Queensland Environm Protect Agcy, Biodivers Sci Unit, Indooroopilly, Qld 4068, Australia; [Maron, Martine] Univ So Queensland, Australian Ctr Sustainable Catchments, Toowoomba, Qld 4350, Australia; [Maron, Martine] Univ So Queensland, Fac Sci, Toowoomba, Qld 4350, Australia; [Haseler, Murray] Bush Heritage Australia, Melbourne, Vic, Australia</t>
  </si>
  <si>
    <t>University of Southern Queensland; University of Southern Queensland; Bush Heritage Australia</t>
  </si>
  <si>
    <t>Eyre, TJ (corresponding author), Queensland Environm Protect Agcy, Biodivers Sci Unit, Forestry Bldg,80 Meiers Rd, Indooroopilly, Qld 4068, Australia.</t>
  </si>
  <si>
    <t>teresa.eyre@epa.qld.gov.au</t>
  </si>
  <si>
    <t>Maron, Martine/D-9699-2011</t>
  </si>
  <si>
    <t>Maron, Martine/0000-0002-5563-5789</t>
  </si>
  <si>
    <t>Western Hardwoods Biodiversity</t>
  </si>
  <si>
    <t>Many thanks to Annie Kelly, Don Butler, Sandy Pollock, Melanie Venz and Jian Wang for assistance in the field. Warm thanks also to Terri Sutcliffe, Alison Lawrence and James Thiessen for GIS support and the generation of spatial data, and Dan Ferguson and Tracy Bell for data entry and database maintenance. We are grateful to Brian Wright and Dick Clarkson for sharing their knowledge on management of grazing and fire in the western forests. This study was funded as a component of the Western Hardwoods Biodiversity project by the Queensland Department of Sustainable Development, under ethics permit Activity No. BRIBIE/6/99-1 issued by the Queensland Department of Primary Industries animal ethics committee.</t>
  </si>
  <si>
    <t>1442-9985</t>
  </si>
  <si>
    <t>1442-9993</t>
  </si>
  <si>
    <t>AUSTRAL ECOL</t>
  </si>
  <si>
    <t>Austral Ecol.</t>
  </si>
  <si>
    <t>492RA</t>
  </si>
  <si>
    <t>WOS:000269675600012</t>
  </si>
  <si>
    <t>Frolking, S; Palace, MW; Clark, DB; Chambers, JQ; Shugart, HH; Hurtt, GC</t>
  </si>
  <si>
    <t>TROPICAL RAIN-FOREST; NET PRIMARY PRODUCTION; SNOW AVALANCHE DISTURBANCE; RESOLUTION SATELLITE DATA; SURFACE SOIL-MOISTURE; COARSE WOODY DEBRIS; LANDSAT TM DATA; BOREAL FOREST; BURN SEVERITY; CARBON-CYCLE</t>
  </si>
  <si>
    <t>[Frolking, S.; Palace, M. W.; Hurtt, G. C.] Univ New Hampshire, Inst Study Earth Oceans &amp; Space, Complex Syst Res Ctr, Durham, NH 03824 USA; [Clark, D. B.] Univ Missouri, Dept Biol, St Louis, MO 63121 USA; [Chambers, J. Q.] Tulane Univ, Dept Ecol &amp; Evolutionary Biol, New Orleans, LA 70118 USA; [Shugart, H. H.] Univ Virginia, Dept Environm Sci, Charlottesville, VA 22904 USA; [Palace, M. W.] Univ Oxford, Sch Geog &amp; Environm, Environm Change Inst, Oxford, England; [Clark, D. B.] La Selva Biol Stn, Puerto Viejo de Sarapiqui, Costa Rica</t>
  </si>
  <si>
    <t>University System Of New Hampshire; University of New Hampshire; University of Missouri System; University of Missouri Saint Louis; Tulane University; University of Virginia; University of Oxford</t>
  </si>
  <si>
    <t>Frolking, S (corresponding author), Univ New Hampshire, Inst Study Earth Oceans &amp; Space, Complex Syst Res Ctr, 8 Coll Rd, Durham, NH 03824 USA.</t>
  </si>
  <si>
    <t>steve.frolking@unh.edu; dbclark@sloth.ots.ac.cr; chambers@tulane.edu; hhs@virginia.edu</t>
  </si>
  <si>
    <t>Chambers, Jeffrey/J-9021-2014; Hurtt, George/A-8450-2012; Frolking, Steve/ABF-9046-2021; Shugart, Herman/C-5156-2009; Chambers, Jeffrey/AAU-7097-2021; Shugart, Herman/C-5156-2009</t>
  </si>
  <si>
    <t>Chambers, Jeffrey/0000-0003-3983-7847; Shugart, Herman/0000-0002-1766-8379; Palace, Michael/0000-0002-3505-2906; Hurtt, George/0000-0001-7278-202X; Shugart, Herman/0000-0002-1766-8379</t>
  </si>
  <si>
    <t>NASA Interdisciplinary Science [NNX07AH32G]; NASA's Terrestrial Ecology Program [NNH07ZDA001N-TE]; National Science Foundation [NSF/SGER 0533575]; NASA LBA-ECO grant [CD-34]; NASA [NNG-05-GN69G, NNX-07-A063G, NNX07AF10G]</t>
  </si>
  <si>
    <t>NASA Interdisciplinary Science; NASA's Terrestrial Ecology Program(National Aeronautics &amp; Space Administration (NASA)); National Science Foundation(National Science Foundation (NSF)); NASA LBA-ECO grant; NASA(National Aeronautics &amp; Space Administration (NASA))</t>
  </si>
  <si>
    <t>We thank two anonymous reviewers for helpful comments on an earlier draft. We acknowledge support from NASA Interdisciplinary Science grant NNX07AH32G (S.F. and G.C.H.), NASA's Terrestrial Ecology Program grant NNH07ZDA001N-TE (M.W.P.), National Science Foundation grant NSF/SGER 0533575 (D.B.C.), NASA LBA-ECO grant CD-34 (J.Q.C.), and NASA grants NNG-05-GN69G, NNX-07-A063G, and NNX07AF10G (H.H.S.).</t>
  </si>
  <si>
    <t>JUL 22</t>
  </si>
  <si>
    <t>G00E02</t>
  </si>
  <si>
    <t>475IS</t>
  </si>
  <si>
    <t>WOS:000268352400002</t>
  </si>
  <si>
    <t>Lotze, HK; Worm, B</t>
  </si>
  <si>
    <t>LONG-TERM FLUCTUATIONS; ATLANTIC BLUEFIN TUNA; WADDEN SEA; POPULATION-DYNAMICS; PREDATORY SHARKS; HUMAN IMPACTS; RESOURCE USE; CATCH RATES; FISH; FISHERIES</t>
  </si>
  <si>
    <t>[Lotze, Heike K.; Worm, Boris] Dalhousie Univ, Dept Biol, Halifax, NS B3H 4J1, Canada</t>
  </si>
  <si>
    <t>Dalhousie University</t>
  </si>
  <si>
    <t>Lotze, HK (corresponding author), Dalhousie Univ, Dept Biol, 1355 Oxford St, Halifax, NS B3H 4J1, Canada.</t>
  </si>
  <si>
    <t>; Worm, Boris/ADW-9659-2022</t>
  </si>
  <si>
    <t>Lotze, Heike/0000-0001-6258-1304; Worm, Boris/0000-0002-5742-8716;</t>
  </si>
  <si>
    <t>447JT</t>
  </si>
  <si>
    <t>WOS:000266188100006</t>
  </si>
  <si>
    <t>Tin, T; Fleming, ZL; Hughes, KA; Ainley, DG; Convey, P; Moreno, CA; Pfeiffer, S; Scott, J; Snape, I</t>
  </si>
  <si>
    <t>Antarctic Treaty System; contamination; ecosystem based management; human impacts; non-indigenous species; tourism</t>
  </si>
  <si>
    <t>SOFT-SEDIMENT ASSEMBLAGES; HEAVY-METAL CONTAMINATION; ORGANIC POLLUTANTS POPS; KING GEORGE ISLAND; MCMURDO-STATION; SOUTHERN-OCEAN; MARINE-SEDIMENTS; ADELIE PENGUINS; CASEY-STATION; CLOSTRIDIUM-PERFRINGENS</t>
  </si>
  <si>
    <t>[Tin, T.] ASOC, F-45163 Olivet 3, France; [Fleming, Z. L.] Univ Leicester, Dept Chem, Leicester LE1 7RH, Leics, England; [Hughes, K. A.; Convey, P.] British Antarctic Survey, NERC, Cambridge CB3 0ET, England; [Ainley, D. G.] HT Harvey &amp; Associates, Los Gatos, CA 95032 USA; [Moreno, C. A.] Univ Austral Chile, Inst Ecol &amp; Evoluc, Valdivia, Chile; [Pfeiffer, S.] Univ Jena, D-07743 Jena, Germany; [Scott, J.] Univ Tasmania, Sch Geog &amp; Environm Studies, Hobart, Tas 7001, Australia; [Snape, I.] Australian Antarctic Div, Kingston, Tas 7050, Australia</t>
  </si>
  <si>
    <t>University of Leicester; UK Research &amp; Innovation (UKRI); Natural Environment Research Council (NERC); NERC British Antarctic Survey; Universidad Austral de Chile; Friedrich Schiller University of Jena; University of Tasmania; Australian Antarctic Division</t>
  </si>
  <si>
    <t>Tin, T (corresponding author), ASOC, BP 80358, F-45163 Olivet 3, France.</t>
  </si>
  <si>
    <t>tinatink@gmail.com</t>
  </si>
  <si>
    <t>Fleming, Zoe/AHB-1124-2022; Convey, Peter/AAV-5728-2020; Hughes, Kevin/JVZ-0793-2024; Fleming, Zoë/G-4796-2018</t>
  </si>
  <si>
    <t>Fleming, Zoë/0000-0001-5732-1479</t>
  </si>
  <si>
    <t>National Science Foundation [OPP-0440463]; NERC [bas010011, ncas10006, bas010015] Funding Source: UKRI; Natural Environment Research Council [ncas10006, bas010011, bas010015] Funding Source: researchfish</t>
  </si>
  <si>
    <t>National Science Foundation(National Science Foundation (NSF)); NERC(UK Research &amp; Innovation (UKRI)Natural Environment Research Council (NERC)); Natural Environment Research Council(UK Research &amp; Innovation (UKRI)Natural Environment Research Council (NERC))</t>
  </si>
  <si>
    <t>The authors would like to thank Mark Belchier, Roberto Bargagli, Yan Ropert-Coudert, Marienne de Villiers, Virginia Gascon, Katja Heinke, Alan Hemmings, Nick Holmes, Hans-Ulrich Peter, Richard Philips, Ricardo Roura, Rupert Summerson, Claire Waluda, Barry Weeber, Rodolfo Werner Kinkelin, the librarians at the Scott Polar Research Institute, David Walton and three anonymous reviewers for their helpful comments and in the research of literature. This paper is part of ASOC's endorsed IPY project Enhancing the environmental legacy of the IPY. It also forms an output of the British Antarctic Survey's BIOPEARL, LTMS-B and Environment and Information Division LTMS projects, and the SCAR Evolution and Biodiversity in Antarctica programme. DGA's time in contributing to this project was funded by the National Science Foundation (OPP-0440463), although the views expressed herein may not be those of NSF.</t>
  </si>
  <si>
    <t>0954-1020</t>
  </si>
  <si>
    <t>1365-2079</t>
  </si>
  <si>
    <t>ANTARCT SCI</t>
  </si>
  <si>
    <t>Antarct. Sci.</t>
  </si>
  <si>
    <t>Environmental Sciences; Geography, Physical; Geosciences, Multidisciplinary</t>
  </si>
  <si>
    <t>Environmental Sciences &amp; Ecology; Physical Geography; Geology</t>
  </si>
  <si>
    <t>407UF</t>
  </si>
  <si>
    <t>WOS:000263389100002</t>
  </si>
  <si>
    <t>Wolf, N; Mangel, M</t>
  </si>
  <si>
    <t>aerial survey; beta-binomial observation error; declining-population paradigm; Eumetopias jubatus; killer whales; multiple-hypothesis testing; optimal foraging; Steller sea lions; stochastic dynamic programming; walleye pollock</t>
  </si>
  <si>
    <t>SEQUENTIAL MEGAFAUNAL COLLAPSE; PHOCA-VITULINA-RICHARDSI; EUMETOPIAS-JUBATUS; HARBOR SEALS; ATTENDANCE PATTERNS; TUGIDAK ISLAND; ALASKA; GULF; FEMALE; YOUNG</t>
  </si>
  <si>
    <t>[Wolf, Nicholas; Mangel, Marc] MRAG Amer, Santa Cruz, CA 95062 USA; [Wolf, Nicholas; Mangel, Marc] Univ Calif Santa Cruz, Ctr Stock Assessment Res, Santa Cruz, CA 95064 USA; [Mangel, Marc] Univ Calif Santa Cruz, Dept Appl Math &amp; Stat, Santa Cruz, CA 95064 USA</t>
  </si>
  <si>
    <t>University of California System; University of California Santa Cruz; University of California System; University of California Santa Cruz</t>
  </si>
  <si>
    <t>Wolf, N (corresponding author), MRAG Amer, 303 Potrero St 42-201, Santa Cruz, CA 95062 USA.</t>
  </si>
  <si>
    <t>nwolf@alumni.sfu.ca</t>
  </si>
  <si>
    <t>Alaska Fisheries Science Center [AB133F-02-CN-0085]; NSF [DMS 03-10542]</t>
  </si>
  <si>
    <t>Alaska Fisheries Science Center; NSF(National Science Foundation (NSF))</t>
  </si>
  <si>
    <t>Funding in the early stages was provided by the Alaska Fisheries Science Center via contract number AB133F-02-CN-0085, administered through MRAG Americas. The work was also partially supported by NSF grant DMS 03-10542 to Marc Mangel and by the Center for Stock Assessment Research, a partnership between the Santa Cruz Laboratory of the National Marine Fisheries Service and UCSC.</t>
  </si>
  <si>
    <t>396QF</t>
  </si>
  <si>
    <t>WOS:000262605500010</t>
  </si>
  <si>
    <t>Kirby, JS; Stattersfield, AJ; Butchart, SHM; Evans, MI; Grimmett, RFA; Jones, VR; O'Sullivan, J; Tucker, GM; Newton, I</t>
  </si>
  <si>
    <t>HUNTING DISTURBANCE; POPULATION DECLINES; IMPACTS; H5N1; TRENDS; GEESE; RATES; BIRDS</t>
  </si>
  <si>
    <t>[Kirby, Jeff S.] JUST ECOLOGY Environm Consultancy, Wotton Under Edge GL12 8AA, Glos, England; [Stattersfield, Alison J.; Butchart, Stuart H. M.; Evans, Michael I.; Grimmett, Richard F. A.; Jones, Victoria R.] BirdLife Int, Wellbrook Court, Cambridge CB3 0NA, England; [O'Sullivan, John] Royal Soc Protect Birds, Sandy SG19 2DL, Beds, England; [Tucker, Graham M.] Ecol Solut Environm Consultancy, Huntingdon PE28 9BL, England; [Newton, Ian] Abbots Ripton, Ctr Ecol &amp; Hydrol, Huntingdon PE28 2LS, Cambs, England</t>
  </si>
  <si>
    <t>BirdLife International; Royal Society for Protection of Birds; UK Centre for Ecology &amp; Hydrology (UKCEH)</t>
  </si>
  <si>
    <t>Kirby, JS (corresponding author), JUST ECOLOGY Environm Consultancy, Woodend House, Wotton Under Edge GL12 8AA, Glos, England.</t>
  </si>
  <si>
    <t>jeff.kirby@justecology.co.uk; alison.stattersfield@birdlife.org</t>
  </si>
  <si>
    <t>Butchart, Stuart/Y-2711-2018; Newton, Ian/AAV-5830-2021</t>
  </si>
  <si>
    <t>Butchart, Stuart/0000-0002-1140-4049;</t>
  </si>
  <si>
    <t>Vogelbescherming Nederlands (BirdLife in the Netherlands); Natural England; UK Department for Environment, Food and Rural Affairs; Natural Environment Research Council [CEH010021] Funding Source: researchfish</t>
  </si>
  <si>
    <t>Vogelbescherming Nederlands (BirdLife in the Netherlands); Natural England; UK Department for Environment, Food and Rural Affairs(Department for Environment, Food &amp; Rural Affairs (DEFRA)); Natural Environment Research Council(UK Research &amp; Innovation (UKRI)Natural Environment Research Council (NERC))</t>
  </si>
  <si>
    <t>We thank Leon Bennun, Rob Clay, Nigel Collar and Lincoln Fishpool of BirdLife International for helping to shape this paper and for commenting on earlier drafts; also Jez Bird, James Gilroy, Simon Mahood, Lucy Malpas, Andy Symes and Joe Taylor for their work on evaluating the status of the world's birds and checking various attributes in BirdLife's World Bird Database, including migratory Status. We acknowledge the generous input of thousands of contributors and collaborating organisations who provide BirdLife with information on the status, distribution and threats to the world's birds and the conservation actions needed and underway for them. We thank Debbie Pain and Steven Ewing of the Royal Society for the Protection of Birds for their valuable input, including giving us access to an unpublished review of declines of Nearctic-Neotropical migrants, work that has been funded by Natural England under the Action for Birds in England Programme. We thank David Stroud of the UK joint Nature Conservation Committee and Ward Hagemeijer of Wetlands international for their very useful comments and suggestions. The review of the Status of raptors in Africa and Eurasia was funded by the UK Department for Environment, Food and Rural Affairs as a contribution to the development of a proposed regional conservation instrument for migratory birds of prey under the Convention on Migratory Species. We are grateful to the staff of JUST ECOLOGYfor discussions and support. The compilation of this review has been partly funded by Vogelbescherming Nederlands (BirdLife in the Netherlands) as a contribution towards the development of a global BirdLife flyways initiative.</t>
  </si>
  <si>
    <t>S49</t>
  </si>
  <si>
    <t>S73</t>
  </si>
  <si>
    <t>351VD</t>
  </si>
  <si>
    <t>WOS:000259453100005</t>
  </si>
  <si>
    <t>Graham, NAJ; McClanahan, TR; MacNeil, MA; Wilson, SK; Polunin, NVC; Jennings, S; Chabanet, P; Clark, S; Spalding, MD; Letourneur, Y; Bigot, L; Galzin, R; Öhman, MC; Garpe, KC; Edwards, AJ; Sheppard, CRC</t>
  </si>
  <si>
    <t>PHASE-SHIFTS; FISH; RESILIENCE; DEGRADATION; HERBIVORY; RECOVERY; IMPACTS; DECLINE; CONSERVATION; BIODIVERSITY</t>
  </si>
  <si>
    <t>[Graham, Nicholas A. J.; MacNeil, M. Aaron; Wilson, Shaun K.; Polunin, Nicholas V. C.] Newcastle Univ, Sch Marine Sci &amp; Technol, Newcastle Upon Tyne, Tyne &amp; Wear, England; [McClanahan, Tim R.] Wildlife Conservat Soc, Marine Programs, Bronx, NY USA; [MacNeil, M. Aaron] NOAA, Panama City Lab, Natl Res Council, Panama City, FL USA; [Wilson, Shaun K.] James Cook Univ, ARC Ctr Excellence Coral Reef Stud, Townsville, Qld, Australia; [Jennings, Simon] Ctr Environm Fisheries &amp; Aquaculture Sci, Lowestoft Lab, Lowestoft, Suffolk, England; [Jennings, Simon] Univ E Anglia, Sch Environm Sci, Norwich, Norfolk, England; [Chabanet, Pascale] Inst Rech Dev, Noumea, New Caledonia; [Chabanet, Pascale; Bigot, Lionel] Univ La Reunion, Lab Ecol Marine ECOMAR, St Denis, France; [Clark, Susan] Bridgewater House, Manchester, Lancs, England; [Spalding, Mark D.] Nature Conservancy, Newmarket, Suffolk, England; [Letourneur, Yves] Univ Mediterranee, Ctr Oceanol Marseille, UMR CNRS, 6540 DIMAR, Marseille, France; [Galzin, Rene] Univ Perpignan, CNRS EPHE UPVD, UMR 5244, Perpignan, France; [Ohman, Marcus C.; Garpe, Kajsa C.] Stockholm Univ, Dept Zool, Stockholm, Sweden; [Edwards, Alasdair J.] Newcastle Univ, Sch Biol, Newcastle Upon Tyne, Tyne &amp; Wear, England; [Sheppard, Charles R. C.] Univ Warwick, Dept Biol Sci, Coventry CV4 7AL, W Midlands, England</t>
  </si>
  <si>
    <t>Newcastle University - UK; Wildlife Conservation Society; National Academies of Sciences, Engineering &amp; Medicine; National Oceanic Atmospheric Admin (NOAA) - USA; James Cook University; Centre for Environment Fisheries &amp; Aquaculture Science; University of East Anglia; Institut de Recherche pour le Developpement (IRD); University of La Reunion; Aix-Marseille Universite; Centre National de la Recherche Scientifique (CNRS); Universite de Montpellier; Centre National de la Recherche Scientifique (CNRS); CNRS - Institute of Ecology &amp; Environment (INEE); Universite Perpignan Via Domitia; Stockholm University; Newcastle University - UK; University of Warwick</t>
  </si>
  <si>
    <t>Graham, NAJ (corresponding author), Newcastle Univ, Sch Marine Sci &amp; Technol, Newcastle Upon Tyne, Tyne &amp; Wear, England.</t>
  </si>
  <si>
    <t>a.j.graham@ncl.ac.uk</t>
  </si>
  <si>
    <t>MacNeil, M Aaron/E-8196-2017; LETOURNEUR, Yves/B-4387-2012; Chabanet, Pascale/L-9470-2017; McClanahan, Tim/K-4998-2019; MacNeil, Aaron/E-8196-2017; Edwards, Alasdair/C-9558-2009; Graham, Nicholas/C-8360-2014; Wilson, Shaun/K-8597-2019; Jennings, Simon/F-5085-2012; Spalding, Mark/GVU-0739-2022</t>
  </si>
  <si>
    <t>MacNeil, M Aaron/0000-0001-8406-325X; sheppard, charles/0000-0002-2579-5124; Chabanet, Pascale/0000-0001-7600-943X; Polunin, Nick/0000-0002-1480-8794; Spalding, Mark/0000-0001-9456-4533; Graham, Nicholas/0000-0002-0304-7467; Wilson, Shaun/0000-0002-4590-0948; LETOURNEUR, Yves/0000-0003-3157-1976; McClanahan, Timothy/0000-0001-5821-3584; Öhman, Marcus C/0009-0003-6452-7012; Jennings, Simon/0000-0002-2390-7225;</t>
  </si>
  <si>
    <t>Leverhulme Trust; Western Indian Ocean Marine Science Association; World Bank Targeted Research Group on Coral Bleaching; Fisheries Society of the British Isles; Eppley and Tiffany Foundations; National Science and Engineering Research Council of Canada; British Overseas Development Administration (now DFID); British Foreign and Commonwealth Office</t>
  </si>
  <si>
    <t>Leverhulme Trust(Leverhulme Trust); Western Indian Ocean Marine Science Association; World Bank Targeted Research Group on Coral Bleaching; Fisheries Society of the British Isles; Eppley and Tiffany Foundations; National Science and Engineering Research Council of Canada(Natural Sciences and Engineering Research Council of Canada (NSERC)); British Overseas Development Administration (now DFID); British Foreign and Commonwealth Office</t>
  </si>
  <si>
    <t>This research was funded through grants from the Leverhulme Trust, Western Indian Ocean Marine Science Association, World Bank Targeted Research Group on Coral Bleaching, the Fisheries Society of the British Isles, the Eppley and Tiffany Foundations, the National Science and Engineering Research Council of Canada, the British Overseas Development Administration (now DFID) and the British Foreign and Commonwealth Office.</t>
  </si>
  <si>
    <t>AUG 27</t>
  </si>
  <si>
    <t>e3039</t>
  </si>
  <si>
    <t>427RM</t>
  </si>
  <si>
    <t>WOS:000264796400003</t>
  </si>
  <si>
    <t>Broadbent, EN; Asner, GP; Keller, M; Knapp, DE; Oliveira, PJC; Silva, JN</t>
  </si>
  <si>
    <t>forest core; forest texture; landscape ecology; rainforest; remote sensing; sustainability</t>
  </si>
  <si>
    <t>PLANT-SPECIES RICHNESS; HABITAT FRAGMENTATION; RAIN-FOREST; VEGETATION; MICROCLIMATE; DYNAMICS; IMPACT; FIRE; MICROENVIRONMENT; CONSEQUENCES</t>
  </si>
  <si>
    <t>[Broadbent, Eben N.; Asner, Gregory P.; Knapp, David E.; Oliveira, Paulo J. C.] Carnegie Inst Sci, Dept Global Ecol, Stanford, CA 94305 USA; [Broadbent, Eben N.] Stanford Univ, Dept Biol Sci, Stanford, CA 94305 USA; [Keller, Michael] USDA, Forest Serv, Int Inst Trop Forestry, Rio Piedras, PR USA; [Keller, Michael] Univ New Hampshire, Complex Syst Res Ctr, Durham, NH 03824 USA; [Silva, Jose N.] EMBRAPA Amazonia Oriental, BR-66095100 Belem, Para, Brazil</t>
  </si>
  <si>
    <t>Carnegie Institution for Science; Stanford University; United States Department of Agriculture (USDA); United States Forest Service; University System Of New Hampshire; University of New Hampshire; Empresa Brasileira de Pesquisa Agropecuaria (EMBRAPA); EMBRAPA Amazonia Oriental</t>
  </si>
  <si>
    <t>Broadbent, EN (corresponding author), Carnegie Inst Sci, Dept Global Ecol, Stanford, CA 94305 USA.</t>
  </si>
  <si>
    <t>eben@stanford.edu; gpa@stanford.edu; michael@kaos.sr.unh.edu; dknapp@globalecology.stanford.edu; poliveira@globalecology.stanford.edu; natalino@cpatu.embrapa.br</t>
  </si>
  <si>
    <t>; Keller, Michael/A-8976-2012; Asner, Gregory/G-9268-2013; Broadbent, Eben/AFL-1770-2022; Asner, Gregory/G-9268-2013; Broadbent, Eben/H-2965-2013</t>
  </si>
  <si>
    <t>Oliveira, Paulo/0000-0002-4071-3924; Keller, Michael/0000-0002-0253-3359; Asner, Gregory/0000-0001-7893-6421; Silva, José/0000-0003-4068-2432; Asner, Gregory/0000-0001-7893-6421; Broadbent, Eben/0000-0002-4488-4237</t>
  </si>
  <si>
    <t>Emerging Frontiers; Direct For Biological Sciences [0752017] Funding Source: National Science Foundation</t>
  </si>
  <si>
    <t>Emerging Frontiers; Direct For Biological Sciences(National Science Foundation (NSF)NSF - Directorate for Biological Sciences (BIO))</t>
  </si>
  <si>
    <t>335QY</t>
  </si>
  <si>
    <t>WOS:000258306300002</t>
  </si>
  <si>
    <t>Westphal, MI; Browne, M; MacKinnon, K; Noble, I</t>
  </si>
  <si>
    <t>environmental externality; exotic species; regression tree; species richness; trade and environment</t>
  </si>
  <si>
    <t>BIOLOGICAL INVASIONS; PLANT INVASIONS; RESISTANCE; DIVERSITY; PATTERNS; AREA</t>
  </si>
  <si>
    <t>[Westphal, Michael I.] US EPA, Off Int Affairs, Washington, DC 20460 USA; [Westphal, Michael I.; MacKinnon, Kathy; Noble, Ian] World Bank, Dept Environm, Washington, DC 20433 USA; [Browne, Michael] Univ Auckland, Invas Species Specialist Grp, World Conservat Union IUCN, Auckland, New Zealand</t>
  </si>
  <si>
    <t>United States Environmental Protection Agency; The World Bank; University of Auckland</t>
  </si>
  <si>
    <t>Westphal, MI (corresponding author), US EPA, Off Int Affairs, Washington, DC 20460 USA.</t>
  </si>
  <si>
    <t>mwestphal@worldbank.org</t>
  </si>
  <si>
    <t>Browne, Michael/0000-0003-3718-0087; Noble, Ian/0000-0002-6300-7395</t>
  </si>
  <si>
    <t>1387-3547</t>
  </si>
  <si>
    <t>1573-1464</t>
  </si>
  <si>
    <t>BIOL INVASIONS</t>
  </si>
  <si>
    <t>Biol. Invasions</t>
  </si>
  <si>
    <t>275QO</t>
  </si>
  <si>
    <t>WOS:000254086900002</t>
  </si>
  <si>
    <t>Winemiller, KO; Agostinho, AA; Caramaschi, ÉP</t>
  </si>
  <si>
    <t>Dudgeon, D</t>
  </si>
  <si>
    <t>Aquatic Ecology Series</t>
  </si>
  <si>
    <t>RAIN-FOREST STREAMS; FRESH-WATER FISHES; ONTOGENIC DIET SHIFTS; 2 SMALL TRIBUTARIES; SOUTH-AMERICA; LIFE-HISTORY; PARANA RIVER; ARMORED CATFISH; SRI-LANKA; ECOMORPHOLOGICAL DIVERSIFICATION</t>
  </si>
  <si>
    <t>This chapter emphasizes the ecological responses of fishes to spatial and temporal variation in tropical stream habitats. At the global scale, the Neotropics has the highest fish fauna richness, with estimates ranging as high as 8000 species. Larger drainage basins tend to be associated with greater local and regional species richness. Within longitudinal stream gradients, the number of species increases with declining elevation. Tropical stream fishes encompass highly diverse reproductive strategies ranging from egg scattering to mouth brooding and livebearing, with reproductive seasons ranging from a few days to the entire year. Relationships between life-history strategies and population dynamics in different environmental settings are reviewed briefly. Fishes in tropical streams exhibit diverse feeding behaviors, including specialized niches, such as fin and scale feeding, not normally observed in temperate stream fishes. Many tropical stream fishes have greater diet breadth while exploiting abundant resources during the wet season, and lower diet breadth during the dry season as a consequence of specialized feeding on a subset of resources. Niche complementarity with high overlap in habitat use is usually accompanied by low dietary overlap. Ecological specializations and strong associations between form and function in tropical stream fishes provide clear examples of evolutionary convergence. Several studies have revealed the major influence of fishes on benthic ecosystem dynamics in tropical streams including effects on primary production and nutrient cycling. Tropical stream fishes are important food resources for humans in many countries, and significant conservation challenges include drainage-basin degradation, pollution, dams, overfishing, and introductions of exotic species.</t>
  </si>
  <si>
    <t>[Winemiller, Kirk O.] Texas A&amp;M Univ, Dept Wildlife &amp; Fisheries Sci, College Stn, TX 77843 USA; [Agostinho, Angelo A.] Univ Estadual Maringa, Nucleo Pesquisas Limnol Ictiol &amp; Aquicultura NUPE, BR-87020900 Maringa, Parana, Brazil; [Caramaschi, Erica Pellegrini] Univ Fed Rio de Janeiro, Dept Ecol, IB, CCS, BR-21941970 Rio De Janeiro, RJ, Brazil</t>
  </si>
  <si>
    <t>Texas A&amp;M University System; Texas A&amp;M University College Station; Universidade Estadual de Maringa; Universidade Federal do Rio de Janeiro</t>
  </si>
  <si>
    <t>Winemiller, KO (corresponding author), Texas A&amp;M Univ, Dept Wildlife &amp; Fisheries Sci, College Stn, TX 77843 USA.</t>
  </si>
  <si>
    <t>; Agostinho, Angelo Antonio/D-5888-2013; Caramaschi, Erica/D-5406-2013; Agostinho, Angelo/S-1538-2019</t>
  </si>
  <si>
    <t>Winemiller, Kirk/0000-0003-0236-5129; Agostinho, Angelo Antonio/0000-0002-4707-9444;</t>
  </si>
  <si>
    <t>ELSEVIER ACADEMIC PRESS INC</t>
  </si>
  <si>
    <t>525 B STREET, SUITE 1900, SAN DIEGO, CA 92101-4495 USA</t>
  </si>
  <si>
    <t>1573-4595</t>
  </si>
  <si>
    <t>978-0-08-055717-5; 978-0-12-088449-0</t>
  </si>
  <si>
    <t>AQUAT ECOL SER</t>
  </si>
  <si>
    <t>Aquat. Ecol. Ser.</t>
  </si>
  <si>
    <t>BEY19</t>
  </si>
  <si>
    <t>WOS:000318618900006</t>
  </si>
  <si>
    <t>Jenkins, RKB; Andriafidison, D; Razafimanahaka, HJ; Rabearivelo, A; Razafindrakoto, N; Ratsimandresy, Z; Andrianandrasana, RH; Razafimahatratra, E; Racey, PA</t>
  </si>
  <si>
    <t>Not rare, but threatened:: the endemic Madagascar flying fox Pteropus rufus in a fragmented landscape</t>
  </si>
  <si>
    <t>diet; flying fox; fragmentation; hunting; plantations; Pteropus rufus; Madagascar</t>
  </si>
  <si>
    <t>LITTORAL FOREST; SAINTE-LUCE; PTEROPODIDAE; CONSERVATION; CHIROPTERA; DIET</t>
  </si>
  <si>
    <t>Univ Aberdeen, Sch Biol Sci, Aberdeen AB24 2TZ, Scotland; Univ Antananarivo, Fac Sci, Dept Biol Anim, Antananarivo, Madagascar; Univ Antananarivo, Ecole Super Sci Agron, Dept Eaux &amp; Foret, Antananarivo 101, Madagascar</t>
  </si>
  <si>
    <t>University of Aberdeen; University Antananarivo; University Antananarivo</t>
  </si>
  <si>
    <t>Jenkins, RKB (corresponding author), Univ Aberdeen, Sch Biol Sci, Aberdeen AB24 2TZ, Scotland.</t>
  </si>
  <si>
    <t>jenkins@wanadoo.mg</t>
  </si>
  <si>
    <t>Jenkins, Richard/A-4567-2012; Racey, Paul/I-4541-2019</t>
  </si>
  <si>
    <t>181ML</t>
  </si>
  <si>
    <t>WOS:000247440700024</t>
  </si>
  <si>
    <t>Rodríguez, MA; Winemiller, KO; Lewis, WM; Baechle, DCT</t>
  </si>
  <si>
    <t>aquatic resources; conservation; ecology; management; neotropical; floodplain; Venezuela</t>
  </si>
  <si>
    <t>NEOTROPICAL FLOODPLAIN RIVER; TROPICAL RIVER; FOOD WEBS; ASSEMBLAGES; VENEZUELA; LAKES; DIVERSITY; REGIONS; APURE</t>
  </si>
  <si>
    <t>Univ Quebec, Dept Chim Biol, Trois Rivieres, PQ G9A 5H7, Canada; Texas A&amp;M Univ, Dept Wildlife &amp; Fisheries Sci, College Stn, TX 77894 USA; Univ Colorado, Ctr Limnol, Cooperat Inst Res Environm Sci, Boulder, CO 80309 USA; UNELLEZ, Bioctr, Guanare 3310, Portuguesa, Venezuela</t>
  </si>
  <si>
    <t>University of Quebec; University of Quebec Trois Rivieres; Texas A&amp;M University System; Texas A&amp;M University College Station; University of Colorado System; University of Colorado Boulder</t>
  </si>
  <si>
    <t>Rodríguez, MA (corresponding author), Univ Quebec, Dept Chim Biol, 3351 Boul Forges, Trois Rivieres, PQ G9A 5H7, Canada.</t>
  </si>
  <si>
    <t>marco.rodriguez@uqtr.ca</t>
  </si>
  <si>
    <t>Roiguez, Marco A/J-6492-2012; Rodríguez, Marco/J-6492-2012</t>
  </si>
  <si>
    <t>Roiguez, Marco A/0000-0003-0391-9170; Winemiller, Kirk/0000-0003-0236-5129</t>
  </si>
  <si>
    <t>325 CHESTNUT ST, SUITE 800, PHILADELPHIA, PA 19106 USA</t>
  </si>
  <si>
    <t>1463-4988</t>
  </si>
  <si>
    <t>AQUAT ECOSYST HEALTH</t>
  </si>
  <si>
    <t>Aquat. Ecosyst. Health Manag.</t>
  </si>
  <si>
    <t>Ecology; Environmental Sciences; Marine &amp; Freshwater Biology; Water Resources</t>
  </si>
  <si>
    <t>187SY</t>
  </si>
  <si>
    <t>WOS:000247870000003</t>
  </si>
  <si>
    <t>Daufresne, M; Bady, P; Fruget, JF</t>
  </si>
  <si>
    <t>climate change; disturbances; heatwave; regime shift; ordination techniques</t>
  </si>
  <si>
    <t>ACUTE TOXICITY; CLIMATE-CHANGE; CORAL-REEFS; DISTURBANCE; FISH; AMMONIA; DIVERSITY; RECOVERY; SHIFTS; INVERTEBRATE</t>
  </si>
  <si>
    <t>We assessed the temporal changes in and the relationships between the structures of the macroinvertebrate communities and the environmental conditions of the French Rhone River (the river from Lake Geneva to the Mediterranean Sea) over the last 20 years (1985-2004). Multisite environmental and biological datasets were analysed using multiple CO-inertia analysis (MCOA) and Procrustean analysis. Changes in environmental conditions were mainly marked by an improvement in water quality between 1985 and 1991 and by an increase in water temperature from 1985 onwards due to climate change. Improvement in water quality seemed to delay changes in community structures under global warming. We then observed trends in community structures coupled with high temperatures and a decrease in oxygen content. Interestingly, we observed both gradual changes and rapid switches in community states. These shifts seemed coupled to extreme hydroclimatic events (i.e. pulse disturbances). Floods and the 2003 heatwave enhanced the development of eurytolerant and invasive taxa which were probably able to take advantage of gradual warming environmental conditions. Despite various site-specific press constraints (e.g. hydropower schemes, nuclear power plants), similar changes in community structures were observed along the French Rhone River. Such consistency in temporal processes at large geographical scales underlined the strength of hydroclimatic constraints on community dynamics compared to specific local disturbances. Finally, community structures did not show any sign of recovery, and their relative sensitivities to extreme hydroclimatic events seemed to increase with time. Thus, our results suggest that global changes may reduce the resilience of current community states.</t>
  </si>
  <si>
    <t>GEOMAR, IFM, Leibniz Inst Meereswissensch, FB3, D-24105 Kiel, Germany; Univ Lyon 1, CNRS, UMR 5023, F-69622 Villeurbanne, France; ARALEP, Ecole Eaux Douces, Domaine Sci Doua, F-69603 Villeurbanne, France</t>
  </si>
  <si>
    <t>Helmholtz Association; GEOMAR Helmholtz Center for Ocean Research Kiel; Centre National de la Recherche Scientifique (CNRS); CNRS - Institute of Ecology &amp; Environment (INEE); Universite Claude Bernard Lyon 1</t>
  </si>
  <si>
    <t>Daufresne, M (corresponding author), GEOMAR, IFM, Leibniz Inst Meereswissensch, FB3, Dusternbrooker Weg 20, D-24105 Kiel, Germany.</t>
  </si>
  <si>
    <t>mdaufresne@ifm-geomar.de</t>
  </si>
  <si>
    <t>Bady, Pierre/N-1231-2015; Daufresne, Martin/JGE-5174-2023</t>
  </si>
  <si>
    <t>Bady, Pierre/0000-0003-1398-4689; DAUFRESNE, MARTIN/0009-0004-4604-4903</t>
  </si>
  <si>
    <t>ONE NEW YORK PLAZA, SUITE 4600, NEW YORK, NY, UNITED STATES</t>
  </si>
  <si>
    <t>0029-8549</t>
  </si>
  <si>
    <t>1432-1939</t>
  </si>
  <si>
    <t>Oecologia</t>
  </si>
  <si>
    <t>143AP</t>
  </si>
  <si>
    <t>WOS:000244692700016</t>
  </si>
  <si>
    <t>David, V; Sautour, B; Chardy, P</t>
  </si>
  <si>
    <t>Successful colonization of the calanoid copepod Acartia tonsa in the oligo-mesohaline area of the Gironde estuary (SW France) -: Natural or anthropogenic forcing?</t>
  </si>
  <si>
    <t>Acartia tonsa; non-indigenous species; successful establishment; long-term trends; environmental parameters; NAO</t>
  </si>
  <si>
    <t>NORTH-ATLANTIC OSCILLATION; EGG-PRODUCTION; NARRAGANSETT BAY; ENGLISH-CHANNEL; ZOOPLANKTON; TEMPERATURE; MARINE; PHYTOPLANKTON; VARIABILITY; ENVIRONMENT</t>
  </si>
  <si>
    <t>The copepod Acartia tonsa appeared in Europe in the first half of the 20th century and colonized progressively European seas and estuaries, possibly transferred from North Atlantic Coast of America. It had been reported in the polyhaline area of the Gironde estuary for a long time but was first recorded in the oligo-mesohaline area in 1983. Its abundance has been increasing significantly. High abundances of A. tonsa were reported since 1999, supplanting the abundances of its autochthonous congeneric species, Acartia bifilosa. This colonization was characterized by analyzing the mean seasonal variability: (1) for three 5-year periods corresponding to three different steps of A. tonsa appearance (1978-1982, A. tonsa was absent; 1988-1992, low abundances of the species; and 1999-2003, high abundances of A. tonsa) in the oligo-mesohaline area and (2) for three stations distributed along the salinity gradient during the recent period. The aim of this work was to define if this colonization was due to natural or anthropogenic forcing and to evaluate its possible impact on autochthonous zooplanktonic community. Both natural and anthropogenic forcings seem to explain the colonization of Acartia tonsa in the oligo-mesohaline area of the Gironde estuary. First records (1983-1988) could be due to marine water inputs caused by high values of the North Atlantic Oscillation index. The global warming which caused the increase of the summer warm period, the marinisation of the system and the local decrease of the turbidity should have been the key factors favoring the establishment of the species. Anthropogenic forcings as the establishment of the nuclear power plant which locally causes warmer conditions are also important factors explaining the differences of seasonal cycle observed between oligo-mesohaline area and other stations: the seasonal pattern of A. tonsa in the oligo-mesohaline area was indeed characterized by an autumnal peak of abundances which has been observed in other stations and in many North European estuaries, and by a second spring peak that had only been observed in Southern estuaries. The introduction of Acartia tonsa in the Gironde estuary significantly changed the seasonal pattern of autochthonous copepods, by limiting their seasonal abundances without affecting their long-term population stability. Finally, the successful colonization of A. tonsa had led to the spread of the seasonal zooplanktonic production which could have had an impact on fish and shrimp productions. (c) 2006 Elsevier Ltd. All rights reserved.</t>
  </si>
  <si>
    <t>Univ Bordeaux 1, UMR 5805, CNRS, Lab Oceanog Biol, F-33120 Arcachon, France</t>
  </si>
  <si>
    <t>Centre National de la Recherche Scientifique (CNRS); CNRS - National Institute for Earth Sciences &amp; Astronomy (INSU); Universite de Bordeaux</t>
  </si>
  <si>
    <t>David, V (corresponding author), Univ Bordeaux 1, UMR 5805, CNRS, Lab Oceanog Biol, 2 Rue Professeur Jolyet, F-33120 Arcachon, France.</t>
  </si>
  <si>
    <t>v.david@epoc.u-bordeaux1.fr; b.sautour@epoc.u-bordeaux1.fr; p.chardy@epoc.u-bordeaux1.fr</t>
  </si>
  <si>
    <t>David, Valerie/A-8770-2017</t>
  </si>
  <si>
    <t>David, Valerie/0000-0001-6950-9604</t>
  </si>
  <si>
    <t>0272-7714</t>
  </si>
  <si>
    <t>1096-0015</t>
  </si>
  <si>
    <t>ESTUAR COAST SHELF S</t>
  </si>
  <si>
    <t>Estuar. Coast. Shelf Sci.</t>
  </si>
  <si>
    <t>3-4</t>
  </si>
  <si>
    <t>135TT</t>
  </si>
  <si>
    <t>WOS:000244177300008</t>
  </si>
  <si>
    <t>Haberle, SG; Tibby, J; Dimitriadis, S; Heijnis, H</t>
  </si>
  <si>
    <t>alternate states; Atherton Tableland; Australia; charcoal; chironomids; diatoms; disturbance; historic range of variability; pollen; tropical rain forest</t>
  </si>
  <si>
    <t>WET TROPICS; POLLEN DIAGRAM; SEDIMENT ACCUMULATION; NORTHEAST QUEENSLAND; DIATOM ASSEMBLAGES; VEGETATION CHANGE; NATIONAL-PARK; LAKE BARRINE; FIRE; VARIABILITY</t>
  </si>
  <si>
    <t>1 The long-term impact of changes in land use, fire and climate on species diversity in Australia are only just beginning to be understood. We combined fine-resolution palaeoecological proxies for terrestrial and aquatic ecosystems to investigate the responses of a tropical rain forest catchment over the last 700 years. 2 Sediment cores were sampled at 1-cm intervals to a depth of 100 cm from Lake Euramoo on the Atherton Tableland of north-east Queensland, dated and analysed for pollen, charcoal, diatom, chironomid and inorganic content. 3 The pollen and charcoal record shows a rapid loss of forest diversity (particularly the long-lived taxa Agathis and Podocarpus) and increased burning coinciding with the arrival of European settlers. The aquatic environment is also subject to rapid changes at this time, with a possible increase in pH and subsequent shifts in local algal and insect communities. This event was outside the historic range of variability in both rain forest and aquatic communities. 4 The present mosaic of vegetation types is a complex function of environmental changes operating across a range of spatial and temporal scales: millennial climate change, short-term climatic variations associated with El Nino events and, most significantly, a shift from indigenous to 'European' land-use practices, including clearance and burning activities associated with the timber and farming industry between about AD 1880 and 1920. 5 The establishment of a World Heritage reserve around the lake catchment and the suppression of fire over the last 50 years have not yet restored the terrestrial or aquatic ecosystem to its pre-European state and are unlikely to, given the current predictions of future climate change. This supports the notion that ecological and climate thresholds are not necessarily the same, and that the effects of crossing them are not necessarily reversible. Retrospective studies of the historic range of variability within small catchments can provide an understanding of the limits of natural and human-induced variability that can inform management decisions and resource planning.</t>
  </si>
  <si>
    <t>Australian Natl Univ, Res Sch Pacific &amp; Asian Studies, Resource Management Asia Pacific Program, Canberra, ACT 0200, Australia; Univ Adelaide, Adelaide, SA 5005, Australia; Australian Natl Univ, Sch Bot &amp; Zool, Canberra, ACT 0200, Australia; Australian Nucl Sci &amp; Technol Org, Menai, NSW 2234, Australia</t>
  </si>
  <si>
    <t>Australian National University; Adelaide University; University of Adelaide; Australian National University; Australian Nuclear Science &amp; Technology Organisation</t>
  </si>
  <si>
    <t>Haberle, SG (corresponding author), Australian Natl Univ, Res Sch Pacific &amp; Asian Studies, Resource Management Asia Pacific Program, Canberra, ACT 0200, Australia.</t>
  </si>
  <si>
    <t>simon.haberle@anu.edu.au</t>
  </si>
  <si>
    <t>; Heijnis, Hendrik/A-6673-2010; Haberle, Simon/MZQ-3551-2025</t>
  </si>
  <si>
    <t>Heijnis, Henik/0000-0002-7601-3452; Haberle, Simon/0000-0001-5802-6535; Tibby, John/0000-0002-5897-2932;</t>
  </si>
  <si>
    <t>0022-0477</t>
  </si>
  <si>
    <t>1365-2745</t>
  </si>
  <si>
    <t>J ECOL</t>
  </si>
  <si>
    <t>J. Ecol.</t>
  </si>
  <si>
    <t>070GY</t>
  </si>
  <si>
    <t>WOS:000239510400011</t>
  </si>
  <si>
    <t>land-cover change; systematic processes; random processes; persistence; Ghana</t>
  </si>
  <si>
    <t>TROPICAL REGIONS; CAMEROON</t>
  </si>
  <si>
    <t>Univ Bonn, Ctr Dev Res, D-53113 Bonn, Germany</t>
  </si>
  <si>
    <t>University of Bonn</t>
  </si>
  <si>
    <t>Braimoh, AK (corresponding author), Univ Bonn, Ctr Dev Res, Walter Flex Str 3, D-53113 Bonn, Germany.</t>
  </si>
  <si>
    <t>braimoh@ias.unu.edu</t>
  </si>
  <si>
    <t>; Braimoh, Ademola/AAE-4330-2020</t>
  </si>
  <si>
    <t>Braimoh, Ademola/0000-0001-6606-1293;</t>
  </si>
  <si>
    <t>0167-8809</t>
  </si>
  <si>
    <t>AGR ECOSYST ENVIRON</t>
  </si>
  <si>
    <t>Agric. Ecosyst. Environ.</t>
  </si>
  <si>
    <t>1-4</t>
  </si>
  <si>
    <t>Agriculture, Multidisciplinary; Ecology; Environmental Sciences</t>
  </si>
  <si>
    <t>Agriculture; Environmental Sciences &amp; Ecology</t>
  </si>
  <si>
    <t>018LF</t>
  </si>
  <si>
    <t>WOS:000235765100023</t>
  </si>
  <si>
    <t>Lewis, JB</t>
  </si>
  <si>
    <t>Southward, AJ; Young, CM; Fuiman, LA</t>
  </si>
  <si>
    <t>Advances in Marine Biology</t>
  </si>
  <si>
    <t>MEGABALANUS-STULTUS DARWIN; SPIROBRANCHUS-POLYCERUS SCHMARDA; HYDROZOAN-MILLEPORA; SYMBIOTIC RELATIONSHIP; HERMODICE-CARUNCULATA; COMMUNITY STRUCTURE; GENERIC REVISION; SPECIES HYDROZOA; 1854 CIRRIPEDIA; CLIMATE-CHANGE</t>
  </si>
  <si>
    <t>Millepores are colonial polypoidal hydrozoans secreting an internal calcareous skeleton of an encrusting or upright form, often of considerable size. Defensive polyps protruding from the skeleton are numerous and highly toxic and for this reason millepores are popularly known as stinging corals or 'fire corals.  In shallow tropical seas millepore colonies are conspicuous on coral reefs and may be locally abundant and important reef-framework builders. The history of systematic research on the Milleporidae and the sister family Stylasteridae is rich and full with the works of early naturalists beginning with Linnaeus. Seventeen living millepore species are recognised. Marked phenotypic variation inform and structure of colonies is characteristic of the genus Millepora. The first published descriptions of the anatomy and histology of millepores were by H. N. Moseley in one of the Challenger Expedition reports. These original, detailed accounts by Moseley remain valid and, except for recent descriptions of the ultrastructure of the skeleton and skeletogenic tissues, have not needed much modification. Millepores occur worldwide on coral reefs at depths of between I and 40 m and their distribution on reefs is generally zoned in response to physical factors. Colonies may be abundant locally on coral reefs but usually comprise &lt; 10% of the overall surface cover. Growth rates of colonies are similar to the measured rates of branching and platelike scleractinian corals. Millepores are voracious zooplankton feeders and they obtain part of their nutrition from autotrophic sources, photosynthetic production by symbiotic zooxanthellae. Reproduction in millepores is characterised by alternation of generations with a well-developed polypoid stage that buds off planktonic medusae. Sexual reproduction is seasonal for known species and the medusae have a brief planktonic life. Asexual production is achieved by sympodial growth, the production of new skeleton and soft tissue along a growing edge or branch tip, and by the reattachment, regeneration and repair of damaged or broken colony fragments. The physiological and ecological responses of species of millepores are similar to those of the species of scleractinian corals over a broad range of natural and anthropogenic disturbances. Severe damage to colonies may occur during major storms. Delicately branching species are more susceptible than massive and bladed species. The ability of broken fragments to regenerate can ameliorate the extent of damage. Widespread bleaching and mortality of millepores has been reported during mass bleaching events that have affected many coral reefs. Millepores are often the first to recover after short-term bleaching events. Harmful effects of oil spills, chronic oil pollution and oil-spill detergents have been widely reported for millepores. Although the hydrozoan coenosarc, with its fiercely stinging zooids, does not appear to be an attractive substratum for attachment and settlement Of epizooans, a number of sessile and errant forms commonly occur on millepores. These include barnacles, amphipods, tanaid and alpheid crustaceans, polychaetes and gastropods. Burrowing molluscs, polychaetes and crustacea also abound. Many of these species or their close relatives also occur on scleractinian corals. A variety of predators, grazers and fouling organisms occur on millepores. These include errant polychaetes, several coral-feeding fish and a gastropod mollusc. Various invasive green, red and brown algae are widespread, growing on dead branches of millepores and overgrowing live coral tissue. Various band diseases associated with microorganisms that appear to cause lesions on millepores and loss of tissue have been documented but are not of widespread occurrence. Infestations of endolithic algae and fungi growing within the skeletons have been reported in a number of millepore species.</t>
  </si>
  <si>
    <t>McGill Univ, Dept Biol, Montreal, PQ H3A 1B1, Canada</t>
  </si>
  <si>
    <t>McGill University</t>
  </si>
  <si>
    <t>Lewis, JB (corresponding author), McGill Univ, Dept Biol, Montreal, PQ H3A 1B1, Canada.</t>
  </si>
  <si>
    <t>Perry, Chris/0000-0001-9398-2418</t>
  </si>
  <si>
    <t>ACADEMIC PRESS LTD-ELSEVIER SCIENCE LTD</t>
  </si>
  <si>
    <t>125 LONDON WALL, LONDON EC2Y 5AS, ENGLAND</t>
  </si>
  <si>
    <t>0065-2881</t>
  </si>
  <si>
    <t>2162-5875</t>
  </si>
  <si>
    <t>0-12-026151-0</t>
  </si>
  <si>
    <t>ADV MAR BIOL</t>
  </si>
  <si>
    <t>Adv. Mar. Biol.</t>
  </si>
  <si>
    <t>Marine &amp; Freshwater Biology</t>
  </si>
  <si>
    <t>Book Citation Index – Science (BKCI-S); Science Citation Index Expanded (SCI-EXPANDED)</t>
  </si>
  <si>
    <t>BEN09</t>
  </si>
  <si>
    <t>WOS:000238223900001</t>
  </si>
  <si>
    <t>DOUBLE-CRESTED CORMORANTS; LAURENTIAN GREAT-LAKES; FOOD-WEB; ZEBRA MUSSEL; SEA LAMPREY; CRUSTACEAN ZOOPLANKTON; MYSIS-RELICTA; SAGINAW BAY; MICHIGAN; TROUT</t>
  </si>
  <si>
    <t>Michigan State Univ, Dept Fisheries &amp; Wildlife, E Lansing, MI 48824 USA; Ontario Minist Nat Resources, Upper Great Lakes Management Unit, Owen Sound, ON N4K 2Z1, Canada; Great Lakes Fishery Commiss, Ann Arbor, MI 48105 USA; Chippewa Ottawa Resource Author, Intertribal Fisheries &amp; Assessment Program, Sault Sainte Marie, MI 49783 USA; NOAA, Great Lakes Environm Res Lab, Ann Arbor, MI 48105 USA; US Fish &amp; Wildlife Serv, Alpena, MI 49707 USA; Michigan Dept Nat Resources, Alpena Great Lakes Fisheries Res Stn, Alpena, MI 49707 USA; US Geol Survey, Great Lakes Sci Ctr, Ann Arbor, MI 48105 USA; SUNY Coll Brockport, Dept Biol Sci, Brockport, NY 14420 USA</t>
  </si>
  <si>
    <t>Michigan State University; Ministry of Natural Resources &amp; Forestry; National Oceanic Atmospheric Admin (NOAA) - USA; United States Department of the Interior; US Fish &amp; Wildlife Service; United States Department of the Interior; United States Geological Survey; State University of New York (SUNY) System; State University of New York (SUNY) Brockport</t>
  </si>
  <si>
    <t>Dobiesz, NE (corresponding author), Ontario Minist Nat Resources, Lake Huron Management Unit, 1450 7th Ave E, Owen Sound, ON N4K 2Z1, Canada.</t>
  </si>
  <si>
    <t>dobieszn@zoo.utoronto.ca</t>
  </si>
  <si>
    <t>Bence, James/E-5057-2017</t>
  </si>
  <si>
    <t>123 Slater Street, Suite 610, OTTAWA, ON K1P 5H2, CANADA</t>
  </si>
  <si>
    <t>0706-652X</t>
  </si>
  <si>
    <t>1205-7533</t>
  </si>
  <si>
    <t>CAN J FISH AQUAT SCI</t>
  </si>
  <si>
    <t>Can. J. Fish. Aquat. Sci.</t>
  </si>
  <si>
    <t>Fisheries; Marine &amp; Freshwater Biology</t>
  </si>
  <si>
    <t>945KC</t>
  </si>
  <si>
    <t>WOS:000230500400020</t>
  </si>
  <si>
    <t>Dung beetle (Coleoptera: Scarabaeidae) diversity and community structure across three disturbance regimes in eastern Amazonia</t>
  </si>
  <si>
    <t>anthropogenic disturbance; biodiversity; Brazil; clear-cutting; dung beetles; pasture; pitfall traps; Scarabaeidae; selective logging</t>
  </si>
  <si>
    <t>TROPICAL RAIN-FOREST; MONKEYS ALOUATTA-PALLIATA; LOS-TUXTLAS; SEED DISPERSAL; FRAGMENTATION; INDICATORS; ABUNDANCE; DEFORESTATION; MANAGEMENT; QUALITY</t>
  </si>
  <si>
    <t>Penn State Univ, University Pk, PA 16802 USA</t>
  </si>
  <si>
    <t>Pennsylvania Commonwealth System of Higher Education (PCSHE); Pennsylvania State University; Pennsylvania State University - University Park</t>
  </si>
  <si>
    <t>Scheffler, PY (corresponding author), POB 69, Volcano, HI 96785 USA.</t>
  </si>
  <si>
    <t>pyl1@psualum.com</t>
  </si>
  <si>
    <t>0266-4674</t>
  </si>
  <si>
    <t>1469-7831</t>
  </si>
  <si>
    <t>J TROP ECOL</t>
  </si>
  <si>
    <t>J. Trop. Ecol.</t>
  </si>
  <si>
    <t>898NL</t>
  </si>
  <si>
    <t>WOS:000227083400002</t>
  </si>
  <si>
    <t>agroecosystems; habitat modelling; hydroperiod; tadpoles; wetlands</t>
  </si>
  <si>
    <t>SPECIES RICHNESS; HABITAT; COMMUNITY; WETLANDS</t>
  </si>
  <si>
    <t>ERENA, P-1000289 Lisbon, Portugal; Univ Algarve, CCMAR, P-8000117 Faro, Portugal; Liga Proteccao Nat, P-1500124 Lisbon, Portugal</t>
  </si>
  <si>
    <t>Universidade do Algarve</t>
  </si>
  <si>
    <t>Beja, P (corresponding author), ERENA, Av Visconde Valmor 11-3, P-1000289 Lisbon, Portugal.</t>
  </si>
  <si>
    <t>pbeja@erena.pt</t>
  </si>
  <si>
    <t>Beja, Pedro/A-7851-2008; Alcåzar, Rafael/R-4920-2018</t>
  </si>
  <si>
    <t>Beja, Peo/0000-0001-8164-0760;</t>
  </si>
  <si>
    <t>722JD</t>
  </si>
  <si>
    <t>WOS:000185371200002</t>
  </si>
  <si>
    <t>birds; Bolivia; community ecology; habitat disturbance; tropical bird community; tropical forestry</t>
  </si>
  <si>
    <t>RAIN-FOREST; TEMPORAL VARIATION; COSTA-RICA; SPECIES-DIVERSITY; UNDERSTORY BIRDS; TROPICAL FOREST; POINT COUNTS; WET FOREST; BRAZIL; CONSERVATION</t>
  </si>
  <si>
    <t>Univ So Mississippi, Dept Biol Sci, Hattiesburg, MS 39406 USA</t>
  </si>
  <si>
    <t>University of Southern Mississippi</t>
  </si>
  <si>
    <t>Woltmann, S (corresponding author), Tulane Univ, Dept Ecol &amp; Evolutionary Biol, New Orleans, LA 70118 USA.</t>
  </si>
  <si>
    <t>Woltmann, Stefan/W-2666-2019</t>
  </si>
  <si>
    <t>KLUWER ACADEMIC PUBL</t>
  </si>
  <si>
    <t>688PK</t>
  </si>
  <si>
    <t>WOS:000183444300010</t>
  </si>
  <si>
    <t>carbon balance; climate variation; CO2; forest productivity; land use history; nitrogen deposition; ozone</t>
  </si>
  <si>
    <t>ATMOSPHERIC DEPOSITION; STOMATAL CONDUCTANCE; DECIDUOUS FOREST; AMBIENT OZONE; PINE FOREST; WATER YIELD; PHOTOSYNTHESIS; PLANT; GROWTH; DIOXIDE</t>
  </si>
  <si>
    <t>Temperate forests are affected by a wide variety of environmental factors that stem from human industrial and agricultural activities. In the north-eastern US, important change agents include tropospheric ozone, atmospheric nitrogen deposition, elevated CO2 , and historical human land use. Although each of these has received attention for its effects on forest carbon dynamics, integrated analyses that examine their combined effects are rare. To examine the relative importance of all of these factors on current forest growth and carbon balances, we included them individually and in combination in a forest ecosystem model that was applied over the period of 1700-2000 under different scenarios of air pollution and land use history. Results suggest that historical increases in CO2 and N deposition have stimulated forest growth and carbon uptake, but to different degrees following agriculture and timber harvesting. These differences resulted from the effects of each land use scenario on soil C and N pools and on the resulting degree of growth limitations by carbon vs. nitrogen. Including tropospheric ozone in the simulations offset a substantial portion of the increases caused by CO2 and N deposition. This result is particularly relevant given that ozone pollution is widespread across much of the world and because broad-scale spatial patterns of ozone are coupled with patterns of nitrogen oxide emissions. This was demonstrated across the study region by a significant correlation between ozone exposure and rates of N deposition and suggests that the reduction of N-induced carbon sinks by ozone may be a common phenomenon in other regions. Collectively, the combined effects of all physical and chemical factors we addressed produced growth estimates that were surprisingly similar to estimates obtained in the absence of any form of disturbance. The implication of this result is that intact forests may show relatively little evidence of altered growth since preindustrial times despite substantial changes in their physical and chemical environment.</t>
  </si>
  <si>
    <t>Univ New Hampshire, Inst Study Earth Oceans &amp; Space, Complex Syst Res Ctr, Durham, NH 03824 USA; Univ Minnesota, Dept Forest Resources, St Paul, MN 55108 USA</t>
  </si>
  <si>
    <t>University System Of New Hampshire; University of New Hampshire; University of Minnesota System; University of Minnesota Twin Cities</t>
  </si>
  <si>
    <t>Ollinger, SV (corresponding author), Univ New Hampshire, Inst Study Earth Oceans &amp; Space, Complex Syst Res Ctr, Morse Hall, Durham, NH 03824 USA.</t>
  </si>
  <si>
    <t>scott.ollinger@unh.edu</t>
  </si>
  <si>
    <t>Ollinger, Scott/N-3380-2014; Reich, Peter/AFQ-0566-2022</t>
  </si>
  <si>
    <t>Ollinger, Scott/0000-0001-6226-1431; Reich, Peter/0000-0003-4424-662X</t>
  </si>
  <si>
    <t>554QQ</t>
  </si>
  <si>
    <t>WOS:000175749000004</t>
  </si>
  <si>
    <t>cumulative effects; forest management; fragmentation; landscape change; landscape pattern; landscape structure; logging; roads</t>
  </si>
  <si>
    <t>SUB-ALPINE FORESTS; ROCKY-MOUNTAINS; STAND DEVELOPMENT; BREEDING BIRDS; FIR FOREST; CLEAR-CUT; FRAGMENTATION; RESPONSES; DYNAMICS; OREGON</t>
  </si>
  <si>
    <t>Univ Massachusetts, Dept Nat Resources Conservat, Amherst, MA 01003 USA</t>
  </si>
  <si>
    <t>University of Massachusetts System; University of Massachusetts Amherst</t>
  </si>
  <si>
    <t>McGarigal, K (corresponding author), Univ Massachusetts, Dept Nat Resources Conservat, Amherst, MA 01003 USA.</t>
  </si>
  <si>
    <t>mcgarigalk@forwild.umass.edu</t>
  </si>
  <si>
    <t>Romme, William/C-7317-2016</t>
  </si>
  <si>
    <t>Crist, Michele/0000-0002-3506-3402</t>
  </si>
  <si>
    <t>0921-2973</t>
  </si>
  <si>
    <t>LANDSCAPE ECOL</t>
  </si>
  <si>
    <t>Landsc. Ecol.</t>
  </si>
  <si>
    <t>Ecology; Geography, Physical; Geosciences, Multidisciplinary</t>
  </si>
  <si>
    <t>446MD</t>
  </si>
  <si>
    <t>WOS:000169516300004</t>
  </si>
  <si>
    <t>threats; population growth; over-exploitation; introductions; eutrophication; pollution; fishes</t>
  </si>
  <si>
    <t>NILE PERCH; LATES-NILOTICUS; EAST-AFRICA; VICTORIA; KENYA; FISH; CONSERVATION; CICHLIDS; DECLINE; WATERS</t>
  </si>
  <si>
    <t>UNIV ARIZONA, TUCSON, AZ 85721 USA; FISHERIES &amp; OCEANS CANADA, INST FRESHWATER, WINNIPEG, MB R3T 2N6, CANADA; NEW ENGLAND AQUARIUM, BOSTON, MA 02110 USA</t>
  </si>
  <si>
    <t>University of Arizona; Fisheries &amp; Oceans Canada</t>
  </si>
  <si>
    <t>OgutuOhwayo, R (corresponding author), FISHERIES RES INST, POB 343, JINJA, UGANDA.</t>
  </si>
  <si>
    <t>0378-1909</t>
  </si>
  <si>
    <t>1573-5133</t>
  </si>
  <si>
    <t>ENVIRON BIOL FISH</t>
  </si>
  <si>
    <t>Environ. Biol. Fishes</t>
  </si>
  <si>
    <t>XW489</t>
  </si>
  <si>
    <t>WOS:A1997XW48900001</t>
  </si>
  <si>
    <t>LEAF-AREA INDEX; LAND-COVER; TROPICAL DEFORESTATION; AMAZON DEFORESTATION; SURFACE-TEMPERATURE; CLIMATE; CLASSIFICATION; SIMULATION; FORESTS; LANDSCAPE</t>
  </si>
  <si>
    <t>UNIV MONTANA, MONTANA FOREST &amp; CONSERVAT EXPT STN, SCH FORESTRY, MISSOULA, MT 59812 USA</t>
  </si>
  <si>
    <t>University of Montana System; University of Montana</t>
  </si>
  <si>
    <t>Nemani, RR (corresponding author), COLORADO STATE UNIV, DEPT ATMOSPHER SCI, FT COLLINS, CO 80523 USA.</t>
  </si>
  <si>
    <t>Pielke, Roger/A-5015-2009</t>
  </si>
  <si>
    <t>2169-897X</t>
  </si>
  <si>
    <t>J GEOPHYS RES-ATMOS</t>
  </si>
  <si>
    <t>J. Geophys. Res.-Atmos.</t>
  </si>
  <si>
    <t>MAR 20</t>
  </si>
  <si>
    <t>D3</t>
  </si>
  <si>
    <t>UB986</t>
  </si>
  <si>
    <t>WOS:A1996UB98600039</t>
  </si>
  <si>
    <t>Is present in WOS</t>
  </si>
  <si>
    <r>
      <rPr>
        <rFont val="Calibri"/>
        <color theme="1"/>
        <sz val="12.0"/>
      </rPr>
      <t xml:space="preserve">Indicator(s) targeted </t>
    </r>
    <r>
      <rPr>
        <rFont val="Calibri"/>
        <b/>
        <color theme="1"/>
        <sz val="12.0"/>
      </rPr>
      <t>directly</t>
    </r>
    <r>
      <rPr>
        <rFont val="Calibri"/>
        <color theme="1"/>
        <sz val="12.0"/>
      </rPr>
      <t xml:space="preserve"> and </t>
    </r>
    <r>
      <rPr>
        <rFont val="Calibri"/>
        <b/>
        <color theme="1"/>
        <sz val="12.0"/>
      </rPr>
      <t>explicitly</t>
    </r>
  </si>
  <si>
    <r>
      <rPr>
        <rFont val="Calibri"/>
        <color theme="1"/>
        <sz val="12.0"/>
      </rPr>
      <t xml:space="preserve">Indicator(s) targeted but </t>
    </r>
    <r>
      <rPr>
        <rFont val="Calibri"/>
        <b/>
        <color theme="1"/>
        <sz val="12.0"/>
        <u/>
      </rPr>
      <t>not</t>
    </r>
    <r>
      <rPr>
        <rFont val="Calibri"/>
        <color theme="1"/>
        <sz val="12.0"/>
      </rPr>
      <t xml:space="preserve"> directly and explicitly</t>
    </r>
  </si>
  <si>
    <r>
      <rPr>
        <rFont val="Calibri"/>
        <color theme="1"/>
        <sz val="12.0"/>
      </rPr>
      <t xml:space="preserve">Assessment of </t>
    </r>
    <r>
      <rPr>
        <rFont val="Calibri"/>
        <i/>
        <color theme="1"/>
        <sz val="12.0"/>
      </rPr>
      <t xml:space="preserve">climate change </t>
    </r>
    <r>
      <rPr>
        <rFont val="Calibri"/>
        <color theme="1"/>
        <sz val="12.0"/>
      </rPr>
      <t>impact</t>
    </r>
  </si>
  <si>
    <r>
      <rPr>
        <rFont val="Calibri"/>
        <color theme="1"/>
        <sz val="12.0"/>
      </rPr>
      <t xml:space="preserve">Assessment of </t>
    </r>
    <r>
      <rPr>
        <rFont val="Calibri"/>
        <i/>
        <color theme="1"/>
        <sz val="12.0"/>
      </rPr>
      <t xml:space="preserve">land/sea use change </t>
    </r>
    <r>
      <rPr>
        <rFont val="Calibri"/>
        <color theme="1"/>
        <sz val="12.0"/>
      </rPr>
      <t>impact</t>
    </r>
  </si>
  <si>
    <r>
      <rPr>
        <rFont val="Calibri"/>
        <color theme="1"/>
        <sz val="12.0"/>
      </rPr>
      <t xml:space="preserve">Assessment of </t>
    </r>
    <r>
      <rPr>
        <rFont val="Calibri"/>
        <i/>
        <color theme="1"/>
        <sz val="12.0"/>
      </rPr>
      <t xml:space="preserve">resource extraction </t>
    </r>
    <r>
      <rPr>
        <rFont val="Calibri"/>
        <color theme="1"/>
        <sz val="12.0"/>
      </rPr>
      <t>impact</t>
    </r>
  </si>
  <si>
    <r>
      <rPr>
        <rFont val="Calibri"/>
        <color theme="1"/>
        <sz val="12.0"/>
      </rPr>
      <t xml:space="preserve">Assessment of </t>
    </r>
    <r>
      <rPr>
        <rFont val="Calibri"/>
        <i/>
        <color theme="1"/>
        <sz val="12.0"/>
      </rPr>
      <t xml:space="preserve">invasive alien species </t>
    </r>
    <r>
      <rPr>
        <rFont val="Calibri"/>
        <color theme="1"/>
        <sz val="12.0"/>
      </rPr>
      <t>impact</t>
    </r>
  </si>
  <si>
    <r>
      <rPr>
        <rFont val="Calibri"/>
        <color theme="1"/>
        <sz val="12.0"/>
      </rPr>
      <t xml:space="preserve">Assessment of </t>
    </r>
    <r>
      <rPr>
        <rFont val="Calibri"/>
        <i/>
        <color theme="1"/>
        <sz val="12.0"/>
      </rPr>
      <t xml:space="preserve">pollution </t>
    </r>
    <r>
      <rPr>
        <rFont val="Calibri"/>
        <color theme="1"/>
        <sz val="12.0"/>
      </rPr>
      <t>impact</t>
    </r>
  </si>
  <si>
    <r>
      <rPr>
        <rFont val="Calibri"/>
        <color theme="1"/>
        <sz val="12.0"/>
      </rPr>
      <t xml:space="preserve">Assessment of </t>
    </r>
    <r>
      <rPr>
        <rFont val="Calibri"/>
        <i/>
        <color theme="1"/>
        <sz val="12.0"/>
      </rPr>
      <t xml:space="preserve">other driver(s) </t>
    </r>
    <r>
      <rPr>
        <rFont val="Calibri"/>
        <color theme="1"/>
        <sz val="12.0"/>
      </rPr>
      <t>impact</t>
    </r>
  </si>
  <si>
    <t>Y</t>
  </si>
  <si>
    <r>
      <rPr>
        <rFont val="Calibri"/>
        <color theme="1"/>
        <sz val="12.0"/>
      </rPr>
      <t xml:space="preserve">Indicator(s) targeted </t>
    </r>
    <r>
      <rPr>
        <rFont val="Calibri"/>
        <b/>
        <color theme="1"/>
        <sz val="12.0"/>
      </rPr>
      <t>directly</t>
    </r>
    <r>
      <rPr>
        <rFont val="Calibri"/>
        <color theme="1"/>
        <sz val="12.0"/>
      </rPr>
      <t xml:space="preserve"> and </t>
    </r>
    <r>
      <rPr>
        <rFont val="Calibri"/>
        <b/>
        <color theme="1"/>
        <sz val="12.0"/>
      </rPr>
      <t>explicitly</t>
    </r>
  </si>
  <si>
    <r>
      <rPr>
        <rFont val="Calibri"/>
        <color theme="1"/>
        <sz val="12.0"/>
      </rPr>
      <t xml:space="preserve">Indicator(s) targeted but </t>
    </r>
    <r>
      <rPr>
        <rFont val="Calibri"/>
        <b/>
        <color theme="1"/>
        <sz val="12.0"/>
        <u/>
      </rPr>
      <t>not</t>
    </r>
    <r>
      <rPr>
        <rFont val="Calibri"/>
        <color theme="1"/>
        <sz val="12.0"/>
      </rPr>
      <t xml:space="preserve"> directly and explicitly</t>
    </r>
  </si>
  <si>
    <r>
      <rPr>
        <rFont val="Calibri"/>
        <color theme="1"/>
        <sz val="12.0"/>
      </rPr>
      <t xml:space="preserve">Assessment of </t>
    </r>
    <r>
      <rPr>
        <rFont val="Calibri"/>
        <i/>
        <color theme="1"/>
        <sz val="12.0"/>
      </rPr>
      <t xml:space="preserve">climate change </t>
    </r>
    <r>
      <rPr>
        <rFont val="Calibri"/>
        <color theme="1"/>
        <sz val="12.0"/>
      </rPr>
      <t>impact</t>
    </r>
  </si>
  <si>
    <r>
      <rPr>
        <rFont val="Calibri"/>
        <color theme="1"/>
        <sz val="12.0"/>
      </rPr>
      <t xml:space="preserve">Assessment of </t>
    </r>
    <r>
      <rPr>
        <rFont val="Calibri"/>
        <i/>
        <color theme="1"/>
        <sz val="12.0"/>
      </rPr>
      <t xml:space="preserve">land/sea use change </t>
    </r>
    <r>
      <rPr>
        <rFont val="Calibri"/>
        <color theme="1"/>
        <sz val="12.0"/>
      </rPr>
      <t>impact</t>
    </r>
  </si>
  <si>
    <r>
      <rPr>
        <rFont val="Calibri"/>
        <color theme="1"/>
        <sz val="12.0"/>
      </rPr>
      <t xml:space="preserve">Assessment of </t>
    </r>
    <r>
      <rPr>
        <rFont val="Calibri"/>
        <i/>
        <color theme="1"/>
        <sz val="12.0"/>
      </rPr>
      <t xml:space="preserve">resource extraction </t>
    </r>
    <r>
      <rPr>
        <rFont val="Calibri"/>
        <color theme="1"/>
        <sz val="12.0"/>
      </rPr>
      <t>impact</t>
    </r>
  </si>
  <si>
    <r>
      <rPr>
        <rFont val="Calibri"/>
        <color theme="1"/>
        <sz val="12.0"/>
      </rPr>
      <t xml:space="preserve">Assessment of </t>
    </r>
    <r>
      <rPr>
        <rFont val="Calibri"/>
        <i/>
        <color theme="1"/>
        <sz val="12.0"/>
      </rPr>
      <t xml:space="preserve">invasive alien species </t>
    </r>
    <r>
      <rPr>
        <rFont val="Calibri"/>
        <color theme="1"/>
        <sz val="12.0"/>
      </rPr>
      <t>impact</t>
    </r>
  </si>
  <si>
    <r>
      <rPr>
        <rFont val="Calibri"/>
        <color theme="1"/>
        <sz val="12.0"/>
      </rPr>
      <t xml:space="preserve">Assessment of </t>
    </r>
    <r>
      <rPr>
        <rFont val="Calibri"/>
        <i/>
        <color theme="1"/>
        <sz val="12.0"/>
      </rPr>
      <t xml:space="preserve">pollution </t>
    </r>
    <r>
      <rPr>
        <rFont val="Calibri"/>
        <color theme="1"/>
        <sz val="12.0"/>
      </rPr>
      <t>impact</t>
    </r>
  </si>
  <si>
    <r>
      <rPr>
        <rFont val="Calibri"/>
        <color theme="1"/>
        <sz val="12.0"/>
      </rPr>
      <t xml:space="preserve">Assessment of </t>
    </r>
    <r>
      <rPr>
        <rFont val="Calibri"/>
        <i/>
        <color theme="1"/>
        <sz val="12.0"/>
      </rPr>
      <t xml:space="preserve">other driver(s) </t>
    </r>
    <r>
      <rPr>
        <rFont val="Calibri"/>
        <color theme="1"/>
        <sz val="12.0"/>
      </rPr>
      <t>impact</t>
    </r>
  </si>
  <si>
    <t>Indicator(s) targeted directly and explicitly</t>
  </si>
  <si>
    <t>Indicator(s) targeted but not directly and explicitly</t>
  </si>
  <si>
    <t>Assessment of climate change impact</t>
  </si>
  <si>
    <t>Assessment of land/sea use change impact</t>
  </si>
  <si>
    <t>Assessment of resource extraction impact</t>
  </si>
  <si>
    <t>Assessment of invasive alien species impact</t>
  </si>
  <si>
    <t>Assessment of pollution impact</t>
  </si>
  <si>
    <t>Assessment of other driver(s) impact</t>
  </si>
  <si>
    <t>intermediate</t>
  </si>
  <si>
    <t>high</t>
  </si>
  <si>
    <t>regions</t>
  </si>
  <si>
    <t>realms</t>
  </si>
  <si>
    <t>region</t>
  </si>
  <si>
    <t>realms_orig</t>
  </si>
  <si>
    <t>realm</t>
  </si>
  <si>
    <t>climate change</t>
  </si>
  <si>
    <t>land/sea use change</t>
  </si>
  <si>
    <t>resource extraction</t>
  </si>
  <si>
    <t>invasive alien species</t>
  </si>
  <si>
    <t>pollution</t>
  </si>
  <si>
    <t>driver</t>
  </si>
  <si>
    <t>Braimoh, Ademola/AAE-4330-2020</t>
  </si>
  <si>
    <t>Braimoh, Ademola/0000-0001-6606-1293</t>
  </si>
  <si>
    <t>2025-12-25</t>
  </si>
  <si>
    <t>["Africa"]</t>
  </si>
  <si>
    <t>["Terrestrial"]</t>
  </si>
  <si>
    <t>["Land/sea use change", "Direct Exploitation and Resource extraction"]</t>
  </si>
  <si>
    <t>Janse, Jan/OUI-7427-2025; Vermaat, Jan/I-5856-2012; Verburg, Peter/Z-1582-2019</t>
  </si>
  <si>
    <t>Verburg, Peter/0000-0002-6977-7104</t>
  </si>
  <si>
    <t>["All regions"]</t>
  </si>
  <si>
    <t>["Freshwater-Terrestrial"]</t>
  </si>
  <si>
    <t>["Land/sea use change", "Direct Exploitation and Resource extraction", "Climate Change"]</t>
  </si>
  <si>
    <t>["Americas"]</t>
  </si>
  <si>
    <t>; Le, Quang Bao/AAG-5174-2019</t>
  </si>
  <si>
    <t>Vu, Quyet/0000-0003-4778-0991; Le, Quang Bao/0000-0001-8514-1088</t>
  </si>
  <si>
    <t>["Asia-Pacific"]</t>
  </si>
  <si>
    <t>["Land/sea use change", "Climate Change"]</t>
  </si>
  <si>
    <t>Liu, Jinxun/H-8604-2018; Zhu, Zhiliang/I-2686-2018; Chen, Jing/AAD-4768-2020; Cochrane, Mark/A-1735-2018</t>
  </si>
  <si>
    <t>Liu, Jinxun/0000-0003-0561-8988; Zhu, Zhiliang/0000-0002-6860-6936; Vogelmann, James/0000-0002-0804-5823;</t>
  </si>
  <si>
    <t>National Basic Research Program of China [2010CB950702]; National High Technology Research and Development Program of China [2007AA10Z231]; National Natural Science Foundation of China [40871012, J1103512, J1210026]; Asia-Pacific Network [ARCP-2012-SP25-Li]; Australian Agency for International Development [64828]; ICER; Directorate For Geosciences [1348085] Funding Source: National Science Foundation</t>
  </si>
  <si>
    <t>National Basic Research Program of China(National Basic Research Program of China); National High Technology Research and Development Program of China(National High Technology Research and Development Program of China); National Natural Science Foundation of China(National Natural Science Foundation of China (NSFC)); Asia-Pacific Network; Australian Agency for International Development(Norwegian Agency for Development Cooperation - NORAD); ICER; Directorate For Geosciences(National Science Foundation (NSF)NSF - Directorate for Geosciences (GEO))</t>
  </si>
  <si>
    <t>Maina, Joseph/KFR-6167-2024; Albert, Simon/I-1104-2012; Mumby, Peter/F-9914-2010; Brown, Christopher/G-4287-2011; Tulloch, Vivitskaia/G-1336-2013; klein, carissa/F-1632-2011; Wenger, Amelia/S-9135-2019; Lin, Hsien-Yung/H-2303-2013</t>
  </si>
  <si>
    <t>Maina, Joseph/0000-0003-1268-6137; Albert, Simon/0000-0002-5947-7909; Mumby, Peter/0000-0002-6297-9053; Jupiter, Stacy/0000-0001-9742-1677; Brown, Christopher/0000-0002-7271-4091; Tulloch, Vivitskaia/0000-0002-7673-3716; klein, carissa/0000-0002-6299-6451; Wenger, Amelia/0000-0002-0433-6164;</t>
  </si>
  <si>
    <t>["Marine"]</t>
  </si>
  <si>
    <t>["Land/sea use change", "Direct Exploitation and Resource extraction", "Climate Change", "Pollution"]</t>
  </si>
  <si>
    <t>Wang, Jingsheng/KGL-6959-2024; Wu, Jianshuang/N-4694-2015; Zhang, Yangjian/D-1012-2014; Peili, SHi/AAT-6450-2021</t>
  </si>
  <si>
    <t>Tao, Jian/0000-0003-1374-8678; Wu, Jianshuang/0000-0002-6768-8255; 石, 培礼/0000-0002-1120-0003;</t>
  </si>
  <si>
    <t>["Europe and Central Asia"]</t>
  </si>
  <si>
    <t>Bedford Institute of Oceanography; Fisheries &amp; Oceans Canada; Queens University - Canada</t>
  </si>
  <si>
    <t>Leggett, William/F-6009-2011; Shackell, Nancy/AAF-8209-2019</t>
  </si>
  <si>
    <t>Shackell, Nancy/0000-0001-5128-948X</t>
  </si>
  <si>
    <t>["Direct Exploitation and Resource extraction", "Climate Change"]</t>
  </si>
  <si>
    <t>Zhou, Liang/D-9403-2016; Gang, Chengcheng/Z-4286-2019</t>
  </si>
  <si>
    <t>Zhou, Liang/0000-0003-3968-1897; Gang, Chengcheng/0000-0002-2804-5636</t>
  </si>
  <si>
    <t>National Basic Research Program of China [2010CB950702]; Asia-Pacific Network [ARCP-2013-16NMY-Li]; National Natural Science Foundation of China [41271361]; Public Sector Linkages Program by Australian Agency for International Development [64828]; ICER; Directorate For Geosciences [1348085] Funding Source: National Science Foundation</t>
  </si>
  <si>
    <t>National Basic Research Program of China(National Basic Research Program of China); Asia-Pacific Network; National Natural Science Foundation of China(National Natural Science Foundation of China (NSFC)); Public Sector Linkages Program by Australian Agency for International Development; ICER; Directorate For Geosciences(National Science Foundation (NSF)NSF - Directorate for Geosciences (GEO))</t>
  </si>
  <si>
    <t>Guo, Qiang/0000-0002-8610-0269; Zhang, Jing/0000-0002-0959-7929; Xu, Huan/0000-0001-7454-4287; Cudahy, Tom/0000-0002-8323-4544; 付, 碧宏/0000-0002-1715-6859</t>
  </si>
  <si>
    <t>Kangur, Külli/H-3631-2016; Ginter, Kai/G-9358-2017</t>
  </si>
  <si>
    <t>Kangur, Külli/0000-0003-2484-4075; Ginter, Kai/0000-0001-8222-1517</t>
  </si>
  <si>
    <t>["Freshwater"]</t>
  </si>
  <si>
    <t>Li, Linghao/NXX-9139-2025; Chen, Shiping/AAH-9751-2019; Chen, Jiquan/D-1955-2009; Chu, Housen/Q-6517-2016</t>
  </si>
  <si>
    <t>; Anadon, Jose/H-6482-2015; Sanchez-Zapata, Jose Antonio/H-1413-2015; Carrete, Martina/D-2618-2017; Hiraldo, Fernando/AAA-8314-2019</t>
  </si>
  <si>
    <t>Donázar, José Antonio/0000-0002-9433-9755; Sanchez-Zapata, Jose Antonio/0000-0001-8230-4953; Carrete, Martina/0000-0002-0491-2950;</t>
  </si>
  <si>
    <t>["Land/sea use change"]</t>
  </si>
  <si>
    <t>Purdue University System; Purdue University; University of Alaska System; University of Alaska Fairbanks; United States Department of the Interior; United States Geological Survey; University of Alaska System; University of Alaska Fairbanks; University of Alaska System; University of Alaska Fairbanks; United States Department of Agriculture (USDA); United States Forest Service; University of Minnesota System; University of Minnesota Twin Cities; United States Department of the Interior; United States Geological Survey; Stinger Ghaffarian Technologies, Inc. (SGT); United States Department of the Interior; United States Geological Survey; United States Department of the Interior; United States Geological Survey</t>
  </si>
  <si>
    <t>Lyu, Zhou/AAD-7454-2021; Zhu, Zhiliang/I-2686-2018; Zhuang, Qianlai/A-5670-2009; He, Yujie/E-2514-2017; Wylie, Bruce/H-3182-2014</t>
  </si>
  <si>
    <t>Lyu, Zhou/0000-0003-3015-9410; Clein, Joy/0000-0002-2816-5312; Pastick, Neal/0000-0002-8169-3018</t>
  </si>
  <si>
    <t>["Land/sea use change", "Climate Change", "Pollution"]</t>
  </si>
  <si>
    <t>Dangal, Shree/N-3393-2015; Ren, Wei/G-8317-2016; Yang, Jia/A-6483-2012; Banger, Kamaljit/B-3215-2016; Tian, Hanqin/A-6484-2012; Pan, Shufen/JJC-1864-2023</t>
  </si>
  <si>
    <t>Tian, Hanqin/0000-0002-1806-4091; Pan, Shufen/0000-0001-7920-1427</t>
  </si>
  <si>
    <t>NASA Land Cover and Land Use Change Program [NNX08AL73G]; US National Science Foundation [AGS-1243232, CNS-1059376]; NASA [NNX08AL73G, 98551] Funding Source: Federal RePORTER</t>
  </si>
  <si>
    <t>Zhang, Chi/ABB-1176-2021; Ren, Wei/G-8317-2016; Chen, Guangsheng/AAC-4462-2022; Pan, Shufen/JJC-1864-2023; Lu, Chaoqun/HCH-9102-2022; Xu, Xiaofeng/B-2391-2008; Liu, Mingliang/B-1361-2009; Tian, Hanqin/A-6484-2012</t>
  </si>
  <si>
    <t>张, 弛/0000-0003-4866-1441; Pan, Shufen/0000-0001-7920-1427; Lu, Chaoqun/0000-0002-1526-0513; Xu, Xiaofeng/0000-0002-6553-6514; Liu, Mingliang/0000-0002-1963-5933; Tian, Hanqin/0000-0002-1806-4091</t>
  </si>
  <si>
    <t>NASA [NNG04GM39C, NNX08AL73G_S01]; China's Ministry of Science and Technology (MOST) [2002CB412500]; Direct For Computer &amp; Info Scie &amp; Enginr; Div Of Information &amp; Intelligent Systems [1027955] Funding Source: National Science Foundation</t>
  </si>
  <si>
    <t>NASA(National Aeronautics &amp; Space Administration (NASA)); China's Ministry of Science and Technology (MOST)(Ministry of Science and Technology, China); Direct For Computer &amp; Info Scie &amp; Enginr; Div Of Information &amp; Intelligent Systems(National Science Foundation (NSF)NSF - Directorate for Computer &amp; Information Science &amp; Engineering (CISE)NSF - Division of Information &amp; Intelligent Systems (IIS))</t>
  </si>
  <si>
    <t>Chinese Academy of Sciences; Yantai Institute of Coastal Zone Research, CAS; Chinese Academy of Sciences; Institute of Geographic Sciences &amp; Natural Resources Research, CAS; Colorado State University System; Colorado State University Fort Collins; United States Department of Agriculture (USDA)</t>
  </si>
  <si>
    <t>Xiaoming, Cao/JRW-3576-2023</t>
  </si>
  <si>
    <t>; Nagy, Laszlo/A-7689-2014; Qie, Lan/B-8581-2011; hubau, wannes/AAA-8502-2019; Sunderland, Terence/AAE-7851-2019; Sukri, Rahayu Sukmaria/AAJ-9640-2020; Svátek, Martin/C-1890-2014; Aiba, Shin-ichiro/A-3011-2010; Metali, Faizah/F-5463-2014; Krisnawati, Haruni/R-5025-2019; Phillips, Oliver/A-1523-2011; Dančák, Martin/AAB-9537-2019; Kho, Lip/AAI-6639-2020; Maycock, Colin/H-3556-2013; Burslem, David/F-1204-2019; Lewis, Simon/I-9025-2012; Malhi, Yadvinder/I-4668-2012; Hédl, Radim/A-5631-2011; Rutishauser, Ervan/A-9076-2011; Tjoa, Aiyen/AAL-5676-2020</t>
  </si>
  <si>
    <t>Kidd, Petra/0000-0002-1721-7367; Vernimmen, Ronald/0000-0002-9899-3826; Nagy, Laszlo/0009-0008-7792-1082; Sunderland, Terence/0000-0002-1985-9849; Sukri, Rahayu Sukmaria/0000-0002-2662-399X; Svátek, Martin/0000-0003-2328-4627; Aiba, Shin-ichiro/0000-0002-3844-0138; Metali, Faizah/0000-0002-2508-1535; Krisnawati, Haruni/0000-0002-2366-6230; Lopez-Gonzalez, Gabriela/0000-0002-0814-8830; Sullivan, Martin/0000-0002-5955-0483; Phillips, Oliver/0000-0002-8993-6168; Dančák, Martin/0000-0002-3851-4969; Maycock, Colin/0000-0002-4368-2545; Burslem, David/0000-0001-6033-0990; Lewis, Simon/0000-0002-8066-6851; Malhi, Yadvinder/0000-0002-3503-4783; Tjoa, Aiyen/0000-0003-0583-9174; Peny, Colin Alistair/0000-0002-7619-824X</t>
  </si>
  <si>
    <t>ERC; Indonesian Institute of Sciences (LIPI) (BUL plots); STREK project; CIRAD, The Ministry of Forestry of Indonesia; INHUTANI I (STR plots); ERC (T- FORCES); NERC [NER/A/S/2000/00532, NE/B503384/1, NE/N012542/1, NE/P00363X/1]; T- FORCES; CIFOR; Royal Society University Research Fellowship; Royal Society; NERC; RGS-IBG Henrietta Hutton grant; University of Brunei Darussalam; Czech Academy of Sciences [RVO 67985939]; Primate Conservation Inc.; Ministry of Education, Youth and Sports grant of the Czech Republic [INGO II LG15051]; Netherlands Foundation for the Advancement of Tropical Research (WOTRO) [W76-217]; NERC [NE/N012542/1, NE/P00363X/1, ceh020011, NE/M004848/1, NE/P004806/1] Funding Source: UKRI; Natural Environment Research Council [NE/P00363X/1, ceh020011, NE/B503384/1, NE/N012542/1, NE/M004848/1, NE/P004806/1] Funding Source: researchfish</t>
  </si>
  <si>
    <t>ERC(European Research Council (ERC)); Indonesian Institute of Sciences (LIPI) (BUL plots)(Ministry of Research and Technology of the Republic of Indonesia (RISTEK)); STREK project; CIRAD, The Ministry of Forestry of Indonesia; INHUTANI I (STR plots); ERC (T- FORCES)(European Research Council (ERC)); NERC(UK Research &amp; Innovation (UKRI)Natural Environment Research Council (NERC)); T- FORCES; CIFOR(CGIAR); Royal Society University Research Fellowship(Royal Society UK); Royal Society(Royal Society UK); NERC(UK Research &amp; Innovation (UKRI)Natural Environment Research Council (NERC)); RGS-IBG Henrietta Hutton grant; University of Brunei Darussalam; Czech Academy of Sciences(Czech Academy of Sciences); Primate Conservation Inc.; Ministry of Education, Youth and Sports grant of the Czech Republic; Netherlands Foundation for the Advancement of Tropical Research (WOTRO); NERC(UK Research &amp; Innovation (UKRI)Natural Environment Research Council (NERC)); Natural Environment Research Council(UK Research &amp; Innovation (UKRI)Natural Environment Research Council (NERC))</t>
  </si>
  <si>
    <t>Elvira, Benigno/A-9273-2009; Almodóvar, Ana/L-5400-2014; Ayllon, Daniel/K-6862-2019; , GRACIELA G NICOLA/ABE-5362-2021</t>
  </si>
  <si>
    <t>["Freshwater-Marine"]</t>
  </si>
  <si>
    <t>; Cescatti, Alessandro/ABE-6319-2020</t>
  </si>
  <si>
    <t>Pilli, Roberto/0000-0003-4541-7056; Kurz, Werner/0000-0003-4576-7849; Cescatti, Alessano/0000-0002-2769-2591</t>
  </si>
  <si>
    <t>Newton, Ian/AAV-5830-2021; Butchart, Stuart/Y-2711-2018</t>
  </si>
  <si>
    <t>Butchart, Stuart/0000-0002-1140-4049</t>
  </si>
  <si>
    <t>["All realms"]</t>
  </si>
  <si>
    <t>["Land/sea use change", "Direct Exploitation and Resource extraction", "Climate Change", "Pollution", "Invasive alien species"]</t>
  </si>
  <si>
    <t>; Yung, Mana MN/I-4079-2019; Leung, Kenneth Mei Yee/C-1055-2009; Russell, Bayden/A-9942-2008; Racliffe Weng Seng, Lai/HMO-8224-2023; Williams, Gray/D-3139-2009</t>
  </si>
  <si>
    <t>Astudillo Placencia, Juan Carlos/0000-0002-3350-8279; Yung, Mana MN/0000-0001-9627-859X; Leung, Kenneth Mei Yee/0000-0002-2164-4281; Russell, Bayden/0000-0003-1282-9978; Racliffe Weng Seng, Lai/0000-0002-9181-3458;</t>
  </si>
  <si>
    <t>["Land/sea use change", "Pollution"]</t>
  </si>
  <si>
    <t>Universite de Rennes; Institut Agro; Institut Agro Rennes-Angers; INRAE; Universite de Rennes; INRAE; Centre for Environment Fisheries &amp; Aquaculture Science; Universite de Rennes; INRAE</t>
  </si>
  <si>
    <t>; Roussel, Jean-Marc/HCH-2300-2022; Gregory, Stephen/A-1471-2010</t>
  </si>
  <si>
    <t>Frederic, MARCHAND/0000-0002-8380-579X; Roussel, Jean-Marc/0000-0002-6301-3234; Gregory, Stephen/0000-0002-8230-0191</t>
  </si>
  <si>
    <t>Rogers, Nicole/0000-0002-9878-6077; Mackey, Brendan/0000-0003-1996-4064</t>
  </si>
  <si>
    <t>Huang, Mengtian/JFK-8084-2023; Myneni, Ranga/F-5129-2012; Cheng, Lei/J-5552-2013; Zeng, Zhenzhong/GQR-0044-2022; Liu, Ronggao/L-8531-2019; Shi, Xiaoying/C-4447-2012; Li, Yue/M-8824-2019; wang, yingping/A-9765-2011; Poulter, Benjamin/ABB-5886-2021; Mao, Jiafu/B-9689-2012; PENG, Shushi/AAS-2603-2020; Zeng, Ning/A-3130-2008; Tan, Jianguang/AAY-5463-2020; Huang, Mengtian/JFK-8084-2023</t>
  </si>
  <si>
    <t>Huang, Mengtian/0000-0002-1092-1562; Cheng, Lei/0000-0002-5298-9573; Myneni, Ranga/0000-0002-0234-6393; Zeng, Zhenzhong/0000-0001-6851-2756; Shi, Xiaoying/0000-0001-8994-5032; Li, Yue/0000-0003-2997-6368; wang, yingping/0000-0002-4614-6203; Poulter, Benjamin/0000-0002-9493-8600; Mao, Jiafu/0000-0002-2050-7373;</t>
  </si>
  <si>
    <t>National Basic Research Program of China [2013CB956303]; Chinese Ministry of Environmental Protection Grant [201209031]; National Natural Science Foundation of China [41125004, 31321061]; National Youth Top-notch Talent Support Program in China; 111 Project [B14001]; US Department of Energy (DOE), Office of Science, Biological and Environmental Research; DOE [DE-AC05-00OR22725]; Office Of The Director; Office of Integrative Activities [1443108] Funding Source: National Science Foundation</t>
  </si>
  <si>
    <t>National Basic Research Program of China(National Basic Research Program of China); Chinese Ministry of Environmental Protection Grant; National Natural Science Foundation of China(National Natural Science Foundation of China (NSFC)); National Youth Top-notch Talent Support Program in China; 111 Project(Ministry of Education, China - 111 Project); US Department of Energy (DOE), Office of Science, Biological and Environmental Research(United States Department of Energy (DOE)); DOE(United States Department of Energy (DOE)); Office Of The Director; Office of Integrative Activities(National Science Foundation (NSF)NSF - Office of the Director (OD)NSF - Office of Integrative Activities (OIA))</t>
  </si>
  <si>
    <t>; Wu, shaohua/B-8259-2009; Chen, Dongxiang/F-4462-2018</t>
  </si>
  <si>
    <t>Swartz, Ernst/C-5139-2009; Chakona, Albert/M-4265-2017</t>
  </si>
  <si>
    <t>Chakona, Gamuchirai/0000-0003-3784-8980; Chakona, Albert/0000-0001-6844-7501</t>
  </si>
  <si>
    <t>Bady, Pierre/N-1231-2015; DAUFRESNE, MARTIN/JGE-5174-2023</t>
  </si>
  <si>
    <t>["Climate Change", "Pollution"]</t>
  </si>
  <si>
    <t>Scott, James/PBV-9651-2025; Wahle, Richard/AAI-3047-2020; Alexander, Michael/JBJ-7594-2023</t>
  </si>
  <si>
    <t>Allyn, Anew/0000-0002-1584-0198; Scott, James D/0000-0002-8709-8594; Le Bris, Arnault/0000-0003-1958-3755; Mills, Katherine/0000-0001-6078-7747</t>
  </si>
  <si>
    <t>Liu, Xuan/AAF-3703-2020; Broennimann, Olivier/D-3495-2011; Petitpierre, Blaise/JMC-4420-2023; Guisan, Antoine/A-1057-2011</t>
  </si>
  <si>
    <t>Petitpierre, Blaise/0000-0002-3087-3422; Broennimann, Olivier/0000-0001-9913-3695; Brönnimann, Olivier/0000-0001-5394-4564; Li, Xianping/0000-0003-4892-5953; Guisan, Antoine/0000-0002-3998-4815</t>
  </si>
  <si>
    <t>["Climate Change", "Invasive alien species"]</t>
  </si>
  <si>
    <t>Barrett, Neville/J-7593-2014; Edgar, Graham/C-8341-2013; Driessen, Michael/X-3642-2019; Edgar, Graham/AAY-3797-2020; Last, Peter/B-9740-2009</t>
  </si>
  <si>
    <t>Barrett, Neville/0000-0002-6167-1356; Edgar, Graham/0000-0003-0833-9001;</t>
  </si>
  <si>
    <t>Last, Peter/B-9740-2009; Hobday, Alistair/A-1460-2012; Edgar, Graham/AAY-3797-2020; Pecl, Gretta/D-7267-2011; White, William/B-9748-2009</t>
  </si>
  <si>
    <t>Edgar, Graham/0000-0003-0833-9001; Pecl, Gretta/0000-0003-0192-4339; White, William/0000-0001-9705-2453</t>
  </si>
  <si>
    <t>Ghosh, Manoj Kumer/G-7535-2012; Roy, Chandan/F-4534-2010; Kumar, Lalit/A-6397-2011</t>
  </si>
  <si>
    <t>Ghosh, Manoj Kumer/0000-0002-5279-272X; Roy, Chandan/0000-0002-3997-1088; Kumar, Lalit/0000-0002-9205-756X</t>
  </si>
  <si>
    <t>Legene, Pierre/U-9266-2019; Grenouillet, Gaël/E-6518-2019</t>
  </si>
  <si>
    <t>Legene, Pierre/0000-0002-3838-3305; Grenouillet, Gaël/0000-0003-3588-3694</t>
  </si>
  <si>
    <t>["Land/sea use change", "Climate Change", "Invasive alien species"]</t>
  </si>
  <si>
    <t>Anker, Arthur/AAL-5555-2021; Page, Timothy/B-9000-2008; Álvarez, Fernando/G-6503-2018; Mantelatto, Fernando L/H-2695-2012; Fapesp, Biota/F-8655-2017; Cai, Yixiong/JYO-3969-2024</t>
  </si>
  <si>
    <t>Page, Timothy/0000-0002-3521-3503; Mantelatto, Fernando L/0000-0002-8497-187X; smith, kevin/0000-0002-0785-3028; Villalobos Hiriart, José Luis/0000-0001-6810-2300; Klotz, Werner/0000-0002-1104-5613; Fapesp, Biota/0000-0002-9887-8449; Cai, Yixiong/0009-0008-6499-5795</t>
  </si>
  <si>
    <t>Rindorf, Anna/AAX-3463-2021; Christensen, Asbjørn/AAW-7042-2021; MacKenzie, Brian R/T-9379-2019</t>
  </si>
  <si>
    <t>Rindorf, Anna/0000-0002-4290-3983; Christensen, Asbjørn/0000-0002-4286-7409; Worsoe Clausen, Lotte/0000-0003-1503-6092; van Deurs, Mikael/0000-0003-2368-2502; Lindegren, Martin/0000-0002-9185-951X; MacKenzie, Brian R/0000-0002-4798-0363</t>
  </si>
  <si>
    <t>Taylor, Philip/0000-0002-0751-6451; Butchart, Stuart/0000-0002-1140-4049</t>
  </si>
  <si>
    <t>; McIlwain, Jennifer/J-9179-2012; Abesamis, Rene/AAE-1917-2022; Rocha, Luiz/T-6326-2019</t>
  </si>
  <si>
    <t>Muljadi, Aneas Hary/0000-0001-9239-9124; McIlwain, Jennifer/0000-0002-7790-5081; Sanciangco, Jonnell Cueto/0000-0001-8268-3180; Lazuardi, Muhammad Erdi/0000-0001-8964-8898; Clements, Kendall/0000-0001-8512-5977; Stockwell, Brian/0000-0001-9983-4723; Abesamis, Rene/0000-0001-7456-1415; Comeros-Raynal, Mia Theresa/0000-0002-5087-8984; Rocha, Luiz/0000-0003-4011-569X</t>
  </si>
  <si>
    <t>["Americas", "Africa", "Asia-Pacific"]</t>
  </si>
  <si>
    <t>; Gårdmark, Anna/AAC-3909-2021</t>
  </si>
  <si>
    <t>Bergström, Lena/0000-0002-8059-8764;</t>
  </si>
  <si>
    <t>Pan, Yude/F-6145-2015; Chen, Jing/AAD-4768-2020</t>
  </si>
  <si>
    <t>["Land/sea use change", "Climate Change", "Pollution", "Invasive alien species"]</t>
  </si>
  <si>
    <t>Kopecký, Martin/A-1466-2009; De Frenne, Pieter/N-4969-2014; Máliš, František/AAD-5364-2019; Macek, Martin/A-3371-2016; Naaf, Tobias/AAS-7183-2020; Petřík, Petr/H-1649-2014; Craven, Dylan/K-2717-2012; Mitchell, Fraser/L-9292-2014; Jaroszewicz, Bogdan/AAC-8184-2020; Standovár, Tibor/H-5021-2017; Mirtl, Michael/LEM-0818-2024; Chudomelová, Markéta/KFS-0934-2024; Bert, Didier/JZE-3544-2024; Heinken, Thilo/GRS-3133-2022; Brunet, Jörg/B-3583-2012; Vild, Ondřej/AAC-4043-2019; Baeten, Lander/G-1490-2010; Hédl, Radim/A-5631-2011; Lenoir, Jonathan/AAE-8441-2019; Bernhardt-Römermann, Markus/B-3027-2009</t>
  </si>
  <si>
    <t>Kopecký, Martin/0000-0002-1018-9316; Van Calster, Hans/0000-0001-8595-8426; De Frenne, Pieter/0000-0002-8613-0943; Máliš, František/0000-0003-2760-6988; Dirnböck, Thomas/0000-0002-8294-0690; Macek, Martin/0000-0002-5609-5921; Naaf, Tobias/0000-0002-4809-3694; Petřík, Petr/0000-0001-8518-6737; Verheyen, Kris/0000-0002-2067-9108; Craven, Dylan/0000-0003-3940-833X; Mitchell, Fraser/0000-0002-9857-5632; Jaroszewicz, Bogdan/0000-0002-2042-8245; Chudomelová, Markéta/0000-0001-7845-4000; Vild, Ondřej/0000-0002-0728-2392; Baeten, Lander/0000-0003-4262-9221;</t>
  </si>
  <si>
    <t>["Direct Exploitation and Resource extraction", "Climate Change", "Pollution"]</t>
  </si>
  <si>
    <t>Boët, Philippe/A-2778-2013; Beaulaton, Laurent/B-6391-2013</t>
  </si>
  <si>
    <t>Boët, Philippe/0000-0002-9387-9071; Beaulaton, Laurent/0000-0002-9614-8602</t>
  </si>
  <si>
    <t>Newcastle University - UK; Wildlife Conservation Society; National Academies of Sciences, Engineering &amp; Medicine; National Oceanic Atmospheric Admin (NOAA) - USA; James Cook University; Centre for Environment Fisheries &amp; Aquaculture Science; University of East Anglia; Institut de Recherche pour le Developpement (IRD); University of La Reunion; Centre National de la Recherche Scientifique (CNRS); Aix-Marseille Universite; Universite de Montpellier; Centre National de la Recherche Scientifique (CNRS); CNRS - Institute of Ecology &amp; Environment (INEE); Universite Perpignan Via Domitia; Stockholm University; Newcastle University - UK; University of Warwick</t>
  </si>
  <si>
    <t>Jennings, Simon/F-5085-2012; Graham, Nicholas/C-8360-2014; Chabanet, Pascale/L-9470-2017; MacNeil, M Aaron/E-8196-2017; McClanahan, Timothy/K-4998-2019; LETOURNEUR, Yves/B-4387-2012; Wilson, Shaun/K-8597-2019; Edwards, Alasdair/C-9558-2009; Spalding, Mark/GVU-0739-2022</t>
  </si>
  <si>
    <t>Jennings, Simon/0000-0002-2390-7225; sheppard, charles/0000-0002-2579-5124; Graham, Nicholas/0000-0002-0304-7467; Polunin, Nick/0000-0002-1480-8794; Chabanet, Pascale/0000-0001-7600-943X; MacNeil, M Aaron/0000-0001-8406-325X; Öhman, Marcus C/0009-0003-6452-7012; McClanahan, Timothy/0000-0001-5821-3584; LETOURNEUR, Yves/0000-0003-3157-1976; Wilson, Shaun/0000-0002-4590-0948; Spalding, Mark/0000-0001-9456-4533</t>
  </si>
  <si>
    <t>["Africa", "Asia-Pacific"]</t>
  </si>
  <si>
    <t>Huijbregts, Mark/LSL-2248-2024; Hanafiah, Marlia/AAN-4611-2020; Hendriks, Aalbert/C-6767-2013</t>
  </si>
  <si>
    <t>["Unclear or not specified"]</t>
  </si>
  <si>
    <t>Universite Savoie Mont Blanc; INRAE; Universite Savoie Mont Blanc; Centre National de la Recherche Scientifique (CNRS); CNRS - Institute of Ecology &amp; Environment (INEE); Aix-Marseille Universite; Institut de Recherche pour le Developpement (IRD)</t>
  </si>
  <si>
    <t>alric, benjamin/F-5068-2019; Rimet, Frédéric/S-2702-2018; RIMET, Frédéric/S-2702-2018</t>
  </si>
  <si>
    <t>Rimet, Frédéric/0000-0002-5514-869X; Perga, Marie-Elodie/0000-0002-9003-0769</t>
  </si>
  <si>
    <t>Pauly, Daniel/AAY-2316-2021; Lam, Vicky/AAX-1684-2020; Cheung, William/F-5104-2013</t>
  </si>
  <si>
    <t>University of Oslo; Universite Paris-Est-Creteil-Val-de-Marne (UPEC); AgroParisTech; Centre National de la Recherche Scientifique (CNRS); Institut de Recherche pour le Developpement (IRD); Sorbonne Universite; Lancaster University; UK Centre for Ecology &amp; Hydrology (UKCEH)</t>
  </si>
  <si>
    <t>Otero, Jaime/C-4848-2015; Winfield, Ian/I-6085-2012; Stenseth, Nils Christian/G-5212-2016; Ohlberger, Jan/H-3262-2019; Vøllestad, Leif Asbjørn/H-7305-2019</t>
  </si>
  <si>
    <t>Stenseth, Nils Christian/0000-0002-1591-5399; Ohlberger, Jan/0000-0001-6795-240X; Vøllestad, Leif Asbjørn/0000-0002-9389-7982</t>
  </si>
  <si>
    <t>Kratina, Pavel/O-5192-2019; Richardson, John/G-1513-2012; Thompson, Patrick/B-6213-2012</t>
  </si>
  <si>
    <t>Kratina, Pavel/0000-0002-9144-7937; Richardson, John/0000-0001-8135-7447; Thompson, Patrick/0000-0002-5278-9045</t>
  </si>
  <si>
    <t>Huijbregts, Mark/LSL-2248-2024; Schipper, Aafke/C-2758-2011</t>
  </si>
  <si>
    <t>Huijbregts, Mark/0000-0002-7037-680X; Wilting, Harry/0000-0002-2330-8820; Meijer, Johan/0000-0002-1219-7694; Schipper, Aafke/0000-0002-5667-0893</t>
  </si>
  <si>
    <t>Hernandez-Stefanoni, Jose Luis/B-3958-2008</t>
  </si>
  <si>
    <t>Hernandez-Stefanoni, Jose Luis/0000-0002-9559-7131</t>
  </si>
  <si>
    <t>Universidade do Porto; Universidade do Algarve; University of Bologna; University of Bologna; Universidade da Coruna; Helmholtz Association; Alfred Wegener Institute, Helmholtz Centre for Polar &amp; Marine Research; Norwegian Institute for Water Research (NIVA); Centre National de la Recherche Scientifique (CNRS); Sorbonne Universite; Museum National d'Histoire Naturelle (MNHN); University of Oviedo; University of Oslo; Universite de Lille; Centre National de la Recherche Scientifique (CNRS); CNRS - National Institute for Earth Sciences &amp; Astronomy (INSU); Centre National de la Recherche Scientifique (CNRS); CNRS - National Institute for Earth Sciences &amp; Astronomy (INSU); Sorbonne Universite; Centre National de la Recherche Scientifique (CNRS); Marine Biological Association United Kingdom; Universidad de Cantabria; IHCantabria - Instituto de Hidraulica Ambiental de la Universidad de Cantabria; University of Rostock; Sydney Institute of Marine Science; Centre National de la Recherche Scientifique (CNRS); Sorbonne Universite; Universidade do Porto</t>
  </si>
  <si>
    <t>Rico, Jose/C-7441-2013; Mieszkowska, Nova/U-8479-2019; Gundersen, Hege/F-1494-2013; Strain, Elisabeth/U-3520-2017; Bekkby, Trine/GRY-2922-2022; Viard, Frédérique/O-4360-2018; Davoult, Dominique/D-5932-2012; Gevaert, François/B-9629-2018; Valero, Myriam/M-6052-2019; Strain, Elisabeth/U-3520-2017; Assis, Jorge/G-9688-2012; Araujo, Rita/S-2065-2019; Airoldi, Laura/I-3553-2019; Sousa Pinto, Isabel/W-1591-2019; Puente, Araceli/H-3163-2015</t>
  </si>
  <si>
    <t>Mieszkowska, Nova/0000-0002-9570-7759; Bárbara, Ignacio/0000-0003-1779-0224; Gundersen, Hege/0000-0001-9706-1325; Rico-Ordas, Jose Manuel/0000-0001-6253-257X; Aguilar, Ricardo/0000-0001-6615-8626; Bekkby, Trine/0000-0001-8188-8264; Viard, Frédérique/0000-0001-5603-9527; Norderhaug, Kjell Magnus/0000-0001-6374-4275; Davoult, Dominique/0000-0001-8678-3998; Gevaert, François/0000-0002-5078-1154; Valero, Myriam/0000-0002-9000-1423; Strain, Elisabeth/0000-0003-2165-9544; Assis, Jorge/0000-0002-6624-4820; Araujo, Rita/0000-0001-8062-972X; Airoldi, Laura/0000-0001-5046-0871; Sousa Pinto, Isabel/0000-0002-9231-0553; Puente, Araceli/0000-0001-7627-4743</t>
  </si>
  <si>
    <t>Brittany REBENT; European Water Framework Directive; European Regional Development Fund; Loire-Brittany Water Agency; ONEMA; Ifremer; MNHN; Estuaires Loire Vilaine association; Portuguese Foundation for Science and Technology [EXCL/AAG-GLO/0661/2012, PTDC/MAR-EST/6053/2014, SFRH/BPD/111003/2015, SFRH/BPD/75843/2011]; European Commission [265299]; Fundação para a Ciência e a Tecnologia [EXCL/AAG-GLO/0661/2012, SFRH/BPD/75843/2011] Funding Source: FCT</t>
  </si>
  <si>
    <t>; Silow, Eugene/C-2958-2011; Shimaraeva, Svetlana/ABC-7160-2021</t>
  </si>
  <si>
    <t>Hampton, Stephanie/0000-0003-2389-4249; Silow, Eugene/0000-0002-7039-3220; Woo, Kara/0000-0002-5125-4188</t>
  </si>
  <si>
    <t>Russian Ministry of Education and Science research project [GR 01201461929]; Brachman Hoffman Fund; Fiske Fund; Committee on Faculty Awards at Wellesley College; Russian Science Foundation [14-14-00400]; Irkutsk State University; Dimensions of Biodiversity program of the US National Science Foundation [DEB-1136637, DEB-1136657]; Direct For Biological Sciences; Division Of Environmental Biology [1136657] Funding Source: National Science Foundation; Division Of Environmental Biology; Direct For Biological Sciences [1136710] Funding Source: National Science Foundation; Russian Science Foundation [14-14-00400] Funding Source: Russian Science Foundation</t>
  </si>
  <si>
    <t>Russian Ministry of Education and Science research project; Brachman Hoffman Fund; Fiske Fund; Committee on Faculty Awards at Wellesley College; Russian Science Foundation(Russian Science Foundation (RSF)); Irkutsk State University; Dimensions of Biodiversity program of the US National Science Foundation; Direct For Biological Sciences; Division Of Environmental Biology(National Science Foundation (NSF)NSF - Directorate for Biological Sciences (BIO)); Division Of Environmental Biology; Direct For Biological Sciences(National Science Foundation (NSF)NSF - Directorate for Biological Sciences (BIO)); Russian Science Foundation(Russian Science Foundation (RSF))</t>
  </si>
  <si>
    <t>McIntyre, Patrick/0000-0002-7800-6416; Easterday, Kelly/0000-0002-1678-0975</t>
  </si>
  <si>
    <t>Shantz, Anew/NNG-3451-2025; Duran, Alain/AAN-3190-2020; Burkepile, Deron/F-2368-2013</t>
  </si>
  <si>
    <t>Shantz, Anew/0000-0001-5641-8914; Duran, Alain/0000-0002-7847-6426; Burkepile, Deron/0000-0002-0427-0484; Collado Vides, Ligia/0000-0002-8842-8321</t>
  </si>
  <si>
    <t>["Direct Exploitation and Resource extraction", "Pollution"]</t>
  </si>
  <si>
    <t>Sun, Ge/ABF-6673-2020; Liu, Yongqiang/J-2027-2012; Zhou, Decheng/H-5583-2019</t>
  </si>
  <si>
    <t>Sun, Ge/0000-0002-0159-1370; Zhou, Decheng/0000-0003-0947-0853</t>
  </si>
  <si>
    <t>; Flegal, James/ABD-5545-2020</t>
  </si>
  <si>
    <t>Jenerette, G Darrel/0000-0003-2387-7537; Park, Isaac/0000-0001-5539-1641; Flegal, James/0000-0002-9960-8942</t>
  </si>
  <si>
    <t>Lindenmayer, David B/P-7183-2017; Banks, Sam/K-4907-2012</t>
  </si>
  <si>
    <t>Lindenmayer, David B/0000-0002-4766-4088; Banks, Sam/0000-0003-2415-0057</t>
  </si>
  <si>
    <t>["Direct Exploitation and Resource extraction"]</t>
  </si>
  <si>
    <t>Michigan State University; Universite de Toulouse; Universite Toulouse III - Paul Sabatier; Centre National de la Recherche Scientifique (CNRS)</t>
  </si>
  <si>
    <t>Racey, Paul/I-4541-2019; Jenkins, Richard/A-4567-2012</t>
  </si>
  <si>
    <t>Noble, Ian/0000-0002-6300-7395; Browne, Michael/0000-0003-3718-0087</t>
  </si>
  <si>
    <t>["Land/sea use change", "Invasive alien species"]</t>
  </si>
  <si>
    <t>Hoffmann, Michael/E-6419-2010; Spear, Dian/B-2469-2009; McGeoch, Melodie/F-8353-2011; Butchart, Stuart/Y-2711-2018</t>
  </si>
  <si>
    <t>Hoffmann, Michael/0000-0003-4785-2254; Spear, Dian/0000-0002-2417-3980; McGeoch, Melodie/0000-0003-3388-2241; Butchart, Stuart/0000-0002-1140-4049</t>
  </si>
  <si>
    <t>Ding, Chengzhi/0000-0001-5215-7374; Chen, Liqiang/0000-0001-5430-4585; Ding, Liuyong/0000-0002-5490-182X</t>
  </si>
  <si>
    <t>["Invasive alien species"]</t>
  </si>
  <si>
    <t>Lanzoni, Mattia/AAL-5938-2021; Milardi, Marco/ACZ-4214-2022; Giari, Luisa/F-5909-2015; Castaldelli, Giuseppe/Q-8301-2016; Fano, Elisa Anna/M-6731-2015</t>
  </si>
  <si>
    <t>Milardi, Marco/0000-0001-6104-294X; Giari, Luisa/0000-0003-1058-0910; Castaldelli, Giuseppe/0000-0001-5954-1133; Fano, Elisa Anna/0000-0001-8552-9621</t>
  </si>
  <si>
    <t>["Pollution", "Invasive alien species"]</t>
  </si>
  <si>
    <t>; Wenger, Amelia/S-9135-2019; Browne, nicola/W-6612-2019; Devlin, Michelle Jillian/M-5870-2014; Petus, Caroline/A-6937-2015; Ceccarelli, Daniela/AAN-3577-2020; Devlin, Michelle/HGC-1104-2022</t>
  </si>
  <si>
    <t>Williaon, David/0000-0001-8447-039X; Wenger, Amelia/0000-0002-0433-6164; Browne, nicola/0000-0002-7160-6865; Devlin, Michelle Jillian/0000-0003-2194-2534;</t>
  </si>
  <si>
    <t>Beja, Peo/A-7851-2008; Alcåzar, Rafael/R-4920-2018</t>
  </si>
  <si>
    <t>["Land/sea use change", "Direct Exploitation and Resource extraction", "Pollution"]</t>
  </si>
  <si>
    <t>; Peterson, David/B-1105-2008</t>
  </si>
  <si>
    <t>Peterson, David/0000-0001-8333-7642;</t>
  </si>
  <si>
    <t>Henschel, Philipp/0009-0003-6413-8471; Slotow, Rob/0000-0001-9469-1508</t>
  </si>
  <si>
    <t>Ormerod, Stephen J/A-4326-2010; Vaughan, Ian/A-4782-2010</t>
  </si>
  <si>
    <t>["Marine-Terrestrial"]</t>
  </si>
  <si>
    <t>Riginella, Emilio/Q-2987-2019; MAZZOLDI, CARLOTTA/AAU-8628-2020; Finotto, Licia/HJO-9195-2023</t>
  </si>
  <si>
    <t>Agostinho, Angelo Antonio/S-1538-2019; Caramaschi, Erica/D-5406-2013</t>
  </si>
  <si>
    <t>Agostinho, Angelo Antonio/0000-0002-4707-9444; Winemiller, Kirk/0000-0003-0236-5129</t>
  </si>
  <si>
    <t>["Americas/Africa/Asia-Pacific"]</t>
  </si>
  <si>
    <t>["Land/sea use change", "Direct Exploitation and Resource extraction", "Pollution", "Invasive alien species"]</t>
  </si>
  <si>
    <t>Hansen, Matthew/ABE-7226-2020; Tyukavina, Alexana/AGW-0785-2022; Potapov, Peter/AAE-7388-2019</t>
  </si>
  <si>
    <t>Tyukavina, Alexana/0000-0003-3872-9844; Potapov, Peter/0000-0003-3977-0021</t>
  </si>
  <si>
    <t>Hagerthey, Scot/0000-0002-1361-359X; Newman, Susan/0000-0001-8340-2600;</t>
  </si>
  <si>
    <t>; Araújo, Francisco/O-4343-2014; Guedes, Ana/AAO-9848-2020</t>
  </si>
  <si>
    <t>Araújo, Francisco Gerson/0000-0003-4551-1974;</t>
  </si>
  <si>
    <t>; Keller, Michael/A-8976-2012; Asner, Gregory/G-9268-2013; Broadbent, Eben/AFL-1770-2022</t>
  </si>
  <si>
    <t>Oliveira, Paulo/0000-0002-4071-3924; Keller, Michael/0000-0002-0253-3359; Silva, José/0000-0003-4068-2432; Asner, Gregory/0000-0001-7893-6421; Broadbent, Eben/0000-0002-4488-4237</t>
  </si>
  <si>
    <t>Kalkman, Vincent/D-5275-2013; van Strien, Arco J/AAG-1843-2020; van der Hoorn, Berry/D-3282-2018</t>
  </si>
  <si>
    <t>Kalkman, Vincent/0000-0002-1484-7865; Turnhout, Sander/0000-0002-1299-3498; Poot, Martin/0000-0003-0219-8914; van Strien, Arco J/0000-0003-0451-073X;</t>
  </si>
  <si>
    <t>Vellend, Mark/ACZ-5811-2022; Becker-Scarpitta, Antoine/L-2610-2019</t>
  </si>
  <si>
    <t>Becker-Scarpitta, Antoine/0000-0001-9241-091X</t>
  </si>
  <si>
    <t>Hansen, Matthew/ABE-7226-2020; Tyukavina, Alexana/AGW-0785-2022; Goetz, Scott/A-3393-2015; Potapov, Peter/AAE-7388-2019</t>
  </si>
  <si>
    <t>["Land/sea use change", "Direct Exploitation and Resource extraction", "Invasive alien species"]</t>
  </si>
  <si>
    <t>Roiguez, Marco A/J-6492-2012</t>
  </si>
  <si>
    <t>Brightsmith, Donald Joseph/AFP-6335-2022; Butchart, Stuart/Y-2711-2018; Olah, George/J-1409-2014</t>
  </si>
  <si>
    <t>Brightsmith, Donald Joseph/0000-0002-3306-6490; Heinsohn, Robert/0000-0002-2514-9448; Butchart, Stuart/0000-0002-1140-4049; Olah, George/0000-0002-7935-8843</t>
  </si>
  <si>
    <t>["Direct Exploitation and Resource extraction", "Invasive alien species"]</t>
  </si>
  <si>
    <t>Casini, Michele/0000-0003-4910-5236; Bartolino, Valerio/0000-0002-4506-4329</t>
  </si>
  <si>
    <t>Green Accepted, Bronze</t>
  </si>
  <si>
    <t>Universite de Bordeaux; Centre National de la Recherche Scientifique (CNRS); CNRS - National Institute for Earth Sciences &amp; Astronomy (INSU)</t>
  </si>
  <si>
    <t>Liang, Shunlin/C-2809-2015; Zhang, Yuzhen/GZK-3740-2022</t>
  </si>
  <si>
    <t>Garnett, Stephen/M-3877-2013; Szabo, Judit/C-1247-2012; Possingham, Hugh/B-1337-2008; Butchart, Stuart/Y-2711-2018</t>
  </si>
  <si>
    <t>Garnett, Stephen/0000-0002-0724-7060; Szabo, Judit/0000-0002-8786-1887; Possingham, Hugh/0000-0001-7755-996X; Butchart, Stuart/0000-0002-1140-4049</t>
  </si>
  <si>
    <t>Qamer, Faisal/L-9892-2018; .R, MANI/A-9291-2010; ABBAS, Sawaid/Y-4432-2019</t>
  </si>
  <si>
    <t>Thau, David/0000-0001-8598-9820; Pengra, Bruce/0000-0003-2497-8284; ABBAS, Sawaid/0000-0003-3417-217X</t>
  </si>
  <si>
    <t>; Kremen, Claire/AFP-5986-2022; Clough, Yann/B-9739-2014; Pocock, Michael/A-5632-2012; Letourneau, Deborah/G-3694-2011; Steffan-Dewenter, Ingolf/AFJ-8134-2022; Saunders, Manu/H-4246-2019; Tscharntke, Teja/N-5123-2014; Schon, Nicole/E-5828-2011; Potts, Simon/C-7250-2008; Krauss, Jochen/C-6216-2014; Weisser, Wolfgang/B-9718-2014; Neame, Lisa/AAJ-9395-2021; Veselý, Milan/MNH-4492-2025; Diekötter, Tim/L-2463-2016; Isaacs, Rufus/AAF-4646-2019; Holzschuh, Anea/X-8989-2018; Carvalheiro, Luisa/D-9414-2012; Macfadyen, Sarina/C-1511-2008; Otieno, Mark/ADR-3648-2022; Martin, Emily/AAZ-3865-2021; Lichtenberg, Elinor/I-4126-2012; Bommarco, Riccardo/E-7109-2016; Rosenheim, Jay/KGL-7578-2024; Freitas, Breno M/F-9509-2012; ISAIA, Marco/I-1629-2015; Klein, Alexana-Maria/J-5871-2016; Gratton, Claudio/KRP-6122-2024; Rundlöf, Maj/C-1789-2014; Batary, Peter/A-2349-2008; Williams, Neal/AGF-7865-2022</t>
  </si>
  <si>
    <t>Chaplin-Kramer, Rebecca/0000-0002-1539-5231; Wilson, Julianna K/0000-0003-0807-5421; Pocock, Michael/0000-0003-4375-0445; Snyder, William/0000-0002-2747-3102; Steffan-Dewenter, Ingolf/0000-0003-1359-3944; Saunders, Manu/0000-0003-0645-8277; Tscharntke, Teja/0000-0002-4482-3178; Klatt, Björn Kristian/0000-0001-8241-6445; Schon, Nicole/0000-0002-8975-1382; Crowder, David/0000-0002-3720-1581; Potts, Simon/0000-0002-2045-980X; Krauss, Jochen/0000-0003-2304-9117; Weisser, Wolfgang/0000-0002-2757-8959; Danforth, Bryan/0000-0002-6495-428X; Veselý, Milan/0000-0001-6315-8583; Diekötter, Tim/0000-0003-4838-793X; Holzschuh, Anea/0000-0002-5235-4746; Carvalheiro, Luisa/0000-0001-7655-979X; Brittain, Claire/0000-0003-1104-2946; Otieno, Mark/0000-0002-8509-3298; Martin, Emily/0000-0001-5785-9105; Lichtenberg, Elinor/0000-0002-2729-4534; Bommarco, Riccardo/0000-0001-8888-0476; Freitas, Breno M/0000-0002-9932-2207; Martínez Pachón, Eliana/0000-0002-5144-132X; ISAIA, Marco/0000-0001-5434-2127; Berendse, Frank/0009-0005-0623-1517; Eigenbrode, Sanford/0000-0003-0054-8511; Klein, Alexana-Maria/0000-0003-2139-8575; Memmott, Jane/0000-0002-2113-2577; Kennedy, Christina/0000-0001-8902-8728; Gratton, Claudio/0000-0001-6262-9670; Rundlöf, Maj/0000-0003-3014-1544; Batary, Peter/0000-0002-1017-6996;</t>
  </si>
  <si>
    <t>Ambarlı, Didem/AAE-8648-2022; Karacetin, Evrim/AAS-7725-2021; Bilgin, C Can/H-2159-2011; Gürsoy Ergen, Arzu/F-5981-2016; SOZEN, MUSTAFA/A-6372-2018; Ilgaz, Çetin/P-6603-2019; Aslan, Serdar/AAB-7966-2020</t>
  </si>
  <si>
    <t>Keller, Michael/0000-0002-0253-3359; dos-Santos, Maiza/0000-0003-2720-2393; Rappaport, Danielle/0000-0001-9122-9684; Longo, Marcos/0000-0001-5062-6245</t>
  </si>
  <si>
    <t>Roco, Constance Armanda/0000-0001-7748-3846; Sakihara, Troy/0000-0002-8944-7153; Dudley, Bruce/0000-0002-8937-4310</t>
  </si>
  <si>
    <t>["Land/sea use change", "Pollution", "Invasive alien species"]</t>
  </si>
  <si>
    <t>Nic Lughadha, Eimear/N-4560-2014; Donaldson, John/F-6833-2011; Albuquerque, Sara/O-9327-2014; Celesti, Marco/M-6738-2019</t>
  </si>
  <si>
    <t>Nic Lughadha, Eimear/0000-0002-8806-4345; Gardiner, Lauren/0000-0002-8843-0317; McGregor, Kirsty/0000-0003-3696-7216; Lutz, Maiko/0000-0002-6695-8380; Donaldson, John/0000-0002-7930-1695; Bachman, Steven/0000-0003-1085-6075; Carretero, Julia/0000-0002-3697-1947; Moat, Justin/0000-0002-5513-3615; Celesti, Marco/0000-0001-7249-7106</t>
  </si>
  <si>
    <t>United States Department of Agriculture (USDA); United States Forest Service; Rutgers University System; Rutgers University Newark; Rutgers University New Brunswick</t>
  </si>
  <si>
    <t>Fischer, Georg/Y-3059-2019; Fischer, Georg/Y-3059-2019; Böhning-Gaese, Katrin/W-2601-2019; Schleuning, Matthias/H-2154-2015; Farwig, Nina/JMQ-1406-2023; Hagen, Melanie/I-7939-2013; Hita Garcia, Francisco/C-9636-2015</t>
  </si>
  <si>
    <t>Fischer, Georg/0000-0002-4033-2005; Fischer, Georg/0000-0002-0637-6485; Peters, Marcell/0000-0002-1262-0827; Böhning-Gaese, Katrin/0000-0003-0477-5586; Schleuning, Matthias/0000-0001-9426-045X; Hita Garcia, Francisco/0000-0003-4709-3083</t>
  </si>
  <si>
    <t>Wang, Yamin/JZT-3868-2024; Ellison, Joanna/C-2372-2014; Yong, Jean/B-9976-2019; Salmo, Severino/T-4794-2018; Duke, Norman/K-5729-2013; Kandasamy, Kathiresan/X-7933-2019</t>
  </si>
  <si>
    <t>Ellison, Aaron/0000-0003-4151-6081; Ellison, Joanna/0000-0003-0692-8347; Yong, Jean/0000-0003-3325-8254; Fernando, Edwino/0000-0001-9422-5451; Sanciangco, Jonnell Cueto/0000-0001-8268-3180; Salmo, Severino/0000-0001-6807-4397; Duke, Norman/0000-0003-2081-9120; Kandasamy, Kathiresan/0000-0003-1203-0023</t>
  </si>
  <si>
    <t>["Americas", "Asia-Pacific"]</t>
  </si>
  <si>
    <t>Martínez-Vilalta, Jordi/D-3385-2014; Martinez-Vilalta, Jordi/D-3385-2014; Retana, Javier/L-1214-2014; Retana, Javier/L-1214-2014; Vayreda, Jordi/U-8172-2017</t>
  </si>
  <si>
    <t>Gracia, Marc/0000-0002-7492-800X; Martinez-Vilalta, Jordi/0000-0002-2332-7298; Retana, Javier/0000-0002-7505-9467; Retana, Javier/0000-0002-7505-9467; Vayreda, Jordi/0000-0002-9538-7361</t>
  </si>
  <si>
    <t>Sutherland, William/B-1291-2013; Szekely, Tamas/I-7089-2016; Amano, Tatsuya/E-7367-2010; Nagy, Szabolcs/JZE-3966-2024</t>
  </si>
  <si>
    <t>Szekely, Tamas/0000-0003-2093-0056; Amano, Tatsuya/0000-0001-6576-3410;</t>
  </si>
  <si>
    <t>source</t>
  </si>
  <si>
    <t>["Asia and the Pacific"]</t>
  </si>
  <si>
    <t>["Americas", "Africa", "Asia and the Pacific"]</t>
  </si>
  <si>
    <t>["Africa", "Asia and the Pacific"]</t>
  </si>
  <si>
    <t>eligibility</t>
  </si>
  <si>
    <t>["ELIGIBLE"]</t>
  </si>
  <si>
    <t>Based on the capture of wild animals–mostly for human consumption–fishing is a truly original food production system, carried out since the Paleolithic era. The aquatic animal food production is a considerable asset. Together, fisheries and aquaculture provided more than 4.3 billion people with at least 15% of their intake of animal protein in 2010. In order to understand how marine animal species respond to fishing, it is also essential to precisely understand the degree of concordance between their actual organization and their management units. The increasing interest in the variety of governance mechanisms for the fishing industry, the role of stakeholders and the reinforcement of regulations over access to resources. The Ecosystem Approach to Fisheries (EAF) is based on this high-level conceptual representation. For Diadromous fish, climate change is one element among the factors in the modification of their ecosystems.</t>
  </si>
  <si>
    <t>2025-12-20</t>
  </si>
  <si>
    <t>Lindenmayer, David/P-7183-2017; Lindenmayer, David B/P-7183-2017; Banks, Sam/K-4907-2012</t>
  </si>
  <si>
    <t>Potapov, Peter/AAE-7388-2019; Tyukavina, Alexandra/AGW-0785-2022; Hansen, Matthew/ABE-7226-2020</t>
  </si>
  <si>
    <t>Chen, Liqiang/0000-0001-5430-4585; Ding, Chengzhi/0000-0001-5215-7374; Ding, Liuyong/0000-0002-5490-182X</t>
  </si>
  <si>
    <t>University System of Maryland; University of Maryland College Park; National Aeronautics &amp; Space Administration (NASA); NASA Goddard Space Flight Center; Empresa Brasileira de Pesquisa Agropecuaria (EMBRAPA); California Institute of Technology; National Aeronautics &amp; Space Administration (NASA); NASA Jet Propulsion Laboratory (JPL); United States Department of Agriculture (USDA); United States Forest Service</t>
  </si>
  <si>
    <t>; Keller, Michael/A-8976-2012; Morton, Douglas/D-5044-2012; Longo, Marcos/F-5033-2014</t>
  </si>
  <si>
    <t>Rappaport, Danielle/0000-0001-9122-9684; Keller, Michael/0000-0002-0253-3359; dos-Santos, Maiza/0000-0003-2720-2393; Longo, Marcos/0000-0001-5062-6245</t>
  </si>
  <si>
    <t>Leon, Javier/J-3971-2012; Pearce, Tristan/L-9139-2019; Wilson, Rachele/GWU-7198-2022; Leon, Javier/J-3971-2012; Sidle, Roy/I-8616-2017</t>
  </si>
  <si>
    <t>Leon, Javier/0000-0002-4201-5804; Wilson, Rachele/0000-0002-2567-3151; Leon, Javier/0000-0002-4201-5804;</t>
  </si>
  <si>
    <t>; MacKenzie, Brian/T-9379-2019; Christensen, Asbjørn/AAW-7042-2021; Rindorf, Anna/AAX-3463-2021; MacKenzie, Brian R/T-9379-2019</t>
  </si>
  <si>
    <t>Worsoe Clausen, Lotte/0000-0003-1503-6092; Rindorf, Anna/0000-0002-4290-3983; MacKenzie, Brian R/0000-0002-4798-0363; Christensen, Asbjørn/0000-0002-4286-7409; van Deurs, Mikael/0000-0003-2368-2502; Lindegren, Martin/0000-0002-9185-951X</t>
  </si>
  <si>
    <t>COFASP ERA-NET [321553]; European Fisheries and Maritime Fund [33113-B-15-002]; NERC [SAH01001, NE/I030062/1] Funding Source: UKRI; Natural Environment Research Council [NE/I030062/1, SAH01001] Funding Source: researchfish</t>
  </si>
  <si>
    <t>COFASP ERA-NET; European Fisheries and Maritime Fund; NERC(UK Research &amp; Innovation (UKRI)Natural Environment Research Council (NERC)); Natural Environment Research Council(UK Research &amp; Innovation (UKRI)Natural Environment Research Council (NERC))</t>
  </si>
  <si>
    <t>; Shantz, Andrew/NNG-3451-2025; Duran, Alain/AAN-3190-2020; Burkepile, Deron/F-2368-2013</t>
  </si>
  <si>
    <t>Duran, Alain/0000-0002-7847-6426; Shantz, Anew/0000-0001-5641-8914; Collado Vides, Ligia/0000-0002-8842-8321; Burkepile, Deron/0000-0002-0427-0484</t>
  </si>
  <si>
    <t>Flegal, James/0000-0002-9960-8942; Jenerette, G Darrel/0000-0003-2387-7537; Park, Isaac/0000-0001-5539-1641</t>
  </si>
  <si>
    <t>; Alexander, Michael/JBJ-7594-2023; Scott, James/PBV-9651-2025; Wahle, Richard/AAI-3047-2020</t>
  </si>
  <si>
    <t>Scott, James D/0000-0002-8709-8594; Allyn, Anew/0000-0002-1584-0198; Mills, Katherine/0000-0001-6078-7747; Le Bris, Arnault/0000-0003-1958-3755;</t>
  </si>
  <si>
    <t>Universite de Toulouse; Universite Toulouse III - Paul Sabatier; Universite Federale Toulouse Midi-Pyrenees (ComUE); Ecole Nationale Formation Agronomique (ENSFEA); Centre National de la Recherche Scientifique (CNRS); Universite de Montreal; Institut Universitaire de France</t>
  </si>
  <si>
    <t>Grenouillet, Gael/E-6518-2019; Legendre, Pierre/U-9266-2019; Legene, Pierre/C-8279-2013</t>
  </si>
  <si>
    <t>Ayllon, Daniel/K-6862-2019; Elvira, Benigno/A-9273-2009; G. Nicola, Graciela/ABE-5362-2021; Almodóvar, Ana/L-5400-2014</t>
  </si>
  <si>
    <t>Elvira, Benigno/0000-0002-6127-5302; Ayllon Fernandez, Daniel/0000-0001-7539-5287; Almodóvar, Ana/0000-0003-1465-3857; , GRACIELA G NICOLA/0009-0009-0601-0609</t>
  </si>
  <si>
    <t>Szekely, Tamas/I-7089-2016; Sutherland, William/B-1291-2013; Nagy, Szabolcs/JZE-3966-2024; Amano, Tatsuya/E-7367-2010</t>
  </si>
  <si>
    <t>Szekely, Tamas/0000-0003-2093-0056; Amano, Tatsuya/0000-0001-6576-3410</t>
  </si>
  <si>
    <t>University of Leeds; Imperial College London; University of London; University College London; CGIAR; Center for International Forestry Research (CIFOR); James Cook University; Harvard University; Royal Museum for Central Africa; University Brunei Darussalam; Kagoshima University; UK Centre for Ecology &amp; Hydrology (UKCEH); Manchester Metropolitan University; University of Aberdeen; Palacky University Olomouc; Smithsonian Institution; Smithsonian Tropical Research Institute; Nanyang Technological University; University of Amsterdam; University of Leeds; Czech Academy of Sciences; Institute of Botany of the Czech Academy of Sciences; Palacky University Olomouc; Malaysian Palm Oil Board; Kyoto University; Ministry of Environment &amp; Forestry; Czech University of Life Sciences Prague; University of Oxford; Universiti Kebangsaan Malaysia; Universiti Malaysia Sabah; National Research &amp; Innovation Agency of Indonesia (BRIN); Universidade Estadual de Campinas; Pusat Penyelidikan Hutan; Boston University; Smithsonian Institution; Smithsonian Tropical Research Institute; Universitas Mulawarman; CIRAD; Mendel University in Brno; Universitas Tadulako; Utrecht University; Deltares; Ministry of Environment &amp; Forestry; Consejo Superior de Investigaciones Cientificas (CSIC); CSIC - Instituto de Investigaciones Agrobiologicas de Galicia (IIAG)</t>
  </si>
  <si>
    <t>Sukri, Rahayu/AAJ-9640-2020; Malhi, Yadvinder/I-4668-2012; Sunderland, Terence/AAS-5080-2021; Burslem, David/F-1204-2019; Lewis, Simon/I-9025-2012; Kho, Lip/AAI-6639-2020; Metali, Faizah/F-5463-2014; Maycock, Colin/H-3556-2013; Dančák, Martin/AAB-9537-2019; Krisnawati, Haruni/R-5025-2019; hubau, wannes/AAA-8502-2019; Sunderland, Terence/AAE-7851-2019; Phillips, Oliver/A-1523-2011; Rutishauser, Ervan/A-9076-2011; Hédl, Radim/A-5631-2011; Qie, Lan/B-8581-2011; Aiba, Shin-ichiro/A-3011-2010; Tjoa, A/AAL-5676-2020; Nagy, Laszlo/A-7689-2014; Svátek, Martin/C-1890-2014</t>
  </si>
  <si>
    <t>Sunderland, Terence/0000-0002-1985-9849; Burslem, David/0000-0001-6033-0990; Maycock, Colin/0000-0002-4368-2545; Sullivan, Martin/0000-0002-5955-0483; Aiba, Shin-ichiro/0000-0002-3844-0138; Kidd, Petra/0000-0002-1721-7367; Dančák, Martin/0000-0002-3851-4969; Lewis, Simon/0000-0002-8066-6851; Peny, Colin Alistair/0000-0002-7619-824X; Phillips, Oliver/0000-0002-8993-6168; Tjoa, Aiyen/0000-0003-0583-9174; Metali, Faizah/0000-0002-2508-1535; Krisnawati, Haruni/0000-0002-2366-6230; Malhi, Yadvinder/0000-0002-3503-4783; Vernimmen, Ronald/0000-0002-9899-3826; Nagy, Laszlo/0009-0008-7792-1082; Sukri, Rahayu Sukmaria/0000-0002-2662-399X; Svátek, Martin/0000-0003-2328-4627; Lopez-Gonzalez, Gabriela/0000-0002-0814-8830</t>
  </si>
  <si>
    <t>ERC; Indonesian Institute of Sciences (LIPI) (BUL plots); STREK project; CIRAD, The Ministry of Forestry of Indonesia; INHUTANI I (STR plots); ERC (T- FORCES); NERC [NER/A/S/2000/00532, NE/B503384/1, NE/N012542/1, NE/P00363X/1]; T- FORCES; CIFOR; Royal Society University Research Fellowship; Royal Society; NERC; RGS-IBG Henrietta Hutton grant; University of Brunei Darussalam; Czech Academy of Sciences [RVO 67985939]; Primate Conservation Inc.; Ministry of Education, Youth and Sports grant of the Czech Republic [INGO II LG15051]; Netherlands Foundation for the Advancement of Tropical Research (WOTRO) [W76-217]; Natural Environment Research Council [NE/N012542/1, NE/B503384/1, ceh020011, NE/M004848/1, NE/P004806/1, NE/P00363X/1] Funding Source: researchfish; NERC [NE/N012542/1, NE/P00363X/1, NE/P004806/1, NE/M004848/1, ceh020011] Funding Source: UKRI</t>
  </si>
  <si>
    <t>Vesely, Milan/MNH-4492-2025; Otieno, Mark/ADR-3648-2022; Neame, Lisa/AAJ-9395-2021; Isaia, Marco/I-1629-2015; Weisser, Wolfgang/B-9718-2014; Macfadyen, Sarina/C-1511-2008; Saunders, Manu/H-4246-2019; , Claudio/KRP-6122-2024; Krauss, Jochen/C-6216-2014; Klein, Alexana-Maria/J-5871-2016; Isaacs, Rufus/AAF-4646-2019; Klein, Alexandra/J-5871-2016; Pocock, Michael/A-5632-2012; Potts, Simon/C-7250-2008; Diekötter, Tim/L-2463-2016; ISAIA, Marco/I-1629-2015; Tscharntke, Teja/N-5123-2014; Batary, Peter/A-2349-2008; Steffan-Dewenter, Ingolf/AFJ-8134-2022; Martin, Emily/AAZ-3865-2021; Freitas, Breno M/F-9509-2012; Williams, Neal/AGF-7865-2022; Clough, Yann/B-9739-2014; Lichtenberg, Elinor/I-4126-2012; Freitas, Breno/F-9509-2012; Schon, Nicole/E-5828-2011; Bommarco, Riccardo/E-7109-2016; Holzschuh, Andrea/X-8989-2018; Letourneau, Deborah/G-3694-2011; Carvalheiro, Luisa/D-9414-2012; Kremen, Claire/AFP-5986-2022; Rosenheim, Jay/KGL-7578-2024; Rundlöf, Maj/C-1789-2014</t>
  </si>
  <si>
    <t>Chaplin-Kramer, Rebecca/0000-0002-1539-5231; Weisser, Wolfgang/0000-0002-2757-8959; Martínez Pachón, Eliana/0000-0002-5144-132X; Krauss, Jochen/0000-0003-2304-9117; Klein, Alexana-Maria/0000-0003-2139-8575; Otieno, Mark/0000-0002-8509-3298; Memmott, Jane/0000-0002-2113-2577; Pocock, Michael/0000-0003-4375-0445; Potts, Simon/0000-0002-2045-980X; Berendse, Frank/0009-0005-0623-1517; Danforth, Bryan/0000-0002-6495-428X; Kennedy, Christina/0000-0001-8902-8728; Schon, Nicole/0000-0002-8975-1382; Brittain, Claire/0000-0003-1104-2946; Wilson, Julianna K/0000-0003-0807-5421; Klatt, Björn Kristian/0000-0001-8241-6445; ISAIA, Marco/0000-0001-5434-2127; Snyder, William/0000-0002-2747-3102; Diekötter, Tim/0000-0003-4838-793X; Martin, Emily/0000-0001-5785-9105; Batary, Peter/0000-0002-1017-6996; Freitas, Breno M/0000-0002-9932-2207; Tscharntke, Teja/0000-0002-4482-3178; Holzschuh, Anea/0000-0002-5235-4746; Gratton, Claudio/0000-0001-6262-9670; Steffan-Dewenter, Ingolf/0000-0003-1359-3944; Crowder, David/0000-0002-3720-1581; Bommarco, Riccardo/0000-0001-8888-0476; Lichtenberg, Elinor/0000-0002-2729-4534; Carvalheiro, Luisa/0000-0001-7655-979X; Eigenbrode, Sanford/0000-0003-0054-8511; Saunders, Manu/0000-0003-0645-8277; Veselý, Milan/0000-0001-6315-8583; Rundlöf, Maj/0000-0003-3014-1544</t>
  </si>
  <si>
    <t>Mackey, Brendan/ABE-3805-2020</t>
  </si>
  <si>
    <t>Mackey, Brendan/0000-0003-1996-4064; Rogers, Nicole/0000-0002-9878-6077</t>
  </si>
  <si>
    <t>; Maina, Joseph/KFR-6167-2024; Klein, Carissa/F-1632-2011; Mumby, Peter/LIH-2812-2024; Wenger, Amelia/S-9135-2019; Tullochh, Vivitskaia/G-1336-2013; Albert, Simon/I-1104-2012; Brown, Christopher/G-4287-2011; Lin, Hsien-Yung/H-2303-2013; Mumby, Peter/F-9914-2010; Tulloch, Vivitskaia/G-1336-2013; klein, carissa/F-1632-2011</t>
  </si>
  <si>
    <t>Jupiter, Stacy/0000-0001-9742-1677; Albert, Simon/0000-0002-5947-7909; Mumby, Peter/0000-0002-6297-9053; Brown, Christopher/0000-0002-7271-4091; Maina, Joseph/0000-0003-1268-6137; Wenger, Amelia/0000-0002-0433-6164; Tulloch, Vivitskaia/0000-0002-7673-3716; klein, carissa/0000-0002-6299-6451</t>
  </si>
  <si>
    <t>INRAE; Institut Agro; Institut Agro Rennes-Angers; Universite de Rennes; INRAE; Universite de Rennes; Centre for Environment Fisheries &amp; Aquaculture Science; INRAE; Universite de Rennes</t>
  </si>
  <si>
    <t>Gregory, Stephen/A-1471-2010; Roussel, Jean-Marc/HCH-2300-2022</t>
  </si>
  <si>
    <t>Gregory, Stephen/0000-0002-8230-0191; Frederic, MARCHAND/0000-0002-8380-579X; Roussel, Jean-Marc/0000-0002-6301-3234;</t>
  </si>
  <si>
    <t>Zhou, Decheng/H-5583-2019; Sun, Ge/ABF-6673-2020; Liu, Yongqiang/J-2027-2012</t>
  </si>
  <si>
    <t>Zhou, Decheng/0000-0003-0947-0853; Sun, Ge/0000-0002-0159-1370</t>
  </si>
  <si>
    <t>Xu, Huan/0000-0001-7454-4287; Cudahy, Tom/0000-0002-8323-4544; 付, 碧宏/0000-0002-1715-6859; Guo, Qiang/0000-0002-8610-0269; Zhang, Jing/0000-0002-0959-7929</t>
  </si>
  <si>
    <t>Cescatti, Alessano/0000-0002-2769-2591; Kurz, Werner/0000-0003-4576-7849; Pilli, Roberto/0000-0003-4541-7056</t>
  </si>
  <si>
    <t>; Huijbregts, Mark/B-8971-2011; Huijbregts, Mark/LSL-2248-2024; Schipper, Aafke/C-2758-2011</t>
  </si>
  <si>
    <t>Schipper, Aafke/0000-0002-5667-0893; Huijbregts, Mark/0000-0002-7037-680X; Meijer, Johan/0000-0002-1219-7694; Wilting, Harry/0000-0002-2330-8820</t>
  </si>
  <si>
    <t>Guisan, Antoine/A-1057-2011; Liu, Xuan/AAF-3703-2020; Broennimann, Olivier/D-3495-2011; Petitpierre, Blaise/JMC-4420-2023</t>
  </si>
  <si>
    <t>Guisan, Antoine/0000-0002-3998-4815; Broennimann, Olivier/0000-0001-9913-3695; Petitpierre, Blaise/0000-0002-3087-3422; Brönnimann, Olivier/0000-0001-5394-4564; Li, Xianping/0000-0003-4892-5953</t>
  </si>
  <si>
    <t>Ghosh, Manoj/G-7535-2012; Roy, Chandan/F-4534-2010; Kumar, Lalit/A-6397-2011</t>
  </si>
  <si>
    <t>Ghosh, Manoj Kumer/0000-0002-5279-272X; Roy, Chandan/0000-0002-3997-1088; Kumar, Lalit/0000-0002-9205-756X;</t>
  </si>
  <si>
    <t>Gursoy Ergen, Arzu/F-5981-2016; Bilgin, C Can/H-2159-2011; Gürsoy Ergen, Arzu/F-5981-2016; Karacetin, Evrim/AAS-7725-2021; Aslan, Serdar/AAB-7966-2020; Ambarlı, Didem/AAE-8648-2022; Ilgaz, Çetin/P-6603-2019; SOZEN, MUSTAFA/A-6372-2018</t>
  </si>
  <si>
    <t>Gürsoy Ergen, Arzu/0000-0001-7776-6571; Ambarlı, Didem/0000-0001-5589-9373; Bilgin, C Can/0000-0001-9284-307X; Karacetin, Evrim/0000-0002-7311-1989;</t>
  </si>
  <si>
    <t>; Williams, Gray/D-3139-2009; Leung, Kenneth/C-1055-2009; Lai, Weng Seng/HMO-8224-2023; Leung, Kenneth Mei Yee/C-1055-2009; Yung, Mana/I-4079-2019; Russell, Bayden/A-9942-2008</t>
  </si>
  <si>
    <t>Astudillo Placencia, Juan Carlos/0000-0002-3350-8279; Yung, Mana MN/0000-0001-9627-859X; Racliffe Weng Seng, Lai/0000-0002-9181-3458; Russell, Bayden/0000-0003-1282-9978; Leung, Kenneth Mei Yee/0000-0002-2164-4281;</t>
  </si>
  <si>
    <t>; Bhatta, Kuber/J-3105-2019; VETAAS, OLE/ABA-7337-2020</t>
  </si>
  <si>
    <t>Bhatta, Kuber Prasad/0000-0001-7837-1395;</t>
  </si>
  <si>
    <t>; Li, Zhen/G-7667-2012</t>
  </si>
  <si>
    <t>Li, Zhen/0000-0003-3989-7233; Meng, Xianwei/0000-0001-9041-2997;</t>
  </si>
  <si>
    <t>; van Strien, Arco J/AAG-1843-2020; Kalkman, Vincent/D-5275-2013; van der Hoorn, Berry/D-3282-2018; van Strien, Arco/AAG-1843-2020</t>
  </si>
  <si>
    <t>Turnhout, Sander/0000-0002-1299-3498; van Strien, Arco J/0000-0003-0451-073X; Kalkman, Vincent/0000-0002-1484-7865; Poot, Martin/0000-0003-0219-8914;</t>
  </si>
  <si>
    <t>Slotow, Rob/AAM-9053-2020; Hunter, Luke/H-3324-2019</t>
  </si>
  <si>
    <t>Universidade do Porto; Universidade do Algarve; University of Bologna; University of Bologna; Universidade da Coruna; Helmholtz Association; Alfred Wegener Institute, Helmholtz Centre for Polar &amp; Marine Research; Norwegian Institute for Water Research (NIVA); Centre National de la Recherche Scientifique (CNRS); Sorbonne Universite; Museum National d'Histoire Naturelle (MNHN); University of Oviedo; University of Oslo; Centre National de la Recherche Scientifique (CNRS); CNRS - National Institute for Earth Sciences &amp; Astronomy (INSU); Universite de Lille; Centre National de la Recherche Scientifique (CNRS); CNRS - National Institute for Earth Sciences &amp; Astronomy (INSU); Centre National de la Recherche Scientifique (CNRS); Sorbonne Universite; Marine Biological Association United Kingdom; Universidad de Cantabria; IHCantabria - Instituto de Hidraulica Ambiental de la Universidad de Cantabria; University of Rostock; Sydney Institute of Marine Science; Centre National de la Recherche Scientifique (CNRS); Sorbonne Universite; Universidade do Porto</t>
  </si>
  <si>
    <t>Assis, Jorge/G-9688-2012; Viard, Frédérique/O-4360-2018; Rico, Jose/C-7441-2013; Mieszkowska, Nova/U-8479-2019; Davoult, Dominique/D-5932-2012; Davoult, dominique/D-5932-2012; Airoldi, Laura/I-3553-2019; Araujo, Rita/S-2065-2019; Assis, Jorge/G-9688-2012; Gevaert, Francois/B-9629-2018; Sousa Pinto, Isabel/G-1497-2010; Strain, Elisabeth/U-3520-2017; Pinto, Isabel/W-1591-2019; Bekkby, Trine/GRY-2922-2022; Araujo, Rita/I-2964-2015; Puente, Araceli/H-3163-2015; Gundersen, Hege/F-1494-2013; Valero, Myriam/M-6052-2019; Valero, Myriam/C-7550-2011; Gevaert, François/B-9629-2018; Puente, Araceli/H-3163-2015</t>
  </si>
  <si>
    <t>Assis, Jorge/0000-0002-6624-4820; Viard, Frédérique/0000-0001-5603-9527; Davoult, Dominique/0000-0001-8678-3998; Rico-Ordas, Jose Manuel/0000-0001-6253-257X; Bekkby, Trine/0000-0001-8188-8264; Mieszkowska, Nova/0000-0002-9570-7759; Airoldi, Laura/0000-0001-5046-0871; Norderhaug, Kjell Magnus/0000-0001-6374-4275; Assis, Jorge/0000-0002-6624-4820; Aguilar, Ricardo/0000-0001-6615-8626; Sousa Pinto, Isabel/0000-0002-9231-0553; Strain, Elisabeth/0000-0003-2165-9544; Araujo, Rita/0000-0001-8062-972X; Bárbara, Ignacio/0000-0003-1779-0224; Puente, Araceli/0000-0001-7627-4743; Gundersen, Hege/0000-0001-9706-1325; Valero, Myriam/0000-0002-9000-1423; Gevaert, François/0000-0002-5078-1154; Puente, Araceli/0000-0001-7627-4743</t>
  </si>
  <si>
    <t>Silow, Eugene/0000-0002-7039-3220; Hampton, Stephanie/0000-0003-2389-4249; Woo, Kara/0000-0002-5125-4188</t>
  </si>
  <si>
    <t>Russian Ministry of Education and Science research project [GR 01201461929]; Brachman Hoffman Fund; Fiske Fund; Committee on Faculty Awards at Wellesley College; Russian Science Foundation [14-14-00400]; Irkutsk State University; Dimensions of Biodiversity program of the US National Science Foundation [DEB-1136637, DEB-1136657]; Russian Science Foundation [14-14-00400] Funding Source: Russian Science Foundation; Direct For Biological Sciences; Division Of Environmental Biology [1136657] Funding Source: National Science Foundation; Division Of Environmental Biology; Direct For Biological Sciences [1136710] Funding Source: National Science Foundation</t>
  </si>
  <si>
    <t>Russian Ministry of Education and Science research project; Brachman Hoffman Fund; Fiske Fund; Committee on Faculty Awards at Wellesley College; Russian Science Foundation(Russian Science Foundation (RSF)); Irkutsk State University; Dimensions of Biodiversity program of the US National Science Foundation; Russian Science Foundation(Russian Science Foundation (RSF)); Direct For Biological Sciences; Division Of Environmental Biology(National Science Foundation (NSF)NSF - Directorate for Biological Sciences (BIO)); Division Of Environmental Biology; Direct For Biological Sciences(National Science Foundation (NSF)NSF - Directorate for Biological Sciences (BIO))</t>
  </si>
  <si>
    <t>Olah, George/J-1409-2014; Butchart, Stuart/Y-2711-2018; Brightsmith, Donald/AFP-6335-2022</t>
  </si>
  <si>
    <t>Olah, George/0000-0002-7935-8843; Brightsmith, Donald Joseph/0000-0002-3306-6490; Butchart, Stuart/0000-0002-1140-4049; Heinsohn, Robert/0000-0002-2514-9448</t>
  </si>
  <si>
    <t>Ceccarelli, Daniela/AAN-3577-2020; Wenger, Amelia/S-9135-2019; Devlin, Michelle/HGC-1104-2022; Devlin, Michelle Jillian/M-5870-2014; Petus, Caroline/A-6937-2015; browne, Nicola/W-6612-2019</t>
  </si>
  <si>
    <t>Chu, Housen/Q-6517-2016; Li, Linghao/NXX-9139-2025; Chen, Shiping/AAH-9751-2019; Chen, Jiquan/D-1955-2009</t>
  </si>
  <si>
    <t>Chu, Housen/0000-0002-8131-4938; Chen, Jiquan/0000-0003-0761-9458;</t>
  </si>
  <si>
    <t>National Natural Science Foundation of China [31500403, 31229001]; NSF [1313761]; China Postdoctoral Science Foundation; Directorate For Geosciences; ICER [1313761] Funding Source: National Science Foundation; ICER; Directorate For Geosciences [1523628] Funding Source: National Science Foundation</t>
  </si>
  <si>
    <t>National Natural Science Foundation of China(National Natural Science Foundation of China (NSFC)); NSF(National Science Foundation (NSF)); China Postdoctoral Science Foundation(China Postdoctoral Science Foundation); Directorate For Geosciences; ICER(National Science Foundation (NSF)NSF - Directorate for Geosciences (GEO)); ICER; Directorate For Geosciences(National Science Foundation (NSF)NSF - Directorate for Geosciences (GEO))</t>
  </si>
  <si>
    <t>Yang, Jia/A-6483-2012; Tian, Hanqin/A-6484-2012; Ren, Wei/G-8317-2016; Pan, Shufen/JJC-1864-2023; Dangal, Shree/N-3393-2015; Banger, Kamaljit/B-3215-2016</t>
  </si>
  <si>
    <t>Pan, Shufen/0000-0001-7920-1427; Tian, Hanqin/0000-0002-1806-4091;</t>
  </si>
  <si>
    <t>Máliš, František/R-8687-2016; Brunet, Jörg/B-3583-2012; Jaroszewicz, Bogdan/AAC-8184-2020; Chudomelová, Markéta/KFS-0934-2024; Standovár, Tibor/H-5021-2017; Naaf, Tobias/AAS-7183-2020; Hédl, Radim/A-5631-2011; Bernhardt-Römermann, Markus/B-3027-2009; Macek, Martin/A-3371-2016; Bert, Didier/JZE-3544-2024; Mitchell, Fraser/L-9292-2014; Malis, Frantisek/AAD-5364-2019; Lenoir, Jonathan/AAE-8441-2019; Vild, Ondřej/AAC-4043-2019; Heinken, Thilo/GRS-3133-2022; De Frenne, Pieter/N-4969-2014; Kopecký, Martin/A-1466-2009; Petřík, Petr/H-1649-2014; Baeten, Lander/G-1490-2010; Mirtl, Michael/LEM-0818-2024; Craven, Dylan/K-2717-2012</t>
  </si>
  <si>
    <t>Máliš, František/0000-0003-2760-6988; Verheyen, Kris/0000-0002-2067-9108; Dirnböck, Thomas/0000-0002-8294-0690; Naaf, Tobias/0000-0002-4809-3694; Van Calster, Hans/0000-0001-8595-8426; Vild, Ondřej/0000-0002-0728-2392; Macek, Martin/0000-0002-5609-5921; Mitchell, Fraser/0000-0002-9857-5632; Jaroszewicz, Bogdan/0000-0002-2042-8245; De Frenne, Pieter/0000-0002-8613-0943; Kopecký, Martin/0000-0002-1018-9316; Petřík, Petr/0000-0001-8518-6737; Chudomelová, Markéta/0000-0001-7845-4000; Baeten, Lander/0000-0003-4262-9221; Craven, Dylan/0000-0003-3940-833X</t>
  </si>
  <si>
    <t>; Nic Lughadha, Eimear/N-4560-2014; Albuquerque, Sara/O-9327-2014; Donaldson, John/F-6833-2011; Lughadha, Eimear/N-4560-2014; Celesti, Marco/M-6738-2019</t>
  </si>
  <si>
    <t>Gardiner, Lauren/0000-0002-8843-0317; Nic Lughadha, Eimear/0000-0002-8806-4345; Carretero, Julia/0000-0002-3697-1947; Donaldson, John/0000-0002-7930-1695; Lutz, Maiko/0000-0002-6695-8380; Bachman, Steven/0000-0003-1085-6075; Moat, Justin/0000-0002-5513-3615; McGregor, Kirsty/0000-0003-3696-7216; Celesti, Marco/0000-0001-7249-7106</t>
  </si>
  <si>
    <t>Myneni, Ranga/F-5129-2012; Poulter, Ben/ABB-5886-2021; PENG, Shushi/AAS-2603-2020; Li, Yue/M-8824-2019; wang, yingping/A-9765-2011; Mao, Jiafu/B-9689-2012; Liu, Ronggao/L-8531-2019; Shi, Xiaoying/C-4447-2012; Li, Yue/O-9938-2018; Cheng, Lei/J-5552-2013; Zeng, Ning/A-3130-2008; Huang, Mengtian/JFK-8084-2023; Zeng, Zhenzhong/GQR-0044-2022; Tan, Jianguang/AAY-5463-2020; Huang, Mengtian/JFK-8084-2023; wang, ying-ping/A-9765-2011</t>
  </si>
  <si>
    <t>Myneni, Ranga/0000-0002-0234-6393; wang, yingping/0000-0002-4614-6203; Mao, Jiafu/0000-0002-2050-7373; Shi, Xiaoying/0000-0001-8994-5032; Li, Yue/0000-0003-2997-6368; Poulter, Benjamin/0000-0002-9493-8600; Zeng, Zhenzhong/0000-0001-6851-2756; Huang, Mengtian/0000-0002-1092-1562; Huang, Mengtian/0000-0002-1092-1562; Cheng, Lei/0000-0002-5298-9573</t>
  </si>
  <si>
    <t>Álvarez, Fernando/G-6503-2018; Page, Timothy/B-9000-2008; Mantelatto, Fernando L/H-2695-2012; Anker, Arthur/AAL-5555-2021; Cai, Yixiong/JYO-3969-2024; Mantelatto, Fernando/H-2695-2012; Fapesp, Biota/F-8655-2017</t>
  </si>
  <si>
    <t>Page, Timothy/0000-0002-3521-3503; Villalobos Hiriart, José Luis/0000-0001-6810-2300; Mantelatto, Fernando L/0000-0002-8497-187X; Klotz, Werner/0000-0002-1104-5613; Fapesp, Biota/0000-0002-9887-8449; Cai, Yixiong/0009-0008-6499-5795; smith, kevin/0000-0002-0785-3028</t>
  </si>
  <si>
    <t>United States Department of the Interior; United States Geological Survey; United States Department of the Interior; United States Geological Survey; Hong Kong Polytechnic University; Council of Scientific &amp; Industrial Research (CSIR) - India; CSIR - National Institute of Oceanography (NIO); United States Department of the Interior; United States Geological Survey; Stinger Ghaffarian Technologies, Inc. (SGT); Alphabet Inc.; Google Incorporated</t>
  </si>
  <si>
    <t>; Abbas, Sawaid/Y-4432-2019; Qamer, Faisal/L-9892-2018; .R, MANI/A-9291-2010</t>
  </si>
  <si>
    <t>ABBAS, Sawaid/0000-0003-3417-217X; Pengra, Bruce/0000-0003-2497-8284; Thau, David/0000-0001-8598-9820;</t>
  </si>
  <si>
    <t>Centre National de la Recherche Scientifique (CNRS); CNRS - Institute of Ecology &amp; Environment (INEE); Universite PSL; Ecole Pratique des Hautes Etudes (EPHE); Institut Agro; Montpellier SupAgro; CIRAD; Institut de Recherche pour le Developpement (IRD); Universite Paul-Valery; Universite de Montpellier; University of the Philippines System; University of the Philippines Los Banos; CGIAR; World Agroforestry (ICRAF); University of Tasmania; BirdLife International; Conservation International; University of Bath</t>
  </si>
  <si>
    <t>Butchart, Stuart/Y-2711-2018; Roigues, Ana/A-5914-2009; Hoffmann, Michael/E-6419-2010; Rodrigues, Ana/A-5914-2009</t>
  </si>
  <si>
    <t>Roigues, Ana/0000-0003-4775-0127; Butchart, Stuart/0000-0002-1140-4049; Hoffmann, Michael/0000-0003-4785-2254; Brooks, Thomas/0000-0001-8159-3116</t>
  </si>
  <si>
    <t>Gordon and Betty Moore Foundation; Critical Ecosystem Partnership Fund; Conservation International; BirdLife's Founder Patrons; Aage V. Jensen Charity Foundation; French National Research Agency [MORSE: ANR 11 CEPL 006 01]; NatureServe; Direct For Biological Sciences; Division Of Environmental Biology [1136586] Funding Source: National Science Foundation</t>
  </si>
  <si>
    <t>Gordon and Betty Moore Foundation(Gordon &amp; Betty Moore Foundation); Critical Ecosystem Partnership Fund; Conservation International; BirdLife's Founder Patrons; Aage V. Jensen Charity Foundation; French National Research Agency(Agence Nationale de la Recherche (ANR)); NatureServe; Direct For Biological Sciences; Division Of Environmental Biology(National Science Foundation (NSF)NSF - Directorate for Biological Sciences (BIO))</t>
  </si>
  <si>
    <t>; Mazzoldi, Carlotta/AAU-8628-2020; Finotto, Licia/HJO-9195-2023; Riginella, Emilio/Q-2987-2019</t>
  </si>
  <si>
    <t>Riginella, Emilio/0000-0002-1442-8310; Barausse, Alberto/0000-0002-2849-7624; MAZZOLDI, CARLOTTA/0000-0002-2798-3030</t>
  </si>
  <si>
    <t>; Wu, Jianshuang/N-4694-2015; WU, Jianshuang/N-4694-2015; Zhang, Yangjian/D-1012-2014; Wang, Jingsheng/KGL-6959-2024; Peili, SHi/AAT-6450-2021</t>
  </si>
  <si>
    <t>石, 培礼/0000-0002-1120-0003; Wu, Jianshuang/0000-0002-6768-8255; Tao, Jian/0000-0003-1374-8678;</t>
  </si>
  <si>
    <t>; Wu, Shaohua/B-8259-2009; Chen, Dongxiang/F-4462-2018</t>
  </si>
  <si>
    <t>; Townsend, Philip/B-5741-2008; Sturtevant, Brian/KHV-0383-2024</t>
  </si>
  <si>
    <t>Miranda, Brian/0000-0002-3506-8297; Townsend, Philip/0000-0001-7003-8774;</t>
  </si>
  <si>
    <t>Gang, Chengcheng/Z-4286-2019; Zhou, Liang/D-9403-2016</t>
  </si>
  <si>
    <t>Zhou, Liang/0000-0003-3968-1897; Gang, Chengcheng/0000-0002-2804-5636;</t>
  </si>
  <si>
    <t>Verburg, Peter/A-8469-2010; Janse, Jan/OUI-7427-2025; Verburg, Peter/Z-1582-2019; Vermaat, Jan/I-5856-2012</t>
  </si>
  <si>
    <t>Retana, Javier/L-1214-2014; Retana, Javier/L-1214-2014; Martínez-Vilalta, Jordi/D-3385-2014; Martinez-Vilalta, Jordi/D-3385-2014; Vayreda, Jordi/U-8172-2017</t>
  </si>
  <si>
    <t>Retana, Javier/0000-0002-7505-9467; Retana, Javier/0000-0002-7505-9467; Gracia, Marc/0000-0002-7492-800X; Martinez-Vilalta, Jordi/0000-0002-2332-7298; Vayreda, Jordi/0000-0002-9538-7361</t>
  </si>
  <si>
    <t>Fano, Elisa/M-6731-2015; Giari, Luisa/F-5909-2015; Milardi, Marco/ACZ-4214-2022; Lanzoni, Mattia/AAL-5938-2021; Fano, Elisa Anna/M-6731-2015; Castaldelli, Giuseppe/Q-8301-2016</t>
  </si>
  <si>
    <t>Giari, Luisa/0000-0003-1058-0910; Milardi, Marco/0000-0001-6104-294X; Fano, Elisa Anna/0000-0001-8552-9621; Castaldelli, Giuseppe/0000-0001-5954-1133</t>
  </si>
  <si>
    <t>University of Oslo; AgroParisTech; Centre National de la Recherche Scientifique (CNRS); Institut de Recherche pour le Developpement (IRD); Sorbonne Universite; Universite Paris-Est-Creteil-Val-de-Marne (UPEC); Lancaster University; UK Centre for Ecology &amp; Hydrology (UKCEH)</t>
  </si>
  <si>
    <t>Otero, Jaime/C-4848-2015; Ohlberger, Jan/H-3262-2019; Stenseth, Nils/G-5212-2016; Vøllestad, Leif/H-7305-2019; Stenseth, Nils Christian/G-5212-2016; Winfield, Ian/I-6085-2012</t>
  </si>
  <si>
    <t>Ohlberger, Jan/0000-0001-6795-240X; Stenseth, Nils Christian/0000-0002-1591-5399; Vøllestad, Leif Asbjørn/0000-0002-9389-7982;</t>
  </si>
  <si>
    <t>Cowie, Annette/0000-0002-3858-959X; Ahlgren, Serina/0000-0002-0086-8059</t>
  </si>
  <si>
    <t>; Tyukavina, Alexandra/AGW-0785-2022; Hansen, Matthew/ABE-7226-2020; Goetz, Scott/A-3393-2015; Potapov, Peter/AAE-7388-2019</t>
  </si>
  <si>
    <t>Tyukavina, Alexana/0000-0003-3872-9844; Goetz, Scott/0000-0002-6326-4308; Potapov, Peter/0000-0003-3977-0021; Zhuravleva, Ilona/0000-0001-7897-281X</t>
  </si>
  <si>
    <t>Hendriks, Aalbert/C-6767-2013; Hanafiah, Marlia/AAN-4611-2020; Huijbregts, Mark/B-8971-2011; Huijbregts, Mark/LSL-2248-2024</t>
  </si>
  <si>
    <t>; McIlwain, Jennifer/J-9179-2012; Rocha, Luiz/T-6326-2019; Abesamis, Rene/AAE-1917-2022</t>
  </si>
  <si>
    <t>Lazuardi, Muhammad Erdi/0000-0001-8964-8898; Rocha, Luiz/0000-0003-4011-569X; McIlwain, Jennifer/0000-0002-7790-5081; Clements, Kendall/0000-0001-8512-5977; Stockwell, Brian/0000-0001-9983-4723; Comeros-Raynal, Mia Theresa/0000-0002-5087-8984; Muljadi, Aneas Hary/0000-0001-9239-9124; Abesamis, Rene/0000-0001-7456-1415; Sanciangco, Jonnell Cueto/0000-0001-8268-3180;</t>
  </si>
  <si>
    <t>Vaughan, Ian/A-4782-2010; Ormerod, Steve/A-4326-2010; Ormerod, Stephen J/A-4326-2010</t>
  </si>
  <si>
    <t>Vaughan, Ian/0000-0002-7263-3822; Ormerod, Stephen J/0000-0002-8174-302X</t>
  </si>
  <si>
    <t>Garnett, Stephen/M-3877-2013; Butchart, Stuart/Y-2711-2018; Possingham, Hugh/B-1337-2008; Szabo, Judit/C-1247-2012</t>
  </si>
  <si>
    <t>Thompson, Patrick/B-6213-2012; Richardson, John/G-1513-2012; Kratina, Pavel/O-5192-2019</t>
  </si>
  <si>
    <t>Thompson, Patrick/0000-0002-5278-9045; Richardson, John/0000-0001-8135-7447; Kratina, Pavel/0000-0002-9144-7937;</t>
  </si>
  <si>
    <t>Garcia, Francisco/C-9636-2015; Hagen, Melanie/I-7939-2013; Böhning-Gaese, Katrin/W-2601-2019; Schleuning, Matthias/H-2154-2015; Farwig, Nina/JMQ-1406-2023; Fischer, Georg/Y-3059-2019; Fischer, Georg/G-2484-2015; Böhning-Gaese, Katrin/W-2601-2019</t>
  </si>
  <si>
    <t>Peters, Marcell/0000-0002-1262-0827; Böhning-Gaese, Katrin/0000-0003-0477-5586; Schleuning, Matthias/0000-0001-9426-045X; Fischer, Georg/0000-0002-4033-2005; Hita Garcia, Francisco/0000-0003-4709-3083; Fischer, Georg/0000-0002-0637-6485; Böhning-Gaese, Katrin/0000-0003-0477-5586</t>
  </si>
  <si>
    <t>Roigues, Ana/A-5914-2009; Hoffmann, Michael/E-6419-2010; Rodrigues, Ana/A-5914-2009; Belant, Jerrold/HDM-7749-2022; Schipper, Jan/N-5266-2015</t>
  </si>
  <si>
    <t>Roigues, Ana/0000-0003-4775-0127; Hoffmann, Michael/0000-0003-4785-2254; Schipper, Jan/0000-0002-8338-7874</t>
  </si>
  <si>
    <t>Chen, Jing/AAD-4768-2020; Zhu, Zhiliang/I-2686-2018; Cochrane, Mark/A-1735-2018; Liu, Jinxun/H-8604-2018</t>
  </si>
  <si>
    <t>Zhu, Zhiliang/0000-0002-6860-6936; Vogelmann, James/0000-0002-0804-5823; Liu, Jinxun/0000-0003-0561-8988</t>
  </si>
  <si>
    <t>Tian, Hanqin/A-6484-2012; Pan, Shufen/JJC-1864-2023; Xu, Xiaofeng/B-2391-2008; Ren, Wei/G-8317-2016; Liu, Mingliang/B-1361-2009; Chen, Guangsheng/AAC-4462-2022; Lu, Chaoqun/HCH-9102-2022; Zhang, Chi/ABB-1176-2021</t>
  </si>
  <si>
    <t>Tian, Hanqin/0000-0002-1806-4091; Xu, Xiaofeng/0000-0002-6553-6514; 张, 弛/0000-0003-4866-1441; Liu, Mingliang/0000-0002-1963-5933; Lu, Chaoqun/0000-0002-1526-0513; Pan, Shufen/0000-0001-7920-1427;</t>
  </si>
  <si>
    <t>White, William/B-9748-2009; Pecl, Gretta/D-7267-2011; Edgar, Graham/C-8341-2013; Hobday, Alistair/A-1460-2012; Last, Peter/B-9740-2009; Edgar, Graham/AAY-3797-2020</t>
  </si>
  <si>
    <t>White, William/0000-0001-9705-2453; Pecl, Gretta/0000-0003-0192-4339; Edgar, Graham/0000-0003-0833-9001;</t>
  </si>
  <si>
    <t>Edgar, Graham/AAY-3797-2020; Edgar, Graham/C-8341-2013; Barrett, Neville/J-7593-2014; Driessen, Michael/X-3642-2019; Last, Peter/B-9740-2009</t>
  </si>
  <si>
    <t>Edgar, Graham/0000-0003-0833-9001; Barrett, Neville/0000-0002-6167-1356;</t>
  </si>
  <si>
    <t>Wang, Yamin/JZT-3868-2024; Duke, Norman/K-5729-2013; Ellison, Joanna/C-2372-2014; Salmo, Severino/T-4794-2018; Kandasamy, Kathiresan/X-7933-2019; Yong, Jean/B-9976-2019</t>
  </si>
  <si>
    <t>Duke, Norman/0000-0003-2081-9120; Ellison, Joanna/0000-0003-0692-8347; Sanciangco, Jonnell Cueto/0000-0001-8268-3180; Salmo, Severino/0000-0001-6807-4397; Yong, Jean/0000-0003-3325-8254; Kandasamy, Kathiresan/0000-0003-1203-0023; Ellison, Aaron/0000-0003-4151-6081; Fernando, Edwino/0000-0001-9422-5451;</t>
  </si>
  <si>
    <t>Newcastle University - UK; Wildlife Conservation Society; National Academies of Sciences, Engineering &amp; Medicine; National Oceanic Atmospheric Admin (NOAA) - USA; James Cook University; Centre for Environment Fisheries &amp; Aquaculture Science; University of East Anglia; Institut de Recherche pour le Developpement (IRD); University of La Reunion; Centre National de la Recherche Scientifique (CNRS); Aix-Marseille Universite; Universite Perpignan Via Domitia; Centre National de la Recherche Scientifique (CNRS); CNRS - Institute of Ecology &amp; Environment (INEE); Universite de Montpellier; Stockholm University; Newcastle University - UK; University of Warwick</t>
  </si>
  <si>
    <t>Graham, Nicholas/C-8360-2014; Spalding, Mark/GVU-0739-2022; LETOURNEUR, Yves/B-4387-2012; Chabanet, Pascale/L-9470-2017; McClanahan, Tim/K-4998-2019; Edwards, Alasdair/C-9558-2009; Jennings, Simon/F-5085-2012; MacNeil, Aaron/E-8196-2017; Wilson, Shaun/K-8597-2019; MacNeil, M Aaron/E-8196-2017</t>
  </si>
  <si>
    <t>Graham, Nicholas/0000-0002-0304-7467; Chabanet, Pascale/0000-0001-7600-943X; Polunin, Nick/0000-0002-1480-8794; sheppard, charles/0000-0002-2579-5124; LETOURNEUR, Yves/0000-0003-3157-1976; Jennings, Simon/0000-0002-2390-7225; Öhman, Marcus C/0009-0003-6452-7012; MacNeil, M Aaron/0000-0001-8406-325X; Wilson, Shaun/0000-0002-4590-0948; McClanahan, Timothy/0000-0001-5821-3584; Spalding, Mark/0000-0001-9456-4533</t>
  </si>
  <si>
    <t>Asner, Gregory/G-9268-2013; Broadbent, Eben/H-2965-2013; Broadbent, Eben/AFL-1770-2022; Asner, Gregory/G-9268-2013; Keller, Michael/A-8976-2012</t>
  </si>
  <si>
    <t>Asner, Gregory/0000-0001-7893-6421; Silva, José/0000-0003-4068-2432; Broadbent, Eben/0000-0002-4488-4237; Oliveira, Paulo/0000-0002-4071-3924; Asner, Gregory/0000-0001-7893-6421; Keller, Michael/0000-0002-0253-3359</t>
  </si>
  <si>
    <t>Agostinho, Angelo/S-1538-2019; Caramaschi, Erica/D-5406-2013; Agostinho, Angelo Antonio/D-5888-2013</t>
  </si>
  <si>
    <t>Winemiller, Kirk/0000-0003-0236-5129; Agostinho, Angelo Antonio/0000-0002-4707-9444</t>
  </si>
  <si>
    <t>Helmholtz Association; GEOMAR Helmholtz Center for Ocean Research Kiel; Centre National de la Recherche Scientifique (CNRS); Universite Claude Bernard Lyon 1; CNRS - Institute of Ecology &amp; Environment (INEE)</t>
  </si>
  <si>
    <t>Daufresne, Martin/JGE-5174-2023; Bady, Pierre/N-1231-2015</t>
  </si>
  <si>
    <t>DAUFRESNE, MARTIN/0009-0004-4604-4903; Bady, Pierre/0000-0003-1398-4689</t>
  </si>
  <si>
    <t>Alcåzar, Rafael/R-4920-2018; Beja, Pedro/A-7851-2008</t>
  </si>
  <si>
    <t>Beja, Peo/0000-0001-8164-0760</t>
  </si>
  <si>
    <t>139 Records for Test List</t>
  </si>
  <si>
    <t>128 records for labels</t>
  </si>
  <si>
    <t>DO = (
"10.5343/bms.2017.1061" OR
"10.5194/bg-14-2387-2017" OR
"10.3390/rs9060525" OR
"10.3390/rs5084125" OR
"10.3390/f7120305" OR
"10.3354/meps12462" OR
"10.3354/meps12221" OR
"10.3354/meps08592" OR
"10.1890/07-1254.1" OR
"10.15517/rbt.v62i0.15922" OR
"10.1371/journal.pone.0135152" OR
"10.1371/journal.pone.0120198" OR
"10.1371/journal.pone.0113934" OR
"10.1371/journal.pone.0081292" OR
"10.1371/journal.pone.0039825" OR
"10.1371/journal.pone.0027785" OR
"10.1371/journal.pone.0010095" OR
"10.1371/journal.pone.0003039" OR
"10.1186/1746-4269-2-24" OR
"10.1177/1940082918769460" OR
"10.1111/jvs.12579" OR
"10.1111/jvs.12423" OR
"10.1111/jofo.12204" OR
"10.1111/jbi.12808" OR
"10.1111/jbi.12105" OR
"10.1111/j.1600-0706.2012.20696.x" OR
"10.1111/j.1600-0706.2012.19858.x" OR
"10.1111/j.1472-4642.2009.00633.x" OR
"10.1111/j.1469-1795.2010.00369.x" OR
"10.1111/j.1466-8238.2010.00575.x" OR
"10.1111/j.1442-9993.2009.01979.x" OR
"10.1111/j.1365-2745.2006.01140.x" OR
"10.1111/j.1365-2486.2012.02662.x" OR
"10.1111/j.1365-2486.2011.02540.x" OR
"10.1111/gfs.12073" OR
"10.1111/geb.12690" OR
"10.1111/gcb.13714" OR
"10.1111/gcb.13091" OR
"10.1111/gcb.12993" OR
"10.1111/gcb.12795" OR
"10.1111/gcb.12588" OR
"10.1111/fwb.12929" OR
"10.1111/fwb.12380" OR
"10.1111/fwb.12353" OR
"10.1111/fog.12246" OR
"10.1111/ddi.12693" OR
"10.1111/conl.12258" OR
"10.1111/cobi.12576" OR
"10.1111/1365-2664.13137" OR
"10.1098/rstb.2011.0116" OR
"10.1098/rspb.2009.1020" OR
"10.1093/icesjms/fst222" OR
"10.1093/icesjms/fss072" OR
"10.1093/icb/icq072" OR
"10.1088/1748-9326/aacd1c" OR
"10.1088/1748-9326/aac331" OR
"10.1088/1748-9326/8/2/024034" OR
"10.1080/14634980701350686" OR
"10.1080/02705060.2017.1319431" OR
"10.1073/pnas.1711122115" OR
"10.1071/MU10009" OR
"10.1046/j.1365-2486.2002.00482.x" OR
"10.1038/s41467-017-01997-0" OR
"10.1038/nature25139" OR
"10.1029/95JD02138" OR
"10.1029/2011JG001930" OR
"10.1029/2010GB003838" OR
"10.1023/A:1024147529295" OR
"10.1023/A:1011185409347" OR
"10.1021/acs.est.6b05296" OR
"10.1017/S0959270912000020" OR
"10.1017/S0959270908000439" OR
"10.1017/S0266467404001683" OR
"10.1017/S0030605311000937" OR
"10.1017/S0030605307001883" OR
"10.1016/S0006-3207(03)00051-X" OR
"10.1016/j.scitotenv.2017.02.210" OR
"10.1016/j.scitotenv.2016.03.055" OR
"10.1016/j.scitotenv.2013.10.128" OR
"10.1016/j.rsma.2016.09.001" OR
"10.1016/j.rsma.2015.06.001" OR
"10.1016/j.rama.2018.02.008" OR
"10.1016/j.orggeochem.2016.06.001" OR
"10.1016/j.marpolbul.2018.04.065" OR
"10.1016/j.marpolbul.2017.06.054" OR
"10.1016/j.marenvres.2018.05.008" OR
"10.1016/j.landusepol.2017.09.045" OR
"10.1016/j.jglr.2015.11.006" OR
"10.1016/j.jglr.2012.09.022" OR
"10.1016/j.jenvman.2014.01.020" OR
"10.1016/j.jclepro.2012.06.016" OR
"10.1016/j.gloplacha.2014.07.007" OR
"10.1016/j.gloplacha.2013.06.007" OR
"10.1016/j.foreco.2018.04.012" OR
"10.1016/j.foreco.2013.10.039" OR
"10.1016/j.foreco.2009.07.013" OR
"10.1016/j.flora.2015.09.013" OR
"10.1016/j.fishres.2017.10.012" OR
"10.1016/j.fishres.2016.01.005" OR
"10.1016/j.fishres.2014.12.016" OR
"10.1016/j.envres.2015.09.002" OR
"10.1016/j.ecss.2006.08.018" OR
"10.1016/j.ecolmodel.2013.11.004" OR
"10.1016/j.ecolmodel.2011.03.042" OR
"10.1016/j.ecolind.2018.03.004" OR
"10.1016/j.catena.2016.11.014" OR
"10.1016/j.biocon.2017.08.032" OR
"10.1016/j.biocon.2016.05.031" OR
"10.1016/j.biocon.2016.04.013" OR
"10.1016/j.biocon.2013.07.012" OR
"10.1016/j.biocon.2012.01.062" OR
"10.1016/j.biocon.2008.04.024" OR
"10.1016/j.apgeog.2018.03.006" OR
"10.1016/j.agrformet.2014.01.002" OR
"10.1016/j.agrformet.2012.07.007" OR
"10.1016/j.agee.2005.10.019" OR
"10.1016/j.actao.2013.12.006" OR
"10.1016/B978-012088449-0.50007-8" OR
"10.1016/B978-0-12-385140-6.00064-5" OR
"10.1007/s40333-013-0181-z" OR
"10.1007/s12665-013-2547-0" OR
"10.1007/s12665-011-1046-4" OR
"10.1007/s12237-012-9506-y" OR
"10.1007/s11707-012-0335-x" OR
"10.1007/s11270-014-1925-x" OR
"10.1007/s10584-015-1448-5" OR
"10.1007/s10531-016-1172-0" OR
"10.1007/s10531-016-1141-7" OR
"10.1007/s10531-015-1036-z" OR
"10.1007/s10530-007-9138-5" OR
"10.1007/s00442-006-0655-1" OR
"10.1002/wene.41" OR
"10.1002/eap.1755" OR
"10.1002/aqc.2850" OR
"10.1002/aqc.2345" OR
"10.1002/aqc.1079"
)
OR TI = (
"POPULATION STATUS AND CONSERVATION REQUIREMENT OF SOME ENDANGERED PLANTS GROWING IN DAYALBAGH EDUCATIONAL INSTITUTE, AGRA" OR
"The Impact of Global Change on the Dynamics of Marine Living Resources"
)</t>
  </si>
  <si>
    <t>DT=(Article)</t>
  </si>
  <si>
    <t>AND WC=(</t>
  </si>
  <si>
    <t>Biodiversity Conservation OR</t>
  </si>
  <si>
    <t>Ecology OR</t>
  </si>
  <si>
    <t>Environmental Sciences OR</t>
  </si>
  <si>
    <t>Environmental Studies OR</t>
  </si>
  <si>
    <t>Marine &amp; Freshwater Biology OR</t>
  </si>
  <si>
    <t>Fisheries OR</t>
  </si>
  <si>
    <t>Oceanography OR</t>
  </si>
  <si>
    <t>Forestry OR</t>
  </si>
  <si>
    <t>Water Resources OR</t>
  </si>
  <si>
    <t>Agronomy OR</t>
  </si>
  <si>
    <t>Geosciences, Multidisciplinary OR</t>
  </si>
  <si>
    <t>Meteorology &amp; Atmospheric Sciences OR</t>
  </si>
  <si>
    <t>Plant Sciences OR</t>
  </si>
  <si>
    <t>Zoology OR</t>
  </si>
  <si>
    <t>Remote Sensing OR</t>
  </si>
  <si>
    <t>)</t>
  </si>
  <si>
    <t>AND TS=(</t>
  </si>
  <si>
    <t>(</t>
  </si>
  <si>
    <t>loss* NEAR/3 (habitat* OR biodiversit* OR species OR population*</t>
  </si>
  <si>
    <t>OR "ecosystem service*" OR ecosystem* OR forest* OR coral*</t>
  </si>
  <si>
    <t>OR mangrove* OR reef* OR wetland* OR bird* OR mammal* OR plant*)</t>
  </si>
  <si>
    <t>OR</t>
  </si>
  <si>
    <t>change* OR reference*   OR indicator* OR impact* OR effect*  OR pressure* OR trend* OR response* OR status  OR pattern* OR assessment* OR monitor*  OR risk* OR driver*</t>
  </si>
  <si>
    <t>AND</t>
  </si>
  <si>
    <t>(“land use chang*” OR “land cover chang*” OR “land* system* chang*” OR “land*</t>
  </si>
  <si>
    <t>chang*” OR “land* degradation” OR “land* conversion” OR “land management”) OR</t>
  </si>
  <si>
    <t>((marine OR ocean OR sea*) AND use AND change*) OR (“habitat loss*” OR “habitat</t>
  </si>
  <si>
    <t>degradation*” OR “habitat chang*” OR “habitat conversion” OR “habitat modification*” OR</t>
  </si>
  <si>
    <t>“habitat fragmentation” OR “habitat management”) OR (biofuel* OR biogas*) OR</t>
  </si>
  <si>
    <t>((residential OR urban* OR cities OR housing OR commercial OR industrial OR touris* OR</t>
  </si>
  <si>
    <t>recreation*) AND (extent OR area OR cover* OR proportion* OR percentage*) AND</t>
  </si>
  <si>
    <t>(develop* OR expan* OR increas*)) OR (deforestation OR afforestation OR “wood</t>
  </si>
  <si>
    <t>plantation*” OR “forest* plantation*” OR “pulp* plantation*”) OR ((aquaculture* OR</t>
  </si>
  <si>
    <t>agricultur* OR crop* OR “cultivated area*” OR farmland OR pasture) AND (develop* OR</t>
  </si>
  <si>
    <t>expan* OR increas* OR intensification OR extensification OR abandon* OR chang*)) OR</t>
  </si>
  <si>
    <t>(livestock AND (farm* OR ranch* OR graz* OR densit*)) OR (energy AND (drill* OR min*</t>
  </si>
  <si>
    <t>OR quarry*)) OR (((transport* OR service) AND (network* OR corridor* OR</t>
  </si>
  <si>
    <t>infrastructure*)) OR road* OR rail* OR “ship* lane*” OR “flight path*”) OR (“system*</t>
  </si>
  <si>
    <t>modification*” OR (dams OR (water AND (management OR use))))</t>
  </si>
  <si>
    <t>((((natur* AND resource*) OR material* OR (biomass OR “fossil fuel*” OR ore* OR</t>
  </si>
  <si>
    <t>mineral*)) OR ((biological AND resource*) OR wildlife OR animal* OR plant* OR</t>
  </si>
  <si>
    <t>population*) OR water) AND ((overextraction OR overexploitation) OR (extraction OR</t>
  </si>
  <si>
    <t>exploitation OR withdraw*) OR depletion OR (hunting OR collect* OR gather* OR poaching</t>
  </si>
  <si>
    <t>OR “bush meat*”))) OR ((forest* OR wood OR timber*) AND (harvest* OR logging*)) OR</t>
  </si>
  <si>
    <t>(soil* AND (erosion OR acidification OR degradation)) OR (fisher* OR fishing OR (bycatch</t>
  </si>
  <si>
    <t>OR by-catch))</t>
  </si>
  <si>
    <t>“climat* change” OR “chang* climat*” OR (“increase* temperature*” OR “thermal</t>
  </si>
  <si>
    <t>alteration” OR “global warming”) OR (chang* AND precipitation*) OR ((extreme OR</t>
  </si>
  <si>
    <t>severe) AND (weather OR temperature OR precipitation OR climat*)) OR heatwave* OR</t>
  </si>
  <si>
    <t>drought* OR storm* OR flood* OR (UV OR ultraviolet) OR “sea level rise” OR “soil</t>
  </si>
  <si>
    <t>salinization” OR (“habitat shift*” AND climate) OR (“habitat alteration” AND climate) OR</t>
  </si>
  <si>
    <t>((consumptive OR human OR agricultural) AND “water stress”)</t>
  </si>
  <si>
    <t>(pollut* OR contamin* OR emission* OR spill-over* OR disposal* OR deposition* OR</t>
  </si>
  <si>
    <t>load* OR dump* OR discharge*) OR ((noise OR light OR gas* OR particle* OR particulate*</t>
  </si>
  <si>
    <t>OR nitrogen OR sulphur* OR phosphor* OR waste* OR garbage OR sewage OR pesticide*</t>
  </si>
  <si>
    <t>OR fertilizer* OR nutrient* OR “oil spill*” OR metal OR salinization OR salinisation OR</t>
  </si>
  <si>
    <t>acidification OR solid OR plastic OR mercury OR nutrient* OR pollutant*) AND (soil OR</t>
  </si>
  <si>
    <t>water OR ocean OR marine OR atmosphere OR air)) OR ((industrial OR military OR</t>
  </si>
  <si>
    <t>agricultur* OR forest*) AND effluent*)</t>
  </si>
  <si>
    <t>((invasive OR invasion) AND (alien OR exotic OR non-native OR pest* OR disease) AND</t>
  </si>
  <si>
    <t>species) OR “biological invasion*” OR (introduc* AND (species OR material))</t>
  </si>
  <si>
    <t>AND (</t>
  </si>
  <si>
    <t>DO = (</t>
  </si>
  <si>
    <t>10.5343/bms.2017.1061 OR</t>
  </si>
  <si>
    <t>10.5194/bg-14-2387-2017 OR</t>
  </si>
  <si>
    <t>10.3390/rs9060525 OR</t>
  </si>
  <si>
    <t>10.3390/rs5084125 OR</t>
  </si>
  <si>
    <t>10.3390/f7120305 OR</t>
  </si>
  <si>
    <t>10.3354/meps12462 OR</t>
  </si>
  <si>
    <t>10.3354/meps12221 OR</t>
  </si>
  <si>
    <t>10.3354/meps08592 OR</t>
  </si>
  <si>
    <t>10.1890/07-1254.1 OR</t>
  </si>
  <si>
    <t>10.15517/rbt.v62i0.15922 OR</t>
  </si>
  <si>
    <t>10.1371/journal.pone.0135152 OR</t>
  </si>
  <si>
    <t>10.1371/journal.pone.0120198 OR</t>
  </si>
  <si>
    <t>10.1371/journal.pone.0113934 OR</t>
  </si>
  <si>
    <t>10.1371/journal.pone.0081292 OR</t>
  </si>
  <si>
    <t>10.1371/journal.pone.0039825 OR</t>
  </si>
  <si>
    <t>10.1371/journal.pone.0027785 OR</t>
  </si>
  <si>
    <t>10.1371/journal.pone.0010095 OR</t>
  </si>
  <si>
    <t>10.1371/journal.pone.0003039 OR</t>
  </si>
  <si>
    <t>10.1186/1746-4269-2-24 OR</t>
  </si>
  <si>
    <t>10.1177/1940082918769460 OR</t>
  </si>
  <si>
    <t>10.1111/jvs.12579 OR</t>
  </si>
  <si>
    <t>10.1111/jvs.12423 OR</t>
  </si>
  <si>
    <t>10.1111/jofo.12204 OR</t>
  </si>
  <si>
    <t>10.1111/jbi.12808 OR</t>
  </si>
  <si>
    <t>10.1111/jbi.12105 OR</t>
  </si>
  <si>
    <t>10.1111/j.1600-0706.2012.20696.x OR</t>
  </si>
  <si>
    <t>10.1111/j.1600-0706.2012.19858.x OR</t>
  </si>
  <si>
    <t>10.1111/j.1472-4642.2009.00633.x OR</t>
  </si>
  <si>
    <t>10.1111/j.1469-1795.2010.00369.x OR</t>
  </si>
  <si>
    <t>10.1111/j.1466-8238.2010.00575.x OR</t>
  </si>
  <si>
    <t>10.1111/j.1442-9993.2009.01979.x OR</t>
  </si>
  <si>
    <t>10.1111/j.1365-2745.2006.01140.x OR</t>
  </si>
  <si>
    <t>10.1111/j.1365-2486.2012.02662.x OR</t>
  </si>
  <si>
    <t>10.1111/j.1365-2486.2011.02540.x OR</t>
  </si>
  <si>
    <t>10.1111/gfs.12073 OR</t>
  </si>
  <si>
    <t>10.1111/geb.12690 OR</t>
  </si>
  <si>
    <t>10.1111/gcb.13714 OR</t>
  </si>
  <si>
    <t>10.1111/gcb.13091 OR</t>
  </si>
  <si>
    <t>10.1111/gcb.12993 OR</t>
  </si>
  <si>
    <t>10.1111/gcb.12795 OR</t>
  </si>
  <si>
    <t>10.1111/gcb.12588 OR</t>
  </si>
  <si>
    <t>10.1111/fwb.12929 OR</t>
  </si>
  <si>
    <t>10.1111/fwb.12380 OR</t>
  </si>
  <si>
    <t>10.1111/fwb.12353 OR</t>
  </si>
  <si>
    <t>10.1111/fog.12246 OR</t>
  </si>
  <si>
    <t>10.1111/ddi.12693 OR</t>
  </si>
  <si>
    <t>10.1111/conl.12258 OR</t>
  </si>
  <si>
    <t>10.1111/cobi.12576 OR</t>
  </si>
  <si>
    <t>10.1111/1365-2664.13137 OR</t>
  </si>
  <si>
    <t>10.1098/rstb.2011.0116 OR</t>
  </si>
  <si>
    <t>10.1098/rspb.2009.1020 OR</t>
  </si>
  <si>
    <t>10.1093/icesjms/fst222 OR</t>
  </si>
  <si>
    <t>10.1093/icesjms/fss072 OR</t>
  </si>
  <si>
    <t>10.1093/icb/icq072 OR</t>
  </si>
  <si>
    <t>10.1088/1748-9326/aacd1c OR</t>
  </si>
  <si>
    <t>10.1088/1748-9326/aac331 OR</t>
  </si>
  <si>
    <t>10.1088/1748-9326/8/2/024034 OR</t>
  </si>
  <si>
    <t>10.1080/14634980701350686 OR</t>
  </si>
  <si>
    <t>10.1080/02705060.2017.1319431 OR</t>
  </si>
  <si>
    <t>10.1073/pnas.1711122115 OR</t>
  </si>
  <si>
    <t>10.1071/MU10009 OR</t>
  </si>
  <si>
    <t>10.1046/j.1365-2486.2002.00482.x OR</t>
  </si>
  <si>
    <t>10.1038/s41467-017-01997-0 OR</t>
  </si>
  <si>
    <t>10.1038/nature25139 OR</t>
  </si>
  <si>
    <t>10.1029/95JD02138 OR</t>
  </si>
  <si>
    <t>10.1029/2011JG001930 OR</t>
  </si>
  <si>
    <t>10.1029/2010GB003838 OR</t>
  </si>
  <si>
    <t>10.1023/A:1024147529295 OR</t>
  </si>
  <si>
    <t>10.1023/A:1011185409347 OR</t>
  </si>
  <si>
    <t>10.1021/acs.est.6b05296 OR</t>
  </si>
  <si>
    <t>10.1017/S0959270912000020 OR</t>
  </si>
  <si>
    <t>10.1017/S0959270908000439 OR</t>
  </si>
  <si>
    <t>10.1017/S0266467404001683 OR</t>
  </si>
  <si>
    <t>10.1017/S0030605311000937 OR</t>
  </si>
  <si>
    <t>10.1017/S0030605307001883 OR</t>
  </si>
  <si>
    <t>10.1016/S0006-3207(03)00051-X OR</t>
  </si>
  <si>
    <t>10.1016/j.scitotenv.2017.02.210 OR</t>
  </si>
  <si>
    <t>10.1016/j.scitotenv.2016.03.055 OR</t>
  </si>
  <si>
    <t>10.1016/j.scitotenv.2013.10.128 OR</t>
  </si>
  <si>
    <t>10.1016/j.rsma.2016.09.001 OR</t>
  </si>
  <si>
    <t>10.1016/j.rsma.2015.06.001 OR</t>
  </si>
  <si>
    <t>10.1016/j.rama.2018.02.008 OR</t>
  </si>
  <si>
    <t>10.1016/j.orggeochem.2016.06.001 OR</t>
  </si>
  <si>
    <t>10.1016/j.marpolbul.2018.04.065 OR</t>
  </si>
  <si>
    <t>10.1016/j.marpolbul.2017.06.054 OR</t>
  </si>
  <si>
    <t>10.1016/j.marenvres.2018.05.008 OR</t>
  </si>
  <si>
    <t>10.1016/j.landusepol.2017.09.045 OR</t>
  </si>
  <si>
    <t>10.1016/j.jglr.2015.11.006 OR</t>
  </si>
  <si>
    <t>10.1016/j.jglr.2012.09.022 OR</t>
  </si>
  <si>
    <t>10.1016/j.jenvman.2014.01.020 OR</t>
  </si>
  <si>
    <t>10.1016/j.jclepro.2012.06.016 OR</t>
  </si>
  <si>
    <t>10.1016/j.gloplacha.2014.07.007 OR</t>
  </si>
  <si>
    <t>10.1016/j.gloplacha.2013.06.007 OR</t>
  </si>
  <si>
    <t>10.1016/j.foreco.2018.04.012 OR</t>
  </si>
  <si>
    <t>10.1016/j.foreco.2013.10.039 OR</t>
  </si>
  <si>
    <t>10.1016/j.foreco.2009.07.013 OR</t>
  </si>
  <si>
    <t>10.1016/j.flora.2015.09.013 OR</t>
  </si>
  <si>
    <t>10.1016/j.fishres.2017.10.012 OR</t>
  </si>
  <si>
    <t>10.1016/j.fishres.2016.01.005 OR</t>
  </si>
  <si>
    <t>10.1016/j.fishres.2014.12.016 OR</t>
  </si>
  <si>
    <t>10.1016/j.envres.2015.09.002 OR</t>
  </si>
  <si>
    <t>10.1016/j.ecss.2006.08.018 OR</t>
  </si>
  <si>
    <t>10.1016/j.ecolmodel.2013.11.004 OR</t>
  </si>
  <si>
    <t>10.1016/j.ecolmodel.2011.03.042 OR</t>
  </si>
  <si>
    <t>10.1016/j.ecolind.2018.03.004 OR</t>
  </si>
  <si>
    <t>10.1016/j.catena.2016.11.014 OR</t>
  </si>
  <si>
    <t>10.1016/j.biocon.2017.08.032 OR</t>
  </si>
  <si>
    <t>10.1016/j.biocon.2016.05.031 OR</t>
  </si>
  <si>
    <t>10.1016/j.biocon.2016.04.013 OR</t>
  </si>
  <si>
    <t>10.1016/j.biocon.2013.07.012 OR</t>
  </si>
  <si>
    <t>10.1016/j.biocon.2012.01.062 OR</t>
  </si>
  <si>
    <t>10.1016/j.biocon.2008.04.024 OR</t>
  </si>
  <si>
    <t>10.1016/j.apgeog.2018.03.006 OR</t>
  </si>
  <si>
    <t>10.1016/j.agrformet.2014.01.002 OR</t>
  </si>
  <si>
    <t>10.1016/j.agrformet.2012.07.007 OR</t>
  </si>
  <si>
    <t>10.1016/j.agee.2005.10.019 OR</t>
  </si>
  <si>
    <t>10.1016/j.actao.2013.12.006 OR</t>
  </si>
  <si>
    <t>10.1016/B978-012088449-0.50007-8 OR</t>
  </si>
  <si>
    <t>10.1016/B978-0-12-385140-6.00064-5 OR</t>
  </si>
  <si>
    <t>10.1007/s40333-013-0181-z OR</t>
  </si>
  <si>
    <t>10.1007/s12665-013-2547-0 OR</t>
  </si>
  <si>
    <t>10.1007/s12665-011-1046-4 OR</t>
  </si>
  <si>
    <t>10.1007/s12237-012-9506-y OR</t>
  </si>
  <si>
    <t>10.1007/s11707-012-0335-x OR</t>
  </si>
  <si>
    <t>10.1007/s11270-014-1925-x OR</t>
  </si>
  <si>
    <t>10.1007/s10584-015-1448-5 OR</t>
  </si>
  <si>
    <t>10.1007/s10531-016-1172-0 OR</t>
  </si>
  <si>
    <t>10.1007/s10531-016-1141-7 OR</t>
  </si>
  <si>
    <t>10.1007/s10531-015-1036-z OR</t>
  </si>
  <si>
    <t>10.1007/s10530-007-9138-5 OR</t>
  </si>
  <si>
    <t>10.1007/s00442-006-0655-1 OR</t>
  </si>
  <si>
    <t>10.1002/wene.41 OR</t>
  </si>
  <si>
    <t>10.1002/eap.1755 OR</t>
  </si>
  <si>
    <t>10.1002/aqc.2850 OR</t>
  </si>
  <si>
    <t>10.1002/aqc.2345 OR</t>
  </si>
  <si>
    <t>OR TI = (</t>
  </si>
  <si>
    <t>POPULATION STATUS AND CONSERVATION REQUIREMENT OF SOME ENDANGERED PLANTS GROWING IN DAYALBAGH EDUCATIONAL INSTITUTE, AGRA 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</si>
</sst>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4">
    <font>
      <sz val="11.0"/>
      <color theme="1"/>
      <name val="Arial"/>
      <scheme val="minor"/>
    </font>
    <font>
      <u/>
      <color rgb="FF000000"/>
      <name val="Arial"/>
    </font>
    <font>
      <color theme="1"/>
      <name val="Arial"/>
      <scheme val="minor"/>
    </font>
    <font>
      <color theme="1"/>
      <name val="Arial"/>
    </font>
    <font>
      <b/>
      <color theme="1"/>
      <name val="Arial"/>
    </font>
    <font>
      <u/>
      <color rgb="FF0000FF"/>
      <name val="Arial"/>
    </font>
    <font>
      <sz val="12.0"/>
      <color theme="1"/>
      <name val="Calibri"/>
    </font>
    <font>
      <u/>
      <sz val="12.0"/>
      <color rgb="FF0000FF"/>
      <name val="Calibri"/>
    </font>
    <font>
      <sz val="12.0"/>
      <color rgb="FF000000"/>
      <name val="Calibri"/>
    </font>
    <font>
      <u/>
      <color rgb="FF0000FF"/>
    </font>
    <font>
      <u/>
      <sz val="12.0"/>
      <color rgb="FF0000FF"/>
      <name val="Calibri"/>
    </font>
    <font>
      <sz val="9.0"/>
      <color theme="1"/>
      <name val="Arial"/>
    </font>
    <font>
      <b/>
      <sz val="9.0"/>
      <color theme="1"/>
      <name val="Arial"/>
    </font>
    <font>
      <u/>
      <color rgb="FF0000FF"/>
    </font>
  </fonts>
  <fills count="6">
    <fill>
      <patternFill patternType="none"/>
    </fill>
    <fill>
      <patternFill patternType="lightGray"/>
    </fill>
    <fill>
      <patternFill patternType="solid">
        <fgColor rgb="FFDBE5F1"/>
        <bgColor rgb="FFDBE5F1"/>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s>
  <borders count="8">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left/>
      <right/>
      <top/>
      <bottom style="thin">
        <color rgb="FF000000"/>
      </bottom>
    </border>
    <border>
      <right style="thin">
        <color rgb="FF000000"/>
      </right>
    </border>
    <border>
      <left style="thin">
        <color rgb="FF000000"/>
      </left>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xf>
    <xf borderId="0" fillId="0" fontId="3" numFmtId="0" xfId="0" applyFont="1"/>
    <xf borderId="1" fillId="0" fontId="4" numFmtId="0" xfId="0" applyAlignment="1" applyBorder="1" applyFont="1">
      <alignment shrinkToFit="0" wrapText="1"/>
    </xf>
    <xf borderId="1" fillId="0" fontId="3" numFmtId="0" xfId="0" applyAlignment="1" applyBorder="1" applyFont="1">
      <alignment readingOrder="0" shrinkToFit="0" wrapText="1"/>
    </xf>
    <xf borderId="1" fillId="0" fontId="3" numFmtId="0" xfId="0" applyAlignment="1" applyBorder="1" applyFont="1">
      <alignment shrinkToFit="0" wrapText="1"/>
    </xf>
    <xf borderId="0" fillId="0" fontId="3" numFmtId="0" xfId="0" applyAlignment="1" applyFont="1">
      <alignment shrinkToFit="0" wrapText="1"/>
    </xf>
    <xf borderId="0" fillId="0" fontId="3" numFmtId="0" xfId="0" applyAlignment="1" applyFont="1">
      <alignment shrinkToFit="0" vertical="bottom" wrapText="0"/>
    </xf>
    <xf borderId="0" fillId="0" fontId="3" numFmtId="164" xfId="0" applyAlignment="1" applyFont="1" applyNumberFormat="1">
      <alignment shrinkToFit="0" vertical="bottom" wrapText="0"/>
    </xf>
    <xf borderId="0" fillId="0" fontId="5" numFmtId="0" xfId="0" applyAlignment="1" applyFont="1">
      <alignment shrinkToFit="0" vertical="bottom" wrapText="0"/>
    </xf>
    <xf borderId="2" fillId="0" fontId="6" numFmtId="0" xfId="0" applyAlignment="1" applyBorder="1" applyFont="1">
      <alignment horizontal="left" vertical="top"/>
    </xf>
    <xf borderId="2" fillId="0" fontId="6" numFmtId="0" xfId="0" applyAlignment="1" applyBorder="1" applyFont="1">
      <alignment horizontal="left" shrinkToFit="0" vertical="top" wrapText="1"/>
    </xf>
    <xf borderId="3" fillId="0" fontId="6" numFmtId="0" xfId="0" applyAlignment="1" applyBorder="1" applyFont="1">
      <alignment horizontal="left" shrinkToFit="0" vertical="top" wrapText="1"/>
    </xf>
    <xf borderId="4" fillId="0" fontId="6" numFmtId="0" xfId="0" applyAlignment="1" applyBorder="1" applyFont="1">
      <alignment horizontal="left" shrinkToFit="0" vertical="top" wrapText="1"/>
    </xf>
    <xf borderId="5" fillId="2" fontId="6" numFmtId="0" xfId="0" applyAlignment="1" applyBorder="1" applyFill="1" applyFont="1">
      <alignment horizontal="left" shrinkToFit="0" vertical="top" wrapText="1"/>
    </xf>
    <xf borderId="0" fillId="0" fontId="6" numFmtId="0" xfId="0" applyAlignment="1" applyFont="1">
      <alignment horizontal="left" vertical="top"/>
    </xf>
    <xf borderId="0" fillId="0" fontId="6" numFmtId="0" xfId="0" applyAlignment="1" applyFont="1">
      <alignment horizontal="left" shrinkToFit="0" vertical="top" wrapText="1"/>
    </xf>
    <xf borderId="6" fillId="0" fontId="7" numFmtId="0" xfId="0" applyAlignment="1" applyBorder="1" applyFont="1">
      <alignment horizontal="left" vertical="top"/>
    </xf>
    <xf borderId="7" fillId="0" fontId="6" numFmtId="0" xfId="0" applyAlignment="1" applyBorder="1" applyFont="1">
      <alignment horizontal="left" shrinkToFit="0" vertical="top" wrapText="1"/>
    </xf>
    <xf borderId="6" fillId="0" fontId="6" numFmtId="0" xfId="0" applyAlignment="1" applyBorder="1" applyFont="1">
      <alignment horizontal="left" shrinkToFit="0" vertical="top" wrapText="1"/>
    </xf>
    <xf borderId="0" fillId="0" fontId="8" numFmtId="0" xfId="0" applyAlignment="1" applyFont="1">
      <alignment horizontal="left" vertical="top"/>
    </xf>
    <xf borderId="0" fillId="0" fontId="6" numFmtId="1" xfId="0" applyAlignment="1" applyFont="1" applyNumberFormat="1">
      <alignment horizontal="left" vertical="top"/>
    </xf>
    <xf borderId="0" fillId="3" fontId="6" numFmtId="0" xfId="0" applyAlignment="1" applyFill="1" applyFont="1">
      <alignment horizontal="left" vertical="top"/>
    </xf>
    <xf borderId="0" fillId="0" fontId="4" numFmtId="0" xfId="0" applyFont="1"/>
    <xf borderId="0" fillId="0" fontId="9" numFmtId="0" xfId="0" applyFont="1"/>
    <xf borderId="0" fillId="0" fontId="10" numFmtId="0" xfId="0" applyAlignment="1" applyFont="1">
      <alignment horizontal="left" vertical="top"/>
    </xf>
    <xf borderId="0" fillId="0" fontId="11" numFmtId="0" xfId="0" applyAlignment="1" applyFont="1">
      <alignment shrinkToFit="0" vertical="top" wrapText="1"/>
    </xf>
    <xf borderId="0" fillId="3" fontId="12" numFmtId="0" xfId="0" applyAlignment="1" applyFont="1">
      <alignment shrinkToFit="0" vertical="top" wrapText="1"/>
    </xf>
    <xf borderId="0" fillId="0" fontId="3" numFmtId="1" xfId="0" applyFont="1" applyNumberFormat="1"/>
    <xf borderId="0" fillId="0" fontId="12" numFmtId="0" xfId="0" applyAlignment="1" applyFont="1">
      <alignment shrinkToFit="0" vertical="top" wrapText="1"/>
    </xf>
    <xf borderId="0" fillId="4" fontId="11" numFmtId="0" xfId="0" applyAlignment="1" applyFill="1" applyFont="1">
      <alignment readingOrder="0" shrinkToFit="0" vertical="top" wrapText="1"/>
    </xf>
    <xf borderId="0" fillId="0" fontId="2" numFmtId="0" xfId="0" applyFont="1"/>
    <xf borderId="0" fillId="3" fontId="2" numFmtId="0" xfId="0" applyFont="1"/>
    <xf borderId="0" fillId="5" fontId="2" numFmtId="0" xfId="0" applyAlignment="1" applyFill="1" applyFont="1">
      <alignment readingOrder="0"/>
    </xf>
    <xf borderId="0" fillId="3" fontId="2" numFmtId="0" xfId="0" applyAlignment="1" applyFont="1">
      <alignment readingOrder="0"/>
    </xf>
    <xf borderId="0" fillId="5" fontId="2" numFmtId="0" xfId="0" applyAlignment="1" applyFont="1">
      <alignment readingOrder="0" shrinkToFit="0" wrapText="1"/>
    </xf>
    <xf borderId="0" fillId="3" fontId="2" numFmtId="0" xfId="0" applyAlignment="1" applyFont="1">
      <alignment readingOrder="0" shrinkToFit="0" wrapText="1"/>
    </xf>
    <xf borderId="0" fillId="0" fontId="13" numFmtId="0" xfId="0" applyFont="1"/>
    <xf borderId="0" fillId="0" fontId="2" numFmtId="0" xfId="0" applyAlignment="1" applyFont="1">
      <alignment shrinkToFit="0" wrapText="1"/>
    </xf>
    <xf borderId="0" fillId="0" fontId="3" numFmtId="0" xfId="0" applyAlignment="1" applyFont="1">
      <alignment vertical="bottom"/>
    </xf>
    <xf borderId="0" fillId="0" fontId="3" numFmtId="0" xfId="0" applyAlignment="1" applyFont="1">
      <alignment vertical="bottom"/>
    </xf>
    <xf borderId="0" fillId="0" fontId="3" numFmtId="0" xfId="0" applyAlignment="1" applyFont="1">
      <alignment vertical="top"/>
    </xf>
    <xf borderId="0" fillId="0" fontId="3" numFmtId="0" xfId="0" applyAlignment="1" applyFont="1">
      <alignment readingOrder="0" vertical="top"/>
    </xf>
  </cellXfs>
  <cellStyles count="1">
    <cellStyle xfId="0" name="Normal" builtinId="0"/>
  </cellStyles>
  <dxfs count="4">
    <dxf>
      <font>
        <color rgb="FF9C0006"/>
      </font>
      <fill>
        <patternFill patternType="solid">
          <fgColor rgb="FFFFC7CE"/>
          <bgColor rgb="FFFFC7CE"/>
        </patternFill>
      </fill>
      <border/>
    </dxf>
    <dxf>
      <font>
        <color rgb="FF9C0006"/>
      </font>
      <fill>
        <patternFill patternType="solid">
          <fgColor rgb="FFBFBFBF"/>
          <bgColor rgb="FFBFBFBF"/>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cience.org/doi/10.1126/sciadv.abm9982"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dx.doi.org/10.5670/oceanog.2015.29" TargetMode="External"/><Relationship Id="rId42" Type="http://schemas.openxmlformats.org/officeDocument/2006/relationships/hyperlink" Target="http://dx.doi.org/10.1073/pnas.1500232112" TargetMode="External"/><Relationship Id="rId41" Type="http://schemas.openxmlformats.org/officeDocument/2006/relationships/hyperlink" Target="http://dx.doi.org/10.1371/journal.pone.0127533" TargetMode="External"/><Relationship Id="rId44" Type="http://schemas.openxmlformats.org/officeDocument/2006/relationships/hyperlink" Target="http://dx.doi.org/10.1016/j.watres.2014.08.053" TargetMode="External"/><Relationship Id="rId43" Type="http://schemas.openxmlformats.org/officeDocument/2006/relationships/hyperlink" Target="http://dx.doi.org/10.1073/pnas.1504345112" TargetMode="External"/><Relationship Id="rId46" Type="http://schemas.openxmlformats.org/officeDocument/2006/relationships/hyperlink" Target="http://dx.doi.org/10.1126/sciadv.1500052" TargetMode="External"/><Relationship Id="rId45" Type="http://schemas.openxmlformats.org/officeDocument/2006/relationships/hyperlink" Target="http://dx.doi.org/10.1162/REST_a_00438" TargetMode="External"/><Relationship Id="rId107" Type="http://schemas.openxmlformats.org/officeDocument/2006/relationships/hyperlink" Target="http://dx.doi.org/10.1126/science.1187512" TargetMode="External"/><Relationship Id="rId106" Type="http://schemas.openxmlformats.org/officeDocument/2006/relationships/hyperlink" Target="http://dx.doi.org/10.1289/ehp.0901623" TargetMode="External"/><Relationship Id="rId105" Type="http://schemas.openxmlformats.org/officeDocument/2006/relationships/hyperlink" Target="http://dx.doi.org/10.1126/science.1185782" TargetMode="External"/><Relationship Id="rId104" Type="http://schemas.openxmlformats.org/officeDocument/2006/relationships/hyperlink" Target="http://dx.doi.org/10.1126/science.1189930" TargetMode="External"/><Relationship Id="rId109" Type="http://schemas.openxmlformats.org/officeDocument/2006/relationships/hyperlink" Target="http://dx.doi.org/10.1890/080083" TargetMode="External"/><Relationship Id="rId108" Type="http://schemas.openxmlformats.org/officeDocument/2006/relationships/hyperlink" Target="http://dx.doi.org/10.1038/ngeo838" TargetMode="External"/><Relationship Id="rId48" Type="http://schemas.openxmlformats.org/officeDocument/2006/relationships/hyperlink" Target="http://dx.doi.org/10.1038/NCLIMATE2492" TargetMode="External"/><Relationship Id="rId47" Type="http://schemas.openxmlformats.org/officeDocument/2006/relationships/hyperlink" Target="http://dx.doi.org/10.1126/science.1260352" TargetMode="External"/><Relationship Id="rId49" Type="http://schemas.openxmlformats.org/officeDocument/2006/relationships/hyperlink" Target="http://dx.doi.org/10.3390/su7022086" TargetMode="External"/><Relationship Id="rId103" Type="http://schemas.openxmlformats.org/officeDocument/2006/relationships/hyperlink" Target="http://dx.doi.org/10.1016/j.dsr2.2010.02.018" TargetMode="External"/><Relationship Id="rId102" Type="http://schemas.openxmlformats.org/officeDocument/2006/relationships/hyperlink" Target="http://dx.doi.org/10.1073/pnas.0914471107" TargetMode="External"/><Relationship Id="rId101" Type="http://schemas.openxmlformats.org/officeDocument/2006/relationships/hyperlink" Target="http://dx.doi.org/10.1016/j.aquatox.2010.05.019" TargetMode="External"/><Relationship Id="rId100" Type="http://schemas.openxmlformats.org/officeDocument/2006/relationships/hyperlink" Target="http://dx.doi.org/10.1126/science.1192321" TargetMode="External"/><Relationship Id="rId31" Type="http://schemas.openxmlformats.org/officeDocument/2006/relationships/hyperlink" Target="http://dx.doi.org/10.1016/j.gloenvcha.2015.08.011" TargetMode="External"/><Relationship Id="rId30" Type="http://schemas.openxmlformats.org/officeDocument/2006/relationships/hyperlink" Target="http://dx.doi.org/10.1038/nature15725" TargetMode="External"/><Relationship Id="rId33" Type="http://schemas.openxmlformats.org/officeDocument/2006/relationships/hyperlink" Target="http://dx.doi.org/10.1038/srep14340" TargetMode="External"/><Relationship Id="rId32" Type="http://schemas.openxmlformats.org/officeDocument/2006/relationships/hyperlink" Target="http://dx.doi.org/10.1016/j.ocecoaman.2015.05.021" TargetMode="External"/><Relationship Id="rId35" Type="http://schemas.openxmlformats.org/officeDocument/2006/relationships/hyperlink" Target="http://dx.doi.org/10.1088/1748-9326/10/9/094015" TargetMode="External"/><Relationship Id="rId34" Type="http://schemas.openxmlformats.org/officeDocument/2006/relationships/hyperlink" Target="http://dx.doi.org/10.1038/nature15371" TargetMode="External"/><Relationship Id="rId37" Type="http://schemas.openxmlformats.org/officeDocument/2006/relationships/hyperlink" Target="http://dx.doi.org/10.1038/ncomms8615" TargetMode="External"/><Relationship Id="rId36" Type="http://schemas.openxmlformats.org/officeDocument/2006/relationships/hyperlink" Target="http://dx.doi.org/10.1126/science.aac4722" TargetMode="External"/><Relationship Id="rId39" Type="http://schemas.openxmlformats.org/officeDocument/2006/relationships/hyperlink" Target="http://dx.doi.org/10.1126/science.aaa8913" TargetMode="External"/><Relationship Id="rId38" Type="http://schemas.openxmlformats.org/officeDocument/2006/relationships/hyperlink" Target="http://dx.doi.org/10.1002/2015WR017349" TargetMode="External"/><Relationship Id="rId20" Type="http://schemas.openxmlformats.org/officeDocument/2006/relationships/hyperlink" Target="http://dx.doi.org/10.1016/j.jclepro.2015.06.100" TargetMode="External"/><Relationship Id="rId22" Type="http://schemas.openxmlformats.org/officeDocument/2006/relationships/hyperlink" Target="http://dx.doi.org/10.1038/ncomms12485" TargetMode="External"/><Relationship Id="rId21" Type="http://schemas.openxmlformats.org/officeDocument/2006/relationships/hyperlink" Target="http://dx.doi.org/10.1038/sdata.2016.67" TargetMode="External"/><Relationship Id="rId24" Type="http://schemas.openxmlformats.org/officeDocument/2006/relationships/hyperlink" Target="http://dx.doi.org/10.1016/j.ecss.2016.01.036" TargetMode="External"/><Relationship Id="rId23" Type="http://schemas.openxmlformats.org/officeDocument/2006/relationships/hyperlink" Target="http://dx.doi.org/10.5670/oceanog.2016.36" TargetMode="External"/><Relationship Id="rId129" Type="http://schemas.openxmlformats.org/officeDocument/2006/relationships/hyperlink" Target="http://dx.doi.org/10.1016/j.pce.2007.07.033" TargetMode="External"/><Relationship Id="rId128" Type="http://schemas.openxmlformats.org/officeDocument/2006/relationships/hyperlink" Target="http://dx.doi.org/10.1021/es062147h" TargetMode="External"/><Relationship Id="rId127" Type="http://schemas.openxmlformats.org/officeDocument/2006/relationships/hyperlink" Target="http://dx.doi.org/10.1073/pnas.0609568104" TargetMode="External"/><Relationship Id="rId126" Type="http://schemas.openxmlformats.org/officeDocument/2006/relationships/hyperlink" Target="http://dx.doi.org/10.1126/science.1149345" TargetMode="External"/><Relationship Id="rId26" Type="http://schemas.openxmlformats.org/officeDocument/2006/relationships/hyperlink" Target="http://dx.doi.org/10.1080/10643389.2015.1096876" TargetMode="External"/><Relationship Id="rId121" Type="http://schemas.openxmlformats.org/officeDocument/2006/relationships/hyperlink" Target="http://dx.doi.org/10.1146/annurev.marine.010908.163834" TargetMode="External"/><Relationship Id="rId25" Type="http://schemas.openxmlformats.org/officeDocument/2006/relationships/hyperlink" Target="http://dx.doi.org/10.1126/sciadv.1500965" TargetMode="External"/><Relationship Id="rId120" Type="http://schemas.openxmlformats.org/officeDocument/2006/relationships/hyperlink" Target="http://dx.doi.org/10.1890/070193" TargetMode="External"/><Relationship Id="rId28" Type="http://schemas.openxmlformats.org/officeDocument/2006/relationships/hyperlink" Target="http://dx.doi.org/10.1016/j.marpolbul.2015.10.042" TargetMode="External"/><Relationship Id="rId27" Type="http://schemas.openxmlformats.org/officeDocument/2006/relationships/hyperlink" Target="http://dx.doi.org/10.1016/j.biocon.2015.10.023" TargetMode="External"/><Relationship Id="rId125" Type="http://schemas.openxmlformats.org/officeDocument/2006/relationships/hyperlink" Target="http://dx.doi.org/10.1007/s11625-008-0042-4" TargetMode="External"/><Relationship Id="rId29" Type="http://schemas.openxmlformats.org/officeDocument/2006/relationships/hyperlink" Target="http://dx.doi.org/10.1007/s10336-015-1155-z" TargetMode="External"/><Relationship Id="rId124" Type="http://schemas.openxmlformats.org/officeDocument/2006/relationships/hyperlink" Target="http://dx.doi.org/10.1038/nature06949" TargetMode="External"/><Relationship Id="rId123" Type="http://schemas.openxmlformats.org/officeDocument/2006/relationships/hyperlink" Target="http://dx.doi.org/10.1007/s10021-008-9146-z" TargetMode="External"/><Relationship Id="rId122" Type="http://schemas.openxmlformats.org/officeDocument/2006/relationships/hyperlink" Target="http://dx.doi.org/10.1016/j.amepre.2008.08.021" TargetMode="External"/><Relationship Id="rId95" Type="http://schemas.openxmlformats.org/officeDocument/2006/relationships/hyperlink" Target="http://dx.doi.org/10.1371/journal.pone.0014327" TargetMode="External"/><Relationship Id="rId94" Type="http://schemas.openxmlformats.org/officeDocument/2006/relationships/hyperlink" Target="http://dx.doi.org/10.1146/annurev-environ-021810-094524" TargetMode="External"/><Relationship Id="rId97" Type="http://schemas.openxmlformats.org/officeDocument/2006/relationships/hyperlink" Target="http://dx.doi.org/10.1016/j.scitotenv.2010.09.026" TargetMode="External"/><Relationship Id="rId96" Type="http://schemas.openxmlformats.org/officeDocument/2006/relationships/hyperlink" Target="http://dx.doi.org/10.1525/bio.2010.60.11.5" TargetMode="External"/><Relationship Id="rId11" Type="http://schemas.openxmlformats.org/officeDocument/2006/relationships/hyperlink" Target="http://dx.doi.org/10.1038/ncomms14435" TargetMode="External"/><Relationship Id="rId99" Type="http://schemas.openxmlformats.org/officeDocument/2006/relationships/hyperlink" Target="http://dx.doi.org/10.1073/pnas.0910275107" TargetMode="External"/><Relationship Id="rId10" Type="http://schemas.openxmlformats.org/officeDocument/2006/relationships/hyperlink" Target="http://dx.doi.org/10.1073/pnas.1621517114" TargetMode="External"/><Relationship Id="rId98" Type="http://schemas.openxmlformats.org/officeDocument/2006/relationships/hyperlink" Target="http://dx.doi.org/10.1111/j.1461-0248.2010.01518.x" TargetMode="External"/><Relationship Id="rId13" Type="http://schemas.openxmlformats.org/officeDocument/2006/relationships/hyperlink" Target="http://dx.doi.org/10.1098/rsbl.2016.0774" TargetMode="External"/><Relationship Id="rId12" Type="http://schemas.openxmlformats.org/officeDocument/2006/relationships/hyperlink" Target="http://dx.doi.org/10.1111/fwb.12864" TargetMode="External"/><Relationship Id="rId91" Type="http://schemas.openxmlformats.org/officeDocument/2006/relationships/hyperlink" Target="http://dx.doi.org/10.1073/pnas.1100480108" TargetMode="External"/><Relationship Id="rId90" Type="http://schemas.openxmlformats.org/officeDocument/2006/relationships/hyperlink" Target="http://dx.doi.org/10.1016/j.foodpol.2010.11.015" TargetMode="External"/><Relationship Id="rId93" Type="http://schemas.openxmlformats.org/officeDocument/2006/relationships/hyperlink" Target="http://dx.doi.org/10.1111/j.1365-2486.2010.02279.x" TargetMode="External"/><Relationship Id="rId92" Type="http://schemas.openxmlformats.org/officeDocument/2006/relationships/hyperlink" Target="http://dx.doi.org/10.1038/NGEO1057" TargetMode="External"/><Relationship Id="rId118" Type="http://schemas.openxmlformats.org/officeDocument/2006/relationships/hyperlink" Target="http://dx.doi.org/10.1126/science.1173146" TargetMode="External"/><Relationship Id="rId117" Type="http://schemas.openxmlformats.org/officeDocument/2006/relationships/hyperlink" Target="http://dx.doi.org/10.1016/j.landusepol.2009.08.009" TargetMode="External"/><Relationship Id="rId116" Type="http://schemas.openxmlformats.org/officeDocument/2006/relationships/hyperlink" Target="http://dx.doi.org/10.1016/j.apgeog.2008.10.004" TargetMode="External"/><Relationship Id="rId115" Type="http://schemas.openxmlformats.org/officeDocument/2006/relationships/hyperlink" Target="http://dx.doi.org/10.1038/nature08649" TargetMode="External"/><Relationship Id="rId119" Type="http://schemas.openxmlformats.org/officeDocument/2006/relationships/hyperlink" Target="http://dx.doi.org/10.1098/rstb.2008.0205" TargetMode="External"/><Relationship Id="rId15" Type="http://schemas.openxmlformats.org/officeDocument/2006/relationships/hyperlink" Target="http://dx.doi.org/10.1126/sciadv.1600821" TargetMode="External"/><Relationship Id="rId110" Type="http://schemas.openxmlformats.org/officeDocument/2006/relationships/hyperlink" Target="http://dx.doi.org/10.1016/j.jhazmat.2009.10.100" TargetMode="External"/><Relationship Id="rId14" Type="http://schemas.openxmlformats.org/officeDocument/2006/relationships/hyperlink" Target="http://dx.doi.org/10.3389/fmars.2017.00158" TargetMode="External"/><Relationship Id="rId17" Type="http://schemas.openxmlformats.org/officeDocument/2006/relationships/hyperlink" Target="http://dx.doi.org/10.1016/j.landusepol.2014.12.005" TargetMode="External"/><Relationship Id="rId16" Type="http://schemas.openxmlformats.org/officeDocument/2006/relationships/hyperlink" Target="http://dx.doi.org/10.1038/srep38402" TargetMode="External"/><Relationship Id="rId19" Type="http://schemas.openxmlformats.org/officeDocument/2006/relationships/hyperlink" Target="http://dx.doi.org/10.1111/brv.12207" TargetMode="External"/><Relationship Id="rId114" Type="http://schemas.openxmlformats.org/officeDocument/2006/relationships/hyperlink" Target="http://dx.doi.org/10.1146/annurev-environ-033009-095548" TargetMode="External"/><Relationship Id="rId18" Type="http://schemas.openxmlformats.org/officeDocument/2006/relationships/hyperlink" Target="http://dx.doi.org/10.1126/sciadv.1501923" TargetMode="External"/><Relationship Id="rId113" Type="http://schemas.openxmlformats.org/officeDocument/2006/relationships/hyperlink" Target="http://dx.doi.org/10.1146/annurev-marine-120308-081105" TargetMode="External"/><Relationship Id="rId112" Type="http://schemas.openxmlformats.org/officeDocument/2006/relationships/hyperlink" Target="http://dx.doi.org/10.1126/science.1180568" TargetMode="External"/><Relationship Id="rId111" Type="http://schemas.openxmlformats.org/officeDocument/2006/relationships/hyperlink" Target="http://dx.doi.org/10.1038/NGEO779" TargetMode="External"/><Relationship Id="rId84" Type="http://schemas.openxmlformats.org/officeDocument/2006/relationships/hyperlink" Target="http://dx.doi.org/10.1016/j.ecolind.2011.04.023" TargetMode="External"/><Relationship Id="rId83" Type="http://schemas.openxmlformats.org/officeDocument/2006/relationships/hyperlink" Target="http://dx.doi.org/10.1890/110049" TargetMode="External"/><Relationship Id="rId86" Type="http://schemas.openxmlformats.org/officeDocument/2006/relationships/hyperlink" Target="http://dx.doi.org/10.1002/wcc.160" TargetMode="External"/><Relationship Id="rId85" Type="http://schemas.openxmlformats.org/officeDocument/2006/relationships/hyperlink" Target="http://dx.doi.org/10.1016/j.gloenvcha.2011.10.009" TargetMode="External"/><Relationship Id="rId88" Type="http://schemas.openxmlformats.org/officeDocument/2006/relationships/hyperlink" Target="http://dx.doi.org/10.1088/1748-9326/6/4/045201" TargetMode="External"/><Relationship Id="rId150" Type="http://schemas.openxmlformats.org/officeDocument/2006/relationships/hyperlink" Target="http://dx.doi.org/10.1641/0006-3568(2002)052%5b0143:PCAUDF%5d2.0.CO;2" TargetMode="External"/><Relationship Id="rId87" Type="http://schemas.openxmlformats.org/officeDocument/2006/relationships/hyperlink" Target="http://dx.doi.org/10.1073/pnas.1111374109" TargetMode="External"/><Relationship Id="rId89" Type="http://schemas.openxmlformats.org/officeDocument/2006/relationships/hyperlink" Target="http://dx.doi.org/10.1016/j.wasman.2010.10.023" TargetMode="External"/><Relationship Id="rId80" Type="http://schemas.openxmlformats.org/officeDocument/2006/relationships/hyperlink" Target="http://dx.doi.org/10.1088/1748-9326/7/4/044009" TargetMode="External"/><Relationship Id="rId82" Type="http://schemas.openxmlformats.org/officeDocument/2006/relationships/hyperlink" Target="http://dx.doi.org/10.5670/oceanog.2012.101" TargetMode="External"/><Relationship Id="rId81" Type="http://schemas.openxmlformats.org/officeDocument/2006/relationships/hyperlink" Target="http://dx.doi.org/10.1016/j.rse.2012.05.019" TargetMode="External"/><Relationship Id="rId1" Type="http://schemas.openxmlformats.org/officeDocument/2006/relationships/hyperlink" Target="http://dx.doi.org/10.1073/pnas.1719429115" TargetMode="External"/><Relationship Id="rId2" Type="http://schemas.openxmlformats.org/officeDocument/2006/relationships/hyperlink" Target="http://dx.doi.org/10.1175/BAMS-D-17-0116.1" TargetMode="External"/><Relationship Id="rId3" Type="http://schemas.openxmlformats.org/officeDocument/2006/relationships/hyperlink" Target="http://dx.doi.org/10.1002/2017GL075888" TargetMode="External"/><Relationship Id="rId149" Type="http://schemas.openxmlformats.org/officeDocument/2006/relationships/hyperlink" Target="http://dx.doi.org/10.1038/416808a" TargetMode="External"/><Relationship Id="rId4" Type="http://schemas.openxmlformats.org/officeDocument/2006/relationships/hyperlink" Target="http://dx.doi.org/10.1016/j.scitotenv.2017.05.039" TargetMode="External"/><Relationship Id="rId148" Type="http://schemas.openxmlformats.org/officeDocument/2006/relationships/hyperlink" Target="http://dx.doi.org/10.1126/science.1071828" TargetMode="External"/><Relationship Id="rId9" Type="http://schemas.openxmlformats.org/officeDocument/2006/relationships/hyperlink" Target="http://dx.doi.org/10.1038/ncomms15611" TargetMode="External"/><Relationship Id="rId143" Type="http://schemas.openxmlformats.org/officeDocument/2006/relationships/hyperlink" Target="http://dx.doi.org/10.1023/B:NHAZ.0000020259.58716.0d" TargetMode="External"/><Relationship Id="rId142" Type="http://schemas.openxmlformats.org/officeDocument/2006/relationships/hyperlink" Target="http://dx.doi.org/10.1111/j.1365-2664.2004.00859.x" TargetMode="External"/><Relationship Id="rId141" Type="http://schemas.openxmlformats.org/officeDocument/2006/relationships/hyperlink" Target="http://dx.doi.org/10.1126/science.1097329" TargetMode="External"/><Relationship Id="rId140" Type="http://schemas.openxmlformats.org/officeDocument/2006/relationships/hyperlink" Target="http://dx.doi.org/10.1016/j.gloenvcha.2004.04.008" TargetMode="External"/><Relationship Id="rId5" Type="http://schemas.openxmlformats.org/officeDocument/2006/relationships/hyperlink" Target="http://dx.doi.org/10.1073/pnas.1716222114" TargetMode="External"/><Relationship Id="rId147" Type="http://schemas.openxmlformats.org/officeDocument/2006/relationships/hyperlink" Target="http://dx.doi.org/10.1675/1524-4695(2002)025%5b0173:GCCASL%5d2.0.CO;2" TargetMode="External"/><Relationship Id="rId6" Type="http://schemas.openxmlformats.org/officeDocument/2006/relationships/hyperlink" Target="http://dx.doi.org/10.1038/s41559-017-0186" TargetMode="External"/><Relationship Id="rId146" Type="http://schemas.openxmlformats.org/officeDocument/2006/relationships/hyperlink" Target="http://dx.doi.org/10.1038/nature01017" TargetMode="External"/><Relationship Id="rId7" Type="http://schemas.openxmlformats.org/officeDocument/2006/relationships/hyperlink" Target="http://dx.doi.org/10.1126/sciadv.1700782" TargetMode="External"/><Relationship Id="rId145" Type="http://schemas.openxmlformats.org/officeDocument/2006/relationships/hyperlink" Target="http://dx.doi.org/10.1038/nature01359" TargetMode="External"/><Relationship Id="rId8" Type="http://schemas.openxmlformats.org/officeDocument/2006/relationships/hyperlink" Target="http://dx.doi.org/10.1175/BAMS-D-16-0009.1" TargetMode="External"/><Relationship Id="rId144" Type="http://schemas.openxmlformats.org/officeDocument/2006/relationships/hyperlink" Target="http://dx.doi.org/10.1023/A:1025548518991" TargetMode="External"/><Relationship Id="rId73" Type="http://schemas.openxmlformats.org/officeDocument/2006/relationships/hyperlink" Target="http://dx.doi.org/10.1111/j.1728-4457.2013.00561.x" TargetMode="External"/><Relationship Id="rId72" Type="http://schemas.openxmlformats.org/officeDocument/2006/relationships/hyperlink" Target="http://dx.doi.org/10.1016/j.esd.2012.07.004" TargetMode="External"/><Relationship Id="rId75" Type="http://schemas.openxmlformats.org/officeDocument/2006/relationships/hyperlink" Target="http://dx.doi.org/10.1016/j.tree.2012.07.013" TargetMode="External"/><Relationship Id="rId74" Type="http://schemas.openxmlformats.org/officeDocument/2006/relationships/hyperlink" Target="http://dx.doi.org/10.1088/1748-9326/8/1/014003" TargetMode="External"/><Relationship Id="rId77" Type="http://schemas.openxmlformats.org/officeDocument/2006/relationships/hyperlink" Target="http://dx.doi.org/10.1016/j.cosust.2012.06.006" TargetMode="External"/><Relationship Id="rId76" Type="http://schemas.openxmlformats.org/officeDocument/2006/relationships/hyperlink" Target="http://dx.doi.org/10.1146/annurev-marine-121211-172406" TargetMode="External"/><Relationship Id="rId79" Type="http://schemas.openxmlformats.org/officeDocument/2006/relationships/hyperlink" Target="http://dx.doi.org/10.1111/j.1757-1707.2012.01172.x" TargetMode="External"/><Relationship Id="rId78" Type="http://schemas.openxmlformats.org/officeDocument/2006/relationships/hyperlink" Target="http://dx.doi.org/10.1038/NCLIMATE1597" TargetMode="External"/><Relationship Id="rId71" Type="http://schemas.openxmlformats.org/officeDocument/2006/relationships/hyperlink" Target="http://dx.doi.org/10.1371/journal.pone.0062374" TargetMode="External"/><Relationship Id="rId70" Type="http://schemas.openxmlformats.org/officeDocument/2006/relationships/hyperlink" Target="http://dx.doi.org/10.1073/pnas.1211349110" TargetMode="External"/><Relationship Id="rId139" Type="http://schemas.openxmlformats.org/officeDocument/2006/relationships/hyperlink" Target="http://dx.doi.org/10.1016/j.jaridenv.2004.03.022" TargetMode="External"/><Relationship Id="rId138" Type="http://schemas.openxmlformats.org/officeDocument/2006/relationships/hyperlink" Target="http://dx.doi.org/10.1017/S1367943004001532" TargetMode="External"/><Relationship Id="rId137" Type="http://schemas.openxmlformats.org/officeDocument/2006/relationships/hyperlink" Target="http://dx.doi.org/10.1016/S0147-6513(03)00141-6" TargetMode="External"/><Relationship Id="rId132" Type="http://schemas.openxmlformats.org/officeDocument/2006/relationships/hyperlink" Target="http://dx.doi.org/10.1098/rsta.2006.1816" TargetMode="External"/><Relationship Id="rId131" Type="http://schemas.openxmlformats.org/officeDocument/2006/relationships/hyperlink" Target="http://dx.doi.org/10.1162/jiec.2006.10.4.133" TargetMode="External"/><Relationship Id="rId130" Type="http://schemas.openxmlformats.org/officeDocument/2006/relationships/hyperlink" Target="http://dx.doi.org/10.1016/j.gloplacha.2006.04.001" TargetMode="External"/><Relationship Id="rId136" Type="http://schemas.openxmlformats.org/officeDocument/2006/relationships/hyperlink" Target="http://dx.doi.org/10.1890/03-0564" TargetMode="External"/><Relationship Id="rId135" Type="http://schemas.openxmlformats.org/officeDocument/2006/relationships/hyperlink" Target="http://dx.doi.org/10.1126/science.1111772" TargetMode="External"/><Relationship Id="rId134" Type="http://schemas.openxmlformats.org/officeDocument/2006/relationships/hyperlink" Target="http://dx.doi.org/10.1002/joc.1276" TargetMode="External"/><Relationship Id="rId133" Type="http://schemas.openxmlformats.org/officeDocument/2006/relationships/hyperlink" Target="http://dx.doi.org/10.1016/j.envint.2006.05.002" TargetMode="External"/><Relationship Id="rId62" Type="http://schemas.openxmlformats.org/officeDocument/2006/relationships/hyperlink" Target="http://dx.doi.org/10.1016/j.scitotenv.2013.05.057" TargetMode="External"/><Relationship Id="rId61" Type="http://schemas.openxmlformats.org/officeDocument/2006/relationships/hyperlink" Target="http://dx.doi.org/10.1002/2013EF000188" TargetMode="External"/><Relationship Id="rId64" Type="http://schemas.openxmlformats.org/officeDocument/2006/relationships/hyperlink" Target="http://dx.doi.org/10.1016/j.gloenvcha.2013.09.008" TargetMode="External"/><Relationship Id="rId63" Type="http://schemas.openxmlformats.org/officeDocument/2006/relationships/hyperlink" Target="http://dx.doi.org/10.3389/fmars.2014.00004" TargetMode="External"/><Relationship Id="rId66" Type="http://schemas.openxmlformats.org/officeDocument/2006/relationships/hyperlink" Target="http://dx.doi.org/10.1038/NCLIMATE1981" TargetMode="External"/><Relationship Id="rId65" Type="http://schemas.openxmlformats.org/officeDocument/2006/relationships/hyperlink" Target="http://dx.doi.org/10.1016/j.agwat.2013.08.007" TargetMode="External"/><Relationship Id="rId68" Type="http://schemas.openxmlformats.org/officeDocument/2006/relationships/hyperlink" Target="http://dx.doi.org/10.1016/j.cosust.2013.04.003" TargetMode="External"/><Relationship Id="rId67" Type="http://schemas.openxmlformats.org/officeDocument/2006/relationships/hyperlink" Target="http://dx.doi.org/10.1038/502615a" TargetMode="External"/><Relationship Id="rId60" Type="http://schemas.openxmlformats.org/officeDocument/2006/relationships/hyperlink" Target="http://dx.doi.org/10.1073/pnas.1222475110" TargetMode="External"/><Relationship Id="rId69" Type="http://schemas.openxmlformats.org/officeDocument/2006/relationships/hyperlink" Target="http://dx.doi.org/10.1073/pnas.1305618110" TargetMode="External"/><Relationship Id="rId51" Type="http://schemas.openxmlformats.org/officeDocument/2006/relationships/hyperlink" Target="http://dx.doi.org/10.1016/j.landurbplan.2014.09.001" TargetMode="External"/><Relationship Id="rId50" Type="http://schemas.openxmlformats.org/officeDocument/2006/relationships/hyperlink" Target="http://dx.doi.org/10.1016/j.scitotenv.2014.06.081" TargetMode="External"/><Relationship Id="rId53" Type="http://schemas.openxmlformats.org/officeDocument/2006/relationships/hyperlink" Target="http://dx.doi.org/10.1098/rstb.2013.0580" TargetMode="External"/><Relationship Id="rId52" Type="http://schemas.openxmlformats.org/officeDocument/2006/relationships/hyperlink" Target="http://dx.doi.org/10.1371/journal.pone.0111913" TargetMode="External"/><Relationship Id="rId55" Type="http://schemas.openxmlformats.org/officeDocument/2006/relationships/hyperlink" Target="http://dx.doi.org/10.1016/S2095-6339(15)30021-6" TargetMode="External"/><Relationship Id="rId54" Type="http://schemas.openxmlformats.org/officeDocument/2006/relationships/hyperlink" Target="http://dx.doi.org/10.1007/s11270-014-2186-4" TargetMode="External"/><Relationship Id="rId57" Type="http://schemas.openxmlformats.org/officeDocument/2006/relationships/hyperlink" Target="http://dx.doi.org/10.1126/science.1248525" TargetMode="External"/><Relationship Id="rId56" Type="http://schemas.openxmlformats.org/officeDocument/2006/relationships/hyperlink" Target="http://dx.doi.org/10.1073/pnas.1321082111" TargetMode="External"/><Relationship Id="rId159" Type="http://schemas.openxmlformats.org/officeDocument/2006/relationships/drawing" Target="../drawings/drawing2.xml"/><Relationship Id="rId59" Type="http://schemas.openxmlformats.org/officeDocument/2006/relationships/hyperlink" Target="http://dx.doi.org/10.1021/es500371t" TargetMode="External"/><Relationship Id="rId154" Type="http://schemas.openxmlformats.org/officeDocument/2006/relationships/hyperlink" Target="http://dx.doi.org/10.1007/s002679910039" TargetMode="External"/><Relationship Id="rId58" Type="http://schemas.openxmlformats.org/officeDocument/2006/relationships/hyperlink" Target="http://dx.doi.org/10.1038/nclimate2245" TargetMode="External"/><Relationship Id="rId153" Type="http://schemas.openxmlformats.org/officeDocument/2006/relationships/hyperlink" Target="http://dx.doi.org/10.1016/S0308-521X(00)00031-7" TargetMode="External"/><Relationship Id="rId152" Type="http://schemas.openxmlformats.org/officeDocument/2006/relationships/hyperlink" Target="http://dx.doi.org/10.1641/0006-3568(2001)051%5b0180:ADITNU%5d2.0.CO;2" TargetMode="External"/><Relationship Id="rId151" Type="http://schemas.openxmlformats.org/officeDocument/2006/relationships/hyperlink" Target="http://dx.doi.org/10.1023/A:1013806223310" TargetMode="External"/><Relationship Id="rId158" Type="http://schemas.openxmlformats.org/officeDocument/2006/relationships/hyperlink" Target="http://dx.doi.org/10.2134/jeq1987.00472425001600040016x" TargetMode="External"/><Relationship Id="rId157" Type="http://schemas.openxmlformats.org/officeDocument/2006/relationships/hyperlink" Target="http://dx.doi.org/10.1023/A:1005984620681" TargetMode="External"/><Relationship Id="rId156" Type="http://schemas.openxmlformats.org/officeDocument/2006/relationships/hyperlink" Target="http://dx.doi.org/10.1046/j.1365-2699.1999.00123.x" TargetMode="External"/><Relationship Id="rId155" Type="http://schemas.openxmlformats.org/officeDocument/2006/relationships/hyperlink" Target="http://dx.doi.org/10.1038/44114"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4.38"/>
    <col customWidth="1" min="3" max="3" width="27.63"/>
    <col customWidth="1" min="4" max="4" width="70.38"/>
    <col customWidth="1" min="5" max="5" width="57.5"/>
  </cols>
  <sheetData>
    <row r="1">
      <c r="C1" s="1" t="s">
        <v>0</v>
      </c>
      <c r="D1" s="2" t="s">
        <v>1</v>
      </c>
    </row>
    <row r="2">
      <c r="A2" s="3"/>
      <c r="B2" s="3"/>
      <c r="C2" s="4" t="s">
        <v>2</v>
      </c>
      <c r="D2" s="4" t="s">
        <v>3</v>
      </c>
    </row>
    <row r="3">
      <c r="C3" s="5" t="s">
        <v>4</v>
      </c>
      <c r="D3" s="6" t="s">
        <v>5</v>
      </c>
    </row>
    <row r="4">
      <c r="C4" s="5" t="s">
        <v>6</v>
      </c>
      <c r="D4" s="6" t="s">
        <v>7</v>
      </c>
      <c r="E4" s="3"/>
    </row>
    <row r="5">
      <c r="C5" s="5" t="s">
        <v>8</v>
      </c>
      <c r="D5" s="5" t="s">
        <v>9</v>
      </c>
    </row>
    <row r="6">
      <c r="C6" s="5" t="s">
        <v>10</v>
      </c>
      <c r="D6" s="5" t="s">
        <v>11</v>
      </c>
    </row>
    <row r="7">
      <c r="C7" s="6" t="s">
        <v>12</v>
      </c>
      <c r="D7" s="5" t="s">
        <v>13</v>
      </c>
    </row>
    <row r="8">
      <c r="C8" s="7"/>
    </row>
    <row r="9">
      <c r="C9" s="7"/>
    </row>
    <row r="10">
      <c r="C10" s="7"/>
    </row>
    <row r="11">
      <c r="C11" s="7"/>
    </row>
    <row r="12">
      <c r="C12" s="7"/>
    </row>
    <row r="13">
      <c r="C13" s="7"/>
    </row>
    <row r="14">
      <c r="C14" s="7"/>
    </row>
    <row r="15">
      <c r="C15" s="7"/>
    </row>
    <row r="16">
      <c r="C16" s="7"/>
    </row>
    <row r="17">
      <c r="C17" s="7"/>
    </row>
    <row r="18">
      <c r="C18" s="7"/>
    </row>
    <row r="19">
      <c r="C19" s="7"/>
    </row>
    <row r="20">
      <c r="C20" s="7"/>
    </row>
    <row r="21" ht="15.75" customHeight="1">
      <c r="C21" s="7"/>
    </row>
    <row r="22" ht="15.75" customHeight="1">
      <c r="C22" s="7"/>
    </row>
    <row r="23" ht="15.75" customHeight="1">
      <c r="C23" s="7"/>
    </row>
    <row r="24" ht="15.75" customHeight="1">
      <c r="C24" s="7"/>
    </row>
    <row r="25" ht="15.75" customHeight="1">
      <c r="C25" s="7"/>
    </row>
    <row r="26" ht="15.75" customHeight="1">
      <c r="C26" s="7"/>
    </row>
    <row r="27" ht="15.75" customHeight="1">
      <c r="C27" s="7"/>
    </row>
    <row r="28" ht="15.75" customHeight="1">
      <c r="C28" s="7"/>
    </row>
    <row r="29" ht="15.75" customHeight="1">
      <c r="C29" s="7"/>
    </row>
    <row r="30" ht="15.75" customHeight="1">
      <c r="C30" s="7"/>
    </row>
    <row r="31" ht="15.75" customHeight="1">
      <c r="C31" s="7"/>
    </row>
    <row r="32" ht="15.75" customHeight="1">
      <c r="C32" s="7"/>
    </row>
    <row r="33" ht="15.75" customHeight="1">
      <c r="C33" s="7"/>
    </row>
    <row r="34" ht="15.75" customHeight="1">
      <c r="C34" s="7"/>
    </row>
    <row r="35" ht="15.75" customHeight="1">
      <c r="C35" s="7"/>
    </row>
    <row r="36" ht="15.75" customHeight="1">
      <c r="C36" s="7"/>
    </row>
    <row r="37" ht="15.75" customHeight="1">
      <c r="C37" s="7"/>
    </row>
    <row r="38" ht="15.75" customHeight="1">
      <c r="C38" s="7"/>
    </row>
    <row r="39" ht="15.75" customHeight="1">
      <c r="C39" s="7"/>
    </row>
    <row r="40" ht="15.75" customHeight="1">
      <c r="C40" s="7"/>
    </row>
    <row r="41" ht="15.75" customHeight="1">
      <c r="C41" s="7"/>
    </row>
    <row r="42" ht="15.75" customHeight="1">
      <c r="C42" s="7"/>
    </row>
    <row r="43" ht="15.75" customHeight="1">
      <c r="C43" s="7"/>
    </row>
    <row r="44" ht="15.75" customHeight="1">
      <c r="C44" s="7"/>
    </row>
    <row r="45" ht="15.75" customHeight="1">
      <c r="C45" s="7"/>
    </row>
    <row r="46" ht="15.75" customHeight="1">
      <c r="C46" s="7"/>
    </row>
    <row r="47" ht="15.75" customHeight="1">
      <c r="C47" s="7"/>
    </row>
    <row r="48" ht="15.75" customHeight="1">
      <c r="C48" s="7"/>
    </row>
    <row r="49" ht="15.75" customHeight="1">
      <c r="C49" s="7"/>
    </row>
    <row r="50" ht="15.75" customHeight="1">
      <c r="C50" s="7"/>
    </row>
    <row r="51" ht="15.75" customHeight="1">
      <c r="C51" s="7"/>
    </row>
    <row r="52" ht="15.75" customHeight="1">
      <c r="C52" s="7"/>
    </row>
    <row r="53" ht="15.75" customHeight="1">
      <c r="C53" s="7"/>
    </row>
    <row r="54" ht="15.75" customHeight="1">
      <c r="C54" s="7"/>
    </row>
    <row r="55" ht="15.75" customHeight="1">
      <c r="C55" s="7"/>
    </row>
    <row r="56" ht="15.75" customHeight="1">
      <c r="C56" s="7"/>
    </row>
    <row r="57" ht="15.75" customHeight="1">
      <c r="C57" s="7"/>
    </row>
    <row r="58" ht="15.75" customHeight="1">
      <c r="C58" s="7"/>
    </row>
    <row r="59" ht="15.75" customHeight="1">
      <c r="C59" s="7"/>
    </row>
    <row r="60" ht="15.75" customHeight="1">
      <c r="C60" s="7"/>
    </row>
    <row r="61" ht="15.75" customHeight="1">
      <c r="C61" s="7"/>
    </row>
    <row r="62" ht="15.75" customHeight="1">
      <c r="C62" s="7"/>
    </row>
    <row r="63" ht="15.75" customHeight="1">
      <c r="C63" s="7"/>
    </row>
    <row r="64" ht="15.75" customHeight="1">
      <c r="C64" s="7"/>
    </row>
    <row r="65" ht="15.75" customHeight="1">
      <c r="C65" s="7"/>
    </row>
    <row r="66" ht="15.75" customHeight="1">
      <c r="C66" s="7"/>
    </row>
    <row r="67" ht="15.75" customHeight="1">
      <c r="C67" s="7"/>
    </row>
    <row r="68" ht="15.75" customHeight="1">
      <c r="C68" s="7"/>
    </row>
    <row r="69" ht="15.75" customHeight="1">
      <c r="C69" s="7"/>
    </row>
    <row r="70" ht="15.75" customHeight="1">
      <c r="C70" s="7"/>
    </row>
    <row r="71" ht="15.75" customHeight="1">
      <c r="C71" s="7"/>
    </row>
    <row r="72" ht="15.75" customHeight="1">
      <c r="C72" s="7"/>
    </row>
    <row r="73" ht="15.75" customHeight="1">
      <c r="C73" s="7"/>
    </row>
    <row r="74" ht="15.75" customHeight="1">
      <c r="C74" s="7"/>
    </row>
    <row r="75" ht="15.75" customHeight="1">
      <c r="C75" s="7"/>
    </row>
    <row r="76" ht="15.75" customHeight="1">
      <c r="C76" s="7"/>
    </row>
    <row r="77" ht="15.75" customHeight="1">
      <c r="C77" s="7"/>
    </row>
    <row r="78" ht="15.75" customHeight="1">
      <c r="C78" s="7"/>
    </row>
    <row r="79" ht="15.75" customHeight="1">
      <c r="C79" s="7"/>
    </row>
    <row r="80" ht="15.75" customHeight="1">
      <c r="C80" s="7"/>
    </row>
    <row r="81" ht="15.75" customHeight="1">
      <c r="C81" s="7"/>
    </row>
    <row r="82" ht="15.75" customHeight="1">
      <c r="C82" s="7"/>
    </row>
    <row r="83" ht="15.75" customHeight="1">
      <c r="C83" s="7"/>
    </row>
    <row r="84" ht="15.75" customHeight="1">
      <c r="C84" s="7"/>
    </row>
    <row r="85" ht="15.75" customHeight="1">
      <c r="C85" s="7"/>
    </row>
    <row r="86" ht="15.75" customHeight="1">
      <c r="C86" s="7"/>
    </row>
    <row r="87" ht="15.75" customHeight="1">
      <c r="C87" s="7"/>
    </row>
    <row r="88" ht="15.75" customHeight="1">
      <c r="C88" s="7"/>
    </row>
    <row r="89" ht="15.75" customHeight="1">
      <c r="C89" s="7"/>
    </row>
    <row r="90" ht="15.75" customHeight="1">
      <c r="C90" s="7"/>
    </row>
    <row r="91" ht="15.75" customHeight="1">
      <c r="C91" s="7"/>
    </row>
    <row r="92" ht="15.75" customHeight="1">
      <c r="C92" s="7"/>
    </row>
    <row r="93" ht="15.75" customHeight="1">
      <c r="C93" s="7"/>
    </row>
    <row r="94" ht="15.75" customHeight="1">
      <c r="C94" s="7"/>
    </row>
    <row r="95" ht="15.75" customHeight="1">
      <c r="C95" s="7"/>
    </row>
    <row r="96" ht="15.75" customHeight="1">
      <c r="C96" s="7"/>
    </row>
    <row r="97" ht="15.75" customHeight="1">
      <c r="C97" s="7"/>
    </row>
    <row r="98" ht="15.75" customHeight="1">
      <c r="C98" s="7"/>
    </row>
    <row r="99" ht="15.75" customHeight="1">
      <c r="C99" s="7"/>
    </row>
    <row r="100" ht="15.75" customHeight="1">
      <c r="C100" s="7"/>
    </row>
    <row r="101" ht="15.75" customHeight="1">
      <c r="C101" s="7"/>
    </row>
    <row r="102" ht="15.75" customHeight="1">
      <c r="C102" s="7"/>
    </row>
    <row r="103" ht="15.75" customHeight="1">
      <c r="C103" s="7"/>
    </row>
    <row r="104" ht="15.75" customHeight="1">
      <c r="C104" s="7"/>
    </row>
    <row r="105" ht="15.75" customHeight="1">
      <c r="C105" s="7"/>
    </row>
    <row r="106" ht="15.75" customHeight="1">
      <c r="C106" s="7"/>
    </row>
    <row r="107" ht="15.75" customHeight="1">
      <c r="C107" s="7"/>
    </row>
    <row r="108" ht="15.75" customHeight="1">
      <c r="C108" s="7"/>
    </row>
    <row r="109" ht="15.75" customHeight="1">
      <c r="C109" s="7"/>
    </row>
    <row r="110" ht="15.75" customHeight="1">
      <c r="C110" s="7"/>
    </row>
    <row r="111" ht="15.75" customHeight="1">
      <c r="C111" s="7"/>
    </row>
    <row r="112" ht="15.75" customHeight="1">
      <c r="C112" s="7"/>
    </row>
    <row r="113" ht="15.75" customHeight="1">
      <c r="C113" s="7"/>
    </row>
    <row r="114" ht="15.75" customHeight="1">
      <c r="C114" s="7"/>
    </row>
    <row r="115" ht="15.75" customHeight="1">
      <c r="C115" s="7"/>
    </row>
    <row r="116" ht="15.75" customHeight="1">
      <c r="C116" s="7"/>
    </row>
    <row r="117" ht="15.75" customHeight="1">
      <c r="C117" s="7"/>
    </row>
    <row r="118" ht="15.75" customHeight="1">
      <c r="C118" s="7"/>
    </row>
    <row r="119" ht="15.75" customHeight="1">
      <c r="C119" s="7"/>
    </row>
    <row r="120" ht="15.75" customHeight="1">
      <c r="C120" s="7"/>
    </row>
    <row r="121" ht="15.75" customHeight="1">
      <c r="C121" s="7"/>
    </row>
    <row r="122" ht="15.75" customHeight="1">
      <c r="C122" s="7"/>
    </row>
    <row r="123" ht="15.75" customHeight="1">
      <c r="C123" s="7"/>
    </row>
    <row r="124" ht="15.75" customHeight="1">
      <c r="C124" s="7"/>
    </row>
    <row r="125" ht="15.75" customHeight="1">
      <c r="C125" s="7"/>
    </row>
    <row r="126" ht="15.75" customHeight="1">
      <c r="C126" s="7"/>
    </row>
    <row r="127" ht="15.75" customHeight="1">
      <c r="C127" s="7"/>
    </row>
    <row r="128" ht="15.75" customHeight="1">
      <c r="C128" s="7"/>
    </row>
    <row r="129" ht="15.75" customHeight="1">
      <c r="C129" s="7"/>
    </row>
    <row r="130" ht="15.75" customHeight="1">
      <c r="C130" s="7"/>
    </row>
    <row r="131" ht="15.75" customHeight="1">
      <c r="C131" s="7"/>
    </row>
    <row r="132" ht="15.75" customHeight="1">
      <c r="C132" s="7"/>
    </row>
    <row r="133" ht="15.75" customHeight="1">
      <c r="C133" s="7"/>
    </row>
    <row r="134" ht="15.75" customHeight="1">
      <c r="C134" s="7"/>
    </row>
    <row r="135" ht="15.75" customHeight="1">
      <c r="C135" s="7"/>
    </row>
    <row r="136" ht="15.75" customHeight="1">
      <c r="C136" s="7"/>
    </row>
    <row r="137" ht="15.75" customHeight="1">
      <c r="C137" s="7"/>
    </row>
    <row r="138" ht="15.75" customHeight="1">
      <c r="C138" s="7"/>
    </row>
    <row r="139" ht="15.75" customHeight="1">
      <c r="C139" s="7"/>
    </row>
    <row r="140" ht="15.75" customHeight="1">
      <c r="C140" s="7"/>
    </row>
    <row r="141" ht="15.75" customHeight="1">
      <c r="C141" s="7"/>
    </row>
    <row r="142" ht="15.75" customHeight="1">
      <c r="C142" s="7"/>
    </row>
    <row r="143" ht="15.75" customHeight="1">
      <c r="C143" s="7"/>
    </row>
    <row r="144" ht="15.75" customHeight="1">
      <c r="C144" s="7"/>
    </row>
    <row r="145" ht="15.75" customHeight="1">
      <c r="C145" s="7"/>
    </row>
    <row r="146" ht="15.75" customHeight="1">
      <c r="C146" s="7"/>
    </row>
    <row r="147" ht="15.75" customHeight="1">
      <c r="C147" s="7"/>
    </row>
    <row r="148" ht="15.75" customHeight="1">
      <c r="C148" s="7"/>
    </row>
    <row r="149" ht="15.75" customHeight="1">
      <c r="C149" s="7"/>
    </row>
    <row r="150" ht="15.75" customHeight="1">
      <c r="C150" s="7"/>
    </row>
    <row r="151" ht="15.75" customHeight="1">
      <c r="C151" s="7"/>
    </row>
    <row r="152" ht="15.75" customHeight="1">
      <c r="C152" s="7"/>
    </row>
    <row r="153" ht="15.75" customHeight="1">
      <c r="C153" s="7"/>
    </row>
    <row r="154" ht="15.75" customHeight="1">
      <c r="C154" s="7"/>
    </row>
    <row r="155" ht="15.75" customHeight="1">
      <c r="C155" s="7"/>
    </row>
    <row r="156" ht="15.75" customHeight="1">
      <c r="C156" s="7"/>
    </row>
    <row r="157" ht="15.75" customHeight="1">
      <c r="C157" s="7"/>
    </row>
    <row r="158" ht="15.75" customHeight="1">
      <c r="C158" s="7"/>
    </row>
    <row r="159" ht="15.75" customHeight="1">
      <c r="C159" s="7"/>
    </row>
    <row r="160" ht="15.75" customHeight="1">
      <c r="C160" s="7"/>
    </row>
    <row r="161" ht="15.75" customHeight="1">
      <c r="C161" s="7"/>
    </row>
    <row r="162" ht="15.75" customHeight="1">
      <c r="C162" s="7"/>
    </row>
    <row r="163" ht="15.75" customHeight="1">
      <c r="C163" s="7"/>
    </row>
    <row r="164" ht="15.75" customHeight="1">
      <c r="C164" s="7"/>
    </row>
    <row r="165" ht="15.75" customHeight="1">
      <c r="C165" s="7"/>
    </row>
    <row r="166" ht="15.75" customHeight="1">
      <c r="C166" s="7"/>
    </row>
    <row r="167" ht="15.75" customHeight="1">
      <c r="C167" s="7"/>
    </row>
    <row r="168" ht="15.75" customHeight="1">
      <c r="C168" s="7"/>
    </row>
    <row r="169" ht="15.75" customHeight="1">
      <c r="C169" s="7"/>
    </row>
    <row r="170" ht="15.75" customHeight="1">
      <c r="C170" s="7"/>
    </row>
    <row r="171" ht="15.75" customHeight="1">
      <c r="C171" s="7"/>
    </row>
    <row r="172" ht="15.75" customHeight="1">
      <c r="C172" s="7"/>
    </row>
    <row r="173" ht="15.75" customHeight="1">
      <c r="C173" s="7"/>
    </row>
    <row r="174" ht="15.75" customHeight="1">
      <c r="C174" s="7"/>
    </row>
    <row r="175" ht="15.75" customHeight="1">
      <c r="C175" s="7"/>
    </row>
    <row r="176" ht="15.75" customHeight="1">
      <c r="C176" s="7"/>
    </row>
    <row r="177" ht="15.75" customHeight="1">
      <c r="C177" s="7"/>
    </row>
    <row r="178" ht="15.75" customHeight="1">
      <c r="C178" s="7"/>
    </row>
    <row r="179" ht="15.75" customHeight="1">
      <c r="C179" s="7"/>
    </row>
    <row r="180" ht="15.75" customHeight="1">
      <c r="C180" s="7"/>
    </row>
    <row r="181" ht="15.75" customHeight="1">
      <c r="C181" s="7"/>
    </row>
    <row r="182" ht="15.75" customHeight="1">
      <c r="C182" s="7"/>
    </row>
    <row r="183" ht="15.75" customHeight="1">
      <c r="C183" s="7"/>
    </row>
    <row r="184" ht="15.75" customHeight="1">
      <c r="C184" s="7"/>
    </row>
    <row r="185" ht="15.75" customHeight="1">
      <c r="C185" s="7"/>
    </row>
    <row r="186" ht="15.75" customHeight="1">
      <c r="C186" s="7"/>
    </row>
    <row r="187" ht="15.75" customHeight="1">
      <c r="C187" s="7"/>
    </row>
    <row r="188" ht="15.75" customHeight="1">
      <c r="C188" s="7"/>
    </row>
    <row r="189" ht="15.75" customHeight="1">
      <c r="C189" s="7"/>
    </row>
    <row r="190" ht="15.75" customHeight="1">
      <c r="C190" s="7"/>
    </row>
    <row r="191" ht="15.75" customHeight="1">
      <c r="C191" s="7"/>
    </row>
    <row r="192" ht="15.75" customHeight="1">
      <c r="C192" s="7"/>
    </row>
    <row r="193" ht="15.75" customHeight="1">
      <c r="C193" s="7"/>
    </row>
    <row r="194" ht="15.75" customHeight="1">
      <c r="C194" s="7"/>
    </row>
    <row r="195" ht="15.75" customHeight="1">
      <c r="C195" s="7"/>
    </row>
    <row r="196" ht="15.75" customHeight="1">
      <c r="C196" s="7"/>
    </row>
    <row r="197" ht="15.75" customHeight="1">
      <c r="C197" s="7"/>
    </row>
    <row r="198" ht="15.75" customHeight="1">
      <c r="C198" s="7"/>
    </row>
    <row r="199" ht="15.75" customHeight="1">
      <c r="C199" s="7"/>
    </row>
    <row r="200" ht="15.75" customHeight="1">
      <c r="C200" s="7"/>
    </row>
    <row r="201" ht="15.75" customHeight="1">
      <c r="C201" s="7"/>
    </row>
    <row r="202" ht="15.75" customHeight="1">
      <c r="C202" s="7"/>
    </row>
    <row r="203" ht="15.75" customHeight="1">
      <c r="C203" s="7"/>
    </row>
    <row r="204" ht="15.75" customHeight="1">
      <c r="C204" s="7"/>
    </row>
    <row r="205" ht="15.75" customHeight="1">
      <c r="C205" s="7"/>
    </row>
    <row r="206" ht="15.75" customHeight="1">
      <c r="C206" s="7"/>
    </row>
    <row r="207" ht="15.75" customHeight="1">
      <c r="C207" s="7"/>
    </row>
    <row r="208" ht="15.75" customHeight="1">
      <c r="C208" s="7"/>
    </row>
    <row r="209" ht="15.75" customHeight="1">
      <c r="C209" s="7"/>
    </row>
    <row r="210" ht="15.75" customHeight="1">
      <c r="C210" s="7"/>
    </row>
    <row r="211" ht="15.75" customHeight="1">
      <c r="C211" s="7"/>
    </row>
    <row r="212" ht="15.75" customHeight="1">
      <c r="C212" s="7"/>
    </row>
    <row r="213" ht="15.75" customHeight="1">
      <c r="C213" s="7"/>
    </row>
    <row r="214" ht="15.75" customHeight="1">
      <c r="C214" s="7"/>
    </row>
    <row r="215" ht="15.75" customHeight="1">
      <c r="C215" s="7"/>
    </row>
    <row r="216" ht="15.75" customHeight="1">
      <c r="C216" s="7"/>
    </row>
    <row r="217" ht="15.75" customHeight="1">
      <c r="C217" s="7"/>
    </row>
    <row r="218" ht="15.75" customHeight="1">
      <c r="C218" s="7"/>
    </row>
    <row r="219" ht="15.75" customHeight="1">
      <c r="C219" s="7"/>
    </row>
    <row r="220" ht="15.75" customHeight="1">
      <c r="C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c r="A1" s="8" t="s">
        <v>14</v>
      </c>
      <c r="B1" s="8" t="s">
        <v>15</v>
      </c>
      <c r="C1" s="8" t="s">
        <v>16</v>
      </c>
      <c r="D1" s="8" t="s">
        <v>17</v>
      </c>
      <c r="E1" s="8" t="s">
        <v>18</v>
      </c>
      <c r="F1" s="8" t="s">
        <v>19</v>
      </c>
      <c r="G1" s="8" t="s">
        <v>20</v>
      </c>
      <c r="H1" s="8" t="s">
        <v>21</v>
      </c>
      <c r="I1" s="8" t="s">
        <v>22</v>
      </c>
      <c r="J1" s="8" t="s">
        <v>23</v>
      </c>
      <c r="K1" s="8" t="s">
        <v>24</v>
      </c>
      <c r="L1" s="8" t="s">
        <v>25</v>
      </c>
    </row>
    <row r="2" hidden="1">
      <c r="A2" s="8" t="s">
        <v>26</v>
      </c>
      <c r="B2" s="8" t="s">
        <v>27</v>
      </c>
      <c r="C2" s="8" t="s">
        <v>28</v>
      </c>
      <c r="D2" s="8" t="s">
        <v>29</v>
      </c>
      <c r="E2" s="8" t="s">
        <v>30</v>
      </c>
      <c r="F2" s="8" t="s">
        <v>31</v>
      </c>
      <c r="G2" s="8"/>
      <c r="H2" s="8"/>
      <c r="I2" s="8" t="s">
        <v>32</v>
      </c>
      <c r="J2" s="9">
        <v>45982.0</v>
      </c>
      <c r="K2" s="8" t="s">
        <v>33</v>
      </c>
      <c r="L2" s="8" t="s">
        <v>34</v>
      </c>
    </row>
    <row r="3" hidden="1">
      <c r="A3" s="8" t="s">
        <v>26</v>
      </c>
      <c r="B3" s="8" t="s">
        <v>35</v>
      </c>
      <c r="C3" s="8" t="s">
        <v>36</v>
      </c>
      <c r="D3" s="8" t="s">
        <v>37</v>
      </c>
      <c r="E3" s="8" t="s">
        <v>38</v>
      </c>
      <c r="F3" s="8" t="s">
        <v>39</v>
      </c>
      <c r="G3" s="8" t="s">
        <v>40</v>
      </c>
      <c r="H3" s="10" t="s">
        <v>41</v>
      </c>
      <c r="I3" s="8" t="s">
        <v>42</v>
      </c>
      <c r="J3" s="9">
        <v>45982.0</v>
      </c>
      <c r="K3" s="8" t="s">
        <v>43</v>
      </c>
      <c r="L3" s="8" t="s">
        <v>44</v>
      </c>
    </row>
    <row r="4" hidden="1">
      <c r="A4" s="8" t="s">
        <v>26</v>
      </c>
      <c r="B4" s="8" t="s">
        <v>45</v>
      </c>
      <c r="C4" s="8" t="s">
        <v>46</v>
      </c>
      <c r="D4" s="8" t="s">
        <v>47</v>
      </c>
      <c r="E4" s="8" t="s">
        <v>38</v>
      </c>
      <c r="F4" s="8"/>
      <c r="G4" s="8" t="s">
        <v>48</v>
      </c>
      <c r="H4" s="10" t="s">
        <v>49</v>
      </c>
      <c r="I4" s="8" t="s">
        <v>50</v>
      </c>
      <c r="J4" s="9">
        <v>45982.0</v>
      </c>
      <c r="K4" s="8" t="s">
        <v>51</v>
      </c>
      <c r="L4" s="8" t="s">
        <v>52</v>
      </c>
    </row>
    <row r="5" hidden="1">
      <c r="A5" s="8" t="s">
        <v>26</v>
      </c>
      <c r="B5" s="8" t="s">
        <v>53</v>
      </c>
      <c r="C5" s="8" t="s">
        <v>54</v>
      </c>
      <c r="D5" s="8" t="s">
        <v>55</v>
      </c>
      <c r="E5" s="8" t="s">
        <v>38</v>
      </c>
      <c r="F5" s="8" t="s">
        <v>56</v>
      </c>
      <c r="G5" s="8" t="s">
        <v>57</v>
      </c>
      <c r="H5" s="10" t="s">
        <v>58</v>
      </c>
      <c r="I5" s="8" t="s">
        <v>59</v>
      </c>
      <c r="J5" s="9">
        <v>45982.0</v>
      </c>
      <c r="K5" s="8" t="s">
        <v>60</v>
      </c>
      <c r="L5" s="8" t="s">
        <v>61</v>
      </c>
    </row>
    <row r="6" hidden="1">
      <c r="A6" s="8" t="s">
        <v>26</v>
      </c>
      <c r="B6" s="8" t="s">
        <v>62</v>
      </c>
      <c r="C6" s="8" t="s">
        <v>63</v>
      </c>
      <c r="D6" s="8" t="s">
        <v>64</v>
      </c>
      <c r="E6" s="8" t="s">
        <v>38</v>
      </c>
      <c r="F6" s="8" t="s">
        <v>65</v>
      </c>
      <c r="G6" s="8" t="s">
        <v>66</v>
      </c>
      <c r="H6" s="10" t="s">
        <v>67</v>
      </c>
      <c r="I6" s="8" t="s">
        <v>68</v>
      </c>
      <c r="J6" s="9">
        <v>45982.0</v>
      </c>
      <c r="K6" s="8" t="s">
        <v>69</v>
      </c>
      <c r="L6" s="8" t="s">
        <v>70</v>
      </c>
    </row>
    <row r="7" hidden="1">
      <c r="A7" s="8" t="s">
        <v>26</v>
      </c>
      <c r="B7" s="8" t="s">
        <v>71</v>
      </c>
      <c r="C7" s="8" t="s">
        <v>72</v>
      </c>
      <c r="D7" s="8" t="s">
        <v>37</v>
      </c>
      <c r="E7" s="8" t="s">
        <v>38</v>
      </c>
      <c r="F7" s="8" t="s">
        <v>73</v>
      </c>
      <c r="G7" s="8" t="s">
        <v>74</v>
      </c>
      <c r="H7" s="10" t="s">
        <v>75</v>
      </c>
      <c r="I7" s="8" t="s">
        <v>42</v>
      </c>
      <c r="J7" s="9">
        <v>45982.0</v>
      </c>
      <c r="K7" s="8" t="s">
        <v>76</v>
      </c>
      <c r="L7" s="8" t="s">
        <v>77</v>
      </c>
    </row>
    <row r="8" hidden="1">
      <c r="A8" s="8" t="s">
        <v>26</v>
      </c>
      <c r="B8" s="8" t="s">
        <v>78</v>
      </c>
      <c r="C8" s="8" t="s">
        <v>79</v>
      </c>
      <c r="D8" s="8" t="s">
        <v>80</v>
      </c>
      <c r="E8" s="8" t="s">
        <v>38</v>
      </c>
      <c r="F8" s="8" t="s">
        <v>81</v>
      </c>
      <c r="G8" s="8" t="s">
        <v>82</v>
      </c>
      <c r="H8" s="10" t="s">
        <v>83</v>
      </c>
      <c r="I8" s="8" t="s">
        <v>84</v>
      </c>
      <c r="J8" s="9">
        <v>45982.0</v>
      </c>
      <c r="K8" s="8" t="s">
        <v>85</v>
      </c>
      <c r="L8" s="8" t="s">
        <v>86</v>
      </c>
    </row>
    <row r="9" hidden="1">
      <c r="A9" s="8" t="s">
        <v>26</v>
      </c>
      <c r="B9" s="8" t="s">
        <v>87</v>
      </c>
      <c r="C9" s="8" t="s">
        <v>88</v>
      </c>
      <c r="D9" s="8" t="s">
        <v>89</v>
      </c>
      <c r="E9" s="8" t="s">
        <v>38</v>
      </c>
      <c r="F9" s="8" t="s">
        <v>90</v>
      </c>
      <c r="G9" s="8" t="s">
        <v>91</v>
      </c>
      <c r="H9" s="10" t="s">
        <v>92</v>
      </c>
      <c r="I9" s="8" t="s">
        <v>42</v>
      </c>
      <c r="J9" s="9">
        <v>45982.0</v>
      </c>
      <c r="K9" s="8" t="s">
        <v>93</v>
      </c>
      <c r="L9" s="8" t="s">
        <v>94</v>
      </c>
    </row>
    <row r="10" hidden="1">
      <c r="A10" s="8" t="s">
        <v>26</v>
      </c>
      <c r="B10" s="8" t="s">
        <v>95</v>
      </c>
      <c r="C10" s="8" t="s">
        <v>96</v>
      </c>
      <c r="D10" s="8" t="s">
        <v>47</v>
      </c>
      <c r="E10" s="8" t="s">
        <v>38</v>
      </c>
      <c r="F10" s="8" t="s">
        <v>97</v>
      </c>
      <c r="G10" s="8" t="s">
        <v>98</v>
      </c>
      <c r="H10" s="10" t="s">
        <v>99</v>
      </c>
      <c r="I10" s="8" t="s">
        <v>50</v>
      </c>
      <c r="J10" s="9">
        <v>45982.0</v>
      </c>
      <c r="K10" s="8" t="s">
        <v>100</v>
      </c>
      <c r="L10" s="8" t="s">
        <v>101</v>
      </c>
    </row>
    <row r="11" hidden="1">
      <c r="A11" s="8" t="s">
        <v>26</v>
      </c>
      <c r="B11" s="8" t="s">
        <v>102</v>
      </c>
      <c r="C11" s="8" t="s">
        <v>103</v>
      </c>
      <c r="D11" s="8" t="s">
        <v>104</v>
      </c>
      <c r="E11" s="8" t="s">
        <v>38</v>
      </c>
      <c r="F11" s="8" t="s">
        <v>105</v>
      </c>
      <c r="G11" s="8" t="s">
        <v>106</v>
      </c>
      <c r="H11" s="10" t="s">
        <v>107</v>
      </c>
      <c r="I11" s="8" t="s">
        <v>42</v>
      </c>
      <c r="J11" s="9">
        <v>45982.0</v>
      </c>
      <c r="K11" s="8" t="s">
        <v>108</v>
      </c>
      <c r="L11" s="8" t="s">
        <v>109</v>
      </c>
    </row>
    <row r="12" hidden="1">
      <c r="A12" s="8" t="s">
        <v>26</v>
      </c>
      <c r="B12" s="8" t="s">
        <v>110</v>
      </c>
      <c r="C12" s="8" t="s">
        <v>111</v>
      </c>
      <c r="D12" s="8" t="s">
        <v>37</v>
      </c>
      <c r="E12" s="8" t="s">
        <v>38</v>
      </c>
      <c r="F12" s="8" t="s">
        <v>112</v>
      </c>
      <c r="G12" s="8" t="s">
        <v>113</v>
      </c>
      <c r="H12" s="10" t="s">
        <v>114</v>
      </c>
      <c r="I12" s="8" t="s">
        <v>42</v>
      </c>
      <c r="J12" s="9">
        <v>45982.0</v>
      </c>
      <c r="K12" s="8" t="s">
        <v>115</v>
      </c>
      <c r="L12" s="8" t="s">
        <v>116</v>
      </c>
    </row>
    <row r="13" hidden="1">
      <c r="A13" s="8" t="s">
        <v>26</v>
      </c>
      <c r="B13" s="8" t="s">
        <v>117</v>
      </c>
      <c r="C13" s="8" t="s">
        <v>118</v>
      </c>
      <c r="D13" s="8" t="s">
        <v>104</v>
      </c>
      <c r="E13" s="8" t="s">
        <v>38</v>
      </c>
      <c r="F13" s="8" t="s">
        <v>119</v>
      </c>
      <c r="G13" s="8" t="s">
        <v>120</v>
      </c>
      <c r="H13" s="10" t="s">
        <v>121</v>
      </c>
      <c r="I13" s="8" t="s">
        <v>42</v>
      </c>
      <c r="J13" s="9">
        <v>45982.0</v>
      </c>
      <c r="K13" s="8" t="s">
        <v>122</v>
      </c>
      <c r="L13" s="8" t="s">
        <v>123</v>
      </c>
    </row>
    <row r="14" hidden="1">
      <c r="A14" s="8" t="s">
        <v>26</v>
      </c>
      <c r="B14" s="8" t="s">
        <v>124</v>
      </c>
      <c r="C14" s="8" t="s">
        <v>125</v>
      </c>
      <c r="D14" s="8" t="s">
        <v>126</v>
      </c>
      <c r="E14" s="8" t="s">
        <v>38</v>
      </c>
      <c r="F14" s="8" t="s">
        <v>127</v>
      </c>
      <c r="G14" s="8" t="s">
        <v>128</v>
      </c>
      <c r="H14" s="10" t="s">
        <v>129</v>
      </c>
      <c r="I14" s="8" t="s">
        <v>130</v>
      </c>
      <c r="J14" s="9">
        <v>45982.0</v>
      </c>
      <c r="K14" s="8" t="s">
        <v>131</v>
      </c>
      <c r="L14" s="8" t="s">
        <v>132</v>
      </c>
    </row>
    <row r="15" hidden="1">
      <c r="A15" s="8" t="s">
        <v>26</v>
      </c>
      <c r="B15" s="8" t="s">
        <v>133</v>
      </c>
      <c r="C15" s="8" t="s">
        <v>134</v>
      </c>
      <c r="D15" s="8" t="s">
        <v>135</v>
      </c>
      <c r="E15" s="8" t="s">
        <v>38</v>
      </c>
      <c r="F15" s="8" t="s">
        <v>136</v>
      </c>
      <c r="G15" s="8" t="s">
        <v>137</v>
      </c>
      <c r="H15" s="10" t="s">
        <v>138</v>
      </c>
      <c r="I15" s="8" t="s">
        <v>139</v>
      </c>
      <c r="J15" s="9">
        <v>45982.0</v>
      </c>
      <c r="K15" s="8" t="s">
        <v>140</v>
      </c>
      <c r="L15" s="8" t="s">
        <v>141</v>
      </c>
    </row>
    <row r="16" hidden="1">
      <c r="A16" s="8" t="s">
        <v>26</v>
      </c>
      <c r="B16" s="8" t="s">
        <v>142</v>
      </c>
      <c r="C16" s="8" t="s">
        <v>143</v>
      </c>
      <c r="D16" s="8" t="s">
        <v>144</v>
      </c>
      <c r="E16" s="8" t="s">
        <v>30</v>
      </c>
      <c r="F16" s="8" t="s">
        <v>145</v>
      </c>
      <c r="G16" s="8" t="s">
        <v>146</v>
      </c>
      <c r="H16" s="10" t="s">
        <v>147</v>
      </c>
      <c r="I16" s="8" t="s">
        <v>148</v>
      </c>
      <c r="J16" s="9">
        <v>45982.0</v>
      </c>
      <c r="K16" s="8" t="s">
        <v>149</v>
      </c>
      <c r="L16" s="8" t="s">
        <v>150</v>
      </c>
    </row>
    <row r="17" hidden="1">
      <c r="A17" s="8" t="s">
        <v>26</v>
      </c>
      <c r="B17" s="8" t="s">
        <v>151</v>
      </c>
      <c r="C17" s="8" t="s">
        <v>152</v>
      </c>
      <c r="D17" s="8" t="s">
        <v>89</v>
      </c>
      <c r="E17" s="8" t="s">
        <v>38</v>
      </c>
      <c r="F17" s="8" t="s">
        <v>153</v>
      </c>
      <c r="G17" s="8" t="s">
        <v>154</v>
      </c>
      <c r="H17" s="10" t="s">
        <v>155</v>
      </c>
      <c r="I17" s="8" t="s">
        <v>42</v>
      </c>
      <c r="J17" s="9">
        <v>45982.0</v>
      </c>
      <c r="K17" s="8" t="s">
        <v>156</v>
      </c>
      <c r="L17" s="8" t="s">
        <v>157</v>
      </c>
    </row>
    <row r="18" hidden="1">
      <c r="A18" s="8" t="s">
        <v>26</v>
      </c>
      <c r="B18" s="8" t="s">
        <v>158</v>
      </c>
      <c r="C18" s="8" t="s">
        <v>159</v>
      </c>
      <c r="D18" s="8" t="s">
        <v>160</v>
      </c>
      <c r="E18" s="8" t="s">
        <v>38</v>
      </c>
      <c r="F18" s="8" t="s">
        <v>161</v>
      </c>
      <c r="G18" s="8" t="s">
        <v>162</v>
      </c>
      <c r="H18" s="10" t="s">
        <v>163</v>
      </c>
      <c r="I18" s="8" t="s">
        <v>42</v>
      </c>
      <c r="J18" s="9">
        <v>45982.0</v>
      </c>
      <c r="K18" s="8" t="s">
        <v>164</v>
      </c>
      <c r="L18" s="8" t="s">
        <v>165</v>
      </c>
    </row>
    <row r="19" hidden="1">
      <c r="A19" s="8" t="s">
        <v>26</v>
      </c>
      <c r="B19" s="8" t="s">
        <v>166</v>
      </c>
      <c r="C19" s="8" t="s">
        <v>167</v>
      </c>
      <c r="D19" s="8" t="s">
        <v>168</v>
      </c>
      <c r="E19" s="8" t="s">
        <v>38</v>
      </c>
      <c r="F19" s="8" t="s">
        <v>169</v>
      </c>
      <c r="G19" s="8" t="s">
        <v>170</v>
      </c>
      <c r="H19" s="10" t="s">
        <v>171</v>
      </c>
      <c r="I19" s="8" t="s">
        <v>172</v>
      </c>
      <c r="J19" s="9">
        <v>45982.0</v>
      </c>
      <c r="K19" s="8" t="s">
        <v>173</v>
      </c>
      <c r="L19" s="8" t="s">
        <v>174</v>
      </c>
    </row>
    <row r="20" hidden="1">
      <c r="A20" s="8" t="s">
        <v>26</v>
      </c>
      <c r="B20" s="8" t="s">
        <v>175</v>
      </c>
      <c r="C20" s="8" t="s">
        <v>176</v>
      </c>
      <c r="D20" s="8" t="s">
        <v>89</v>
      </c>
      <c r="E20" s="8" t="s">
        <v>38</v>
      </c>
      <c r="F20" s="8" t="s">
        <v>177</v>
      </c>
      <c r="G20" s="8" t="s">
        <v>178</v>
      </c>
      <c r="H20" s="10" t="s">
        <v>179</v>
      </c>
      <c r="I20" s="8" t="s">
        <v>42</v>
      </c>
      <c r="J20" s="9">
        <v>45982.0</v>
      </c>
      <c r="K20" s="8" t="s">
        <v>180</v>
      </c>
      <c r="L20" s="8" t="s">
        <v>181</v>
      </c>
    </row>
    <row r="21" ht="15.75" hidden="1" customHeight="1">
      <c r="A21" s="8" t="s">
        <v>26</v>
      </c>
      <c r="B21" s="8" t="s">
        <v>182</v>
      </c>
      <c r="C21" s="8" t="s">
        <v>183</v>
      </c>
      <c r="D21" s="8" t="s">
        <v>184</v>
      </c>
      <c r="E21" s="8" t="s">
        <v>38</v>
      </c>
      <c r="F21" s="8" t="s">
        <v>185</v>
      </c>
      <c r="G21" s="8" t="s">
        <v>186</v>
      </c>
      <c r="H21" s="10" t="s">
        <v>187</v>
      </c>
      <c r="I21" s="8" t="s">
        <v>188</v>
      </c>
      <c r="J21" s="9">
        <v>45982.0</v>
      </c>
      <c r="K21" s="8" t="s">
        <v>189</v>
      </c>
      <c r="L21" s="8" t="s">
        <v>190</v>
      </c>
    </row>
    <row r="22" ht="15.75" hidden="1" customHeight="1">
      <c r="A22" s="8" t="s">
        <v>26</v>
      </c>
      <c r="B22" s="8" t="s">
        <v>191</v>
      </c>
      <c r="C22" s="8" t="s">
        <v>192</v>
      </c>
      <c r="D22" s="8" t="s">
        <v>193</v>
      </c>
      <c r="E22" s="8" t="s">
        <v>38</v>
      </c>
      <c r="F22" s="8" t="s">
        <v>194</v>
      </c>
      <c r="G22" s="8" t="s">
        <v>195</v>
      </c>
      <c r="H22" s="10" t="s">
        <v>196</v>
      </c>
      <c r="I22" s="8" t="s">
        <v>197</v>
      </c>
      <c r="J22" s="9">
        <v>45982.0</v>
      </c>
      <c r="K22" s="8" t="s">
        <v>198</v>
      </c>
      <c r="L22" s="8" t="s">
        <v>199</v>
      </c>
    </row>
    <row r="23" ht="15.75" hidden="1" customHeight="1">
      <c r="A23" s="8" t="s">
        <v>26</v>
      </c>
      <c r="B23" s="8" t="s">
        <v>200</v>
      </c>
      <c r="C23" s="8" t="s">
        <v>201</v>
      </c>
      <c r="D23" s="8" t="s">
        <v>202</v>
      </c>
      <c r="E23" s="8" t="s">
        <v>203</v>
      </c>
      <c r="F23" s="8" t="s">
        <v>204</v>
      </c>
      <c r="G23" s="8" t="s">
        <v>205</v>
      </c>
      <c r="H23" s="10" t="s">
        <v>206</v>
      </c>
      <c r="I23" s="8" t="s">
        <v>42</v>
      </c>
      <c r="J23" s="9">
        <v>45982.0</v>
      </c>
      <c r="K23" s="8" t="s">
        <v>207</v>
      </c>
      <c r="L23" s="8" t="s">
        <v>208</v>
      </c>
    </row>
    <row r="24" ht="15.75" hidden="1" customHeight="1">
      <c r="A24" s="8" t="s">
        <v>26</v>
      </c>
      <c r="B24" s="8" t="s">
        <v>209</v>
      </c>
      <c r="C24" s="8" t="s">
        <v>210</v>
      </c>
      <c r="D24" s="8" t="s">
        <v>104</v>
      </c>
      <c r="E24" s="8" t="s">
        <v>38</v>
      </c>
      <c r="F24" s="8" t="s">
        <v>211</v>
      </c>
      <c r="G24" s="8" t="s">
        <v>212</v>
      </c>
      <c r="H24" s="10" t="s">
        <v>213</v>
      </c>
      <c r="I24" s="8" t="s">
        <v>42</v>
      </c>
      <c r="J24" s="9">
        <v>45982.0</v>
      </c>
      <c r="K24" s="8" t="s">
        <v>214</v>
      </c>
      <c r="L24" s="8" t="s">
        <v>215</v>
      </c>
    </row>
    <row r="25" ht="15.75" hidden="1" customHeight="1">
      <c r="A25" s="8" t="s">
        <v>26</v>
      </c>
      <c r="B25" s="8" t="s">
        <v>216</v>
      </c>
      <c r="C25" s="8" t="s">
        <v>217</v>
      </c>
      <c r="D25" s="8" t="s">
        <v>218</v>
      </c>
      <c r="E25" s="8" t="s">
        <v>38</v>
      </c>
      <c r="F25" s="8" t="s">
        <v>219</v>
      </c>
      <c r="G25" s="8" t="s">
        <v>220</v>
      </c>
      <c r="H25" s="10" t="s">
        <v>221</v>
      </c>
      <c r="I25" s="8" t="s">
        <v>222</v>
      </c>
      <c r="J25" s="9">
        <v>45982.0</v>
      </c>
      <c r="K25" s="8" t="s">
        <v>223</v>
      </c>
      <c r="L25" s="8" t="s">
        <v>224</v>
      </c>
    </row>
    <row r="26" ht="15.75" hidden="1" customHeight="1">
      <c r="A26" s="8" t="s">
        <v>26</v>
      </c>
      <c r="B26" s="8" t="s">
        <v>225</v>
      </c>
      <c r="C26" s="8" t="s">
        <v>226</v>
      </c>
      <c r="D26" s="8" t="s">
        <v>227</v>
      </c>
      <c r="E26" s="8" t="s">
        <v>38</v>
      </c>
      <c r="F26" s="8" t="s">
        <v>228</v>
      </c>
      <c r="G26" s="8" t="s">
        <v>229</v>
      </c>
      <c r="H26" s="10" t="s">
        <v>230</v>
      </c>
      <c r="I26" s="8" t="s">
        <v>231</v>
      </c>
      <c r="J26" s="9">
        <v>45982.0</v>
      </c>
      <c r="K26" s="8" t="s">
        <v>232</v>
      </c>
      <c r="L26" s="8" t="s">
        <v>233</v>
      </c>
    </row>
    <row r="27" ht="15.75" hidden="1" customHeight="1">
      <c r="A27" s="8" t="s">
        <v>26</v>
      </c>
      <c r="B27" s="8" t="s">
        <v>234</v>
      </c>
      <c r="C27" s="8" t="s">
        <v>235</v>
      </c>
      <c r="D27" s="8" t="s">
        <v>89</v>
      </c>
      <c r="E27" s="8" t="s">
        <v>38</v>
      </c>
      <c r="F27" s="8" t="s">
        <v>236</v>
      </c>
      <c r="G27" s="8" t="s">
        <v>237</v>
      </c>
      <c r="H27" s="10" t="s">
        <v>238</v>
      </c>
      <c r="I27" s="8" t="s">
        <v>42</v>
      </c>
      <c r="J27" s="9">
        <v>45982.0</v>
      </c>
      <c r="K27" s="8" t="s">
        <v>239</v>
      </c>
      <c r="L27" s="8" t="s">
        <v>240</v>
      </c>
    </row>
    <row r="28" ht="15.75" hidden="1" customHeight="1">
      <c r="A28" s="8" t="s">
        <v>26</v>
      </c>
      <c r="B28" s="8" t="s">
        <v>241</v>
      </c>
      <c r="C28" s="8" t="s">
        <v>242</v>
      </c>
      <c r="D28" s="8" t="s">
        <v>243</v>
      </c>
      <c r="E28" s="8" t="s">
        <v>30</v>
      </c>
      <c r="F28" s="8" t="s">
        <v>244</v>
      </c>
      <c r="G28" s="8" t="s">
        <v>245</v>
      </c>
      <c r="H28" s="10" t="s">
        <v>246</v>
      </c>
      <c r="I28" s="8" t="s">
        <v>68</v>
      </c>
      <c r="J28" s="9">
        <v>45982.0</v>
      </c>
      <c r="K28" s="8" t="s">
        <v>247</v>
      </c>
      <c r="L28" s="8" t="s">
        <v>248</v>
      </c>
    </row>
    <row r="29" ht="15.75" hidden="1" customHeight="1">
      <c r="A29" s="8" t="s">
        <v>26</v>
      </c>
      <c r="B29" s="8" t="s">
        <v>249</v>
      </c>
      <c r="C29" s="8" t="s">
        <v>250</v>
      </c>
      <c r="D29" s="8" t="s">
        <v>251</v>
      </c>
      <c r="E29" s="8" t="s">
        <v>38</v>
      </c>
      <c r="F29" s="8" t="s">
        <v>252</v>
      </c>
      <c r="G29" s="8" t="s">
        <v>253</v>
      </c>
      <c r="H29" s="10" t="s">
        <v>254</v>
      </c>
      <c r="I29" s="8" t="s">
        <v>255</v>
      </c>
      <c r="J29" s="9">
        <v>45982.0</v>
      </c>
      <c r="K29" s="8" t="s">
        <v>256</v>
      </c>
      <c r="L29" s="8" t="s">
        <v>257</v>
      </c>
    </row>
    <row r="30" ht="15.75" hidden="1" customHeight="1">
      <c r="A30" s="8" t="s">
        <v>26</v>
      </c>
      <c r="B30" s="8" t="s">
        <v>258</v>
      </c>
      <c r="C30" s="8" t="s">
        <v>259</v>
      </c>
      <c r="D30" s="8" t="s">
        <v>260</v>
      </c>
      <c r="E30" s="8" t="s">
        <v>38</v>
      </c>
      <c r="F30" s="8" t="s">
        <v>261</v>
      </c>
      <c r="G30" s="8" t="s">
        <v>262</v>
      </c>
      <c r="H30" s="10" t="s">
        <v>263</v>
      </c>
      <c r="I30" s="8" t="s">
        <v>148</v>
      </c>
      <c r="J30" s="9">
        <v>45982.0</v>
      </c>
      <c r="K30" s="8" t="s">
        <v>264</v>
      </c>
      <c r="L30" s="8" t="s">
        <v>265</v>
      </c>
    </row>
    <row r="31" ht="15.75" hidden="1" customHeight="1">
      <c r="A31" s="8" t="s">
        <v>26</v>
      </c>
      <c r="B31" s="8" t="s">
        <v>266</v>
      </c>
      <c r="C31" s="8" t="s">
        <v>267</v>
      </c>
      <c r="D31" s="8" t="s">
        <v>268</v>
      </c>
      <c r="E31" s="8" t="s">
        <v>269</v>
      </c>
      <c r="F31" s="8" t="s">
        <v>270</v>
      </c>
      <c r="G31" s="8" t="s">
        <v>271</v>
      </c>
      <c r="H31" s="10" t="s">
        <v>272</v>
      </c>
      <c r="I31" s="8" t="s">
        <v>273</v>
      </c>
      <c r="J31" s="9">
        <v>45982.0</v>
      </c>
      <c r="K31" s="8" t="s">
        <v>274</v>
      </c>
      <c r="L31" s="8" t="s">
        <v>275</v>
      </c>
    </row>
    <row r="32" ht="15.75" hidden="1" customHeight="1">
      <c r="A32" s="8" t="s">
        <v>26</v>
      </c>
      <c r="B32" s="8" t="s">
        <v>276</v>
      </c>
      <c r="C32" s="8" t="s">
        <v>277</v>
      </c>
      <c r="D32" s="8" t="s">
        <v>278</v>
      </c>
      <c r="E32" s="8" t="s">
        <v>38</v>
      </c>
      <c r="F32" s="8" t="s">
        <v>279</v>
      </c>
      <c r="G32" s="8" t="s">
        <v>280</v>
      </c>
      <c r="H32" s="10" t="s">
        <v>281</v>
      </c>
      <c r="I32" s="8" t="s">
        <v>42</v>
      </c>
      <c r="J32" s="9">
        <v>45982.0</v>
      </c>
      <c r="K32" s="8" t="s">
        <v>282</v>
      </c>
      <c r="L32" s="8" t="s">
        <v>283</v>
      </c>
    </row>
    <row r="33" ht="15.75" hidden="1" customHeight="1">
      <c r="A33" s="8" t="s">
        <v>26</v>
      </c>
      <c r="B33" s="8" t="s">
        <v>284</v>
      </c>
      <c r="C33" s="8" t="s">
        <v>285</v>
      </c>
      <c r="D33" s="8" t="s">
        <v>286</v>
      </c>
      <c r="E33" s="8" t="s">
        <v>38</v>
      </c>
      <c r="F33" s="8" t="s">
        <v>287</v>
      </c>
      <c r="G33" s="8" t="s">
        <v>288</v>
      </c>
      <c r="H33" s="10" t="s">
        <v>289</v>
      </c>
      <c r="I33" s="8" t="s">
        <v>290</v>
      </c>
      <c r="J33" s="9">
        <v>45982.0</v>
      </c>
      <c r="K33" s="8" t="s">
        <v>291</v>
      </c>
      <c r="L33" s="8" t="s">
        <v>292</v>
      </c>
    </row>
    <row r="34" ht="15.75" hidden="1" customHeight="1">
      <c r="A34" s="8" t="s">
        <v>26</v>
      </c>
      <c r="B34" s="8" t="s">
        <v>293</v>
      </c>
      <c r="C34" s="8" t="s">
        <v>294</v>
      </c>
      <c r="D34" s="8" t="s">
        <v>295</v>
      </c>
      <c r="E34" s="8" t="s">
        <v>269</v>
      </c>
      <c r="F34" s="8" t="s">
        <v>296</v>
      </c>
      <c r="G34" s="8" t="s">
        <v>297</v>
      </c>
      <c r="H34" s="10" t="s">
        <v>298</v>
      </c>
      <c r="I34" s="8" t="s">
        <v>299</v>
      </c>
      <c r="J34" s="9">
        <v>45982.0</v>
      </c>
      <c r="K34" s="8" t="s">
        <v>300</v>
      </c>
      <c r="L34" s="8" t="s">
        <v>301</v>
      </c>
    </row>
    <row r="35" ht="15.75" hidden="1" customHeight="1">
      <c r="A35" s="8" t="s">
        <v>26</v>
      </c>
      <c r="B35" s="8" t="s">
        <v>302</v>
      </c>
      <c r="C35" s="8" t="s">
        <v>303</v>
      </c>
      <c r="D35" s="8" t="s">
        <v>160</v>
      </c>
      <c r="E35" s="8" t="s">
        <v>38</v>
      </c>
      <c r="F35" s="8" t="s">
        <v>304</v>
      </c>
      <c r="G35" s="8" t="s">
        <v>305</v>
      </c>
      <c r="H35" s="10" t="s">
        <v>306</v>
      </c>
      <c r="I35" s="8" t="s">
        <v>42</v>
      </c>
      <c r="J35" s="9">
        <v>45982.0</v>
      </c>
      <c r="K35" s="8" t="s">
        <v>307</v>
      </c>
      <c r="L35" s="8" t="s">
        <v>308</v>
      </c>
    </row>
    <row r="36" ht="15.75" hidden="1" customHeight="1">
      <c r="A36" s="8" t="s">
        <v>26</v>
      </c>
      <c r="B36" s="8" t="s">
        <v>309</v>
      </c>
      <c r="C36" s="8" t="s">
        <v>310</v>
      </c>
      <c r="D36" s="8" t="s">
        <v>278</v>
      </c>
      <c r="E36" s="8" t="s">
        <v>38</v>
      </c>
      <c r="F36" s="8" t="s">
        <v>311</v>
      </c>
      <c r="G36" s="8" t="s">
        <v>312</v>
      </c>
      <c r="H36" s="10" t="s">
        <v>313</v>
      </c>
      <c r="I36" s="8" t="s">
        <v>42</v>
      </c>
      <c r="J36" s="9">
        <v>45982.0</v>
      </c>
      <c r="K36" s="8" t="s">
        <v>314</v>
      </c>
      <c r="L36" s="8" t="s">
        <v>315</v>
      </c>
    </row>
    <row r="37" ht="15.75" hidden="1" customHeight="1">
      <c r="A37" s="8" t="s">
        <v>26</v>
      </c>
      <c r="B37" s="8" t="s">
        <v>316</v>
      </c>
      <c r="C37" s="8" t="s">
        <v>317</v>
      </c>
      <c r="D37" s="8" t="s">
        <v>318</v>
      </c>
      <c r="E37" s="8" t="s">
        <v>38</v>
      </c>
      <c r="F37" s="8" t="s">
        <v>319</v>
      </c>
      <c r="G37" s="8" t="s">
        <v>320</v>
      </c>
      <c r="H37" s="10" t="s">
        <v>321</v>
      </c>
      <c r="I37" s="8" t="s">
        <v>322</v>
      </c>
      <c r="J37" s="9">
        <v>45982.0</v>
      </c>
      <c r="K37" s="8" t="s">
        <v>323</v>
      </c>
      <c r="L37" s="8" t="s">
        <v>324</v>
      </c>
    </row>
    <row r="38" ht="15.75" hidden="1" customHeight="1">
      <c r="A38" s="8" t="s">
        <v>26</v>
      </c>
      <c r="B38" s="8" t="s">
        <v>325</v>
      </c>
      <c r="C38" s="8" t="s">
        <v>326</v>
      </c>
      <c r="D38" s="8" t="s">
        <v>327</v>
      </c>
      <c r="E38" s="8" t="s">
        <v>30</v>
      </c>
      <c r="F38" s="8" t="s">
        <v>328</v>
      </c>
      <c r="G38" s="8" t="s">
        <v>329</v>
      </c>
      <c r="H38" s="10" t="s">
        <v>330</v>
      </c>
      <c r="I38" s="8" t="s">
        <v>42</v>
      </c>
      <c r="J38" s="9">
        <v>45982.0</v>
      </c>
      <c r="K38" s="8" t="s">
        <v>331</v>
      </c>
      <c r="L38" s="8" t="s">
        <v>332</v>
      </c>
    </row>
    <row r="39" ht="15.75" hidden="1" customHeight="1">
      <c r="A39" s="8" t="s">
        <v>26</v>
      </c>
      <c r="B39" s="8" t="s">
        <v>333</v>
      </c>
      <c r="C39" s="8" t="s">
        <v>334</v>
      </c>
      <c r="D39" s="8" t="s">
        <v>104</v>
      </c>
      <c r="E39" s="8" t="s">
        <v>38</v>
      </c>
      <c r="F39" s="8" t="s">
        <v>335</v>
      </c>
      <c r="G39" s="8" t="s">
        <v>336</v>
      </c>
      <c r="H39" s="10" t="s">
        <v>337</v>
      </c>
      <c r="I39" s="8" t="s">
        <v>42</v>
      </c>
      <c r="J39" s="9">
        <v>45982.0</v>
      </c>
      <c r="K39" s="8" t="s">
        <v>338</v>
      </c>
      <c r="L39" s="8" t="s">
        <v>339</v>
      </c>
    </row>
    <row r="40" ht="15.75" hidden="1" customHeight="1">
      <c r="A40" s="8" t="s">
        <v>26</v>
      </c>
      <c r="B40" s="8" t="s">
        <v>340</v>
      </c>
      <c r="C40" s="8" t="s">
        <v>341</v>
      </c>
      <c r="D40" s="8" t="s">
        <v>342</v>
      </c>
      <c r="E40" s="8" t="s">
        <v>38</v>
      </c>
      <c r="F40" s="8" t="s">
        <v>343</v>
      </c>
      <c r="G40" s="8" t="s">
        <v>344</v>
      </c>
      <c r="H40" s="10" t="s">
        <v>345</v>
      </c>
      <c r="I40" s="8" t="s">
        <v>346</v>
      </c>
      <c r="J40" s="9">
        <v>45982.0</v>
      </c>
      <c r="K40" s="8" t="s">
        <v>347</v>
      </c>
      <c r="L40" s="8" t="s">
        <v>348</v>
      </c>
    </row>
    <row r="41" ht="15.75" hidden="1" customHeight="1">
      <c r="A41" s="8" t="s">
        <v>26</v>
      </c>
      <c r="B41" s="8" t="s">
        <v>349</v>
      </c>
      <c r="C41" s="8" t="s">
        <v>350</v>
      </c>
      <c r="D41" s="8" t="s">
        <v>327</v>
      </c>
      <c r="E41" s="8" t="s">
        <v>38</v>
      </c>
      <c r="F41" s="8" t="s">
        <v>351</v>
      </c>
      <c r="G41" s="8" t="s">
        <v>352</v>
      </c>
      <c r="H41" s="10" t="s">
        <v>353</v>
      </c>
      <c r="I41" s="8" t="s">
        <v>42</v>
      </c>
      <c r="J41" s="9">
        <v>45982.0</v>
      </c>
      <c r="K41" s="8" t="s">
        <v>354</v>
      </c>
      <c r="L41" s="8" t="s">
        <v>355</v>
      </c>
    </row>
    <row r="42" ht="15.75" hidden="1" customHeight="1">
      <c r="A42" s="8" t="s">
        <v>26</v>
      </c>
      <c r="B42" s="8" t="s">
        <v>356</v>
      </c>
      <c r="C42" s="8" t="s">
        <v>357</v>
      </c>
      <c r="D42" s="8" t="s">
        <v>218</v>
      </c>
      <c r="E42" s="8" t="s">
        <v>38</v>
      </c>
      <c r="F42" s="8" t="s">
        <v>358</v>
      </c>
      <c r="G42" s="8" t="s">
        <v>359</v>
      </c>
      <c r="H42" s="10" t="s">
        <v>360</v>
      </c>
      <c r="I42" s="8" t="s">
        <v>222</v>
      </c>
      <c r="J42" s="9">
        <v>45982.0</v>
      </c>
      <c r="K42" s="8" t="s">
        <v>361</v>
      </c>
      <c r="L42" s="8" t="s">
        <v>362</v>
      </c>
    </row>
    <row r="43" ht="15.75" hidden="1" customHeight="1">
      <c r="A43" s="8" t="s">
        <v>26</v>
      </c>
      <c r="B43" s="8" t="s">
        <v>363</v>
      </c>
      <c r="C43" s="8" t="s">
        <v>364</v>
      </c>
      <c r="D43" s="8" t="s">
        <v>365</v>
      </c>
      <c r="E43" s="8" t="s">
        <v>38</v>
      </c>
      <c r="F43" s="8" t="s">
        <v>366</v>
      </c>
      <c r="G43" s="8" t="s">
        <v>367</v>
      </c>
      <c r="H43" s="10" t="s">
        <v>368</v>
      </c>
      <c r="I43" s="8" t="s">
        <v>42</v>
      </c>
      <c r="J43" s="9">
        <v>45982.0</v>
      </c>
      <c r="K43" s="8" t="s">
        <v>369</v>
      </c>
      <c r="L43" s="8" t="s">
        <v>370</v>
      </c>
    </row>
    <row r="44" ht="15.75" hidden="1" customHeight="1">
      <c r="A44" s="8" t="s">
        <v>26</v>
      </c>
      <c r="B44" s="8" t="s">
        <v>371</v>
      </c>
      <c r="C44" s="8" t="s">
        <v>372</v>
      </c>
      <c r="D44" s="8" t="s">
        <v>37</v>
      </c>
      <c r="E44" s="8" t="s">
        <v>38</v>
      </c>
      <c r="F44" s="8" t="s">
        <v>373</v>
      </c>
      <c r="G44" s="8" t="s">
        <v>374</v>
      </c>
      <c r="H44" s="10" t="s">
        <v>375</v>
      </c>
      <c r="I44" s="8" t="s">
        <v>42</v>
      </c>
      <c r="J44" s="9">
        <v>45982.0</v>
      </c>
      <c r="K44" s="8" t="s">
        <v>376</v>
      </c>
      <c r="L44" s="8" t="s">
        <v>377</v>
      </c>
    </row>
    <row r="45" ht="15.75" hidden="1" customHeight="1">
      <c r="A45" s="8" t="s">
        <v>26</v>
      </c>
      <c r="B45" s="8" t="s">
        <v>378</v>
      </c>
      <c r="C45" s="8" t="s">
        <v>379</v>
      </c>
      <c r="D45" s="8" t="s">
        <v>37</v>
      </c>
      <c r="E45" s="8" t="s">
        <v>38</v>
      </c>
      <c r="F45" s="8" t="s">
        <v>380</v>
      </c>
      <c r="G45" s="8" t="s">
        <v>381</v>
      </c>
      <c r="H45" s="10" t="s">
        <v>382</v>
      </c>
      <c r="I45" s="8" t="s">
        <v>42</v>
      </c>
      <c r="J45" s="9">
        <v>45982.0</v>
      </c>
      <c r="K45" s="8" t="s">
        <v>383</v>
      </c>
      <c r="L45" s="8" t="s">
        <v>384</v>
      </c>
    </row>
    <row r="46" ht="15.75" hidden="1" customHeight="1">
      <c r="A46" s="8" t="s">
        <v>26</v>
      </c>
      <c r="B46" s="8" t="s">
        <v>385</v>
      </c>
      <c r="C46" s="8" t="s">
        <v>386</v>
      </c>
      <c r="D46" s="8" t="s">
        <v>387</v>
      </c>
      <c r="E46" s="8" t="s">
        <v>30</v>
      </c>
      <c r="F46" s="8" t="s">
        <v>388</v>
      </c>
      <c r="G46" s="8" t="s">
        <v>389</v>
      </c>
      <c r="H46" s="10" t="s">
        <v>390</v>
      </c>
      <c r="I46" s="8" t="s">
        <v>391</v>
      </c>
      <c r="J46" s="9">
        <v>45982.0</v>
      </c>
      <c r="K46" s="8" t="s">
        <v>392</v>
      </c>
      <c r="L46" s="8" t="s">
        <v>393</v>
      </c>
    </row>
    <row r="47" ht="15.75" hidden="1" customHeight="1">
      <c r="A47" s="8" t="s">
        <v>26</v>
      </c>
      <c r="B47" s="8" t="s">
        <v>394</v>
      </c>
      <c r="C47" s="8" t="s">
        <v>395</v>
      </c>
      <c r="D47" s="8" t="s">
        <v>396</v>
      </c>
      <c r="E47" s="8" t="s">
        <v>38</v>
      </c>
      <c r="F47" s="8" t="s">
        <v>397</v>
      </c>
      <c r="G47" s="8" t="s">
        <v>398</v>
      </c>
      <c r="H47" s="10" t="s">
        <v>399</v>
      </c>
      <c r="I47" s="8" t="s">
        <v>400</v>
      </c>
      <c r="J47" s="9">
        <v>45982.0</v>
      </c>
      <c r="K47" s="8" t="s">
        <v>401</v>
      </c>
      <c r="L47" s="8" t="s">
        <v>402</v>
      </c>
    </row>
    <row r="48" ht="15.75" hidden="1" customHeight="1">
      <c r="A48" s="8" t="s">
        <v>26</v>
      </c>
      <c r="B48" s="8" t="s">
        <v>403</v>
      </c>
      <c r="C48" s="8" t="s">
        <v>404</v>
      </c>
      <c r="D48" s="8" t="s">
        <v>89</v>
      </c>
      <c r="E48" s="8" t="s">
        <v>38</v>
      </c>
      <c r="F48" s="8" t="s">
        <v>405</v>
      </c>
      <c r="G48" s="8" t="s">
        <v>406</v>
      </c>
      <c r="H48" s="10" t="s">
        <v>407</v>
      </c>
      <c r="I48" s="8" t="s">
        <v>42</v>
      </c>
      <c r="J48" s="9">
        <v>45982.0</v>
      </c>
      <c r="K48" s="8" t="s">
        <v>408</v>
      </c>
      <c r="L48" s="8" t="s">
        <v>409</v>
      </c>
    </row>
    <row r="49" ht="15.75" hidden="1" customHeight="1">
      <c r="A49" s="8" t="s">
        <v>26</v>
      </c>
      <c r="B49" s="8" t="s">
        <v>410</v>
      </c>
      <c r="C49" s="8" t="s">
        <v>411</v>
      </c>
      <c r="D49" s="8" t="s">
        <v>327</v>
      </c>
      <c r="E49" s="8" t="s">
        <v>38</v>
      </c>
      <c r="F49" s="8" t="s">
        <v>412</v>
      </c>
      <c r="G49" s="8" t="s">
        <v>413</v>
      </c>
      <c r="H49" s="10" t="s">
        <v>414</v>
      </c>
      <c r="I49" s="8" t="s">
        <v>42</v>
      </c>
      <c r="J49" s="9">
        <v>45982.0</v>
      </c>
      <c r="K49" s="8" t="s">
        <v>415</v>
      </c>
      <c r="L49" s="8" t="s">
        <v>416</v>
      </c>
    </row>
    <row r="50" ht="15.75" hidden="1" customHeight="1">
      <c r="A50" s="8" t="s">
        <v>26</v>
      </c>
      <c r="B50" s="8" t="s">
        <v>417</v>
      </c>
      <c r="C50" s="8" t="s">
        <v>418</v>
      </c>
      <c r="D50" s="8" t="s">
        <v>419</v>
      </c>
      <c r="E50" s="8" t="s">
        <v>38</v>
      </c>
      <c r="F50" s="8" t="s">
        <v>420</v>
      </c>
      <c r="G50" s="8" t="s">
        <v>421</v>
      </c>
      <c r="H50" s="10" t="s">
        <v>422</v>
      </c>
      <c r="I50" s="8" t="s">
        <v>423</v>
      </c>
      <c r="J50" s="9">
        <v>45982.0</v>
      </c>
      <c r="K50" s="8" t="s">
        <v>424</v>
      </c>
      <c r="L50" s="8" t="s">
        <v>425</v>
      </c>
    </row>
    <row r="51" ht="15.75" hidden="1" customHeight="1">
      <c r="A51" s="8" t="s">
        <v>26</v>
      </c>
      <c r="B51" s="8" t="s">
        <v>426</v>
      </c>
      <c r="C51" s="8" t="s">
        <v>427</v>
      </c>
      <c r="D51" s="8" t="s">
        <v>428</v>
      </c>
      <c r="E51" s="8" t="s">
        <v>269</v>
      </c>
      <c r="F51" s="8" t="s">
        <v>429</v>
      </c>
      <c r="G51" s="8" t="s">
        <v>430</v>
      </c>
      <c r="H51" s="10" t="s">
        <v>431</v>
      </c>
      <c r="I51" s="8" t="s">
        <v>432</v>
      </c>
      <c r="J51" s="9">
        <v>45982.0</v>
      </c>
      <c r="K51" s="8" t="s">
        <v>433</v>
      </c>
      <c r="L51" s="8" t="s">
        <v>434</v>
      </c>
    </row>
    <row r="52" ht="15.75" hidden="1" customHeight="1">
      <c r="A52" s="8" t="s">
        <v>26</v>
      </c>
      <c r="B52" s="8" t="s">
        <v>435</v>
      </c>
      <c r="C52" s="8" t="s">
        <v>436</v>
      </c>
      <c r="D52" s="8" t="s">
        <v>64</v>
      </c>
      <c r="E52" s="8" t="s">
        <v>38</v>
      </c>
      <c r="F52" s="8" t="s">
        <v>437</v>
      </c>
      <c r="G52" s="8" t="s">
        <v>438</v>
      </c>
      <c r="H52" s="10" t="s">
        <v>439</v>
      </c>
      <c r="I52" s="8" t="s">
        <v>68</v>
      </c>
      <c r="J52" s="9">
        <v>45982.0</v>
      </c>
      <c r="K52" s="8" t="s">
        <v>440</v>
      </c>
      <c r="L52" s="8" t="s">
        <v>441</v>
      </c>
    </row>
    <row r="53" ht="15.75" hidden="1" customHeight="1">
      <c r="A53" s="8" t="s">
        <v>26</v>
      </c>
      <c r="B53" s="8" t="s">
        <v>442</v>
      </c>
      <c r="C53" s="8" t="s">
        <v>443</v>
      </c>
      <c r="D53" s="8" t="s">
        <v>444</v>
      </c>
      <c r="E53" s="8" t="s">
        <v>30</v>
      </c>
      <c r="F53" s="8" t="s">
        <v>445</v>
      </c>
      <c r="G53" s="8" t="s">
        <v>446</v>
      </c>
      <c r="H53" s="10" t="s">
        <v>447</v>
      </c>
      <c r="I53" s="8" t="s">
        <v>448</v>
      </c>
      <c r="J53" s="9">
        <v>45982.0</v>
      </c>
      <c r="K53" s="8" t="s">
        <v>449</v>
      </c>
      <c r="L53" s="8" t="s">
        <v>450</v>
      </c>
    </row>
    <row r="54" ht="15.75" hidden="1" customHeight="1">
      <c r="A54" s="8" t="s">
        <v>26</v>
      </c>
      <c r="B54" s="8" t="s">
        <v>451</v>
      </c>
      <c r="C54" s="8" t="s">
        <v>452</v>
      </c>
      <c r="D54" s="8" t="s">
        <v>365</v>
      </c>
      <c r="E54" s="8" t="s">
        <v>38</v>
      </c>
      <c r="F54" s="8" t="s">
        <v>453</v>
      </c>
      <c r="G54" s="8" t="s">
        <v>454</v>
      </c>
      <c r="H54" s="10" t="s">
        <v>455</v>
      </c>
      <c r="I54" s="8" t="s">
        <v>42</v>
      </c>
      <c r="J54" s="9">
        <v>45982.0</v>
      </c>
      <c r="K54" s="8" t="s">
        <v>456</v>
      </c>
      <c r="L54" s="8" t="s">
        <v>457</v>
      </c>
    </row>
    <row r="55" ht="15.75" hidden="1" customHeight="1">
      <c r="A55" s="8" t="s">
        <v>26</v>
      </c>
      <c r="B55" s="8" t="s">
        <v>458</v>
      </c>
      <c r="C55" s="8" t="s">
        <v>459</v>
      </c>
      <c r="D55" s="8" t="s">
        <v>460</v>
      </c>
      <c r="E55" s="8" t="s">
        <v>30</v>
      </c>
      <c r="F55" s="8" t="s">
        <v>461</v>
      </c>
      <c r="G55" s="8" t="s">
        <v>462</v>
      </c>
      <c r="H55" s="10" t="s">
        <v>463</v>
      </c>
      <c r="I55" s="8" t="s">
        <v>188</v>
      </c>
      <c r="J55" s="9">
        <v>45982.0</v>
      </c>
      <c r="K55" s="8" t="s">
        <v>464</v>
      </c>
      <c r="L55" s="8" t="s">
        <v>465</v>
      </c>
    </row>
    <row r="56" ht="15.75" hidden="1" customHeight="1">
      <c r="A56" s="8" t="s">
        <v>26</v>
      </c>
      <c r="B56" s="8" t="s">
        <v>466</v>
      </c>
      <c r="C56" s="8" t="s">
        <v>467</v>
      </c>
      <c r="D56" s="8" t="s">
        <v>468</v>
      </c>
      <c r="E56" s="8" t="s">
        <v>38</v>
      </c>
      <c r="F56" s="8" t="s">
        <v>469</v>
      </c>
      <c r="G56" s="8" t="s">
        <v>470</v>
      </c>
      <c r="H56" s="10" t="s">
        <v>471</v>
      </c>
      <c r="I56" s="8" t="s">
        <v>472</v>
      </c>
      <c r="J56" s="9">
        <v>45982.0</v>
      </c>
      <c r="K56" s="8" t="s">
        <v>473</v>
      </c>
      <c r="L56" s="8" t="s">
        <v>474</v>
      </c>
    </row>
    <row r="57" ht="15.75" hidden="1" customHeight="1">
      <c r="A57" s="8" t="s">
        <v>26</v>
      </c>
      <c r="B57" s="8" t="s">
        <v>475</v>
      </c>
      <c r="C57" s="8" t="s">
        <v>476</v>
      </c>
      <c r="D57" s="8" t="s">
        <v>477</v>
      </c>
      <c r="E57" s="8" t="s">
        <v>38</v>
      </c>
      <c r="F57" s="8" t="s">
        <v>478</v>
      </c>
      <c r="G57" s="8" t="s">
        <v>479</v>
      </c>
      <c r="H57" s="10" t="s">
        <v>480</v>
      </c>
      <c r="I57" s="8" t="s">
        <v>481</v>
      </c>
      <c r="J57" s="9">
        <v>45982.0</v>
      </c>
      <c r="K57" s="8" t="s">
        <v>482</v>
      </c>
      <c r="L57" s="8" t="s">
        <v>483</v>
      </c>
    </row>
    <row r="58" ht="15.75" hidden="1" customHeight="1">
      <c r="A58" s="8" t="s">
        <v>26</v>
      </c>
      <c r="B58" s="8" t="s">
        <v>484</v>
      </c>
      <c r="C58" s="8" t="s">
        <v>485</v>
      </c>
      <c r="D58" s="8" t="s">
        <v>37</v>
      </c>
      <c r="E58" s="8" t="s">
        <v>38</v>
      </c>
      <c r="F58" s="8" t="s">
        <v>486</v>
      </c>
      <c r="G58" s="8" t="s">
        <v>487</v>
      </c>
      <c r="H58" s="10" t="s">
        <v>488</v>
      </c>
      <c r="I58" s="8" t="s">
        <v>42</v>
      </c>
      <c r="J58" s="9">
        <v>45982.0</v>
      </c>
      <c r="K58" s="8" t="s">
        <v>489</v>
      </c>
      <c r="L58" s="8" t="s">
        <v>490</v>
      </c>
    </row>
    <row r="59" ht="15.75" hidden="1" customHeight="1">
      <c r="A59" s="8" t="s">
        <v>26</v>
      </c>
      <c r="B59" s="8" t="s">
        <v>491</v>
      </c>
      <c r="C59" s="8" t="s">
        <v>492</v>
      </c>
      <c r="D59" s="8" t="s">
        <v>327</v>
      </c>
      <c r="E59" s="8" t="s">
        <v>30</v>
      </c>
      <c r="F59" s="8" t="s">
        <v>493</v>
      </c>
      <c r="G59" s="8" t="s">
        <v>494</v>
      </c>
      <c r="H59" s="10" t="s">
        <v>495</v>
      </c>
      <c r="I59" s="8" t="s">
        <v>42</v>
      </c>
      <c r="J59" s="9">
        <v>45982.0</v>
      </c>
      <c r="K59" s="8" t="s">
        <v>496</v>
      </c>
      <c r="L59" s="8" t="s">
        <v>497</v>
      </c>
    </row>
    <row r="60" ht="15.75" customHeight="1">
      <c r="A60" s="8" t="s">
        <v>26</v>
      </c>
      <c r="B60" s="8" t="s">
        <v>498</v>
      </c>
      <c r="C60" s="8" t="s">
        <v>499</v>
      </c>
      <c r="D60" s="8" t="s">
        <v>419</v>
      </c>
      <c r="E60" s="8" t="s">
        <v>500</v>
      </c>
      <c r="F60" s="8"/>
      <c r="G60" s="8" t="s">
        <v>501</v>
      </c>
      <c r="H60" s="10" t="s">
        <v>502</v>
      </c>
      <c r="I60" s="8" t="s">
        <v>423</v>
      </c>
      <c r="J60" s="9">
        <v>45982.0</v>
      </c>
      <c r="K60" s="8" t="s">
        <v>503</v>
      </c>
      <c r="L60" s="8" t="s">
        <v>504</v>
      </c>
    </row>
    <row r="61" ht="15.75" hidden="1" customHeight="1">
      <c r="A61" s="8" t="s">
        <v>26</v>
      </c>
      <c r="B61" s="8" t="s">
        <v>505</v>
      </c>
      <c r="C61" s="8" t="s">
        <v>506</v>
      </c>
      <c r="D61" s="8" t="s">
        <v>507</v>
      </c>
      <c r="E61" s="8" t="s">
        <v>38</v>
      </c>
      <c r="F61" s="8" t="s">
        <v>508</v>
      </c>
      <c r="G61" s="8" t="s">
        <v>509</v>
      </c>
      <c r="H61" s="10" t="s">
        <v>510</v>
      </c>
      <c r="I61" s="8" t="s">
        <v>511</v>
      </c>
      <c r="J61" s="9">
        <v>45982.0</v>
      </c>
      <c r="K61" s="8" t="s">
        <v>512</v>
      </c>
      <c r="L61" s="8" t="s">
        <v>513</v>
      </c>
    </row>
    <row r="62" ht="15.75" hidden="1" customHeight="1">
      <c r="A62" s="8" t="s">
        <v>26</v>
      </c>
      <c r="B62" s="8" t="s">
        <v>514</v>
      </c>
      <c r="C62" s="8" t="s">
        <v>515</v>
      </c>
      <c r="D62" s="8" t="s">
        <v>37</v>
      </c>
      <c r="E62" s="8" t="s">
        <v>38</v>
      </c>
      <c r="F62" s="8" t="s">
        <v>516</v>
      </c>
      <c r="G62" s="8" t="s">
        <v>517</v>
      </c>
      <c r="H62" s="10" t="s">
        <v>518</v>
      </c>
      <c r="I62" s="8" t="s">
        <v>42</v>
      </c>
      <c r="J62" s="9">
        <v>45982.0</v>
      </c>
      <c r="K62" s="8" t="s">
        <v>519</v>
      </c>
      <c r="L62" s="8" t="s">
        <v>520</v>
      </c>
    </row>
    <row r="63" ht="15.75" hidden="1" customHeight="1">
      <c r="A63" s="8" t="s">
        <v>26</v>
      </c>
      <c r="B63" s="8" t="s">
        <v>521</v>
      </c>
      <c r="C63" s="8" t="s">
        <v>522</v>
      </c>
      <c r="D63" s="8" t="s">
        <v>523</v>
      </c>
      <c r="E63" s="8" t="s">
        <v>30</v>
      </c>
      <c r="F63" s="8" t="s">
        <v>524</v>
      </c>
      <c r="G63" s="8" t="s">
        <v>525</v>
      </c>
      <c r="H63" s="10" t="s">
        <v>526</v>
      </c>
      <c r="I63" s="8" t="s">
        <v>527</v>
      </c>
      <c r="J63" s="9">
        <v>45982.0</v>
      </c>
      <c r="K63" s="8" t="s">
        <v>528</v>
      </c>
      <c r="L63" s="8" t="s">
        <v>529</v>
      </c>
    </row>
    <row r="64" ht="15.75" hidden="1" customHeight="1">
      <c r="A64" s="8" t="s">
        <v>26</v>
      </c>
      <c r="B64" s="8" t="s">
        <v>530</v>
      </c>
      <c r="C64" s="8" t="s">
        <v>531</v>
      </c>
      <c r="D64" s="8" t="s">
        <v>64</v>
      </c>
      <c r="E64" s="8" t="s">
        <v>38</v>
      </c>
      <c r="F64" s="8" t="s">
        <v>532</v>
      </c>
      <c r="G64" s="8" t="s">
        <v>533</v>
      </c>
      <c r="H64" s="10" t="s">
        <v>534</v>
      </c>
      <c r="I64" s="8" t="s">
        <v>68</v>
      </c>
      <c r="J64" s="9">
        <v>45982.0</v>
      </c>
      <c r="K64" s="8" t="s">
        <v>535</v>
      </c>
      <c r="L64" s="8" t="s">
        <v>536</v>
      </c>
    </row>
    <row r="65" ht="15.75" hidden="1" customHeight="1">
      <c r="A65" s="8" t="s">
        <v>26</v>
      </c>
      <c r="B65" s="8" t="s">
        <v>537</v>
      </c>
      <c r="C65" s="8" t="s">
        <v>538</v>
      </c>
      <c r="D65" s="8" t="s">
        <v>144</v>
      </c>
      <c r="E65" s="8" t="s">
        <v>38</v>
      </c>
      <c r="F65" s="8" t="s">
        <v>539</v>
      </c>
      <c r="G65" s="8" t="s">
        <v>540</v>
      </c>
      <c r="H65" s="10" t="s">
        <v>541</v>
      </c>
      <c r="I65" s="8" t="s">
        <v>148</v>
      </c>
      <c r="J65" s="9">
        <v>45982.0</v>
      </c>
      <c r="K65" s="8" t="s">
        <v>542</v>
      </c>
      <c r="L65" s="8" t="s">
        <v>543</v>
      </c>
    </row>
    <row r="66" ht="15.75" hidden="1" customHeight="1">
      <c r="A66" s="8" t="s">
        <v>26</v>
      </c>
      <c r="B66" s="8" t="s">
        <v>544</v>
      </c>
      <c r="C66" s="8" t="s">
        <v>545</v>
      </c>
      <c r="D66" s="8" t="s">
        <v>286</v>
      </c>
      <c r="E66" s="8" t="s">
        <v>38</v>
      </c>
      <c r="F66" s="8" t="s">
        <v>546</v>
      </c>
      <c r="G66" s="8" t="s">
        <v>547</v>
      </c>
      <c r="H66" s="10" t="s">
        <v>548</v>
      </c>
      <c r="I66" s="8" t="s">
        <v>290</v>
      </c>
      <c r="J66" s="9">
        <v>45982.0</v>
      </c>
      <c r="K66" s="8" t="s">
        <v>549</v>
      </c>
      <c r="L66" s="8" t="s">
        <v>550</v>
      </c>
    </row>
    <row r="67" ht="15.75" hidden="1" customHeight="1">
      <c r="A67" s="8" t="s">
        <v>26</v>
      </c>
      <c r="B67" s="8" t="s">
        <v>551</v>
      </c>
      <c r="C67" s="8" t="s">
        <v>552</v>
      </c>
      <c r="D67" s="8" t="s">
        <v>553</v>
      </c>
      <c r="E67" s="8" t="s">
        <v>30</v>
      </c>
      <c r="F67" s="8" t="s">
        <v>554</v>
      </c>
      <c r="G67" s="8" t="s">
        <v>555</v>
      </c>
      <c r="H67" s="10" t="s">
        <v>556</v>
      </c>
      <c r="I67" s="8" t="s">
        <v>557</v>
      </c>
      <c r="J67" s="9">
        <v>45982.0</v>
      </c>
      <c r="K67" s="8" t="s">
        <v>558</v>
      </c>
      <c r="L67" s="8" t="s">
        <v>559</v>
      </c>
    </row>
    <row r="68" ht="15.75" hidden="1" customHeight="1">
      <c r="A68" s="8" t="s">
        <v>26</v>
      </c>
      <c r="B68" s="8" t="s">
        <v>560</v>
      </c>
      <c r="C68" s="8" t="s">
        <v>561</v>
      </c>
      <c r="D68" s="8" t="s">
        <v>419</v>
      </c>
      <c r="E68" s="8" t="s">
        <v>38</v>
      </c>
      <c r="F68" s="8" t="s">
        <v>562</v>
      </c>
      <c r="G68" s="8" t="s">
        <v>563</v>
      </c>
      <c r="H68" s="10" t="s">
        <v>564</v>
      </c>
      <c r="I68" s="8" t="s">
        <v>423</v>
      </c>
      <c r="J68" s="9">
        <v>45982.0</v>
      </c>
      <c r="K68" s="8" t="s">
        <v>565</v>
      </c>
      <c r="L68" s="8" t="s">
        <v>566</v>
      </c>
    </row>
    <row r="69" ht="15.75" customHeight="1">
      <c r="A69" s="8" t="s">
        <v>26</v>
      </c>
      <c r="B69" s="8" t="s">
        <v>567</v>
      </c>
      <c r="C69" s="8" t="s">
        <v>568</v>
      </c>
      <c r="D69" s="8" t="s">
        <v>278</v>
      </c>
      <c r="E69" s="8" t="s">
        <v>500</v>
      </c>
      <c r="F69" s="8"/>
      <c r="G69" s="8" t="s">
        <v>569</v>
      </c>
      <c r="H69" s="10" t="s">
        <v>570</v>
      </c>
      <c r="I69" s="8" t="s">
        <v>42</v>
      </c>
      <c r="J69" s="9">
        <v>45982.0</v>
      </c>
      <c r="K69" s="8" t="s">
        <v>571</v>
      </c>
      <c r="L69" s="8" t="s">
        <v>572</v>
      </c>
    </row>
    <row r="70" ht="15.75" hidden="1" customHeight="1">
      <c r="A70" s="8" t="s">
        <v>26</v>
      </c>
      <c r="B70" s="8" t="s">
        <v>573</v>
      </c>
      <c r="C70" s="8" t="s">
        <v>574</v>
      </c>
      <c r="D70" s="8" t="s">
        <v>575</v>
      </c>
      <c r="E70" s="8" t="s">
        <v>30</v>
      </c>
      <c r="F70" s="8" t="s">
        <v>576</v>
      </c>
      <c r="G70" s="8" t="s">
        <v>577</v>
      </c>
      <c r="H70" s="10" t="s">
        <v>578</v>
      </c>
      <c r="I70" s="8" t="s">
        <v>579</v>
      </c>
      <c r="J70" s="9">
        <v>45982.0</v>
      </c>
      <c r="K70" s="8" t="s">
        <v>580</v>
      </c>
      <c r="L70" s="8" t="s">
        <v>581</v>
      </c>
    </row>
    <row r="71" ht="15.75" hidden="1" customHeight="1">
      <c r="A71" s="8" t="s">
        <v>26</v>
      </c>
      <c r="B71" s="8" t="s">
        <v>582</v>
      </c>
      <c r="C71" s="8" t="s">
        <v>583</v>
      </c>
      <c r="D71" s="8" t="s">
        <v>37</v>
      </c>
      <c r="E71" s="8" t="s">
        <v>38</v>
      </c>
      <c r="F71" s="8" t="s">
        <v>584</v>
      </c>
      <c r="G71" s="8" t="s">
        <v>585</v>
      </c>
      <c r="H71" s="10" t="s">
        <v>586</v>
      </c>
      <c r="I71" s="8" t="s">
        <v>42</v>
      </c>
      <c r="J71" s="9">
        <v>45982.0</v>
      </c>
      <c r="K71" s="8" t="s">
        <v>587</v>
      </c>
      <c r="L71" s="8" t="s">
        <v>588</v>
      </c>
    </row>
    <row r="72" ht="15.75" hidden="1" customHeight="1">
      <c r="A72" s="8" t="s">
        <v>26</v>
      </c>
      <c r="B72" s="8" t="s">
        <v>589</v>
      </c>
      <c r="C72" s="8" t="s">
        <v>590</v>
      </c>
      <c r="D72" s="8" t="s">
        <v>37</v>
      </c>
      <c r="E72" s="8" t="s">
        <v>38</v>
      </c>
      <c r="F72" s="8" t="s">
        <v>591</v>
      </c>
      <c r="G72" s="8" t="s">
        <v>592</v>
      </c>
      <c r="H72" s="10" t="s">
        <v>593</v>
      </c>
      <c r="I72" s="8" t="s">
        <v>42</v>
      </c>
      <c r="J72" s="9">
        <v>45982.0</v>
      </c>
      <c r="K72" s="8" t="s">
        <v>594</v>
      </c>
      <c r="L72" s="8" t="s">
        <v>595</v>
      </c>
    </row>
    <row r="73" ht="15.75" hidden="1" customHeight="1">
      <c r="A73" s="8" t="s">
        <v>26</v>
      </c>
      <c r="B73" s="8" t="s">
        <v>596</v>
      </c>
      <c r="C73" s="8" t="s">
        <v>597</v>
      </c>
      <c r="D73" s="8" t="s">
        <v>365</v>
      </c>
      <c r="E73" s="8" t="s">
        <v>38</v>
      </c>
      <c r="F73" s="8" t="s">
        <v>598</v>
      </c>
      <c r="G73" s="8" t="s">
        <v>599</v>
      </c>
      <c r="H73" s="10" t="s">
        <v>600</v>
      </c>
      <c r="I73" s="8" t="s">
        <v>42</v>
      </c>
      <c r="J73" s="9">
        <v>45982.0</v>
      </c>
      <c r="K73" s="8" t="s">
        <v>601</v>
      </c>
      <c r="L73" s="8" t="s">
        <v>602</v>
      </c>
    </row>
    <row r="74" ht="15.75" hidden="1" customHeight="1">
      <c r="A74" s="8" t="s">
        <v>26</v>
      </c>
      <c r="B74" s="8" t="s">
        <v>603</v>
      </c>
      <c r="C74" s="8" t="s">
        <v>604</v>
      </c>
      <c r="D74" s="8" t="s">
        <v>605</v>
      </c>
      <c r="E74" s="8" t="s">
        <v>30</v>
      </c>
      <c r="F74" s="8" t="s">
        <v>606</v>
      </c>
      <c r="G74" s="8" t="s">
        <v>607</v>
      </c>
      <c r="H74" s="10" t="s">
        <v>608</v>
      </c>
      <c r="I74" s="8" t="s">
        <v>609</v>
      </c>
      <c r="J74" s="9">
        <v>45982.0</v>
      </c>
      <c r="K74" s="8" t="s">
        <v>610</v>
      </c>
      <c r="L74" s="8" t="s">
        <v>611</v>
      </c>
    </row>
    <row r="75" ht="15.75" hidden="1" customHeight="1">
      <c r="A75" s="8" t="s">
        <v>26</v>
      </c>
      <c r="B75" s="8" t="s">
        <v>612</v>
      </c>
      <c r="C75" s="8" t="s">
        <v>613</v>
      </c>
      <c r="D75" s="8" t="s">
        <v>614</v>
      </c>
      <c r="E75" s="8" t="s">
        <v>38</v>
      </c>
      <c r="F75" s="8"/>
      <c r="G75" s="8" t="s">
        <v>615</v>
      </c>
      <c r="H75" s="10" t="s">
        <v>616</v>
      </c>
      <c r="I75" s="8" t="s">
        <v>617</v>
      </c>
      <c r="J75" s="9">
        <v>45982.0</v>
      </c>
      <c r="K75" s="8" t="s">
        <v>618</v>
      </c>
      <c r="L75" s="8" t="s">
        <v>619</v>
      </c>
    </row>
    <row r="76" ht="15.75" hidden="1" customHeight="1">
      <c r="A76" s="8" t="s">
        <v>26</v>
      </c>
      <c r="B76" s="8" t="s">
        <v>620</v>
      </c>
      <c r="C76" s="8" t="s">
        <v>621</v>
      </c>
      <c r="D76" s="8" t="s">
        <v>318</v>
      </c>
      <c r="E76" s="8" t="s">
        <v>38</v>
      </c>
      <c r="F76" s="8" t="s">
        <v>622</v>
      </c>
      <c r="G76" s="8" t="s">
        <v>623</v>
      </c>
      <c r="H76" s="10" t="s">
        <v>624</v>
      </c>
      <c r="I76" s="8" t="s">
        <v>322</v>
      </c>
      <c r="J76" s="9">
        <v>45982.0</v>
      </c>
      <c r="K76" s="8" t="s">
        <v>625</v>
      </c>
      <c r="L76" s="8" t="s">
        <v>626</v>
      </c>
    </row>
    <row r="77" ht="15.75" hidden="1" customHeight="1">
      <c r="A77" s="8" t="s">
        <v>26</v>
      </c>
      <c r="B77" s="8" t="s">
        <v>627</v>
      </c>
      <c r="C77" s="8" t="s">
        <v>628</v>
      </c>
      <c r="D77" s="8" t="s">
        <v>629</v>
      </c>
      <c r="E77" s="8" t="s">
        <v>30</v>
      </c>
      <c r="F77" s="8" t="s">
        <v>630</v>
      </c>
      <c r="G77" s="8" t="s">
        <v>631</v>
      </c>
      <c r="H77" s="10" t="s">
        <v>632</v>
      </c>
      <c r="I77" s="8" t="s">
        <v>633</v>
      </c>
      <c r="J77" s="9">
        <v>45982.0</v>
      </c>
      <c r="K77" s="8" t="s">
        <v>634</v>
      </c>
      <c r="L77" s="8" t="s">
        <v>635</v>
      </c>
    </row>
    <row r="78" ht="15.75" hidden="1" customHeight="1">
      <c r="A78" s="8" t="s">
        <v>636</v>
      </c>
      <c r="B78" s="8" t="s">
        <v>637</v>
      </c>
      <c r="C78" s="8" t="s">
        <v>638</v>
      </c>
      <c r="D78" s="8" t="s">
        <v>639</v>
      </c>
      <c r="E78" s="8" t="s">
        <v>640</v>
      </c>
      <c r="F78" s="8" t="s">
        <v>641</v>
      </c>
      <c r="G78" s="8" t="s">
        <v>642</v>
      </c>
      <c r="H78" s="10" t="s">
        <v>643</v>
      </c>
      <c r="I78" s="8" t="s">
        <v>644</v>
      </c>
      <c r="J78" s="9">
        <v>45982.0</v>
      </c>
      <c r="K78" s="8" t="s">
        <v>645</v>
      </c>
      <c r="L78" s="8" t="s">
        <v>646</v>
      </c>
    </row>
    <row r="79" ht="15.75" hidden="1" customHeight="1">
      <c r="A79" s="8" t="s">
        <v>26</v>
      </c>
      <c r="B79" s="8" t="s">
        <v>647</v>
      </c>
      <c r="C79" s="8" t="s">
        <v>648</v>
      </c>
      <c r="D79" s="8" t="s">
        <v>575</v>
      </c>
      <c r="E79" s="8" t="s">
        <v>30</v>
      </c>
      <c r="F79" s="8" t="s">
        <v>649</v>
      </c>
      <c r="G79" s="8" t="s">
        <v>650</v>
      </c>
      <c r="H79" s="10" t="s">
        <v>651</v>
      </c>
      <c r="I79" s="8" t="s">
        <v>579</v>
      </c>
      <c r="J79" s="9">
        <v>45982.0</v>
      </c>
      <c r="K79" s="8" t="s">
        <v>652</v>
      </c>
      <c r="L79" s="8" t="s">
        <v>653</v>
      </c>
    </row>
    <row r="80" ht="15.75" hidden="1" customHeight="1">
      <c r="A80" s="8" t="s">
        <v>26</v>
      </c>
      <c r="B80" s="8" t="s">
        <v>654</v>
      </c>
      <c r="C80" s="8" t="s">
        <v>655</v>
      </c>
      <c r="D80" s="8" t="s">
        <v>419</v>
      </c>
      <c r="E80" s="8" t="s">
        <v>38</v>
      </c>
      <c r="F80" s="8" t="s">
        <v>656</v>
      </c>
      <c r="G80" s="8" t="s">
        <v>657</v>
      </c>
      <c r="H80" s="10" t="s">
        <v>658</v>
      </c>
      <c r="I80" s="8" t="s">
        <v>423</v>
      </c>
      <c r="J80" s="9">
        <v>45982.0</v>
      </c>
      <c r="K80" s="8" t="s">
        <v>659</v>
      </c>
      <c r="L80" s="8" t="s">
        <v>660</v>
      </c>
    </row>
    <row r="81" ht="15.75" hidden="1" customHeight="1">
      <c r="A81" s="8" t="s">
        <v>26</v>
      </c>
      <c r="B81" s="8" t="s">
        <v>661</v>
      </c>
      <c r="C81" s="8" t="s">
        <v>662</v>
      </c>
      <c r="D81" s="8" t="s">
        <v>663</v>
      </c>
      <c r="E81" s="8" t="s">
        <v>38</v>
      </c>
      <c r="F81" s="8" t="s">
        <v>664</v>
      </c>
      <c r="G81" s="8" t="s">
        <v>665</v>
      </c>
      <c r="H81" s="10" t="s">
        <v>666</v>
      </c>
      <c r="I81" s="8" t="s">
        <v>667</v>
      </c>
      <c r="J81" s="9">
        <v>45982.0</v>
      </c>
      <c r="K81" s="8" t="s">
        <v>668</v>
      </c>
      <c r="L81" s="8" t="s">
        <v>669</v>
      </c>
    </row>
    <row r="82" ht="15.75" hidden="1" customHeight="1">
      <c r="A82" s="8" t="s">
        <v>26</v>
      </c>
      <c r="B82" s="8" t="s">
        <v>670</v>
      </c>
      <c r="C82" s="8" t="s">
        <v>671</v>
      </c>
      <c r="D82" s="8" t="s">
        <v>318</v>
      </c>
      <c r="E82" s="8" t="s">
        <v>38</v>
      </c>
      <c r="F82" s="8" t="s">
        <v>672</v>
      </c>
      <c r="G82" s="8" t="s">
        <v>673</v>
      </c>
      <c r="H82" s="10" t="s">
        <v>674</v>
      </c>
      <c r="I82" s="8" t="s">
        <v>322</v>
      </c>
      <c r="J82" s="9">
        <v>45982.0</v>
      </c>
      <c r="K82" s="8" t="s">
        <v>675</v>
      </c>
      <c r="L82" s="8" t="s">
        <v>676</v>
      </c>
    </row>
    <row r="83" ht="15.75" hidden="1" customHeight="1">
      <c r="A83" s="8" t="s">
        <v>26</v>
      </c>
      <c r="B83" s="8" t="s">
        <v>677</v>
      </c>
      <c r="C83" s="8" t="s">
        <v>678</v>
      </c>
      <c r="D83" s="8" t="s">
        <v>679</v>
      </c>
      <c r="E83" s="8" t="s">
        <v>38</v>
      </c>
      <c r="F83" s="8" t="s">
        <v>680</v>
      </c>
      <c r="G83" s="8" t="s">
        <v>681</v>
      </c>
      <c r="H83" s="10" t="s">
        <v>682</v>
      </c>
      <c r="I83" s="8" t="s">
        <v>683</v>
      </c>
      <c r="J83" s="9">
        <v>45982.0</v>
      </c>
      <c r="K83" s="8" t="s">
        <v>684</v>
      </c>
      <c r="L83" s="8" t="s">
        <v>685</v>
      </c>
    </row>
    <row r="84" ht="15.75" customHeight="1">
      <c r="A84" s="8" t="s">
        <v>26</v>
      </c>
      <c r="B84" s="8" t="s">
        <v>686</v>
      </c>
      <c r="C84" s="8" t="s">
        <v>687</v>
      </c>
      <c r="D84" s="8" t="s">
        <v>218</v>
      </c>
      <c r="E84" s="8" t="s">
        <v>500</v>
      </c>
      <c r="F84" s="8"/>
      <c r="G84" s="8" t="s">
        <v>688</v>
      </c>
      <c r="H84" s="10" t="s">
        <v>689</v>
      </c>
      <c r="I84" s="8" t="s">
        <v>222</v>
      </c>
      <c r="J84" s="9">
        <v>45982.0</v>
      </c>
      <c r="K84" s="8" t="s">
        <v>690</v>
      </c>
      <c r="L84" s="8" t="s">
        <v>691</v>
      </c>
    </row>
    <row r="85" ht="15.75" hidden="1" customHeight="1">
      <c r="A85" s="8" t="s">
        <v>26</v>
      </c>
      <c r="B85" s="8" t="s">
        <v>692</v>
      </c>
      <c r="C85" s="8" t="s">
        <v>693</v>
      </c>
      <c r="D85" s="8" t="s">
        <v>694</v>
      </c>
      <c r="E85" s="8" t="s">
        <v>30</v>
      </c>
      <c r="F85" s="8" t="s">
        <v>695</v>
      </c>
      <c r="G85" s="8" t="s">
        <v>696</v>
      </c>
      <c r="H85" s="10" t="s">
        <v>697</v>
      </c>
      <c r="I85" s="8" t="s">
        <v>698</v>
      </c>
      <c r="J85" s="9">
        <v>45982.0</v>
      </c>
      <c r="K85" s="8" t="s">
        <v>699</v>
      </c>
      <c r="L85" s="8" t="s">
        <v>700</v>
      </c>
    </row>
    <row r="86" ht="15.75" hidden="1" customHeight="1">
      <c r="A86" s="8" t="s">
        <v>26</v>
      </c>
      <c r="B86" s="8" t="s">
        <v>701</v>
      </c>
      <c r="C86" s="8" t="s">
        <v>702</v>
      </c>
      <c r="D86" s="8" t="s">
        <v>703</v>
      </c>
      <c r="E86" s="8" t="s">
        <v>38</v>
      </c>
      <c r="F86" s="8" t="s">
        <v>704</v>
      </c>
      <c r="G86" s="8" t="s">
        <v>705</v>
      </c>
      <c r="H86" s="10" t="s">
        <v>706</v>
      </c>
      <c r="I86" s="8" t="s">
        <v>707</v>
      </c>
      <c r="J86" s="9">
        <v>45982.0</v>
      </c>
      <c r="K86" s="8" t="s">
        <v>708</v>
      </c>
      <c r="L86" s="8" t="s">
        <v>709</v>
      </c>
    </row>
    <row r="87" ht="15.75" hidden="1" customHeight="1">
      <c r="A87" s="8" t="s">
        <v>26</v>
      </c>
      <c r="B87" s="8" t="s">
        <v>710</v>
      </c>
      <c r="C87" s="8" t="s">
        <v>711</v>
      </c>
      <c r="D87" s="8" t="s">
        <v>286</v>
      </c>
      <c r="E87" s="8" t="s">
        <v>38</v>
      </c>
      <c r="F87" s="8" t="s">
        <v>712</v>
      </c>
      <c r="G87" s="8" t="s">
        <v>713</v>
      </c>
      <c r="H87" s="10" t="s">
        <v>714</v>
      </c>
      <c r="I87" s="8" t="s">
        <v>290</v>
      </c>
      <c r="J87" s="9">
        <v>45982.0</v>
      </c>
      <c r="K87" s="8" t="s">
        <v>715</v>
      </c>
      <c r="L87" s="8" t="s">
        <v>716</v>
      </c>
    </row>
    <row r="88" ht="15.75" hidden="1" customHeight="1">
      <c r="A88" s="8" t="s">
        <v>26</v>
      </c>
      <c r="B88" s="8" t="s">
        <v>717</v>
      </c>
      <c r="C88" s="8" t="s">
        <v>718</v>
      </c>
      <c r="D88" s="8" t="s">
        <v>719</v>
      </c>
      <c r="E88" s="8" t="s">
        <v>38</v>
      </c>
      <c r="F88" s="8" t="s">
        <v>720</v>
      </c>
      <c r="G88" s="8" t="s">
        <v>721</v>
      </c>
      <c r="H88" s="10" t="s">
        <v>722</v>
      </c>
      <c r="I88" s="8" t="s">
        <v>723</v>
      </c>
      <c r="J88" s="9">
        <v>45982.0</v>
      </c>
      <c r="K88" s="8" t="s">
        <v>724</v>
      </c>
      <c r="L88" s="8" t="s">
        <v>725</v>
      </c>
    </row>
    <row r="89" ht="15.75" hidden="1" customHeight="1">
      <c r="A89" s="8" t="s">
        <v>26</v>
      </c>
      <c r="B89" s="8" t="s">
        <v>726</v>
      </c>
      <c r="C89" s="8" t="s">
        <v>727</v>
      </c>
      <c r="D89" s="8" t="s">
        <v>37</v>
      </c>
      <c r="E89" s="8" t="s">
        <v>38</v>
      </c>
      <c r="F89" s="8" t="s">
        <v>728</v>
      </c>
      <c r="G89" s="8" t="s">
        <v>729</v>
      </c>
      <c r="H89" s="10" t="s">
        <v>730</v>
      </c>
      <c r="I89" s="8" t="s">
        <v>42</v>
      </c>
      <c r="J89" s="9">
        <v>45982.0</v>
      </c>
      <c r="K89" s="8" t="s">
        <v>731</v>
      </c>
      <c r="L89" s="8" t="s">
        <v>732</v>
      </c>
    </row>
    <row r="90" ht="15.75" hidden="1" customHeight="1">
      <c r="A90" s="8" t="s">
        <v>26</v>
      </c>
      <c r="B90" s="8" t="s">
        <v>733</v>
      </c>
      <c r="C90" s="8" t="s">
        <v>734</v>
      </c>
      <c r="D90" s="8" t="s">
        <v>318</v>
      </c>
      <c r="E90" s="8" t="s">
        <v>38</v>
      </c>
      <c r="F90" s="8" t="s">
        <v>735</v>
      </c>
      <c r="G90" s="8" t="s">
        <v>736</v>
      </c>
      <c r="H90" s="10" t="s">
        <v>737</v>
      </c>
      <c r="I90" s="8" t="s">
        <v>322</v>
      </c>
      <c r="J90" s="9">
        <v>45982.0</v>
      </c>
      <c r="K90" s="8" t="s">
        <v>738</v>
      </c>
      <c r="L90" s="8" t="s">
        <v>739</v>
      </c>
    </row>
    <row r="91" ht="15.75" hidden="1" customHeight="1">
      <c r="A91" s="8" t="s">
        <v>26</v>
      </c>
      <c r="B91" s="8" t="s">
        <v>740</v>
      </c>
      <c r="C91" s="8" t="s">
        <v>741</v>
      </c>
      <c r="D91" s="8" t="s">
        <v>742</v>
      </c>
      <c r="E91" s="8" t="s">
        <v>30</v>
      </c>
      <c r="F91" s="8" t="s">
        <v>743</v>
      </c>
      <c r="G91" s="8" t="s">
        <v>744</v>
      </c>
      <c r="H91" s="10" t="s">
        <v>745</v>
      </c>
      <c r="I91" s="8" t="s">
        <v>511</v>
      </c>
      <c r="J91" s="9">
        <v>45982.0</v>
      </c>
      <c r="K91" s="8" t="s">
        <v>746</v>
      </c>
      <c r="L91" s="8" t="s">
        <v>747</v>
      </c>
    </row>
    <row r="92" ht="15.75" hidden="1" customHeight="1">
      <c r="A92" s="8" t="s">
        <v>26</v>
      </c>
      <c r="B92" s="8" t="s">
        <v>748</v>
      </c>
      <c r="C92" s="8" t="s">
        <v>749</v>
      </c>
      <c r="D92" s="8" t="s">
        <v>750</v>
      </c>
      <c r="E92" s="8" t="s">
        <v>38</v>
      </c>
      <c r="F92" s="8" t="s">
        <v>751</v>
      </c>
      <c r="G92" s="8" t="s">
        <v>752</v>
      </c>
      <c r="H92" s="10" t="s">
        <v>753</v>
      </c>
      <c r="I92" s="8" t="s">
        <v>754</v>
      </c>
      <c r="J92" s="9">
        <v>45982.0</v>
      </c>
      <c r="K92" s="8" t="s">
        <v>755</v>
      </c>
      <c r="L92" s="8" t="s">
        <v>756</v>
      </c>
    </row>
    <row r="93" ht="15.75" hidden="1" customHeight="1">
      <c r="A93" s="8" t="s">
        <v>26</v>
      </c>
      <c r="B93" s="8" t="s">
        <v>757</v>
      </c>
      <c r="C93" s="8" t="s">
        <v>758</v>
      </c>
      <c r="D93" s="8" t="s">
        <v>37</v>
      </c>
      <c r="E93" s="8" t="s">
        <v>38</v>
      </c>
      <c r="F93" s="8" t="s">
        <v>759</v>
      </c>
      <c r="G93" s="8" t="s">
        <v>760</v>
      </c>
      <c r="H93" s="10" t="s">
        <v>761</v>
      </c>
      <c r="I93" s="8" t="s">
        <v>42</v>
      </c>
      <c r="J93" s="9">
        <v>45982.0</v>
      </c>
      <c r="K93" s="8" t="s">
        <v>762</v>
      </c>
      <c r="L93" s="8" t="s">
        <v>763</v>
      </c>
    </row>
    <row r="94" ht="15.75" hidden="1" customHeight="1">
      <c r="A94" s="8" t="s">
        <v>26</v>
      </c>
      <c r="B94" s="8" t="s">
        <v>764</v>
      </c>
      <c r="C94" s="8" t="s">
        <v>765</v>
      </c>
      <c r="D94" s="8" t="s">
        <v>766</v>
      </c>
      <c r="E94" s="8" t="s">
        <v>38</v>
      </c>
      <c r="F94" s="8" t="s">
        <v>767</v>
      </c>
      <c r="G94" s="8" t="s">
        <v>768</v>
      </c>
      <c r="H94" s="10" t="s">
        <v>769</v>
      </c>
      <c r="I94" s="8" t="s">
        <v>59</v>
      </c>
      <c r="J94" s="9">
        <v>45982.0</v>
      </c>
      <c r="K94" s="8" t="s">
        <v>770</v>
      </c>
      <c r="L94" s="8" t="s">
        <v>771</v>
      </c>
    </row>
    <row r="95" ht="15.75" hidden="1" customHeight="1">
      <c r="A95" s="8" t="s">
        <v>26</v>
      </c>
      <c r="B95" s="8" t="s">
        <v>772</v>
      </c>
      <c r="C95" s="8" t="s">
        <v>773</v>
      </c>
      <c r="D95" s="8" t="s">
        <v>774</v>
      </c>
      <c r="E95" s="8" t="s">
        <v>30</v>
      </c>
      <c r="F95" s="8" t="s">
        <v>775</v>
      </c>
      <c r="G95" s="8" t="s">
        <v>776</v>
      </c>
      <c r="H95" s="10" t="s">
        <v>777</v>
      </c>
      <c r="I95" s="8" t="s">
        <v>255</v>
      </c>
      <c r="J95" s="9">
        <v>45982.0</v>
      </c>
      <c r="K95" s="8" t="s">
        <v>778</v>
      </c>
      <c r="L95" s="8" t="s">
        <v>779</v>
      </c>
    </row>
    <row r="96" ht="15.75" hidden="1" customHeight="1">
      <c r="A96" s="8" t="s">
        <v>636</v>
      </c>
      <c r="B96" s="8" t="s">
        <v>780</v>
      </c>
      <c r="C96" s="8" t="s">
        <v>781</v>
      </c>
      <c r="D96" s="8" t="s">
        <v>782</v>
      </c>
      <c r="E96" s="8" t="s">
        <v>640</v>
      </c>
      <c r="F96" s="8" t="s">
        <v>783</v>
      </c>
      <c r="G96" s="8" t="s">
        <v>784</v>
      </c>
      <c r="H96" s="10" t="s">
        <v>785</v>
      </c>
      <c r="I96" s="8" t="s">
        <v>786</v>
      </c>
      <c r="J96" s="9">
        <v>45982.0</v>
      </c>
      <c r="K96" s="8" t="s">
        <v>787</v>
      </c>
      <c r="L96" s="8" t="s">
        <v>788</v>
      </c>
    </row>
    <row r="97" ht="15.75" hidden="1" customHeight="1">
      <c r="A97" s="8" t="s">
        <v>26</v>
      </c>
      <c r="B97" s="8" t="s">
        <v>789</v>
      </c>
      <c r="C97" s="8" t="s">
        <v>790</v>
      </c>
      <c r="D97" s="8" t="s">
        <v>365</v>
      </c>
      <c r="E97" s="8" t="s">
        <v>38</v>
      </c>
      <c r="F97" s="8" t="s">
        <v>791</v>
      </c>
      <c r="G97" s="8" t="s">
        <v>792</v>
      </c>
      <c r="H97" s="10" t="s">
        <v>793</v>
      </c>
      <c r="I97" s="8" t="s">
        <v>42</v>
      </c>
      <c r="J97" s="9">
        <v>45982.0</v>
      </c>
      <c r="K97" s="8" t="s">
        <v>794</v>
      </c>
      <c r="L97" s="8" t="s">
        <v>795</v>
      </c>
    </row>
    <row r="98" ht="15.75" hidden="1" customHeight="1">
      <c r="A98" s="8" t="s">
        <v>26</v>
      </c>
      <c r="B98" s="8" t="s">
        <v>796</v>
      </c>
      <c r="C98" s="8" t="s">
        <v>797</v>
      </c>
      <c r="D98" s="8" t="s">
        <v>798</v>
      </c>
      <c r="E98" s="8" t="s">
        <v>38</v>
      </c>
      <c r="F98" s="8" t="s">
        <v>799</v>
      </c>
      <c r="G98" s="8" t="s">
        <v>800</v>
      </c>
      <c r="H98" s="10" t="s">
        <v>801</v>
      </c>
      <c r="I98" s="8" t="s">
        <v>188</v>
      </c>
      <c r="J98" s="9">
        <v>45982.0</v>
      </c>
      <c r="K98" s="8" t="s">
        <v>802</v>
      </c>
      <c r="L98" s="8" t="s">
        <v>803</v>
      </c>
    </row>
    <row r="99" ht="15.75" hidden="1" customHeight="1">
      <c r="A99" s="8" t="s">
        <v>26</v>
      </c>
      <c r="B99" s="8" t="s">
        <v>804</v>
      </c>
      <c r="C99" s="8" t="s">
        <v>805</v>
      </c>
      <c r="D99" s="8" t="s">
        <v>64</v>
      </c>
      <c r="E99" s="8" t="s">
        <v>30</v>
      </c>
      <c r="F99" s="8" t="s">
        <v>806</v>
      </c>
      <c r="G99" s="8" t="s">
        <v>807</v>
      </c>
      <c r="H99" s="10" t="s">
        <v>808</v>
      </c>
      <c r="I99" s="8" t="s">
        <v>68</v>
      </c>
      <c r="J99" s="9">
        <v>45982.0</v>
      </c>
      <c r="K99" s="8" t="s">
        <v>809</v>
      </c>
      <c r="L99" s="8" t="s">
        <v>810</v>
      </c>
    </row>
    <row r="100" ht="15.75" hidden="1" customHeight="1">
      <c r="A100" s="8" t="s">
        <v>26</v>
      </c>
      <c r="B100" s="8" t="s">
        <v>811</v>
      </c>
      <c r="C100" s="8" t="s">
        <v>812</v>
      </c>
      <c r="D100" s="8" t="s">
        <v>813</v>
      </c>
      <c r="E100" s="8" t="s">
        <v>30</v>
      </c>
      <c r="F100" s="8" t="s">
        <v>814</v>
      </c>
      <c r="G100" s="8" t="s">
        <v>815</v>
      </c>
      <c r="H100" s="10" t="s">
        <v>816</v>
      </c>
      <c r="I100" s="8" t="s">
        <v>817</v>
      </c>
      <c r="J100" s="9">
        <v>45982.0</v>
      </c>
      <c r="K100" s="8" t="s">
        <v>818</v>
      </c>
      <c r="L100" s="8" t="s">
        <v>819</v>
      </c>
    </row>
    <row r="101" ht="15.75" hidden="1" customHeight="1">
      <c r="A101" s="8" t="s">
        <v>26</v>
      </c>
      <c r="B101" s="8" t="s">
        <v>820</v>
      </c>
      <c r="C101" s="8" t="s">
        <v>821</v>
      </c>
      <c r="D101" s="8" t="s">
        <v>37</v>
      </c>
      <c r="E101" s="8" t="s">
        <v>38</v>
      </c>
      <c r="F101" s="8" t="s">
        <v>822</v>
      </c>
      <c r="G101" s="8" t="s">
        <v>823</v>
      </c>
      <c r="H101" s="10" t="s">
        <v>824</v>
      </c>
      <c r="I101" s="8" t="s">
        <v>42</v>
      </c>
      <c r="J101" s="9">
        <v>45982.0</v>
      </c>
      <c r="K101" s="8" t="s">
        <v>825</v>
      </c>
      <c r="L101" s="8" t="s">
        <v>826</v>
      </c>
    </row>
    <row r="102" ht="15.75" hidden="1" customHeight="1">
      <c r="A102" s="8" t="s">
        <v>26</v>
      </c>
      <c r="B102" s="8" t="s">
        <v>827</v>
      </c>
      <c r="C102" s="8" t="s">
        <v>828</v>
      </c>
      <c r="D102" s="8" t="s">
        <v>327</v>
      </c>
      <c r="E102" s="8" t="s">
        <v>38</v>
      </c>
      <c r="F102" s="8" t="s">
        <v>829</v>
      </c>
      <c r="G102" s="8" t="s">
        <v>830</v>
      </c>
      <c r="H102" s="10" t="s">
        <v>831</v>
      </c>
      <c r="I102" s="8" t="s">
        <v>42</v>
      </c>
      <c r="J102" s="9">
        <v>45982.0</v>
      </c>
      <c r="K102" s="8" t="s">
        <v>832</v>
      </c>
      <c r="L102" s="8" t="s">
        <v>833</v>
      </c>
    </row>
    <row r="103" ht="15.75" hidden="1" customHeight="1">
      <c r="A103" s="8" t="s">
        <v>26</v>
      </c>
      <c r="B103" s="8" t="s">
        <v>834</v>
      </c>
      <c r="C103" s="8" t="s">
        <v>835</v>
      </c>
      <c r="D103" s="8" t="s">
        <v>836</v>
      </c>
      <c r="E103" s="8" t="s">
        <v>38</v>
      </c>
      <c r="F103" s="8" t="s">
        <v>837</v>
      </c>
      <c r="G103" s="8" t="s">
        <v>838</v>
      </c>
      <c r="H103" s="10" t="s">
        <v>839</v>
      </c>
      <c r="I103" s="8" t="s">
        <v>840</v>
      </c>
      <c r="J103" s="9">
        <v>45982.0</v>
      </c>
      <c r="K103" s="8" t="s">
        <v>841</v>
      </c>
      <c r="L103" s="8" t="s">
        <v>842</v>
      </c>
    </row>
    <row r="104" ht="15.75" hidden="1" customHeight="1">
      <c r="A104" s="8" t="s">
        <v>26</v>
      </c>
      <c r="B104" s="8" t="s">
        <v>843</v>
      </c>
      <c r="C104" s="8" t="s">
        <v>844</v>
      </c>
      <c r="D104" s="8" t="s">
        <v>37</v>
      </c>
      <c r="E104" s="8" t="s">
        <v>38</v>
      </c>
      <c r="F104" s="8" t="s">
        <v>845</v>
      </c>
      <c r="G104" s="8" t="s">
        <v>846</v>
      </c>
      <c r="H104" s="10" t="s">
        <v>847</v>
      </c>
      <c r="I104" s="8" t="s">
        <v>42</v>
      </c>
      <c r="J104" s="9">
        <v>45982.0</v>
      </c>
      <c r="K104" s="8" t="s">
        <v>848</v>
      </c>
      <c r="L104" s="8" t="s">
        <v>849</v>
      </c>
    </row>
    <row r="105" ht="15.75" hidden="1" customHeight="1">
      <c r="A105" s="8" t="s">
        <v>26</v>
      </c>
      <c r="B105" s="8" t="s">
        <v>850</v>
      </c>
      <c r="C105" s="8" t="s">
        <v>851</v>
      </c>
      <c r="D105" s="8" t="s">
        <v>852</v>
      </c>
      <c r="E105" s="8" t="s">
        <v>38</v>
      </c>
      <c r="F105" s="8" t="s">
        <v>853</v>
      </c>
      <c r="G105" s="8" t="s">
        <v>854</v>
      </c>
      <c r="H105" s="10" t="s">
        <v>855</v>
      </c>
      <c r="I105" s="8" t="s">
        <v>222</v>
      </c>
      <c r="J105" s="9">
        <v>45982.0</v>
      </c>
      <c r="K105" s="8" t="s">
        <v>856</v>
      </c>
      <c r="L105" s="8" t="s">
        <v>857</v>
      </c>
    </row>
    <row r="106" ht="15.75" hidden="1" customHeight="1">
      <c r="A106" s="8" t="s">
        <v>26</v>
      </c>
      <c r="B106" s="8" t="s">
        <v>858</v>
      </c>
      <c r="C106" s="8" t="s">
        <v>859</v>
      </c>
      <c r="D106" s="8" t="s">
        <v>327</v>
      </c>
      <c r="E106" s="8" t="s">
        <v>30</v>
      </c>
      <c r="F106" s="8" t="s">
        <v>860</v>
      </c>
      <c r="G106" s="8" t="s">
        <v>861</v>
      </c>
      <c r="H106" s="10" t="s">
        <v>862</v>
      </c>
      <c r="I106" s="8" t="s">
        <v>42</v>
      </c>
      <c r="J106" s="9">
        <v>45982.0</v>
      </c>
      <c r="K106" s="8" t="s">
        <v>863</v>
      </c>
      <c r="L106" s="8" t="s">
        <v>864</v>
      </c>
    </row>
    <row r="107" ht="15.75" hidden="1" customHeight="1">
      <c r="A107" s="8" t="s">
        <v>26</v>
      </c>
      <c r="B107" s="8" t="s">
        <v>865</v>
      </c>
      <c r="C107" s="8" t="s">
        <v>866</v>
      </c>
      <c r="D107" s="8" t="s">
        <v>327</v>
      </c>
      <c r="E107" s="8" t="s">
        <v>30</v>
      </c>
      <c r="F107" s="8" t="s">
        <v>867</v>
      </c>
      <c r="G107" s="8" t="s">
        <v>868</v>
      </c>
      <c r="H107" s="10" t="s">
        <v>869</v>
      </c>
      <c r="I107" s="8" t="s">
        <v>42</v>
      </c>
      <c r="J107" s="9">
        <v>45982.0</v>
      </c>
      <c r="K107" s="8" t="s">
        <v>870</v>
      </c>
      <c r="L107" s="8" t="s">
        <v>871</v>
      </c>
    </row>
    <row r="108" ht="15.75" hidden="1" customHeight="1">
      <c r="A108" s="8" t="s">
        <v>26</v>
      </c>
      <c r="B108" s="8" t="s">
        <v>872</v>
      </c>
      <c r="C108" s="8" t="s">
        <v>873</v>
      </c>
      <c r="D108" s="8" t="s">
        <v>874</v>
      </c>
      <c r="E108" s="8" t="s">
        <v>38</v>
      </c>
      <c r="F108" s="8" t="s">
        <v>875</v>
      </c>
      <c r="G108" s="8" t="s">
        <v>876</v>
      </c>
      <c r="H108" s="10" t="s">
        <v>877</v>
      </c>
      <c r="I108" s="8" t="s">
        <v>878</v>
      </c>
      <c r="J108" s="9">
        <v>45982.0</v>
      </c>
      <c r="K108" s="8" t="s">
        <v>879</v>
      </c>
      <c r="L108" s="8" t="s">
        <v>880</v>
      </c>
    </row>
    <row r="109" ht="15.75" hidden="1" customHeight="1">
      <c r="A109" s="8" t="s">
        <v>26</v>
      </c>
      <c r="B109" s="8" t="s">
        <v>881</v>
      </c>
      <c r="C109" s="8" t="s">
        <v>882</v>
      </c>
      <c r="D109" s="8" t="s">
        <v>327</v>
      </c>
      <c r="E109" s="8" t="s">
        <v>38</v>
      </c>
      <c r="F109" s="8" t="s">
        <v>883</v>
      </c>
      <c r="G109" s="8" t="s">
        <v>884</v>
      </c>
      <c r="H109" s="10" t="s">
        <v>885</v>
      </c>
      <c r="I109" s="8" t="s">
        <v>42</v>
      </c>
      <c r="J109" s="9">
        <v>45982.0</v>
      </c>
      <c r="K109" s="8" t="s">
        <v>886</v>
      </c>
      <c r="L109" s="8" t="s">
        <v>887</v>
      </c>
    </row>
    <row r="110" ht="15.75" hidden="1" customHeight="1">
      <c r="A110" s="8" t="s">
        <v>26</v>
      </c>
      <c r="B110" s="8" t="s">
        <v>888</v>
      </c>
      <c r="C110" s="8" t="s">
        <v>889</v>
      </c>
      <c r="D110" s="8" t="s">
        <v>766</v>
      </c>
      <c r="E110" s="8" t="s">
        <v>38</v>
      </c>
      <c r="F110" s="8" t="s">
        <v>890</v>
      </c>
      <c r="G110" s="8" t="s">
        <v>891</v>
      </c>
      <c r="H110" s="10" t="s">
        <v>892</v>
      </c>
      <c r="I110" s="8" t="s">
        <v>59</v>
      </c>
      <c r="J110" s="9">
        <v>45982.0</v>
      </c>
      <c r="K110" s="8" t="s">
        <v>893</v>
      </c>
      <c r="L110" s="8" t="s">
        <v>894</v>
      </c>
    </row>
    <row r="111" ht="15.75" hidden="1" customHeight="1">
      <c r="A111" s="8" t="s">
        <v>26</v>
      </c>
      <c r="B111" s="8" t="s">
        <v>895</v>
      </c>
      <c r="C111" s="8" t="s">
        <v>896</v>
      </c>
      <c r="D111" s="8" t="s">
        <v>694</v>
      </c>
      <c r="E111" s="8" t="s">
        <v>30</v>
      </c>
      <c r="F111" s="8" t="s">
        <v>897</v>
      </c>
      <c r="G111" s="8" t="s">
        <v>898</v>
      </c>
      <c r="H111" s="10" t="s">
        <v>899</v>
      </c>
      <c r="I111" s="8" t="s">
        <v>698</v>
      </c>
      <c r="J111" s="9">
        <v>45982.0</v>
      </c>
      <c r="K111" s="8" t="s">
        <v>900</v>
      </c>
      <c r="L111" s="8" t="s">
        <v>901</v>
      </c>
    </row>
    <row r="112" ht="15.75" hidden="1" customHeight="1">
      <c r="A112" s="8" t="s">
        <v>26</v>
      </c>
      <c r="B112" s="8" t="s">
        <v>902</v>
      </c>
      <c r="C112" s="8" t="s">
        <v>903</v>
      </c>
      <c r="D112" s="8" t="s">
        <v>904</v>
      </c>
      <c r="E112" s="8" t="s">
        <v>30</v>
      </c>
      <c r="F112" s="8" t="s">
        <v>905</v>
      </c>
      <c r="G112" s="8" t="s">
        <v>906</v>
      </c>
      <c r="H112" s="10" t="s">
        <v>907</v>
      </c>
      <c r="I112" s="8" t="s">
        <v>511</v>
      </c>
      <c r="J112" s="9">
        <v>45982.0</v>
      </c>
      <c r="K112" s="8" t="s">
        <v>908</v>
      </c>
      <c r="L112" s="8" t="s">
        <v>909</v>
      </c>
    </row>
    <row r="113" ht="15.75" hidden="1" customHeight="1">
      <c r="A113" s="8" t="s">
        <v>26</v>
      </c>
      <c r="B113" s="8" t="s">
        <v>910</v>
      </c>
      <c r="C113" s="8" t="s">
        <v>911</v>
      </c>
      <c r="D113" s="8" t="s">
        <v>766</v>
      </c>
      <c r="E113" s="8" t="s">
        <v>30</v>
      </c>
      <c r="F113" s="8" t="s">
        <v>912</v>
      </c>
      <c r="G113" s="8" t="s">
        <v>913</v>
      </c>
      <c r="H113" s="10" t="s">
        <v>914</v>
      </c>
      <c r="I113" s="8" t="s">
        <v>59</v>
      </c>
      <c r="J113" s="9">
        <v>45982.0</v>
      </c>
      <c r="K113" s="8" t="s">
        <v>915</v>
      </c>
      <c r="L113" s="8" t="s">
        <v>916</v>
      </c>
    </row>
    <row r="114" ht="15.75" hidden="1" customHeight="1">
      <c r="A114" s="8" t="s">
        <v>26</v>
      </c>
      <c r="B114" s="8" t="s">
        <v>917</v>
      </c>
      <c r="C114" s="8" t="s">
        <v>918</v>
      </c>
      <c r="D114" s="8" t="s">
        <v>327</v>
      </c>
      <c r="E114" s="8" t="s">
        <v>38</v>
      </c>
      <c r="F114" s="8" t="s">
        <v>919</v>
      </c>
      <c r="G114" s="8" t="s">
        <v>920</v>
      </c>
      <c r="H114" s="10" t="s">
        <v>921</v>
      </c>
      <c r="I114" s="8" t="s">
        <v>42</v>
      </c>
      <c r="J114" s="9">
        <v>45982.0</v>
      </c>
      <c r="K114" s="8" t="s">
        <v>922</v>
      </c>
      <c r="L114" s="8" t="s">
        <v>923</v>
      </c>
    </row>
    <row r="115" ht="15.75" hidden="1" customHeight="1">
      <c r="A115" s="8" t="s">
        <v>26</v>
      </c>
      <c r="B115" s="8" t="s">
        <v>924</v>
      </c>
      <c r="C115" s="8" t="s">
        <v>925</v>
      </c>
      <c r="D115" s="8" t="s">
        <v>926</v>
      </c>
      <c r="E115" s="8" t="s">
        <v>640</v>
      </c>
      <c r="F115" s="8" t="s">
        <v>927</v>
      </c>
      <c r="G115" s="8" t="s">
        <v>928</v>
      </c>
      <c r="H115" s="10" t="s">
        <v>929</v>
      </c>
      <c r="I115" s="8" t="s">
        <v>644</v>
      </c>
      <c r="J115" s="9">
        <v>45982.0</v>
      </c>
      <c r="K115" s="8" t="s">
        <v>930</v>
      </c>
      <c r="L115" s="8" t="s">
        <v>931</v>
      </c>
    </row>
    <row r="116" ht="15.75" hidden="1" customHeight="1">
      <c r="A116" s="8" t="s">
        <v>636</v>
      </c>
      <c r="B116" s="8" t="s">
        <v>932</v>
      </c>
      <c r="C116" s="8" t="s">
        <v>933</v>
      </c>
      <c r="D116" s="8" t="s">
        <v>934</v>
      </c>
      <c r="E116" s="8" t="s">
        <v>640</v>
      </c>
      <c r="F116" s="8" t="s">
        <v>935</v>
      </c>
      <c r="G116" s="8" t="s">
        <v>936</v>
      </c>
      <c r="H116" s="10" t="s">
        <v>937</v>
      </c>
      <c r="I116" s="8" t="s">
        <v>786</v>
      </c>
      <c r="J116" s="9">
        <v>45982.0</v>
      </c>
      <c r="K116" s="8" t="s">
        <v>938</v>
      </c>
      <c r="L116" s="8" t="s">
        <v>939</v>
      </c>
    </row>
    <row r="117" ht="15.75" hidden="1" customHeight="1">
      <c r="A117" s="8" t="s">
        <v>26</v>
      </c>
      <c r="B117" s="8" t="s">
        <v>940</v>
      </c>
      <c r="C117" s="8" t="s">
        <v>941</v>
      </c>
      <c r="D117" s="8" t="s">
        <v>278</v>
      </c>
      <c r="E117" s="8" t="s">
        <v>38</v>
      </c>
      <c r="F117" s="8" t="s">
        <v>942</v>
      </c>
      <c r="G117" s="8" t="s">
        <v>943</v>
      </c>
      <c r="H117" s="10" t="s">
        <v>944</v>
      </c>
      <c r="I117" s="8" t="s">
        <v>42</v>
      </c>
      <c r="J117" s="9">
        <v>45982.0</v>
      </c>
      <c r="K117" s="8" t="s">
        <v>945</v>
      </c>
      <c r="L117" s="8" t="s">
        <v>946</v>
      </c>
    </row>
    <row r="118" ht="15.75" hidden="1" customHeight="1">
      <c r="A118" s="8" t="s">
        <v>26</v>
      </c>
      <c r="B118" s="8" t="s">
        <v>947</v>
      </c>
      <c r="C118" s="8" t="s">
        <v>948</v>
      </c>
      <c r="D118" s="8" t="s">
        <v>949</v>
      </c>
      <c r="E118" s="8" t="s">
        <v>38</v>
      </c>
      <c r="F118" s="8" t="s">
        <v>950</v>
      </c>
      <c r="G118" s="8" t="s">
        <v>951</v>
      </c>
      <c r="H118" s="10" t="s">
        <v>952</v>
      </c>
      <c r="I118" s="8" t="s">
        <v>953</v>
      </c>
      <c r="J118" s="9">
        <v>45982.0</v>
      </c>
      <c r="K118" s="8" t="s">
        <v>954</v>
      </c>
      <c r="L118" s="8" t="s">
        <v>955</v>
      </c>
    </row>
    <row r="119" ht="15.75" hidden="1" customHeight="1">
      <c r="A119" s="8" t="s">
        <v>26</v>
      </c>
      <c r="B119" s="8" t="s">
        <v>956</v>
      </c>
      <c r="C119" s="8" t="s">
        <v>957</v>
      </c>
      <c r="D119" s="8" t="s">
        <v>168</v>
      </c>
      <c r="E119" s="8" t="s">
        <v>30</v>
      </c>
      <c r="F119" s="8" t="s">
        <v>958</v>
      </c>
      <c r="G119" s="8" t="s">
        <v>959</v>
      </c>
      <c r="H119" s="10" t="s">
        <v>960</v>
      </c>
      <c r="I119" s="8" t="s">
        <v>172</v>
      </c>
      <c r="J119" s="9">
        <v>45982.0</v>
      </c>
      <c r="K119" s="8" t="s">
        <v>961</v>
      </c>
      <c r="L119" s="8" t="s">
        <v>962</v>
      </c>
    </row>
    <row r="120" ht="15.75" hidden="1" customHeight="1">
      <c r="A120" s="8" t="s">
        <v>26</v>
      </c>
      <c r="B120" s="8" t="s">
        <v>963</v>
      </c>
      <c r="C120" s="8" t="s">
        <v>964</v>
      </c>
      <c r="D120" s="8" t="s">
        <v>327</v>
      </c>
      <c r="E120" s="8" t="s">
        <v>38</v>
      </c>
      <c r="F120" s="8" t="s">
        <v>965</v>
      </c>
      <c r="G120" s="8" t="s">
        <v>966</v>
      </c>
      <c r="H120" s="10" t="s">
        <v>967</v>
      </c>
      <c r="I120" s="8" t="s">
        <v>42</v>
      </c>
      <c r="J120" s="9">
        <v>45982.0</v>
      </c>
      <c r="K120" s="8" t="s">
        <v>968</v>
      </c>
      <c r="L120" s="8" t="s">
        <v>969</v>
      </c>
    </row>
    <row r="121" ht="15.75" hidden="1" customHeight="1">
      <c r="A121" s="8" t="s">
        <v>26</v>
      </c>
      <c r="B121" s="8" t="s">
        <v>970</v>
      </c>
      <c r="C121" s="8" t="s">
        <v>971</v>
      </c>
      <c r="D121" s="8" t="s">
        <v>460</v>
      </c>
      <c r="E121" s="8" t="s">
        <v>38</v>
      </c>
      <c r="F121" s="8" t="s">
        <v>972</v>
      </c>
      <c r="G121" s="8" t="s">
        <v>973</v>
      </c>
      <c r="H121" s="10" t="s">
        <v>974</v>
      </c>
      <c r="I121" s="8" t="s">
        <v>188</v>
      </c>
      <c r="J121" s="9">
        <v>45982.0</v>
      </c>
      <c r="K121" s="8" t="s">
        <v>975</v>
      </c>
      <c r="L121" s="8" t="s">
        <v>976</v>
      </c>
    </row>
    <row r="122" ht="15.75" hidden="1" customHeight="1">
      <c r="A122" s="8" t="s">
        <v>26</v>
      </c>
      <c r="B122" s="8" t="s">
        <v>977</v>
      </c>
      <c r="C122" s="8" t="s">
        <v>978</v>
      </c>
      <c r="D122" s="8" t="s">
        <v>694</v>
      </c>
      <c r="E122" s="8" t="s">
        <v>30</v>
      </c>
      <c r="F122" s="8" t="s">
        <v>979</v>
      </c>
      <c r="G122" s="8" t="s">
        <v>980</v>
      </c>
      <c r="H122" s="10" t="s">
        <v>981</v>
      </c>
      <c r="I122" s="8" t="s">
        <v>698</v>
      </c>
      <c r="J122" s="9">
        <v>45982.0</v>
      </c>
      <c r="K122" s="8" t="s">
        <v>982</v>
      </c>
      <c r="L122" s="8" t="s">
        <v>983</v>
      </c>
    </row>
    <row r="123" ht="15.75" hidden="1" customHeight="1">
      <c r="A123" s="8" t="s">
        <v>26</v>
      </c>
      <c r="B123" s="8" t="s">
        <v>984</v>
      </c>
      <c r="C123" s="8" t="s">
        <v>985</v>
      </c>
      <c r="D123" s="8" t="s">
        <v>926</v>
      </c>
      <c r="E123" s="8" t="s">
        <v>640</v>
      </c>
      <c r="F123" s="8" t="s">
        <v>986</v>
      </c>
      <c r="G123" s="8" t="s">
        <v>987</v>
      </c>
      <c r="H123" s="10" t="s">
        <v>988</v>
      </c>
      <c r="I123" s="8" t="s">
        <v>644</v>
      </c>
      <c r="J123" s="9">
        <v>45982.0</v>
      </c>
      <c r="K123" s="8" t="s">
        <v>989</v>
      </c>
      <c r="L123" s="8" t="s">
        <v>990</v>
      </c>
    </row>
    <row r="124" ht="15.75" hidden="1" customHeight="1">
      <c r="A124" s="8" t="s">
        <v>26</v>
      </c>
      <c r="B124" s="8" t="s">
        <v>991</v>
      </c>
      <c r="C124" s="8" t="s">
        <v>992</v>
      </c>
      <c r="D124" s="8" t="s">
        <v>993</v>
      </c>
      <c r="E124" s="8" t="s">
        <v>38</v>
      </c>
      <c r="F124" s="8" t="s">
        <v>994</v>
      </c>
      <c r="G124" s="8" t="s">
        <v>995</v>
      </c>
      <c r="H124" s="10" t="s">
        <v>996</v>
      </c>
      <c r="I124" s="8" t="s">
        <v>997</v>
      </c>
      <c r="J124" s="9">
        <v>45982.0</v>
      </c>
      <c r="K124" s="8" t="s">
        <v>998</v>
      </c>
      <c r="L124" s="8" t="s">
        <v>999</v>
      </c>
    </row>
    <row r="125" ht="15.75" hidden="1" customHeight="1">
      <c r="A125" s="8" t="s">
        <v>26</v>
      </c>
      <c r="B125" s="8" t="s">
        <v>1000</v>
      </c>
      <c r="C125" s="8" t="s">
        <v>1001</v>
      </c>
      <c r="D125" s="8" t="s">
        <v>1002</v>
      </c>
      <c r="E125" s="8" t="s">
        <v>38</v>
      </c>
      <c r="F125" s="8" t="s">
        <v>1003</v>
      </c>
      <c r="G125" s="8" t="s">
        <v>1004</v>
      </c>
      <c r="H125" s="10" t="s">
        <v>1005</v>
      </c>
      <c r="I125" s="8" t="s">
        <v>817</v>
      </c>
      <c r="J125" s="9">
        <v>45982.0</v>
      </c>
      <c r="K125" s="8" t="s">
        <v>1006</v>
      </c>
      <c r="L125" s="8" t="s">
        <v>1007</v>
      </c>
    </row>
    <row r="126" ht="15.75" hidden="1" customHeight="1">
      <c r="A126" s="8" t="s">
        <v>26</v>
      </c>
      <c r="B126" s="8" t="s">
        <v>1008</v>
      </c>
      <c r="C126" s="8" t="s">
        <v>1009</v>
      </c>
      <c r="D126" s="8" t="s">
        <v>278</v>
      </c>
      <c r="E126" s="8" t="s">
        <v>38</v>
      </c>
      <c r="F126" s="8" t="s">
        <v>1010</v>
      </c>
      <c r="G126" s="8" t="s">
        <v>1011</v>
      </c>
      <c r="H126" s="10" t="s">
        <v>1012</v>
      </c>
      <c r="I126" s="8" t="s">
        <v>42</v>
      </c>
      <c r="J126" s="9">
        <v>45982.0</v>
      </c>
      <c r="K126" s="8" t="s">
        <v>1013</v>
      </c>
      <c r="L126" s="8" t="s">
        <v>1014</v>
      </c>
    </row>
    <row r="127" ht="15.75" hidden="1" customHeight="1">
      <c r="A127" s="8" t="s">
        <v>26</v>
      </c>
      <c r="B127" s="8" t="s">
        <v>1015</v>
      </c>
      <c r="C127" s="8" t="s">
        <v>1016</v>
      </c>
      <c r="D127" s="8" t="s">
        <v>1017</v>
      </c>
      <c r="E127" s="8" t="s">
        <v>38</v>
      </c>
      <c r="F127" s="8" t="s">
        <v>1018</v>
      </c>
      <c r="G127" s="8" t="s">
        <v>1019</v>
      </c>
      <c r="H127" s="10" t="s">
        <v>1020</v>
      </c>
      <c r="I127" s="8" t="s">
        <v>579</v>
      </c>
      <c r="J127" s="9">
        <v>45982.0</v>
      </c>
      <c r="K127" s="8" t="s">
        <v>1021</v>
      </c>
      <c r="L127" s="8" t="s">
        <v>1022</v>
      </c>
    </row>
    <row r="128" ht="15.75" hidden="1" customHeight="1">
      <c r="A128" s="8" t="s">
        <v>26</v>
      </c>
      <c r="B128" s="8" t="s">
        <v>1023</v>
      </c>
      <c r="C128" s="8" t="s">
        <v>1024</v>
      </c>
      <c r="D128" s="8" t="s">
        <v>327</v>
      </c>
      <c r="E128" s="8" t="s">
        <v>38</v>
      </c>
      <c r="F128" s="8" t="s">
        <v>1025</v>
      </c>
      <c r="G128" s="8" t="s">
        <v>1026</v>
      </c>
      <c r="H128" s="10" t="s">
        <v>1027</v>
      </c>
      <c r="I128" s="8" t="s">
        <v>42</v>
      </c>
      <c r="J128" s="9">
        <v>45982.0</v>
      </c>
      <c r="K128" s="8" t="s">
        <v>1028</v>
      </c>
      <c r="L128" s="8" t="s">
        <v>1029</v>
      </c>
    </row>
    <row r="129" ht="15.75" hidden="1" customHeight="1">
      <c r="A129" s="8" t="s">
        <v>26</v>
      </c>
      <c r="B129" s="8" t="s">
        <v>1030</v>
      </c>
      <c r="C129" s="8" t="s">
        <v>1031</v>
      </c>
      <c r="D129" s="8" t="s">
        <v>37</v>
      </c>
      <c r="E129" s="8" t="s">
        <v>38</v>
      </c>
      <c r="F129" s="8" t="s">
        <v>1032</v>
      </c>
      <c r="G129" s="8" t="s">
        <v>1033</v>
      </c>
      <c r="H129" s="10" t="s">
        <v>1034</v>
      </c>
      <c r="I129" s="8" t="s">
        <v>42</v>
      </c>
      <c r="J129" s="9">
        <v>45982.0</v>
      </c>
      <c r="K129" s="8" t="s">
        <v>1035</v>
      </c>
      <c r="L129" s="8" t="s">
        <v>1036</v>
      </c>
    </row>
    <row r="130" ht="15.75" hidden="1" customHeight="1">
      <c r="A130" s="8" t="s">
        <v>26</v>
      </c>
      <c r="B130" s="8" t="s">
        <v>1037</v>
      </c>
      <c r="C130" s="8" t="s">
        <v>1038</v>
      </c>
      <c r="D130" s="8" t="s">
        <v>507</v>
      </c>
      <c r="E130" s="8" t="s">
        <v>38</v>
      </c>
      <c r="F130" s="8" t="s">
        <v>1039</v>
      </c>
      <c r="G130" s="8" t="s">
        <v>1040</v>
      </c>
      <c r="H130" s="10" t="s">
        <v>1041</v>
      </c>
      <c r="I130" s="8" t="s">
        <v>511</v>
      </c>
      <c r="J130" s="9">
        <v>45982.0</v>
      </c>
      <c r="K130" s="8" t="s">
        <v>1042</v>
      </c>
      <c r="L130" s="8" t="s">
        <v>1043</v>
      </c>
    </row>
    <row r="131" ht="15.75" hidden="1" customHeight="1">
      <c r="A131" s="8" t="s">
        <v>26</v>
      </c>
      <c r="B131" s="8" t="s">
        <v>1044</v>
      </c>
      <c r="C131" s="8" t="s">
        <v>1045</v>
      </c>
      <c r="D131" s="8" t="s">
        <v>1046</v>
      </c>
      <c r="E131" s="8" t="s">
        <v>269</v>
      </c>
      <c r="F131" s="8" t="s">
        <v>1047</v>
      </c>
      <c r="G131" s="8" t="s">
        <v>1048</v>
      </c>
      <c r="H131" s="10" t="s">
        <v>1049</v>
      </c>
      <c r="I131" s="8" t="s">
        <v>1050</v>
      </c>
      <c r="J131" s="9">
        <v>45982.0</v>
      </c>
      <c r="K131" s="8" t="s">
        <v>1051</v>
      </c>
      <c r="L131" s="8" t="s">
        <v>1052</v>
      </c>
    </row>
    <row r="132" ht="15.75" hidden="1" customHeight="1">
      <c r="A132" s="8" t="s">
        <v>26</v>
      </c>
      <c r="B132" s="8" t="s">
        <v>1053</v>
      </c>
      <c r="C132" s="8" t="s">
        <v>1054</v>
      </c>
      <c r="D132" s="8" t="s">
        <v>1055</v>
      </c>
      <c r="E132" s="8" t="s">
        <v>38</v>
      </c>
      <c r="F132" s="8" t="s">
        <v>1056</v>
      </c>
      <c r="G132" s="8" t="s">
        <v>1057</v>
      </c>
      <c r="H132" s="10" t="s">
        <v>1058</v>
      </c>
      <c r="I132" s="8" t="s">
        <v>1059</v>
      </c>
      <c r="J132" s="9">
        <v>45982.0</v>
      </c>
      <c r="K132" s="8" t="s">
        <v>1060</v>
      </c>
      <c r="L132" s="8" t="s">
        <v>1061</v>
      </c>
    </row>
    <row r="133" ht="15.75" hidden="1" customHeight="1">
      <c r="A133" s="8" t="s">
        <v>26</v>
      </c>
      <c r="B133" s="8" t="s">
        <v>1062</v>
      </c>
      <c r="C133" s="8" t="s">
        <v>1063</v>
      </c>
      <c r="D133" s="8" t="s">
        <v>1064</v>
      </c>
      <c r="E133" s="8" t="s">
        <v>38</v>
      </c>
      <c r="F133" s="8" t="s">
        <v>1065</v>
      </c>
      <c r="G133" s="8" t="s">
        <v>1066</v>
      </c>
      <c r="H133" s="10" t="s">
        <v>1067</v>
      </c>
      <c r="I133" s="8" t="s">
        <v>197</v>
      </c>
      <c r="J133" s="9">
        <v>45982.0</v>
      </c>
      <c r="K133" s="8" t="s">
        <v>1068</v>
      </c>
      <c r="L133" s="8" t="s">
        <v>1069</v>
      </c>
    </row>
    <row r="134" ht="15.75" hidden="1" customHeight="1">
      <c r="A134" s="8" t="s">
        <v>26</v>
      </c>
      <c r="B134" s="8" t="s">
        <v>1070</v>
      </c>
      <c r="C134" s="8" t="s">
        <v>1071</v>
      </c>
      <c r="D134" s="8" t="s">
        <v>1072</v>
      </c>
      <c r="E134" s="8" t="s">
        <v>269</v>
      </c>
      <c r="F134" s="8" t="s">
        <v>1073</v>
      </c>
      <c r="G134" s="8" t="s">
        <v>1074</v>
      </c>
      <c r="H134" s="10" t="s">
        <v>1075</v>
      </c>
      <c r="I134" s="8" t="s">
        <v>42</v>
      </c>
      <c r="J134" s="9">
        <v>45982.0</v>
      </c>
      <c r="K134" s="8" t="s">
        <v>1076</v>
      </c>
      <c r="L134" s="8" t="s">
        <v>1077</v>
      </c>
    </row>
    <row r="135" ht="15.75" hidden="1" customHeight="1">
      <c r="A135" s="8" t="s">
        <v>26</v>
      </c>
      <c r="B135" s="8" t="s">
        <v>1078</v>
      </c>
      <c r="C135" s="8" t="s">
        <v>1079</v>
      </c>
      <c r="D135" s="8" t="s">
        <v>1080</v>
      </c>
      <c r="E135" s="8" t="s">
        <v>269</v>
      </c>
      <c r="F135" s="8" t="s">
        <v>1081</v>
      </c>
      <c r="G135" s="8" t="s">
        <v>1082</v>
      </c>
      <c r="H135" s="10" t="s">
        <v>1083</v>
      </c>
      <c r="I135" s="8" t="s">
        <v>68</v>
      </c>
      <c r="J135" s="9">
        <v>45982.0</v>
      </c>
      <c r="K135" s="8" t="s">
        <v>1084</v>
      </c>
      <c r="L135" s="8" t="s">
        <v>1085</v>
      </c>
    </row>
    <row r="136" ht="15.75" hidden="1" customHeight="1">
      <c r="A136" s="8" t="s">
        <v>26</v>
      </c>
      <c r="B136" s="8" t="s">
        <v>1086</v>
      </c>
      <c r="C136" s="8" t="s">
        <v>1087</v>
      </c>
      <c r="D136" s="8" t="s">
        <v>1088</v>
      </c>
      <c r="E136" s="8" t="s">
        <v>38</v>
      </c>
      <c r="F136" s="8" t="s">
        <v>1089</v>
      </c>
      <c r="G136" s="8" t="s">
        <v>1090</v>
      </c>
      <c r="H136" s="10" t="s">
        <v>1091</v>
      </c>
      <c r="I136" s="8" t="s">
        <v>50</v>
      </c>
      <c r="J136" s="9">
        <v>45982.0</v>
      </c>
      <c r="K136" s="8" t="s">
        <v>1092</v>
      </c>
      <c r="L136" s="8" t="s">
        <v>1093</v>
      </c>
    </row>
    <row r="137" ht="15.75" hidden="1" customHeight="1">
      <c r="A137" s="8" t="s">
        <v>26</v>
      </c>
      <c r="B137" s="8" t="s">
        <v>1094</v>
      </c>
      <c r="C137" s="8" t="s">
        <v>1095</v>
      </c>
      <c r="D137" s="8" t="s">
        <v>327</v>
      </c>
      <c r="E137" s="8" t="s">
        <v>30</v>
      </c>
      <c r="F137" s="8" t="s">
        <v>1096</v>
      </c>
      <c r="G137" s="8" t="s">
        <v>1097</v>
      </c>
      <c r="H137" s="10" t="s">
        <v>1098</v>
      </c>
      <c r="I137" s="8" t="s">
        <v>42</v>
      </c>
      <c r="J137" s="9">
        <v>45982.0</v>
      </c>
      <c r="K137" s="8" t="s">
        <v>1099</v>
      </c>
      <c r="L137" s="8" t="s">
        <v>1100</v>
      </c>
    </row>
    <row r="138" ht="15.75" hidden="1" customHeight="1">
      <c r="A138" s="8" t="s">
        <v>26</v>
      </c>
      <c r="B138" s="8" t="s">
        <v>1101</v>
      </c>
      <c r="C138" s="8" t="s">
        <v>1102</v>
      </c>
      <c r="D138" s="8" t="s">
        <v>1103</v>
      </c>
      <c r="E138" s="8" t="s">
        <v>38</v>
      </c>
      <c r="F138" s="8" t="s">
        <v>1104</v>
      </c>
      <c r="G138" s="8" t="s">
        <v>1105</v>
      </c>
      <c r="H138" s="10" t="s">
        <v>1106</v>
      </c>
      <c r="I138" s="8" t="s">
        <v>817</v>
      </c>
      <c r="J138" s="9">
        <v>45982.0</v>
      </c>
      <c r="K138" s="8" t="s">
        <v>1107</v>
      </c>
      <c r="L138" s="8" t="s">
        <v>1108</v>
      </c>
    </row>
    <row r="139" ht="15.75" hidden="1" customHeight="1">
      <c r="A139" s="8" t="s">
        <v>26</v>
      </c>
      <c r="B139" s="8" t="s">
        <v>1109</v>
      </c>
      <c r="C139" s="8" t="s">
        <v>1110</v>
      </c>
      <c r="D139" s="8" t="s">
        <v>1111</v>
      </c>
      <c r="E139" s="8" t="s">
        <v>38</v>
      </c>
      <c r="F139" s="8" t="s">
        <v>1112</v>
      </c>
      <c r="G139" s="8" t="s">
        <v>1113</v>
      </c>
      <c r="H139" s="10" t="s">
        <v>1114</v>
      </c>
      <c r="I139" s="8" t="s">
        <v>1115</v>
      </c>
      <c r="J139" s="9">
        <v>45982.0</v>
      </c>
      <c r="K139" s="8" t="s">
        <v>1116</v>
      </c>
      <c r="L139" s="8" t="s">
        <v>1117</v>
      </c>
    </row>
    <row r="140" ht="15.75" hidden="1" customHeight="1">
      <c r="A140" s="8" t="s">
        <v>26</v>
      </c>
      <c r="B140" s="8" t="s">
        <v>1118</v>
      </c>
      <c r="C140" s="8" t="s">
        <v>1119</v>
      </c>
      <c r="D140" s="8" t="s">
        <v>1120</v>
      </c>
      <c r="E140" s="8" t="s">
        <v>30</v>
      </c>
      <c r="F140" s="8" t="s">
        <v>1121</v>
      </c>
      <c r="G140" s="8" t="s">
        <v>1122</v>
      </c>
      <c r="H140" s="10" t="s">
        <v>1123</v>
      </c>
      <c r="I140" s="8" t="s">
        <v>1124</v>
      </c>
      <c r="J140" s="9">
        <v>45982.0</v>
      </c>
      <c r="K140" s="8" t="s">
        <v>1125</v>
      </c>
      <c r="L140" s="8" t="s">
        <v>1126</v>
      </c>
    </row>
    <row r="141" ht="15.75" hidden="1" customHeight="1">
      <c r="A141" s="8" t="s">
        <v>26</v>
      </c>
      <c r="B141" s="8" t="s">
        <v>1127</v>
      </c>
      <c r="C141" s="8" t="s">
        <v>1128</v>
      </c>
      <c r="D141" s="8" t="s">
        <v>1129</v>
      </c>
      <c r="E141" s="8" t="s">
        <v>38</v>
      </c>
      <c r="F141" s="8" t="s">
        <v>1130</v>
      </c>
      <c r="G141" s="8" t="s">
        <v>1131</v>
      </c>
      <c r="H141" s="10" t="s">
        <v>1132</v>
      </c>
      <c r="I141" s="8" t="s">
        <v>698</v>
      </c>
      <c r="J141" s="9">
        <v>45982.0</v>
      </c>
      <c r="K141" s="8" t="s">
        <v>1133</v>
      </c>
      <c r="L141" s="8" t="s">
        <v>1134</v>
      </c>
    </row>
    <row r="142" ht="15.75" hidden="1" customHeight="1">
      <c r="A142" s="8" t="s">
        <v>26</v>
      </c>
      <c r="B142" s="8" t="s">
        <v>1135</v>
      </c>
      <c r="C142" s="8" t="s">
        <v>1136</v>
      </c>
      <c r="D142" s="8" t="s">
        <v>286</v>
      </c>
      <c r="E142" s="8" t="s">
        <v>38</v>
      </c>
      <c r="F142" s="8" t="s">
        <v>1137</v>
      </c>
      <c r="G142" s="8" t="s">
        <v>1138</v>
      </c>
      <c r="H142" s="10" t="s">
        <v>1139</v>
      </c>
      <c r="I142" s="8" t="s">
        <v>290</v>
      </c>
      <c r="J142" s="9">
        <v>45982.0</v>
      </c>
      <c r="K142" s="8" t="s">
        <v>1140</v>
      </c>
      <c r="L142" s="8" t="s">
        <v>1141</v>
      </c>
    </row>
    <row r="143" ht="15.75" hidden="1" customHeight="1">
      <c r="A143" s="8" t="s">
        <v>26</v>
      </c>
      <c r="B143" s="8" t="s">
        <v>1142</v>
      </c>
      <c r="C143" s="8" t="s">
        <v>1143</v>
      </c>
      <c r="D143" s="8" t="s">
        <v>327</v>
      </c>
      <c r="E143" s="8" t="s">
        <v>38</v>
      </c>
      <c r="F143" s="8" t="s">
        <v>1144</v>
      </c>
      <c r="G143" s="8" t="s">
        <v>1145</v>
      </c>
      <c r="H143" s="10" t="s">
        <v>1146</v>
      </c>
      <c r="I143" s="8" t="s">
        <v>42</v>
      </c>
      <c r="J143" s="9">
        <v>45982.0</v>
      </c>
      <c r="K143" s="8" t="s">
        <v>1147</v>
      </c>
      <c r="L143" s="8" t="s">
        <v>1148</v>
      </c>
    </row>
    <row r="144" ht="15.75" hidden="1" customHeight="1">
      <c r="A144" s="8" t="s">
        <v>26</v>
      </c>
      <c r="B144" s="8" t="s">
        <v>1149</v>
      </c>
      <c r="C144" s="8" t="s">
        <v>1150</v>
      </c>
      <c r="D144" s="8" t="s">
        <v>1151</v>
      </c>
      <c r="E144" s="8" t="s">
        <v>30</v>
      </c>
      <c r="F144" s="8" t="s">
        <v>1152</v>
      </c>
      <c r="G144" s="8" t="s">
        <v>1153</v>
      </c>
      <c r="H144" s="10" t="s">
        <v>1154</v>
      </c>
      <c r="I144" s="8" t="s">
        <v>1124</v>
      </c>
      <c r="J144" s="9">
        <v>45982.0</v>
      </c>
      <c r="K144" s="8" t="s">
        <v>1155</v>
      </c>
      <c r="L144" s="8" t="s">
        <v>1156</v>
      </c>
    </row>
    <row r="145" ht="15.75" hidden="1" customHeight="1">
      <c r="A145" s="8" t="s">
        <v>26</v>
      </c>
      <c r="B145" s="8" t="s">
        <v>1157</v>
      </c>
      <c r="C145" s="8" t="s">
        <v>1158</v>
      </c>
      <c r="D145" s="8" t="s">
        <v>1159</v>
      </c>
      <c r="E145" s="8" t="s">
        <v>38</v>
      </c>
      <c r="F145" s="8" t="s">
        <v>1160</v>
      </c>
      <c r="G145" s="8" t="s">
        <v>1161</v>
      </c>
      <c r="H145" s="10" t="s">
        <v>1162</v>
      </c>
      <c r="I145" s="8" t="s">
        <v>1050</v>
      </c>
      <c r="J145" s="9">
        <v>45982.0</v>
      </c>
      <c r="K145" s="8" t="s">
        <v>1163</v>
      </c>
      <c r="L145" s="8" t="s">
        <v>1164</v>
      </c>
    </row>
    <row r="146" ht="15.75" hidden="1" customHeight="1">
      <c r="A146" s="8" t="s">
        <v>26</v>
      </c>
      <c r="B146" s="8" t="s">
        <v>1165</v>
      </c>
      <c r="C146" s="8" t="s">
        <v>1166</v>
      </c>
      <c r="D146" s="8" t="s">
        <v>1167</v>
      </c>
      <c r="E146" s="8" t="s">
        <v>38</v>
      </c>
      <c r="F146" s="8" t="s">
        <v>1168</v>
      </c>
      <c r="G146" s="8" t="s">
        <v>1169</v>
      </c>
      <c r="H146" s="10" t="s">
        <v>1170</v>
      </c>
      <c r="I146" s="8" t="s">
        <v>68</v>
      </c>
      <c r="J146" s="9">
        <v>45982.0</v>
      </c>
      <c r="K146" s="8" t="s">
        <v>1171</v>
      </c>
      <c r="L146" s="8" t="s">
        <v>1172</v>
      </c>
    </row>
    <row r="147" ht="15.75" hidden="1" customHeight="1">
      <c r="A147" s="8" t="s">
        <v>26</v>
      </c>
      <c r="B147" s="8" t="s">
        <v>1173</v>
      </c>
      <c r="C147" s="8" t="s">
        <v>1174</v>
      </c>
      <c r="D147" s="8" t="s">
        <v>278</v>
      </c>
      <c r="E147" s="8" t="s">
        <v>38</v>
      </c>
      <c r="F147" s="8" t="s">
        <v>1175</v>
      </c>
      <c r="G147" s="8" t="s">
        <v>1176</v>
      </c>
      <c r="H147" s="10" t="s">
        <v>1177</v>
      </c>
      <c r="I147" s="8" t="s">
        <v>42</v>
      </c>
      <c r="J147" s="9">
        <v>45982.0</v>
      </c>
      <c r="K147" s="8" t="s">
        <v>1178</v>
      </c>
      <c r="L147" s="8" t="s">
        <v>1179</v>
      </c>
    </row>
    <row r="148" ht="15.75" hidden="1" customHeight="1">
      <c r="A148" s="8" t="s">
        <v>26</v>
      </c>
      <c r="B148" s="8" t="s">
        <v>1180</v>
      </c>
      <c r="C148" s="8" t="s">
        <v>1181</v>
      </c>
      <c r="D148" s="8" t="s">
        <v>278</v>
      </c>
      <c r="E148" s="8" t="s">
        <v>30</v>
      </c>
      <c r="F148" s="8" t="s">
        <v>1182</v>
      </c>
      <c r="G148" s="8" t="s">
        <v>1183</v>
      </c>
      <c r="H148" s="10" t="s">
        <v>1184</v>
      </c>
      <c r="I148" s="8" t="s">
        <v>42</v>
      </c>
      <c r="J148" s="9">
        <v>45982.0</v>
      </c>
      <c r="K148" s="8" t="s">
        <v>1185</v>
      </c>
      <c r="L148" s="8" t="s">
        <v>1186</v>
      </c>
    </row>
    <row r="149" ht="15.75" hidden="1" customHeight="1">
      <c r="A149" s="8" t="s">
        <v>26</v>
      </c>
      <c r="B149" s="8" t="s">
        <v>1187</v>
      </c>
      <c r="C149" s="8" t="s">
        <v>1188</v>
      </c>
      <c r="D149" s="8" t="s">
        <v>1189</v>
      </c>
      <c r="E149" s="8" t="s">
        <v>38</v>
      </c>
      <c r="F149" s="8" t="s">
        <v>1190</v>
      </c>
      <c r="G149" s="8" t="s">
        <v>1191</v>
      </c>
      <c r="H149" s="10" t="s">
        <v>1192</v>
      </c>
      <c r="I149" s="8" t="s">
        <v>273</v>
      </c>
      <c r="J149" s="9">
        <v>45982.0</v>
      </c>
      <c r="K149" s="8" t="s">
        <v>1193</v>
      </c>
      <c r="L149" s="8" t="s">
        <v>1194</v>
      </c>
    </row>
    <row r="150" ht="15.75" hidden="1" customHeight="1">
      <c r="A150" s="8" t="s">
        <v>26</v>
      </c>
      <c r="B150" s="8" t="s">
        <v>1195</v>
      </c>
      <c r="C150" s="8" t="s">
        <v>1196</v>
      </c>
      <c r="D150" s="8" t="s">
        <v>327</v>
      </c>
      <c r="E150" s="8" t="s">
        <v>38</v>
      </c>
      <c r="F150" s="8" t="s">
        <v>1197</v>
      </c>
      <c r="G150" s="8" t="s">
        <v>1198</v>
      </c>
      <c r="H150" s="10" t="s">
        <v>1199</v>
      </c>
      <c r="I150" s="8" t="s">
        <v>42</v>
      </c>
      <c r="J150" s="9">
        <v>45982.0</v>
      </c>
      <c r="K150" s="8" t="s">
        <v>1200</v>
      </c>
      <c r="L150" s="8" t="s">
        <v>1201</v>
      </c>
    </row>
    <row r="151" ht="15.75" hidden="1" customHeight="1">
      <c r="A151" s="8" t="s">
        <v>26</v>
      </c>
      <c r="B151" s="8" t="s">
        <v>1202</v>
      </c>
      <c r="C151" s="8" t="s">
        <v>1203</v>
      </c>
      <c r="D151" s="8" t="s">
        <v>278</v>
      </c>
      <c r="E151" s="8" t="s">
        <v>38</v>
      </c>
      <c r="F151" s="8"/>
      <c r="G151" s="8" t="s">
        <v>1204</v>
      </c>
      <c r="H151" s="10" t="s">
        <v>1205</v>
      </c>
      <c r="I151" s="8" t="s">
        <v>42</v>
      </c>
      <c r="J151" s="9">
        <v>45982.0</v>
      </c>
      <c r="K151" s="8" t="s">
        <v>1206</v>
      </c>
      <c r="L151" s="8" t="s">
        <v>1207</v>
      </c>
    </row>
    <row r="152" ht="15.75" hidden="1" customHeight="1">
      <c r="A152" s="8" t="s">
        <v>26</v>
      </c>
      <c r="B152" s="8" t="s">
        <v>1208</v>
      </c>
      <c r="C152" s="8" t="s">
        <v>1209</v>
      </c>
      <c r="D152" s="8" t="s">
        <v>798</v>
      </c>
      <c r="E152" s="8" t="s">
        <v>38</v>
      </c>
      <c r="F152" s="8"/>
      <c r="G152" s="8" t="s">
        <v>1210</v>
      </c>
      <c r="H152" s="10" t="s">
        <v>1211</v>
      </c>
      <c r="I152" s="8" t="s">
        <v>188</v>
      </c>
      <c r="J152" s="9">
        <v>45982.0</v>
      </c>
      <c r="K152" s="8" t="s">
        <v>1212</v>
      </c>
      <c r="L152" s="8" t="s">
        <v>1213</v>
      </c>
    </row>
    <row r="153" ht="15.75" hidden="1" customHeight="1">
      <c r="A153" s="8" t="s">
        <v>26</v>
      </c>
      <c r="B153" s="8" t="s">
        <v>1214</v>
      </c>
      <c r="C153" s="8" t="s">
        <v>1215</v>
      </c>
      <c r="D153" s="8" t="s">
        <v>468</v>
      </c>
      <c r="E153" s="8" t="s">
        <v>269</v>
      </c>
      <c r="F153" s="8" t="s">
        <v>1216</v>
      </c>
      <c r="G153" s="8" t="s">
        <v>1217</v>
      </c>
      <c r="H153" s="10" t="s">
        <v>1218</v>
      </c>
      <c r="I153" s="8" t="s">
        <v>472</v>
      </c>
      <c r="J153" s="9">
        <v>45982.0</v>
      </c>
      <c r="K153" s="8" t="s">
        <v>1219</v>
      </c>
      <c r="L153" s="8" t="s">
        <v>1220</v>
      </c>
    </row>
    <row r="154" ht="15.75" hidden="1" customHeight="1">
      <c r="A154" s="8" t="s">
        <v>26</v>
      </c>
      <c r="B154" s="8" t="s">
        <v>1221</v>
      </c>
      <c r="C154" s="8" t="s">
        <v>1222</v>
      </c>
      <c r="D154" s="8" t="s">
        <v>798</v>
      </c>
      <c r="E154" s="8" t="s">
        <v>38</v>
      </c>
      <c r="F154" s="8"/>
      <c r="G154" s="8" t="s">
        <v>1223</v>
      </c>
      <c r="H154" s="10" t="s">
        <v>1224</v>
      </c>
      <c r="I154" s="8" t="s">
        <v>188</v>
      </c>
      <c r="J154" s="9">
        <v>45982.0</v>
      </c>
      <c r="K154" s="8" t="s">
        <v>1225</v>
      </c>
      <c r="L154" s="8" t="s">
        <v>1226</v>
      </c>
    </row>
    <row r="155" ht="15.75" hidden="1" customHeight="1">
      <c r="A155" s="8" t="s">
        <v>26</v>
      </c>
      <c r="B155" s="8" t="s">
        <v>1227</v>
      </c>
      <c r="C155" s="8" t="s">
        <v>1228</v>
      </c>
      <c r="D155" s="8" t="s">
        <v>1229</v>
      </c>
      <c r="E155" s="8" t="s">
        <v>38</v>
      </c>
      <c r="F155" s="8" t="s">
        <v>1230</v>
      </c>
      <c r="G155" s="8" t="s">
        <v>1231</v>
      </c>
      <c r="H155" s="10" t="s">
        <v>1232</v>
      </c>
      <c r="I155" s="8" t="s">
        <v>1233</v>
      </c>
      <c r="J155" s="9">
        <v>45982.0</v>
      </c>
      <c r="K155" s="8" t="s">
        <v>1234</v>
      </c>
      <c r="L155" s="8" t="s">
        <v>1235</v>
      </c>
    </row>
    <row r="156" ht="15.75" hidden="1" customHeight="1">
      <c r="A156" s="8" t="s">
        <v>26</v>
      </c>
      <c r="B156" s="8" t="s">
        <v>1236</v>
      </c>
      <c r="C156" s="8" t="s">
        <v>1237</v>
      </c>
      <c r="D156" s="8" t="s">
        <v>1238</v>
      </c>
      <c r="E156" s="8" t="s">
        <v>30</v>
      </c>
      <c r="F156" s="8" t="s">
        <v>1239</v>
      </c>
      <c r="G156" s="8" t="s">
        <v>1240</v>
      </c>
      <c r="H156" s="10" t="s">
        <v>1241</v>
      </c>
      <c r="I156" s="8" t="s">
        <v>68</v>
      </c>
      <c r="J156" s="9">
        <v>45982.0</v>
      </c>
      <c r="K156" s="8" t="s">
        <v>1242</v>
      </c>
      <c r="L156" s="8" t="s">
        <v>1243</v>
      </c>
    </row>
    <row r="157" ht="15.75" hidden="1" customHeight="1">
      <c r="A157" s="8" t="s">
        <v>26</v>
      </c>
      <c r="B157" s="8" t="s">
        <v>1244</v>
      </c>
      <c r="C157" s="8" t="s">
        <v>1245</v>
      </c>
      <c r="D157" s="8" t="s">
        <v>278</v>
      </c>
      <c r="E157" s="8" t="s">
        <v>38</v>
      </c>
      <c r="F157" s="8" t="s">
        <v>1246</v>
      </c>
      <c r="G157" s="8" t="s">
        <v>1247</v>
      </c>
      <c r="H157" s="10" t="s">
        <v>1248</v>
      </c>
      <c r="I157" s="8" t="s">
        <v>42</v>
      </c>
      <c r="J157" s="9">
        <v>45982.0</v>
      </c>
      <c r="K157" s="8" t="s">
        <v>1249</v>
      </c>
      <c r="L157" s="8" t="s">
        <v>1250</v>
      </c>
    </row>
    <row r="158" ht="15.75" hidden="1" customHeight="1">
      <c r="A158" s="8" t="s">
        <v>26</v>
      </c>
      <c r="B158" s="8" t="s">
        <v>1251</v>
      </c>
      <c r="C158" s="8" t="s">
        <v>1252</v>
      </c>
      <c r="D158" s="8" t="s">
        <v>1253</v>
      </c>
      <c r="E158" s="8" t="s">
        <v>269</v>
      </c>
      <c r="F158" s="8" t="s">
        <v>1254</v>
      </c>
      <c r="G158" s="8" t="s">
        <v>1255</v>
      </c>
      <c r="H158" s="10" t="s">
        <v>1256</v>
      </c>
      <c r="I158" s="8" t="s">
        <v>1257</v>
      </c>
      <c r="J158" s="9">
        <v>45982.0</v>
      </c>
      <c r="K158" s="8" t="s">
        <v>1258</v>
      </c>
      <c r="L158" s="8" t="s">
        <v>1259</v>
      </c>
    </row>
    <row r="159" ht="15.75" hidden="1" customHeight="1">
      <c r="A159" s="8" t="s">
        <v>26</v>
      </c>
      <c r="B159" s="8" t="s">
        <v>1260</v>
      </c>
      <c r="C159" s="8" t="s">
        <v>1261</v>
      </c>
      <c r="D159" s="8" t="s">
        <v>1262</v>
      </c>
      <c r="E159" s="8" t="s">
        <v>30</v>
      </c>
      <c r="F159" s="8" t="s">
        <v>1263</v>
      </c>
      <c r="G159" s="8" t="s">
        <v>1264</v>
      </c>
      <c r="H159" s="10" t="s">
        <v>1265</v>
      </c>
      <c r="I159" s="8" t="s">
        <v>1266</v>
      </c>
      <c r="J159" s="9">
        <v>45982.0</v>
      </c>
      <c r="K159" s="8" t="s">
        <v>1267</v>
      </c>
      <c r="L159" s="8" t="s">
        <v>1268</v>
      </c>
    </row>
    <row r="160" ht="15.75" hidden="1" customHeight="1">
      <c r="A160" s="8" t="s">
        <v>26</v>
      </c>
      <c r="B160" s="8" t="s">
        <v>1269</v>
      </c>
      <c r="C160" s="8" t="s">
        <v>1270</v>
      </c>
      <c r="D160" s="8" t="s">
        <v>1271</v>
      </c>
      <c r="E160" s="8" t="s">
        <v>38</v>
      </c>
      <c r="F160" s="8" t="s">
        <v>1272</v>
      </c>
      <c r="G160" s="8" t="s">
        <v>1273</v>
      </c>
      <c r="H160" s="10" t="s">
        <v>1274</v>
      </c>
      <c r="I160" s="8" t="s">
        <v>68</v>
      </c>
      <c r="J160" s="9">
        <v>45982.0</v>
      </c>
      <c r="K160" s="8" t="s">
        <v>1275</v>
      </c>
      <c r="L160" s="8" t="s">
        <v>1276</v>
      </c>
    </row>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160">
    <filterColumn colId="4">
      <filters>
        <filter val="Editorial Material"/>
      </filters>
    </filterColumn>
  </autoFilter>
  <hyperlinks>
    <hyperlink r:id="rId1" ref="H3"/>
    <hyperlink r:id="rId2" ref="H4"/>
    <hyperlink r:id="rId3" ref="H5"/>
    <hyperlink r:id="rId4" ref="H6"/>
    <hyperlink r:id="rId5" ref="H7"/>
    <hyperlink r:id="rId6" ref="H8"/>
    <hyperlink r:id="rId7" ref="H9"/>
    <hyperlink r:id="rId8" ref="H10"/>
    <hyperlink r:id="rId9" ref="H11"/>
    <hyperlink r:id="rId10" ref="H12"/>
    <hyperlink r:id="rId11" ref="H13"/>
    <hyperlink r:id="rId12" ref="H14"/>
    <hyperlink r:id="rId13" ref="H15"/>
    <hyperlink r:id="rId14" ref="H16"/>
    <hyperlink r:id="rId15" ref="H17"/>
    <hyperlink r:id="rId16" ref="H18"/>
    <hyperlink r:id="rId17" ref="H19"/>
    <hyperlink r:id="rId18" ref="H20"/>
    <hyperlink r:id="rId19" ref="H21"/>
    <hyperlink r:id="rId20" ref="H22"/>
    <hyperlink r:id="rId21" ref="H23"/>
    <hyperlink r:id="rId22" ref="H24"/>
    <hyperlink r:id="rId23" ref="H25"/>
    <hyperlink r:id="rId24" ref="H26"/>
    <hyperlink r:id="rId25" ref="H27"/>
    <hyperlink r:id="rId26" ref="H28"/>
    <hyperlink r:id="rId27" ref="H29"/>
    <hyperlink r:id="rId28" ref="H30"/>
    <hyperlink r:id="rId29" ref="H31"/>
    <hyperlink r:id="rId30" ref="H32"/>
    <hyperlink r:id="rId31" ref="H33"/>
    <hyperlink r:id="rId32" ref="H34"/>
    <hyperlink r:id="rId33" ref="H35"/>
    <hyperlink r:id="rId34" ref="H36"/>
    <hyperlink r:id="rId35" ref="H37"/>
    <hyperlink r:id="rId36" ref="H38"/>
    <hyperlink r:id="rId37" ref="H39"/>
    <hyperlink r:id="rId38" ref="H40"/>
    <hyperlink r:id="rId39" ref="H41"/>
    <hyperlink r:id="rId40" ref="H42"/>
    <hyperlink r:id="rId41" ref="H43"/>
    <hyperlink r:id="rId42" ref="H44"/>
    <hyperlink r:id="rId43" ref="H45"/>
    <hyperlink r:id="rId44" ref="H46"/>
    <hyperlink r:id="rId45" ref="H47"/>
    <hyperlink r:id="rId46" ref="H48"/>
    <hyperlink r:id="rId47" ref="H49"/>
    <hyperlink r:id="rId48" ref="H50"/>
    <hyperlink r:id="rId49" ref="H51"/>
    <hyperlink r:id="rId50" ref="H52"/>
    <hyperlink r:id="rId51" ref="H53"/>
    <hyperlink r:id="rId52" ref="H54"/>
    <hyperlink r:id="rId53" ref="H55"/>
    <hyperlink r:id="rId54" ref="H56"/>
    <hyperlink r:id="rId55" ref="H57"/>
    <hyperlink r:id="rId56" ref="H58"/>
    <hyperlink r:id="rId57" ref="H59"/>
    <hyperlink r:id="rId58" ref="H60"/>
    <hyperlink r:id="rId59" ref="H61"/>
    <hyperlink r:id="rId60" ref="H62"/>
    <hyperlink r:id="rId61" ref="H63"/>
    <hyperlink r:id="rId62" ref="H64"/>
    <hyperlink r:id="rId63" ref="H65"/>
    <hyperlink r:id="rId64" ref="H66"/>
    <hyperlink r:id="rId65" ref="H67"/>
    <hyperlink r:id="rId66" ref="H68"/>
    <hyperlink r:id="rId67" ref="H69"/>
    <hyperlink r:id="rId68" ref="H70"/>
    <hyperlink r:id="rId69" ref="H71"/>
    <hyperlink r:id="rId70" ref="H72"/>
    <hyperlink r:id="rId71" ref="H73"/>
    <hyperlink r:id="rId72" ref="H74"/>
    <hyperlink r:id="rId73" ref="H75"/>
    <hyperlink r:id="rId74" ref="H76"/>
    <hyperlink r:id="rId75" ref="H77"/>
    <hyperlink r:id="rId76" ref="H78"/>
    <hyperlink r:id="rId77" ref="H79"/>
    <hyperlink r:id="rId78" ref="H80"/>
    <hyperlink r:id="rId79" ref="H81"/>
    <hyperlink r:id="rId80" ref="H82"/>
    <hyperlink r:id="rId81" ref="H83"/>
    <hyperlink r:id="rId82" ref="H84"/>
    <hyperlink r:id="rId83" ref="H85"/>
    <hyperlink r:id="rId84" ref="H86"/>
    <hyperlink r:id="rId85" ref="H87"/>
    <hyperlink r:id="rId86" ref="H88"/>
    <hyperlink r:id="rId87" ref="H89"/>
    <hyperlink r:id="rId88" ref="H90"/>
    <hyperlink r:id="rId89" ref="H91"/>
    <hyperlink r:id="rId90" ref="H92"/>
    <hyperlink r:id="rId91" ref="H93"/>
    <hyperlink r:id="rId92" ref="H94"/>
    <hyperlink r:id="rId93" ref="H95"/>
    <hyperlink r:id="rId94" ref="H96"/>
    <hyperlink r:id="rId95" ref="H97"/>
    <hyperlink r:id="rId96" ref="H98"/>
    <hyperlink r:id="rId97" ref="H99"/>
    <hyperlink r:id="rId98" ref="H100"/>
    <hyperlink r:id="rId99" ref="H101"/>
    <hyperlink r:id="rId100" ref="H102"/>
    <hyperlink r:id="rId101" ref="H103"/>
    <hyperlink r:id="rId102" ref="H104"/>
    <hyperlink r:id="rId103" ref="H105"/>
    <hyperlink r:id="rId104" ref="H106"/>
    <hyperlink r:id="rId105" ref="H107"/>
    <hyperlink r:id="rId106" ref="H108"/>
    <hyperlink r:id="rId107" ref="H109"/>
    <hyperlink r:id="rId108" ref="H110"/>
    <hyperlink r:id="rId109" ref="H111"/>
    <hyperlink r:id="rId110" ref="H112"/>
    <hyperlink r:id="rId111" ref="H113"/>
    <hyperlink r:id="rId112" ref="H114"/>
    <hyperlink r:id="rId113" ref="H115"/>
    <hyperlink r:id="rId114" ref="H116"/>
    <hyperlink r:id="rId115" ref="H117"/>
    <hyperlink r:id="rId116" ref="H118"/>
    <hyperlink r:id="rId117" ref="H119"/>
    <hyperlink r:id="rId118" ref="H120"/>
    <hyperlink r:id="rId119" ref="H121"/>
    <hyperlink r:id="rId120" ref="H122"/>
    <hyperlink r:id="rId121" ref="H123"/>
    <hyperlink r:id="rId122" ref="H124"/>
    <hyperlink r:id="rId123" ref="H125"/>
    <hyperlink r:id="rId124" ref="H126"/>
    <hyperlink r:id="rId125" ref="H127"/>
    <hyperlink r:id="rId126" ref="H128"/>
    <hyperlink r:id="rId127" ref="H129"/>
    <hyperlink r:id="rId128" ref="H130"/>
    <hyperlink r:id="rId129" ref="H131"/>
    <hyperlink r:id="rId130" ref="H132"/>
    <hyperlink r:id="rId131" ref="H133"/>
    <hyperlink r:id="rId132" ref="H134"/>
    <hyperlink r:id="rId133" ref="H135"/>
    <hyperlink r:id="rId134" ref="H136"/>
    <hyperlink r:id="rId135" ref="H137"/>
    <hyperlink r:id="rId136" ref="H138"/>
    <hyperlink r:id="rId137" ref="H139"/>
    <hyperlink r:id="rId138" ref="H140"/>
    <hyperlink r:id="rId139" ref="H141"/>
    <hyperlink r:id="rId140" ref="H142"/>
    <hyperlink r:id="rId141" ref="H143"/>
    <hyperlink r:id="rId142" ref="H144"/>
    <hyperlink r:id="rId143" ref="H145"/>
    <hyperlink r:id="rId144" ref="H146"/>
    <hyperlink r:id="rId145" ref="H147"/>
    <hyperlink r:id="rId146" ref="H148"/>
    <hyperlink r:id="rId147" ref="H149"/>
    <hyperlink r:id="rId148" ref="H150"/>
    <hyperlink r:id="rId149" ref="H151"/>
    <hyperlink r:id="rId150" ref="H152"/>
    <hyperlink r:id="rId151" ref="H153"/>
    <hyperlink r:id="rId152" ref="H154"/>
    <hyperlink r:id="rId153" ref="H155"/>
    <hyperlink r:id="rId154" ref="H156"/>
    <hyperlink r:id="rId155" ref="H157"/>
    <hyperlink r:id="rId156" ref="H158"/>
    <hyperlink r:id="rId157" ref="H159"/>
    <hyperlink r:id="rId158" ref="H160"/>
  </hyperlinks>
  <drawing r:id="rId15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2.0" ySplit="1.0" topLeftCell="M2" activePane="bottomRight" state="frozen"/>
      <selection activeCell="M1" sqref="M1" pane="topRight"/>
      <selection activeCell="A2" sqref="A2" pane="bottomLeft"/>
      <selection activeCell="M2" sqref="M2" pane="bottomRight"/>
    </sheetView>
  </sheetViews>
  <sheetFormatPr customHeight="1" defaultColWidth="12.63" defaultRowHeight="15.0"/>
  <cols>
    <col customWidth="1" min="1" max="9" width="7.5"/>
    <col customWidth="1" min="10" max="10" width="4.63"/>
    <col customWidth="1" min="11" max="11" width="10.88"/>
    <col customWidth="1" min="12" max="12" width="7.5"/>
    <col customWidth="1" min="13" max="13" width="14.75"/>
    <col customWidth="1" min="14" max="14" width="10.13"/>
    <col customWidth="1" min="15" max="15" width="18.75"/>
    <col customWidth="1" min="16" max="16" width="13.13"/>
    <col customWidth="1" min="17" max="17" width="15.88"/>
    <col customWidth="1" min="18" max="19" width="14.63"/>
    <col customWidth="1" min="20" max="20" width="14.75"/>
    <col customWidth="1" min="21" max="21" width="10.5"/>
    <col customWidth="1" min="22" max="22" width="13.88"/>
    <col customWidth="1" min="23" max="23" width="15.88"/>
    <col customWidth="1" min="24" max="24" width="24.38"/>
    <col customWidth="1" min="25" max="25" width="27.0"/>
    <col customWidth="1" min="26" max="26" width="22.63"/>
    <col customWidth="1" min="27" max="27" width="16.63"/>
    <col customWidth="1" min="28" max="28" width="29.38"/>
    <col customWidth="1" min="29" max="30" width="24.0"/>
    <col customWidth="1" min="31" max="36" width="18.75"/>
    <col customWidth="1" min="37" max="37" width="25.25"/>
    <col customWidth="1" min="38" max="40" width="29.38"/>
    <col customWidth="1" min="41" max="41" width="18.13"/>
    <col customWidth="1" min="42" max="42" width="13.63"/>
    <col customWidth="1" min="43" max="43" width="100.63"/>
  </cols>
  <sheetData>
    <row r="1" ht="15.75" customHeight="1">
      <c r="A1" s="11" t="s">
        <v>1277</v>
      </c>
      <c r="B1" s="12" t="s">
        <v>1278</v>
      </c>
      <c r="C1" s="11" t="s">
        <v>1279</v>
      </c>
      <c r="D1" s="12" t="s">
        <v>1280</v>
      </c>
      <c r="E1" s="12" t="s">
        <v>1281</v>
      </c>
      <c r="F1" s="11" t="s">
        <v>1282</v>
      </c>
      <c r="G1" s="11" t="s">
        <v>1283</v>
      </c>
      <c r="H1" s="11" t="s">
        <v>1284</v>
      </c>
      <c r="I1" s="11" t="s">
        <v>1285</v>
      </c>
      <c r="J1" s="12" t="s">
        <v>1286</v>
      </c>
      <c r="K1" s="12" t="s">
        <v>1287</v>
      </c>
      <c r="L1" s="13" t="s">
        <v>1288</v>
      </c>
      <c r="M1" s="14" t="s">
        <v>1289</v>
      </c>
      <c r="N1" s="12" t="s">
        <v>1290</v>
      </c>
      <c r="O1" s="12" t="s">
        <v>1291</v>
      </c>
      <c r="P1" s="12" t="s">
        <v>1292</v>
      </c>
      <c r="Q1" s="12" t="s">
        <v>1293</v>
      </c>
      <c r="R1" s="12" t="s">
        <v>1294</v>
      </c>
      <c r="S1" s="12" t="s">
        <v>1295</v>
      </c>
      <c r="T1" s="13" t="s">
        <v>1296</v>
      </c>
      <c r="U1" s="14" t="s">
        <v>1297</v>
      </c>
      <c r="V1" s="12" t="s">
        <v>1296</v>
      </c>
      <c r="W1" s="12" t="s">
        <v>1298</v>
      </c>
      <c r="X1" s="15" t="s">
        <v>1299</v>
      </c>
      <c r="Y1" s="15" t="s">
        <v>1300</v>
      </c>
      <c r="Z1" s="15" t="s">
        <v>1301</v>
      </c>
      <c r="AA1" s="12" t="s">
        <v>1302</v>
      </c>
      <c r="AB1" s="12" t="s">
        <v>1303</v>
      </c>
      <c r="AC1" s="12" t="s">
        <v>1304</v>
      </c>
      <c r="AD1" s="12" t="s">
        <v>1305</v>
      </c>
      <c r="AE1" s="12" t="s">
        <v>1306</v>
      </c>
      <c r="AF1" s="12" t="s">
        <v>1307</v>
      </c>
      <c r="AG1" s="12" t="s">
        <v>1308</v>
      </c>
      <c r="AH1" s="12" t="s">
        <v>1309</v>
      </c>
      <c r="AI1" s="12" t="s">
        <v>1310</v>
      </c>
      <c r="AJ1" s="12" t="s">
        <v>1311</v>
      </c>
      <c r="AK1" s="12" t="s">
        <v>1312</v>
      </c>
      <c r="AL1" s="12" t="s">
        <v>1313</v>
      </c>
      <c r="AM1" s="12" t="s">
        <v>1314</v>
      </c>
      <c r="AN1" s="12" t="s">
        <v>1315</v>
      </c>
      <c r="AO1" s="12" t="s">
        <v>1316</v>
      </c>
      <c r="AP1" s="12" t="s">
        <v>1317</v>
      </c>
      <c r="AQ1" s="13" t="s">
        <v>1318</v>
      </c>
    </row>
    <row r="2" ht="15.75" customHeight="1">
      <c r="A2" s="16" t="s">
        <v>1319</v>
      </c>
      <c r="B2" s="16" t="s">
        <v>1320</v>
      </c>
      <c r="C2" s="16">
        <v>2016.0</v>
      </c>
      <c r="D2" s="16" t="s">
        <v>1321</v>
      </c>
      <c r="E2" s="16" t="s">
        <v>1322</v>
      </c>
      <c r="F2" s="16" t="s">
        <v>1323</v>
      </c>
      <c r="G2" s="16" t="str">
        <f t="shared" ref="G2:G167" si="1">IF(H2="Yes","Yes",IF(I2="Yes","Yes","No"))</f>
        <v>No</v>
      </c>
      <c r="H2" s="16" t="s">
        <v>1324</v>
      </c>
      <c r="I2" s="16" t="s">
        <v>1324</v>
      </c>
      <c r="J2" s="16">
        <v>11.0</v>
      </c>
      <c r="K2" s="17" t="s">
        <v>1325</v>
      </c>
      <c r="L2" s="18" t="str">
        <f t="shared" ref="L2:L167" si="2">IF(F2&lt;&gt;"",HYPERLINK(CONCATENATE("http://dx.doi.org/",F2)),"")</f>
        <v>http://dx.doi.org/10.5897/IJBC2016.1027</v>
      </c>
      <c r="M2" s="19" t="s">
        <v>1326</v>
      </c>
      <c r="N2" s="17" t="s">
        <v>1327</v>
      </c>
      <c r="O2" s="17" t="s">
        <v>1328</v>
      </c>
      <c r="P2" s="17" t="s">
        <v>1328</v>
      </c>
      <c r="Q2" s="17" t="s">
        <v>1328</v>
      </c>
      <c r="R2" s="17" t="s">
        <v>1328</v>
      </c>
      <c r="S2" s="17" t="s">
        <v>1328</v>
      </c>
      <c r="T2" s="20" t="str">
        <f t="shared" ref="T2:T167" si="3">IF(S2="Yes",IF(O2&lt;&gt;"",IF(P2&lt;&gt;"",IF(Q2&lt;&gt;"",IF(R2&lt;&gt;"",IF(O2="Yes",IF(P2="Yes",IF(Q2="Yes",IF(R2="Yes","Yes","No"),"No"),"No"),"No"),"incomplete"),"incomplete"),"incomplete"),"incomplete"),"")</f>
        <v>Yes</v>
      </c>
      <c r="U2" s="19" t="str">
        <f t="shared" ref="U2:U167" si="4">N2</f>
        <v>PJ</v>
      </c>
      <c r="V2" s="17" t="str">
        <f t="shared" ref="V2:V167" si="5">T2</f>
        <v>Yes</v>
      </c>
      <c r="W2" s="17" t="s">
        <v>1329</v>
      </c>
      <c r="X2" s="17" t="s">
        <v>1330</v>
      </c>
      <c r="Y2" s="17" t="s">
        <v>1331</v>
      </c>
      <c r="Z2" s="17" t="s">
        <v>1332</v>
      </c>
      <c r="AA2" s="17" t="s">
        <v>1333</v>
      </c>
      <c r="AB2" s="17" t="s">
        <v>1334</v>
      </c>
      <c r="AC2" s="17" t="s">
        <v>1335</v>
      </c>
      <c r="AD2" s="17">
        <f t="shared" ref="AD2:AD167" si="6">COUNTIF(AE2:AJ2,"Yes")</f>
        <v>4</v>
      </c>
      <c r="AE2" s="17" t="s">
        <v>1336</v>
      </c>
      <c r="AF2" s="17" t="s">
        <v>1328</v>
      </c>
      <c r="AG2" s="17" t="s">
        <v>1328</v>
      </c>
      <c r="AH2" s="17" t="s">
        <v>1328</v>
      </c>
      <c r="AI2" s="17" t="s">
        <v>1328</v>
      </c>
      <c r="AJ2" s="17" t="s">
        <v>1336</v>
      </c>
      <c r="AK2" s="17" t="s">
        <v>1337</v>
      </c>
      <c r="AL2" s="17" t="s">
        <v>1338</v>
      </c>
      <c r="AM2" s="17" t="s">
        <v>1339</v>
      </c>
      <c r="AN2" s="17" t="s">
        <v>1331</v>
      </c>
      <c r="AO2" s="17" t="s">
        <v>1328</v>
      </c>
      <c r="AP2" s="17" t="str">
        <f t="shared" ref="AP2:AP167" si="7">IF(AO2="Yes",IF(V2="No","not suitable",IF(W2&lt;&gt;"",IF(X2&lt;&gt;"",IF(Y2&lt;&gt;"",IF(Z2&lt;&gt;"",IF(AA2&lt;&gt;"",IF(AB2&lt;&gt;"",IF(AC2&lt;&gt;"",IF(AD2&lt;&gt;"",IF(AE2&lt;&gt;"",IF(AF2&lt;&gt;"",IF(AG2&lt;&gt;"",IF(AH2&lt;&gt;"",IF(AI2&lt;&gt;"",IF(AJ2&lt;&gt;"",IF(AK2&lt;&gt;"",IF(AL2&lt;&gt;"",IF(AM2&lt;&gt;"",IF(AN2&lt;&gt;"",IF(AD2&gt;=2,IF(AL2="none","low",IF(AM2="ordinal scale",IF(AA2="local",IF(W2="empirical data",IF(Z2="none","low","intermediate"),"intermediate"),IF(C2&lt;2005, IF(W2="empirical data",IF(Z2="none","low","intermediate"),"intermediate"),IF(X2="none",IF(Y2="none","low",IF(Y2="unclear","low",IF(W2="empirical data",IF(Z2="none","low","intermediate"),"intermediate"))),IF(X2="unclear",IF(Y2="none","low",IF(Y2="unclear","low",IF(W2="empirical data",IF(Z2="none","low","intermediate"),"intermediate"))),IF(W2="empirical data",IF(Z2="none","low","high"),"high"))))),IF(AM2="ratio scale",IF(AA2="local",IF(W2="empirical data",IF(Z2="none","low","intermediate"),"intermediate"),IF(C2&lt;2005, IF(W2="empirical data",IF(Z2="none","low","intermediate"),"intermediate"),IF(X2="none",IF(Y2="none","low",IF(Y2="unclear","low",IF(W2="empirical data",IF(Z2="none","low","intermediate"),"intermediate"))),IF(X2="unclear",IF(Y2="none","low",IF(Y2="unclear","low","intermediate")), IF(W2="empirical data",IF(Z2="none","low","high"),"high"))))),"low"))),"low"),"incomplete"),"incomplete"),"incomplete"),"incomplete"),"incomplete"),"incomplete"),"incomplete"),"incomplete"),"incomplete"),"incomplete"),"incomplete"),"incomplete"),"incomplete"),"incomplete"),"incomplete"),"incomplete"),"incomplete"),"incomplete")),"")</f>
        <v>intermediate</v>
      </c>
      <c r="AQ2" s="20"/>
    </row>
    <row r="3" ht="15.75" customHeight="1">
      <c r="A3" s="16" t="s">
        <v>1340</v>
      </c>
      <c r="B3" s="16" t="s">
        <v>1341</v>
      </c>
      <c r="C3" s="16">
        <v>2018.0</v>
      </c>
      <c r="D3" s="16" t="s">
        <v>1342</v>
      </c>
      <c r="E3" s="16" t="s">
        <v>1343</v>
      </c>
      <c r="F3" s="16" t="s">
        <v>1344</v>
      </c>
      <c r="G3" s="16" t="str">
        <f t="shared" si="1"/>
        <v>No</v>
      </c>
      <c r="H3" s="16" t="s">
        <v>1324</v>
      </c>
      <c r="I3" s="16" t="s">
        <v>1324</v>
      </c>
      <c r="J3" s="16">
        <v>85.0</v>
      </c>
      <c r="K3" s="17" t="s">
        <v>1345</v>
      </c>
      <c r="L3" s="18" t="str">
        <f t="shared" si="2"/>
        <v>http://dx.doi.org/10.5343/bms.2017.1061</v>
      </c>
      <c r="M3" s="19" t="s">
        <v>1346</v>
      </c>
      <c r="N3" s="17" t="s">
        <v>1327</v>
      </c>
      <c r="O3" s="17" t="s">
        <v>1328</v>
      </c>
      <c r="P3" s="17" t="s">
        <v>1328</v>
      </c>
      <c r="Q3" s="17" t="s">
        <v>1328</v>
      </c>
      <c r="R3" s="17" t="s">
        <v>1328</v>
      </c>
      <c r="S3" s="17" t="s">
        <v>1328</v>
      </c>
      <c r="T3" s="20" t="str">
        <f t="shared" si="3"/>
        <v>Yes</v>
      </c>
      <c r="U3" s="19" t="str">
        <f t="shared" si="4"/>
        <v>PJ</v>
      </c>
      <c r="V3" s="17" t="str">
        <f t="shared" si="5"/>
        <v>Yes</v>
      </c>
      <c r="W3" s="17" t="s">
        <v>1329</v>
      </c>
      <c r="X3" s="17" t="s">
        <v>1330</v>
      </c>
      <c r="Y3" s="17" t="s">
        <v>1331</v>
      </c>
      <c r="Z3" s="17" t="s">
        <v>1347</v>
      </c>
      <c r="AA3" s="17" t="s">
        <v>1333</v>
      </c>
      <c r="AB3" s="17" t="s">
        <v>1348</v>
      </c>
      <c r="AC3" s="17" t="s">
        <v>1349</v>
      </c>
      <c r="AD3" s="17">
        <f t="shared" si="6"/>
        <v>3</v>
      </c>
      <c r="AE3" s="17" t="s">
        <v>1328</v>
      </c>
      <c r="AF3" s="17" t="s">
        <v>1336</v>
      </c>
      <c r="AG3" s="17" t="s">
        <v>1328</v>
      </c>
      <c r="AH3" s="17" t="s">
        <v>1336</v>
      </c>
      <c r="AI3" s="17" t="s">
        <v>1328</v>
      </c>
      <c r="AJ3" s="17" t="s">
        <v>1336</v>
      </c>
      <c r="AK3" s="17" t="s">
        <v>1350</v>
      </c>
      <c r="AL3" s="17" t="s">
        <v>1351</v>
      </c>
      <c r="AM3" s="17" t="s">
        <v>1339</v>
      </c>
      <c r="AN3" s="17" t="s">
        <v>1331</v>
      </c>
      <c r="AO3" s="17" t="s">
        <v>1328</v>
      </c>
      <c r="AP3" s="17" t="str">
        <f t="shared" si="7"/>
        <v>intermediate</v>
      </c>
      <c r="AQ3" s="20"/>
    </row>
    <row r="4" ht="15.75" customHeight="1">
      <c r="A4" s="16" t="s">
        <v>1352</v>
      </c>
      <c r="B4" s="16" t="s">
        <v>1353</v>
      </c>
      <c r="C4" s="16">
        <v>2017.0</v>
      </c>
      <c r="D4" s="16" t="s">
        <v>1354</v>
      </c>
      <c r="E4" s="16" t="s">
        <v>1355</v>
      </c>
      <c r="F4" s="16" t="s">
        <v>1356</v>
      </c>
      <c r="G4" s="16" t="str">
        <f t="shared" si="1"/>
        <v>No</v>
      </c>
      <c r="H4" s="16" t="s">
        <v>1324</v>
      </c>
      <c r="I4" s="16" t="s">
        <v>1324</v>
      </c>
      <c r="J4" s="16">
        <v>5.0</v>
      </c>
      <c r="K4" s="17" t="s">
        <v>1357</v>
      </c>
      <c r="L4" s="18" t="str">
        <f t="shared" si="2"/>
        <v>http://dx.doi.org/10.5194/bg-14-2387-2017</v>
      </c>
      <c r="M4" s="19" t="s">
        <v>1358</v>
      </c>
      <c r="N4" s="17" t="s">
        <v>1359</v>
      </c>
      <c r="O4" s="17" t="s">
        <v>1328</v>
      </c>
      <c r="P4" s="17" t="s">
        <v>1328</v>
      </c>
      <c r="Q4" s="17" t="s">
        <v>1328</v>
      </c>
      <c r="R4" s="17" t="s">
        <v>1328</v>
      </c>
      <c r="S4" s="17" t="s">
        <v>1328</v>
      </c>
      <c r="T4" s="20" t="str">
        <f t="shared" si="3"/>
        <v>Yes</v>
      </c>
      <c r="U4" s="19" t="str">
        <f t="shared" si="4"/>
        <v>YT</v>
      </c>
      <c r="V4" s="17" t="str">
        <f t="shared" si="5"/>
        <v>Yes</v>
      </c>
      <c r="W4" s="17" t="s">
        <v>1329</v>
      </c>
      <c r="X4" s="17" t="s">
        <v>1330</v>
      </c>
      <c r="Y4" s="17" t="s">
        <v>1331</v>
      </c>
      <c r="Z4" s="17" t="s">
        <v>1347</v>
      </c>
      <c r="AA4" s="17" t="s">
        <v>1360</v>
      </c>
      <c r="AB4" s="17" t="s">
        <v>1361</v>
      </c>
      <c r="AC4" s="17" t="s">
        <v>1362</v>
      </c>
      <c r="AD4" s="17">
        <f t="shared" si="6"/>
        <v>3</v>
      </c>
      <c r="AE4" s="17" t="s">
        <v>1336</v>
      </c>
      <c r="AF4" s="17" t="s">
        <v>1328</v>
      </c>
      <c r="AG4" s="17" t="s">
        <v>1328</v>
      </c>
      <c r="AH4" s="17" t="s">
        <v>1336</v>
      </c>
      <c r="AI4" s="17" t="s">
        <v>1336</v>
      </c>
      <c r="AJ4" s="17" t="s">
        <v>1328</v>
      </c>
      <c r="AK4" s="17" t="s">
        <v>1350</v>
      </c>
      <c r="AL4" s="17" t="s">
        <v>1351</v>
      </c>
      <c r="AM4" s="17" t="s">
        <v>1363</v>
      </c>
      <c r="AN4" s="17" t="s">
        <v>1331</v>
      </c>
      <c r="AO4" s="17" t="s">
        <v>1328</v>
      </c>
      <c r="AP4" s="17" t="str">
        <f t="shared" si="7"/>
        <v>high</v>
      </c>
      <c r="AQ4" s="20"/>
    </row>
    <row r="5" ht="15.75" customHeight="1">
      <c r="A5" s="16" t="s">
        <v>1364</v>
      </c>
      <c r="B5" s="16" t="s">
        <v>1365</v>
      </c>
      <c r="C5" s="16">
        <v>2013.0</v>
      </c>
      <c r="D5" s="16" t="s">
        <v>1366</v>
      </c>
      <c r="E5" s="16" t="s">
        <v>1367</v>
      </c>
      <c r="F5" s="16" t="s">
        <v>1368</v>
      </c>
      <c r="G5" s="16" t="str">
        <f t="shared" si="1"/>
        <v>No</v>
      </c>
      <c r="H5" s="16" t="s">
        <v>1324</v>
      </c>
      <c r="I5" s="16" t="s">
        <v>1324</v>
      </c>
      <c r="J5" s="16">
        <v>28.0</v>
      </c>
      <c r="K5" s="17" t="s">
        <v>1369</v>
      </c>
      <c r="L5" s="18" t="str">
        <f t="shared" si="2"/>
        <v>http://dx.doi.org/10.4236/jep.2013.412168</v>
      </c>
      <c r="M5" s="19" t="s">
        <v>1370</v>
      </c>
      <c r="N5" s="17" t="s">
        <v>1371</v>
      </c>
      <c r="O5" s="17" t="s">
        <v>1328</v>
      </c>
      <c r="P5" s="17" t="s">
        <v>1328</v>
      </c>
      <c r="Q5" s="17" t="s">
        <v>1328</v>
      </c>
      <c r="R5" s="17" t="s">
        <v>1328</v>
      </c>
      <c r="S5" s="17" t="s">
        <v>1328</v>
      </c>
      <c r="T5" s="20" t="str">
        <f t="shared" si="3"/>
        <v>Yes</v>
      </c>
      <c r="U5" s="19" t="str">
        <f t="shared" si="4"/>
        <v>LC</v>
      </c>
      <c r="V5" s="17" t="str">
        <f t="shared" si="5"/>
        <v>Yes</v>
      </c>
      <c r="W5" s="17" t="s">
        <v>1329</v>
      </c>
      <c r="X5" s="17" t="s">
        <v>1372</v>
      </c>
      <c r="Y5" s="17" t="s">
        <v>1331</v>
      </c>
      <c r="Z5" s="17" t="s">
        <v>1332</v>
      </c>
      <c r="AA5" s="17" t="s">
        <v>1333</v>
      </c>
      <c r="AB5" s="17" t="s">
        <v>1334</v>
      </c>
      <c r="AC5" s="17" t="s">
        <v>1373</v>
      </c>
      <c r="AD5" s="17">
        <f t="shared" si="6"/>
        <v>2</v>
      </c>
      <c r="AE5" s="17" t="s">
        <v>1336</v>
      </c>
      <c r="AF5" s="17" t="s">
        <v>1328</v>
      </c>
      <c r="AG5" s="17" t="s">
        <v>1328</v>
      </c>
      <c r="AH5" s="17" t="s">
        <v>1336</v>
      </c>
      <c r="AI5" s="17" t="s">
        <v>1336</v>
      </c>
      <c r="AJ5" s="17" t="s">
        <v>1336</v>
      </c>
      <c r="AK5" s="17" t="s">
        <v>1350</v>
      </c>
      <c r="AL5" s="17" t="s">
        <v>1338</v>
      </c>
      <c r="AM5" s="17" t="s">
        <v>1339</v>
      </c>
      <c r="AN5" s="17" t="s">
        <v>1374</v>
      </c>
      <c r="AO5" s="17" t="s">
        <v>1328</v>
      </c>
      <c r="AP5" s="17" t="str">
        <f t="shared" si="7"/>
        <v>intermediate</v>
      </c>
      <c r="AQ5" s="20"/>
    </row>
    <row r="6" ht="15.75" customHeight="1">
      <c r="A6" s="16" t="s">
        <v>1375</v>
      </c>
      <c r="B6" s="16" t="s">
        <v>1376</v>
      </c>
      <c r="C6" s="16">
        <v>2017.0</v>
      </c>
      <c r="D6" s="16" t="s">
        <v>1377</v>
      </c>
      <c r="E6" s="16" t="s">
        <v>1378</v>
      </c>
      <c r="F6" s="16" t="s">
        <v>1379</v>
      </c>
      <c r="G6" s="16" t="str">
        <f t="shared" si="1"/>
        <v>No</v>
      </c>
      <c r="H6" s="16" t="s">
        <v>1324</v>
      </c>
      <c r="I6" s="16" t="s">
        <v>1324</v>
      </c>
      <c r="J6" s="16">
        <v>12.0</v>
      </c>
      <c r="K6" s="17" t="s">
        <v>1380</v>
      </c>
      <c r="L6" s="18" t="str">
        <f t="shared" si="2"/>
        <v>http://dx.doi.org/10.3390/rs9060525</v>
      </c>
      <c r="M6" s="19" t="s">
        <v>1358</v>
      </c>
      <c r="N6" s="17" t="s">
        <v>1327</v>
      </c>
      <c r="O6" s="17" t="s">
        <v>1328</v>
      </c>
      <c r="P6" s="17" t="s">
        <v>1328</v>
      </c>
      <c r="Q6" s="17" t="s">
        <v>1328</v>
      </c>
      <c r="R6" s="17" t="s">
        <v>1328</v>
      </c>
      <c r="S6" s="17" t="s">
        <v>1328</v>
      </c>
      <c r="T6" s="20" t="str">
        <f t="shared" si="3"/>
        <v>Yes</v>
      </c>
      <c r="U6" s="19" t="str">
        <f t="shared" si="4"/>
        <v>PJ</v>
      </c>
      <c r="V6" s="17" t="str">
        <f t="shared" si="5"/>
        <v>Yes</v>
      </c>
      <c r="W6" s="17" t="s">
        <v>1329</v>
      </c>
      <c r="X6" s="17" t="s">
        <v>1330</v>
      </c>
      <c r="Y6" s="17" t="s">
        <v>1331</v>
      </c>
      <c r="Z6" s="17" t="s">
        <v>1347</v>
      </c>
      <c r="AA6" s="17" t="s">
        <v>1333</v>
      </c>
      <c r="AB6" s="17" t="s">
        <v>1381</v>
      </c>
      <c r="AC6" s="17" t="s">
        <v>1362</v>
      </c>
      <c r="AD6" s="17">
        <f t="shared" si="6"/>
        <v>2</v>
      </c>
      <c r="AE6" s="17" t="s">
        <v>1328</v>
      </c>
      <c r="AF6" s="17" t="s">
        <v>1328</v>
      </c>
      <c r="AG6" s="17" t="s">
        <v>1336</v>
      </c>
      <c r="AH6" s="17" t="s">
        <v>1336</v>
      </c>
      <c r="AI6" s="17" t="s">
        <v>1336</v>
      </c>
      <c r="AJ6" s="17" t="s">
        <v>1336</v>
      </c>
      <c r="AK6" s="17" t="s">
        <v>1350</v>
      </c>
      <c r="AL6" s="17" t="s">
        <v>1351</v>
      </c>
      <c r="AM6" s="17" t="s">
        <v>1363</v>
      </c>
      <c r="AN6" s="17" t="s">
        <v>1331</v>
      </c>
      <c r="AO6" s="17" t="s">
        <v>1328</v>
      </c>
      <c r="AP6" s="17" t="str">
        <f t="shared" si="7"/>
        <v>intermediate</v>
      </c>
      <c r="AQ6" s="20"/>
    </row>
    <row r="7" ht="15.75" customHeight="1">
      <c r="A7" s="16" t="s">
        <v>1382</v>
      </c>
      <c r="B7" s="16" t="s">
        <v>1376</v>
      </c>
      <c r="C7" s="16">
        <v>2013.0</v>
      </c>
      <c r="D7" s="16" t="s">
        <v>1383</v>
      </c>
      <c r="E7" s="16" t="s">
        <v>1384</v>
      </c>
      <c r="F7" s="16" t="s">
        <v>1385</v>
      </c>
      <c r="G7" s="16" t="str">
        <f t="shared" si="1"/>
        <v>No</v>
      </c>
      <c r="H7" s="16" t="s">
        <v>1324</v>
      </c>
      <c r="I7" s="16" t="s">
        <v>1324</v>
      </c>
      <c r="J7" s="16">
        <v>37.0</v>
      </c>
      <c r="K7" s="17" t="s">
        <v>1386</v>
      </c>
      <c r="L7" s="18" t="str">
        <f t="shared" si="2"/>
        <v>http://dx.doi.org/10.3390/rs5084125</v>
      </c>
      <c r="M7" s="19" t="s">
        <v>1358</v>
      </c>
      <c r="N7" s="17" t="s">
        <v>1387</v>
      </c>
      <c r="O7" s="17" t="s">
        <v>1328</v>
      </c>
      <c r="P7" s="17" t="s">
        <v>1328</v>
      </c>
      <c r="Q7" s="17" t="s">
        <v>1328</v>
      </c>
      <c r="R7" s="17" t="s">
        <v>1328</v>
      </c>
      <c r="S7" s="17" t="s">
        <v>1328</v>
      </c>
      <c r="T7" s="20" t="str">
        <f t="shared" si="3"/>
        <v>Yes</v>
      </c>
      <c r="U7" s="19" t="str">
        <f t="shared" si="4"/>
        <v>MW</v>
      </c>
      <c r="V7" s="17" t="str">
        <f t="shared" si="5"/>
        <v>Yes</v>
      </c>
      <c r="W7" s="17" t="s">
        <v>1329</v>
      </c>
      <c r="X7" s="17" t="s">
        <v>1330</v>
      </c>
      <c r="Y7" s="17" t="s">
        <v>1331</v>
      </c>
      <c r="Z7" s="17" t="s">
        <v>1347</v>
      </c>
      <c r="AA7" s="17" t="s">
        <v>1333</v>
      </c>
      <c r="AB7" s="17" t="s">
        <v>1381</v>
      </c>
      <c r="AC7" s="17" t="s">
        <v>1362</v>
      </c>
      <c r="AD7" s="17">
        <f t="shared" si="6"/>
        <v>2</v>
      </c>
      <c r="AE7" s="17" t="s">
        <v>1328</v>
      </c>
      <c r="AF7" s="17" t="s">
        <v>1328</v>
      </c>
      <c r="AG7" s="17" t="s">
        <v>1336</v>
      </c>
      <c r="AH7" s="17" t="s">
        <v>1336</v>
      </c>
      <c r="AI7" s="17" t="s">
        <v>1336</v>
      </c>
      <c r="AJ7" s="17" t="s">
        <v>1336</v>
      </c>
      <c r="AK7" s="17" t="s">
        <v>1350</v>
      </c>
      <c r="AL7" s="17" t="s">
        <v>1351</v>
      </c>
      <c r="AM7" s="17" t="s">
        <v>1339</v>
      </c>
      <c r="AN7" s="17" t="s">
        <v>1388</v>
      </c>
      <c r="AO7" s="17" t="s">
        <v>1328</v>
      </c>
      <c r="AP7" s="17" t="str">
        <f t="shared" si="7"/>
        <v>intermediate</v>
      </c>
      <c r="AQ7" s="20"/>
    </row>
    <row r="8" ht="15.75" customHeight="1">
      <c r="A8" s="16" t="s">
        <v>1389</v>
      </c>
      <c r="B8" s="16" t="s">
        <v>1390</v>
      </c>
      <c r="C8" s="16">
        <v>2016.0</v>
      </c>
      <c r="D8" s="16" t="s">
        <v>1391</v>
      </c>
      <c r="E8" s="16" t="s">
        <v>1392</v>
      </c>
      <c r="F8" s="16" t="s">
        <v>1393</v>
      </c>
      <c r="G8" s="16" t="str">
        <f t="shared" si="1"/>
        <v>No</v>
      </c>
      <c r="H8" s="16" t="s">
        <v>1324</v>
      </c>
      <c r="I8" s="16" t="s">
        <v>1324</v>
      </c>
      <c r="J8" s="16">
        <v>76.0</v>
      </c>
      <c r="K8" s="17" t="s">
        <v>1394</v>
      </c>
      <c r="L8" s="18" t="str">
        <f t="shared" si="2"/>
        <v>http://dx.doi.org/10.3390/f7120305</v>
      </c>
      <c r="M8" s="19" t="s">
        <v>1370</v>
      </c>
      <c r="N8" s="17" t="s">
        <v>1327</v>
      </c>
      <c r="O8" s="17" t="s">
        <v>1328</v>
      </c>
      <c r="P8" s="17" t="s">
        <v>1328</v>
      </c>
      <c r="Q8" s="17" t="s">
        <v>1328</v>
      </c>
      <c r="R8" s="17" t="s">
        <v>1328</v>
      </c>
      <c r="S8" s="17" t="s">
        <v>1328</v>
      </c>
      <c r="T8" s="20" t="str">
        <f t="shared" si="3"/>
        <v>Yes</v>
      </c>
      <c r="U8" s="19" t="str">
        <f t="shared" si="4"/>
        <v>PJ</v>
      </c>
      <c r="V8" s="17" t="str">
        <f t="shared" si="5"/>
        <v>Yes</v>
      </c>
      <c r="W8" s="17" t="s">
        <v>1329</v>
      </c>
      <c r="X8" s="17" t="s">
        <v>1330</v>
      </c>
      <c r="Y8" s="17" t="s">
        <v>1331</v>
      </c>
      <c r="Z8" s="17" t="s">
        <v>1347</v>
      </c>
      <c r="AA8" s="17" t="s">
        <v>1333</v>
      </c>
      <c r="AB8" s="17" t="s">
        <v>1381</v>
      </c>
      <c r="AC8" s="17" t="s">
        <v>1335</v>
      </c>
      <c r="AD8" s="17">
        <f t="shared" si="6"/>
        <v>4</v>
      </c>
      <c r="AE8" s="17" t="s">
        <v>1328</v>
      </c>
      <c r="AF8" s="17" t="s">
        <v>1328</v>
      </c>
      <c r="AG8" s="17" t="s">
        <v>1328</v>
      </c>
      <c r="AH8" s="17" t="s">
        <v>1336</v>
      </c>
      <c r="AI8" s="17" t="s">
        <v>1328</v>
      </c>
      <c r="AJ8" s="17" t="s">
        <v>1336</v>
      </c>
      <c r="AK8" s="17" t="s">
        <v>1395</v>
      </c>
      <c r="AL8" s="17" t="s">
        <v>1338</v>
      </c>
      <c r="AM8" s="17" t="s">
        <v>1339</v>
      </c>
      <c r="AN8" s="17" t="s">
        <v>1331</v>
      </c>
      <c r="AO8" s="17" t="s">
        <v>1328</v>
      </c>
      <c r="AP8" s="17" t="str">
        <f t="shared" si="7"/>
        <v>intermediate</v>
      </c>
      <c r="AQ8" s="20"/>
    </row>
    <row r="9" ht="15.75" customHeight="1">
      <c r="A9" s="16" t="s">
        <v>1396</v>
      </c>
      <c r="B9" s="16" t="s">
        <v>1397</v>
      </c>
      <c r="C9" s="16">
        <v>2018.0</v>
      </c>
      <c r="D9" s="16" t="s">
        <v>1398</v>
      </c>
      <c r="E9" s="16" t="s">
        <v>1399</v>
      </c>
      <c r="F9" s="16" t="s">
        <v>1400</v>
      </c>
      <c r="G9" s="16" t="str">
        <f t="shared" si="1"/>
        <v>No</v>
      </c>
      <c r="H9" s="16" t="s">
        <v>1324</v>
      </c>
      <c r="I9" s="16" t="s">
        <v>1324</v>
      </c>
      <c r="J9" s="16">
        <v>132.0</v>
      </c>
      <c r="K9" s="17" t="s">
        <v>1401</v>
      </c>
      <c r="L9" s="18" t="str">
        <f t="shared" si="2"/>
        <v>http://dx.doi.org/10.3354/meps12462</v>
      </c>
      <c r="M9" s="19" t="s">
        <v>1402</v>
      </c>
      <c r="N9" s="17" t="s">
        <v>1403</v>
      </c>
      <c r="O9" s="17" t="s">
        <v>1328</v>
      </c>
      <c r="P9" s="17" t="s">
        <v>1328</v>
      </c>
      <c r="Q9" s="17" t="s">
        <v>1328</v>
      </c>
      <c r="R9" s="17" t="s">
        <v>1328</v>
      </c>
      <c r="S9" s="17" t="s">
        <v>1328</v>
      </c>
      <c r="T9" s="20" t="str">
        <f t="shared" si="3"/>
        <v>Yes</v>
      </c>
      <c r="U9" s="19" t="str">
        <f t="shared" si="4"/>
        <v>DB</v>
      </c>
      <c r="V9" s="17" t="str">
        <f t="shared" si="5"/>
        <v>Yes</v>
      </c>
      <c r="W9" s="17" t="s">
        <v>1329</v>
      </c>
      <c r="X9" s="17" t="s">
        <v>1330</v>
      </c>
      <c r="Y9" s="17" t="s">
        <v>1331</v>
      </c>
      <c r="Z9" s="17" t="s">
        <v>1347</v>
      </c>
      <c r="AA9" s="17" t="s">
        <v>1360</v>
      </c>
      <c r="AB9" s="17" t="s">
        <v>1348</v>
      </c>
      <c r="AC9" s="17" t="s">
        <v>1349</v>
      </c>
      <c r="AD9" s="17">
        <f t="shared" si="6"/>
        <v>2</v>
      </c>
      <c r="AE9" s="17" t="s">
        <v>1328</v>
      </c>
      <c r="AF9" s="17" t="s">
        <v>1336</v>
      </c>
      <c r="AG9" s="17" t="s">
        <v>1328</v>
      </c>
      <c r="AH9" s="17" t="s">
        <v>1336</v>
      </c>
      <c r="AI9" s="17" t="s">
        <v>1336</v>
      </c>
      <c r="AJ9" s="17" t="s">
        <v>1336</v>
      </c>
      <c r="AK9" s="17" t="s">
        <v>1404</v>
      </c>
      <c r="AL9" s="17" t="s">
        <v>1351</v>
      </c>
      <c r="AM9" s="17" t="s">
        <v>1363</v>
      </c>
      <c r="AN9" s="17" t="s">
        <v>1388</v>
      </c>
      <c r="AO9" s="17" t="s">
        <v>1328</v>
      </c>
      <c r="AP9" s="17" t="str">
        <f t="shared" si="7"/>
        <v>high</v>
      </c>
      <c r="AQ9" s="20"/>
    </row>
    <row r="10" ht="15.75" customHeight="1">
      <c r="A10" s="16" t="s">
        <v>1405</v>
      </c>
      <c r="B10" s="16" t="s">
        <v>1397</v>
      </c>
      <c r="C10" s="16">
        <v>2017.0</v>
      </c>
      <c r="D10" s="16" t="s">
        <v>1406</v>
      </c>
      <c r="E10" s="16" t="s">
        <v>1407</v>
      </c>
      <c r="F10" s="16" t="s">
        <v>1408</v>
      </c>
      <c r="G10" s="16" t="str">
        <f t="shared" si="1"/>
        <v>No</v>
      </c>
      <c r="H10" s="16" t="s">
        <v>1324</v>
      </c>
      <c r="I10" s="16" t="s">
        <v>1324</v>
      </c>
      <c r="J10" s="16">
        <v>19.0</v>
      </c>
      <c r="K10" s="17" t="s">
        <v>1409</v>
      </c>
      <c r="L10" s="18" t="str">
        <f t="shared" si="2"/>
        <v>http://dx.doi.org/10.3354/meps12221</v>
      </c>
      <c r="M10" s="19" t="s">
        <v>1410</v>
      </c>
      <c r="N10" s="17" t="s">
        <v>1387</v>
      </c>
      <c r="O10" s="17" t="s">
        <v>1328</v>
      </c>
      <c r="P10" s="17" t="s">
        <v>1328</v>
      </c>
      <c r="Q10" s="17" t="s">
        <v>1328</v>
      </c>
      <c r="R10" s="17" t="s">
        <v>1328</v>
      </c>
      <c r="S10" s="17" t="s">
        <v>1328</v>
      </c>
      <c r="T10" s="20" t="str">
        <f t="shared" si="3"/>
        <v>Yes</v>
      </c>
      <c r="U10" s="19" t="str">
        <f t="shared" si="4"/>
        <v>MW</v>
      </c>
      <c r="V10" s="17" t="str">
        <f t="shared" si="5"/>
        <v>Yes</v>
      </c>
      <c r="W10" s="17" t="s">
        <v>1329</v>
      </c>
      <c r="X10" s="17" t="s">
        <v>1330</v>
      </c>
      <c r="Y10" s="17" t="s">
        <v>1331</v>
      </c>
      <c r="Z10" s="17" t="s">
        <v>1332</v>
      </c>
      <c r="AA10" s="17" t="s">
        <v>1333</v>
      </c>
      <c r="AB10" s="17" t="s">
        <v>1381</v>
      </c>
      <c r="AC10" s="17" t="s">
        <v>1349</v>
      </c>
      <c r="AD10" s="17">
        <f t="shared" si="6"/>
        <v>4</v>
      </c>
      <c r="AE10" s="17" t="s">
        <v>1328</v>
      </c>
      <c r="AF10" s="17" t="s">
        <v>1328</v>
      </c>
      <c r="AG10" s="17" t="s">
        <v>1328</v>
      </c>
      <c r="AH10" s="17" t="s">
        <v>1336</v>
      </c>
      <c r="AI10" s="17" t="s">
        <v>1328</v>
      </c>
      <c r="AJ10" s="17" t="s">
        <v>1336</v>
      </c>
      <c r="AK10" s="17" t="s">
        <v>1350</v>
      </c>
      <c r="AL10" s="17" t="s">
        <v>1351</v>
      </c>
      <c r="AM10" s="17" t="s">
        <v>1363</v>
      </c>
      <c r="AN10" s="17" t="s">
        <v>1388</v>
      </c>
      <c r="AO10" s="17" t="s">
        <v>1328</v>
      </c>
      <c r="AP10" s="17" t="str">
        <f t="shared" si="7"/>
        <v>intermediate</v>
      </c>
      <c r="AQ10" s="20"/>
    </row>
    <row r="11" ht="15.75" customHeight="1">
      <c r="A11" s="16" t="s">
        <v>1411</v>
      </c>
      <c r="B11" s="16" t="s">
        <v>1397</v>
      </c>
      <c r="C11" s="16">
        <v>2010.0</v>
      </c>
      <c r="D11" s="16" t="s">
        <v>1412</v>
      </c>
      <c r="E11" s="16" t="s">
        <v>1413</v>
      </c>
      <c r="F11" s="16" t="s">
        <v>1414</v>
      </c>
      <c r="G11" s="16" t="str">
        <f t="shared" si="1"/>
        <v>No</v>
      </c>
      <c r="H11" s="16" t="s">
        <v>1324</v>
      </c>
      <c r="I11" s="16" t="s">
        <v>1324</v>
      </c>
      <c r="J11" s="16">
        <v>63.0</v>
      </c>
      <c r="K11" s="17" t="s">
        <v>1415</v>
      </c>
      <c r="L11" s="18" t="str">
        <f t="shared" si="2"/>
        <v>http://dx.doi.org/10.3354/meps08592</v>
      </c>
      <c r="M11" s="19" t="s">
        <v>1416</v>
      </c>
      <c r="N11" s="17" t="s">
        <v>1417</v>
      </c>
      <c r="O11" s="17" t="s">
        <v>1328</v>
      </c>
      <c r="P11" s="17" t="s">
        <v>1328</v>
      </c>
      <c r="Q11" s="17" t="s">
        <v>1328</v>
      </c>
      <c r="R11" s="17" t="s">
        <v>1328</v>
      </c>
      <c r="S11" s="17" t="s">
        <v>1328</v>
      </c>
      <c r="T11" s="20" t="str">
        <f t="shared" si="3"/>
        <v>Yes</v>
      </c>
      <c r="U11" s="19" t="str">
        <f t="shared" si="4"/>
        <v>NT</v>
      </c>
      <c r="V11" s="17" t="str">
        <f t="shared" si="5"/>
        <v>Yes</v>
      </c>
      <c r="W11" s="17" t="s">
        <v>1329</v>
      </c>
      <c r="X11" s="17" t="s">
        <v>1331</v>
      </c>
      <c r="Y11" s="17" t="s">
        <v>1330</v>
      </c>
      <c r="Z11" s="17" t="s">
        <v>1347</v>
      </c>
      <c r="AA11" s="17" t="s">
        <v>1360</v>
      </c>
      <c r="AB11" s="17" t="s">
        <v>1361</v>
      </c>
      <c r="AC11" s="17" t="s">
        <v>1349</v>
      </c>
      <c r="AD11" s="17">
        <f t="shared" si="6"/>
        <v>2</v>
      </c>
      <c r="AE11" s="17" t="s">
        <v>1328</v>
      </c>
      <c r="AF11" s="17" t="s">
        <v>1336</v>
      </c>
      <c r="AG11" s="17" t="s">
        <v>1328</v>
      </c>
      <c r="AH11" s="17" t="s">
        <v>1336</v>
      </c>
      <c r="AI11" s="17" t="s">
        <v>1336</v>
      </c>
      <c r="AJ11" s="17" t="s">
        <v>1336</v>
      </c>
      <c r="AK11" s="17" t="s">
        <v>1350</v>
      </c>
      <c r="AL11" s="17" t="s">
        <v>1351</v>
      </c>
      <c r="AM11" s="17" t="s">
        <v>1339</v>
      </c>
      <c r="AN11" s="17" t="s">
        <v>1331</v>
      </c>
      <c r="AO11" s="17" t="s">
        <v>1328</v>
      </c>
      <c r="AP11" s="17" t="str">
        <f t="shared" si="7"/>
        <v>intermediate</v>
      </c>
      <c r="AQ11" s="20"/>
    </row>
    <row r="12" ht="15.75" customHeight="1">
      <c r="A12" s="16" t="s">
        <v>1418</v>
      </c>
      <c r="B12" s="16" t="s">
        <v>1419</v>
      </c>
      <c r="C12" s="16">
        <v>2008.0</v>
      </c>
      <c r="D12" s="16" t="s">
        <v>1420</v>
      </c>
      <c r="E12" s="16" t="s">
        <v>1421</v>
      </c>
      <c r="F12" s="16" t="s">
        <v>1422</v>
      </c>
      <c r="G12" s="16" t="str">
        <f t="shared" si="1"/>
        <v>No</v>
      </c>
      <c r="H12" s="16" t="s">
        <v>1324</v>
      </c>
      <c r="I12" s="16" t="s">
        <v>1324</v>
      </c>
      <c r="J12" s="16">
        <v>136.0</v>
      </c>
      <c r="K12" s="17" t="s">
        <v>1423</v>
      </c>
      <c r="L12" s="18" t="str">
        <f t="shared" si="2"/>
        <v>http://dx.doi.org/10.1890/07-1254.1</v>
      </c>
      <c r="M12" s="19" t="s">
        <v>1410</v>
      </c>
      <c r="N12" s="17" t="s">
        <v>1387</v>
      </c>
      <c r="O12" s="17" t="s">
        <v>1328</v>
      </c>
      <c r="P12" s="17" t="s">
        <v>1328</v>
      </c>
      <c r="Q12" s="17" t="s">
        <v>1328</v>
      </c>
      <c r="R12" s="17" t="s">
        <v>1328</v>
      </c>
      <c r="S12" s="17" t="s">
        <v>1328</v>
      </c>
      <c r="T12" s="20" t="str">
        <f t="shared" si="3"/>
        <v>Yes</v>
      </c>
      <c r="U12" s="19" t="str">
        <f t="shared" si="4"/>
        <v>MW</v>
      </c>
      <c r="V12" s="17" t="str">
        <f t="shared" si="5"/>
        <v>Yes</v>
      </c>
      <c r="W12" s="17" t="s">
        <v>1329</v>
      </c>
      <c r="X12" s="17" t="s">
        <v>1330</v>
      </c>
      <c r="Y12" s="17" t="s">
        <v>1330</v>
      </c>
      <c r="Z12" s="17" t="s">
        <v>1347</v>
      </c>
      <c r="AA12" s="17" t="s">
        <v>1333</v>
      </c>
      <c r="AB12" s="17" t="s">
        <v>1348</v>
      </c>
      <c r="AC12" s="17" t="s">
        <v>1349</v>
      </c>
      <c r="AD12" s="17">
        <f t="shared" si="6"/>
        <v>3</v>
      </c>
      <c r="AE12" s="17" t="s">
        <v>1328</v>
      </c>
      <c r="AF12" s="17" t="s">
        <v>1336</v>
      </c>
      <c r="AG12" s="17" t="s">
        <v>1328</v>
      </c>
      <c r="AH12" s="17" t="s">
        <v>1336</v>
      </c>
      <c r="AI12" s="17" t="s">
        <v>1336</v>
      </c>
      <c r="AJ12" s="17" t="s">
        <v>1328</v>
      </c>
      <c r="AK12" s="17" t="s">
        <v>1350</v>
      </c>
      <c r="AL12" s="17" t="s">
        <v>1351</v>
      </c>
      <c r="AM12" s="17" t="s">
        <v>1363</v>
      </c>
      <c r="AN12" s="17" t="s">
        <v>1388</v>
      </c>
      <c r="AO12" s="17" t="s">
        <v>1328</v>
      </c>
      <c r="AP12" s="17" t="str">
        <f t="shared" si="7"/>
        <v>intermediate</v>
      </c>
      <c r="AQ12" s="20"/>
    </row>
    <row r="13" ht="15.75" customHeight="1">
      <c r="A13" s="16" t="s">
        <v>1424</v>
      </c>
      <c r="B13" s="16" t="s">
        <v>1425</v>
      </c>
      <c r="C13" s="16">
        <v>2007.0</v>
      </c>
      <c r="D13" s="16" t="s">
        <v>1426</v>
      </c>
      <c r="E13" s="16" t="s">
        <v>1427</v>
      </c>
      <c r="F13" s="16" t="s">
        <v>1428</v>
      </c>
      <c r="G13" s="16" t="str">
        <f t="shared" si="1"/>
        <v>No</v>
      </c>
      <c r="H13" s="16" t="s">
        <v>1324</v>
      </c>
      <c r="I13" s="16" t="s">
        <v>1324</v>
      </c>
      <c r="J13" s="16">
        <v>37.0</v>
      </c>
      <c r="K13" s="17" t="s">
        <v>1429</v>
      </c>
      <c r="L13" s="18" t="str">
        <f t="shared" si="2"/>
        <v>http://dx.doi.org/10.1590/S1676-06032007000300007</v>
      </c>
      <c r="M13" s="19" t="s">
        <v>1370</v>
      </c>
      <c r="N13" s="17" t="s">
        <v>1371</v>
      </c>
      <c r="O13" s="17" t="s">
        <v>1328</v>
      </c>
      <c r="P13" s="17" t="s">
        <v>1328</v>
      </c>
      <c r="Q13" s="17" t="s">
        <v>1328</v>
      </c>
      <c r="R13" s="17" t="s">
        <v>1328</v>
      </c>
      <c r="S13" s="17" t="s">
        <v>1328</v>
      </c>
      <c r="T13" s="20" t="str">
        <f t="shared" si="3"/>
        <v>Yes</v>
      </c>
      <c r="U13" s="19" t="str">
        <f t="shared" si="4"/>
        <v>LC</v>
      </c>
      <c r="V13" s="17" t="str">
        <f t="shared" si="5"/>
        <v>Yes</v>
      </c>
      <c r="W13" s="17" t="s">
        <v>1329</v>
      </c>
      <c r="X13" s="17" t="s">
        <v>1330</v>
      </c>
      <c r="Y13" s="17" t="s">
        <v>1330</v>
      </c>
      <c r="Z13" s="17" t="s">
        <v>1347</v>
      </c>
      <c r="AA13" s="17" t="s">
        <v>1333</v>
      </c>
      <c r="AB13" s="17" t="s">
        <v>1348</v>
      </c>
      <c r="AC13" s="17" t="s">
        <v>1373</v>
      </c>
      <c r="AD13" s="17">
        <f t="shared" si="6"/>
        <v>2</v>
      </c>
      <c r="AE13" s="17" t="s">
        <v>1328</v>
      </c>
      <c r="AF13" s="17" t="s">
        <v>1328</v>
      </c>
      <c r="AG13" s="17" t="s">
        <v>1336</v>
      </c>
      <c r="AH13" s="17" t="s">
        <v>1336</v>
      </c>
      <c r="AI13" s="17" t="s">
        <v>1336</v>
      </c>
      <c r="AJ13" s="17" t="s">
        <v>1336</v>
      </c>
      <c r="AK13" s="17" t="s">
        <v>1350</v>
      </c>
      <c r="AL13" s="17" t="s">
        <v>1351</v>
      </c>
      <c r="AM13" s="17" t="s">
        <v>1339</v>
      </c>
      <c r="AN13" s="17" t="s">
        <v>1331</v>
      </c>
      <c r="AO13" s="17" t="s">
        <v>1328</v>
      </c>
      <c r="AP13" s="17" t="str">
        <f t="shared" si="7"/>
        <v>intermediate</v>
      </c>
      <c r="AQ13" s="20"/>
    </row>
    <row r="14" ht="15.75" customHeight="1">
      <c r="A14" s="16" t="s">
        <v>1430</v>
      </c>
      <c r="B14" s="16" t="s">
        <v>1431</v>
      </c>
      <c r="C14" s="16">
        <v>2014.0</v>
      </c>
      <c r="D14" s="16" t="s">
        <v>1432</v>
      </c>
      <c r="E14" s="16" t="s">
        <v>1433</v>
      </c>
      <c r="F14" s="16" t="s">
        <v>1434</v>
      </c>
      <c r="G14" s="16" t="str">
        <f t="shared" si="1"/>
        <v>No</v>
      </c>
      <c r="H14" s="16" t="s">
        <v>1324</v>
      </c>
      <c r="I14" s="16" t="s">
        <v>1324</v>
      </c>
      <c r="J14" s="16">
        <v>167.0</v>
      </c>
      <c r="K14" s="17" t="s">
        <v>1435</v>
      </c>
      <c r="L14" s="18" t="str">
        <f t="shared" si="2"/>
        <v>http://dx.doi.org/10.15517/rbt.v62i0.15922</v>
      </c>
      <c r="M14" s="19" t="s">
        <v>1402</v>
      </c>
      <c r="N14" s="17" t="s">
        <v>1436</v>
      </c>
      <c r="O14" s="17" t="s">
        <v>1328</v>
      </c>
      <c r="P14" s="17" t="s">
        <v>1328</v>
      </c>
      <c r="Q14" s="17" t="s">
        <v>1328</v>
      </c>
      <c r="R14" s="17" t="s">
        <v>1328</v>
      </c>
      <c r="S14" s="17" t="s">
        <v>1328</v>
      </c>
      <c r="T14" s="20" t="str">
        <f t="shared" si="3"/>
        <v>Yes</v>
      </c>
      <c r="U14" s="19" t="str">
        <f t="shared" si="4"/>
        <v>CG</v>
      </c>
      <c r="V14" s="17" t="str">
        <f t="shared" si="5"/>
        <v>Yes</v>
      </c>
      <c r="W14" s="17" t="s">
        <v>1329</v>
      </c>
      <c r="X14" s="17" t="s">
        <v>1372</v>
      </c>
      <c r="Y14" s="17" t="s">
        <v>1331</v>
      </c>
      <c r="Z14" s="17" t="s">
        <v>1347</v>
      </c>
      <c r="AA14" s="17" t="s">
        <v>1333</v>
      </c>
      <c r="AB14" s="17" t="s">
        <v>1348</v>
      </c>
      <c r="AC14" s="17" t="s">
        <v>1349</v>
      </c>
      <c r="AD14" s="17">
        <f t="shared" si="6"/>
        <v>3</v>
      </c>
      <c r="AE14" s="17" t="s">
        <v>1328</v>
      </c>
      <c r="AF14" s="17" t="s">
        <v>1328</v>
      </c>
      <c r="AG14" s="17" t="s">
        <v>1336</v>
      </c>
      <c r="AH14" s="17" t="s">
        <v>1328</v>
      </c>
      <c r="AI14" s="17" t="s">
        <v>1336</v>
      </c>
      <c r="AJ14" s="17" t="s">
        <v>1336</v>
      </c>
      <c r="AK14" s="17" t="s">
        <v>1350</v>
      </c>
      <c r="AL14" s="17" t="s">
        <v>1351</v>
      </c>
      <c r="AM14" s="17" t="s">
        <v>1339</v>
      </c>
      <c r="AN14" s="17" t="s">
        <v>1374</v>
      </c>
      <c r="AO14" s="17" t="s">
        <v>1328</v>
      </c>
      <c r="AP14" s="17" t="str">
        <f t="shared" si="7"/>
        <v>intermediate</v>
      </c>
      <c r="AQ14" s="20"/>
    </row>
    <row r="15" ht="15.75" customHeight="1">
      <c r="A15" s="16" t="s">
        <v>1437</v>
      </c>
      <c r="B15" s="16" t="s">
        <v>365</v>
      </c>
      <c r="C15" s="16">
        <v>2015.0</v>
      </c>
      <c r="D15" s="16" t="s">
        <v>1438</v>
      </c>
      <c r="E15" s="16" t="s">
        <v>1439</v>
      </c>
      <c r="F15" s="16" t="s">
        <v>1440</v>
      </c>
      <c r="G15" s="16" t="str">
        <f t="shared" si="1"/>
        <v>Yes</v>
      </c>
      <c r="H15" s="16" t="s">
        <v>1324</v>
      </c>
      <c r="I15" s="16" t="s">
        <v>1328</v>
      </c>
      <c r="J15" s="16">
        <v>9.0</v>
      </c>
      <c r="K15" s="17" t="s">
        <v>1441</v>
      </c>
      <c r="L15" s="18" t="str">
        <f t="shared" si="2"/>
        <v>http://dx.doi.org/10.1371/journal.pone.0135152</v>
      </c>
      <c r="M15" s="19" t="s">
        <v>1442</v>
      </c>
      <c r="N15" s="17" t="s">
        <v>1327</v>
      </c>
      <c r="O15" s="17" t="s">
        <v>1328</v>
      </c>
      <c r="P15" s="17" t="s">
        <v>1328</v>
      </c>
      <c r="Q15" s="17" t="s">
        <v>1328</v>
      </c>
      <c r="R15" s="17" t="s">
        <v>1328</v>
      </c>
      <c r="S15" s="17" t="s">
        <v>1328</v>
      </c>
      <c r="T15" s="20" t="str">
        <f t="shared" si="3"/>
        <v>Yes</v>
      </c>
      <c r="U15" s="19" t="str">
        <f t="shared" si="4"/>
        <v>PJ</v>
      </c>
      <c r="V15" s="17" t="str">
        <f t="shared" si="5"/>
        <v>Yes</v>
      </c>
      <c r="W15" s="17" t="s">
        <v>1443</v>
      </c>
      <c r="X15" s="17" t="s">
        <v>1330</v>
      </c>
      <c r="Y15" s="17" t="s">
        <v>1330</v>
      </c>
      <c r="Z15" s="17" t="s">
        <v>1347</v>
      </c>
      <c r="AA15" s="17" t="s">
        <v>1444</v>
      </c>
      <c r="AB15" s="17" t="s">
        <v>1445</v>
      </c>
      <c r="AC15" s="17" t="s">
        <v>1446</v>
      </c>
      <c r="AD15" s="17">
        <f t="shared" si="6"/>
        <v>6</v>
      </c>
      <c r="AE15" s="17" t="s">
        <v>1328</v>
      </c>
      <c r="AF15" s="17" t="s">
        <v>1328</v>
      </c>
      <c r="AG15" s="17" t="s">
        <v>1328</v>
      </c>
      <c r="AH15" s="17" t="s">
        <v>1328</v>
      </c>
      <c r="AI15" s="17" t="s">
        <v>1328</v>
      </c>
      <c r="AJ15" s="17" t="s">
        <v>1328</v>
      </c>
      <c r="AK15" s="17" t="s">
        <v>1395</v>
      </c>
      <c r="AL15" s="17" t="s">
        <v>1351</v>
      </c>
      <c r="AM15" s="17" t="s">
        <v>1363</v>
      </c>
      <c r="AN15" s="17" t="s">
        <v>1331</v>
      </c>
      <c r="AO15" s="17" t="s">
        <v>1328</v>
      </c>
      <c r="AP15" s="17" t="str">
        <f t="shared" si="7"/>
        <v>high</v>
      </c>
      <c r="AQ15" s="20"/>
    </row>
    <row r="16" ht="15.75" customHeight="1">
      <c r="A16" s="16" t="s">
        <v>1447</v>
      </c>
      <c r="B16" s="16" t="s">
        <v>365</v>
      </c>
      <c r="C16" s="16">
        <v>2015.0</v>
      </c>
      <c r="D16" s="16" t="s">
        <v>1448</v>
      </c>
      <c r="E16" s="16" t="s">
        <v>1449</v>
      </c>
      <c r="F16" s="16" t="s">
        <v>1450</v>
      </c>
      <c r="G16" s="16" t="str">
        <f t="shared" si="1"/>
        <v>No</v>
      </c>
      <c r="H16" s="16" t="s">
        <v>1324</v>
      </c>
      <c r="I16" s="16" t="s">
        <v>1324</v>
      </c>
      <c r="J16" s="16">
        <v>14.0</v>
      </c>
      <c r="K16" s="17" t="s">
        <v>1451</v>
      </c>
      <c r="L16" s="18" t="str">
        <f t="shared" si="2"/>
        <v>http://dx.doi.org/10.1371/journal.pone.0120198</v>
      </c>
      <c r="M16" s="19" t="s">
        <v>1326</v>
      </c>
      <c r="N16" s="17" t="s">
        <v>1327</v>
      </c>
      <c r="O16" s="17" t="s">
        <v>1328</v>
      </c>
      <c r="P16" s="17" t="s">
        <v>1328</v>
      </c>
      <c r="Q16" s="17" t="s">
        <v>1328</v>
      </c>
      <c r="R16" s="17" t="s">
        <v>1328</v>
      </c>
      <c r="S16" s="17" t="s">
        <v>1328</v>
      </c>
      <c r="T16" s="20" t="str">
        <f t="shared" si="3"/>
        <v>Yes</v>
      </c>
      <c r="U16" s="19" t="str">
        <f t="shared" si="4"/>
        <v>PJ</v>
      </c>
      <c r="V16" s="17" t="str">
        <f t="shared" si="5"/>
        <v>Yes</v>
      </c>
      <c r="W16" s="17" t="s">
        <v>1443</v>
      </c>
      <c r="X16" s="17" t="s">
        <v>1330</v>
      </c>
      <c r="Y16" s="17" t="s">
        <v>1331</v>
      </c>
      <c r="Z16" s="17" t="s">
        <v>1347</v>
      </c>
      <c r="AA16" s="17" t="s">
        <v>1444</v>
      </c>
      <c r="AB16" s="17" t="s">
        <v>1445</v>
      </c>
      <c r="AC16" s="17" t="s">
        <v>1335</v>
      </c>
      <c r="AD16" s="17">
        <f t="shared" si="6"/>
        <v>5</v>
      </c>
      <c r="AE16" s="17" t="s">
        <v>1328</v>
      </c>
      <c r="AF16" s="17" t="s">
        <v>1328</v>
      </c>
      <c r="AG16" s="17" t="s">
        <v>1328</v>
      </c>
      <c r="AH16" s="17" t="s">
        <v>1328</v>
      </c>
      <c r="AI16" s="17" t="s">
        <v>1328</v>
      </c>
      <c r="AJ16" s="17" t="s">
        <v>1336</v>
      </c>
      <c r="AK16" s="17" t="s">
        <v>1395</v>
      </c>
      <c r="AL16" s="17" t="s">
        <v>1351</v>
      </c>
      <c r="AM16" s="17" t="s">
        <v>1363</v>
      </c>
      <c r="AN16" s="17" t="s">
        <v>1331</v>
      </c>
      <c r="AO16" s="17" t="s">
        <v>1328</v>
      </c>
      <c r="AP16" s="17" t="str">
        <f t="shared" si="7"/>
        <v>high</v>
      </c>
      <c r="AQ16" s="20"/>
    </row>
    <row r="17" ht="15.75" customHeight="1">
      <c r="A17" s="16" t="s">
        <v>1452</v>
      </c>
      <c r="B17" s="16" t="s">
        <v>365</v>
      </c>
      <c r="C17" s="16">
        <v>2014.0</v>
      </c>
      <c r="D17" s="16" t="s">
        <v>1453</v>
      </c>
      <c r="E17" s="16" t="s">
        <v>1454</v>
      </c>
      <c r="F17" s="16" t="s">
        <v>1455</v>
      </c>
      <c r="G17" s="16" t="str">
        <f t="shared" si="1"/>
        <v>No</v>
      </c>
      <c r="H17" s="16" t="s">
        <v>1324</v>
      </c>
      <c r="I17" s="16" t="s">
        <v>1324</v>
      </c>
      <c r="J17" s="16">
        <v>54.0</v>
      </c>
      <c r="K17" s="17" t="s">
        <v>1456</v>
      </c>
      <c r="L17" s="18" t="str">
        <f t="shared" si="2"/>
        <v>http://dx.doi.org/10.1371/journal.pone.0113934</v>
      </c>
      <c r="M17" s="19" t="s">
        <v>1442</v>
      </c>
      <c r="N17" s="17" t="s">
        <v>1327</v>
      </c>
      <c r="O17" s="17" t="s">
        <v>1328</v>
      </c>
      <c r="P17" s="17" t="s">
        <v>1328</v>
      </c>
      <c r="Q17" s="17" t="s">
        <v>1328</v>
      </c>
      <c r="R17" s="17" t="s">
        <v>1328</v>
      </c>
      <c r="S17" s="17" t="s">
        <v>1328</v>
      </c>
      <c r="T17" s="20" t="str">
        <f t="shared" si="3"/>
        <v>Yes</v>
      </c>
      <c r="U17" s="19" t="str">
        <f t="shared" si="4"/>
        <v>PJ</v>
      </c>
      <c r="V17" s="17" t="str">
        <f t="shared" si="5"/>
        <v>Yes</v>
      </c>
      <c r="W17" s="17" t="s">
        <v>1443</v>
      </c>
      <c r="X17" s="17" t="s">
        <v>1330</v>
      </c>
      <c r="Y17" s="17" t="s">
        <v>1331</v>
      </c>
      <c r="Z17" s="17" t="s">
        <v>1331</v>
      </c>
      <c r="AA17" s="17" t="s">
        <v>1444</v>
      </c>
      <c r="AB17" s="17" t="s">
        <v>1445</v>
      </c>
      <c r="AC17" s="17" t="s">
        <v>1446</v>
      </c>
      <c r="AD17" s="17">
        <f t="shared" si="6"/>
        <v>6</v>
      </c>
      <c r="AE17" s="17" t="s">
        <v>1328</v>
      </c>
      <c r="AF17" s="17" t="s">
        <v>1328</v>
      </c>
      <c r="AG17" s="17" t="s">
        <v>1328</v>
      </c>
      <c r="AH17" s="17" t="s">
        <v>1328</v>
      </c>
      <c r="AI17" s="17" t="s">
        <v>1328</v>
      </c>
      <c r="AJ17" s="17" t="s">
        <v>1328</v>
      </c>
      <c r="AK17" s="17" t="s">
        <v>1395</v>
      </c>
      <c r="AL17" s="17" t="s">
        <v>1351</v>
      </c>
      <c r="AM17" s="17" t="s">
        <v>1339</v>
      </c>
      <c r="AN17" s="17" t="s">
        <v>1331</v>
      </c>
      <c r="AO17" s="17" t="s">
        <v>1328</v>
      </c>
      <c r="AP17" s="17" t="str">
        <f t="shared" si="7"/>
        <v>high</v>
      </c>
      <c r="AQ17" s="20"/>
    </row>
    <row r="18" ht="15.75" customHeight="1">
      <c r="A18" s="16" t="s">
        <v>1457</v>
      </c>
      <c r="B18" s="16" t="s">
        <v>365</v>
      </c>
      <c r="C18" s="16">
        <v>2013.0</v>
      </c>
      <c r="D18" s="16" t="s">
        <v>1458</v>
      </c>
      <c r="E18" s="16" t="s">
        <v>1459</v>
      </c>
      <c r="F18" s="16" t="s">
        <v>1460</v>
      </c>
      <c r="G18" s="16" t="str">
        <f t="shared" si="1"/>
        <v>No</v>
      </c>
      <c r="H18" s="16" t="s">
        <v>1324</v>
      </c>
      <c r="I18" s="16" t="s">
        <v>1324</v>
      </c>
      <c r="J18" s="16">
        <v>31.0</v>
      </c>
      <c r="K18" s="17" t="s">
        <v>1461</v>
      </c>
      <c r="L18" s="18" t="str">
        <f t="shared" si="2"/>
        <v>http://dx.doi.org/10.1371/journal.pone.0081292</v>
      </c>
      <c r="M18" s="19" t="s">
        <v>1462</v>
      </c>
      <c r="N18" s="17" t="s">
        <v>1371</v>
      </c>
      <c r="O18" s="17" t="s">
        <v>1328</v>
      </c>
      <c r="P18" s="17" t="s">
        <v>1328</v>
      </c>
      <c r="Q18" s="17" t="s">
        <v>1328</v>
      </c>
      <c r="R18" s="17" t="s">
        <v>1328</v>
      </c>
      <c r="S18" s="17" t="s">
        <v>1328</v>
      </c>
      <c r="T18" s="20" t="str">
        <f t="shared" si="3"/>
        <v>Yes</v>
      </c>
      <c r="U18" s="19" t="str">
        <f t="shared" si="4"/>
        <v>LC</v>
      </c>
      <c r="V18" s="17" t="str">
        <f t="shared" si="5"/>
        <v>Yes</v>
      </c>
      <c r="W18" s="17" t="s">
        <v>1463</v>
      </c>
      <c r="X18" s="17" t="s">
        <v>1331</v>
      </c>
      <c r="Y18" s="17" t="s">
        <v>1372</v>
      </c>
      <c r="Z18" s="17" t="s">
        <v>1347</v>
      </c>
      <c r="AA18" s="17" t="s">
        <v>1444</v>
      </c>
      <c r="AB18" s="17" t="s">
        <v>1445</v>
      </c>
      <c r="AC18" s="17" t="s">
        <v>1464</v>
      </c>
      <c r="AD18" s="17">
        <f t="shared" si="6"/>
        <v>4</v>
      </c>
      <c r="AE18" s="17" t="s">
        <v>1328</v>
      </c>
      <c r="AF18" s="17" t="s">
        <v>1328</v>
      </c>
      <c r="AG18" s="17" t="s">
        <v>1328</v>
      </c>
      <c r="AH18" s="17" t="s">
        <v>1336</v>
      </c>
      <c r="AI18" s="17" t="s">
        <v>1336</v>
      </c>
      <c r="AJ18" s="17" t="s">
        <v>1328</v>
      </c>
      <c r="AK18" s="17" t="s">
        <v>1350</v>
      </c>
      <c r="AL18" s="17" t="s">
        <v>1351</v>
      </c>
      <c r="AM18" s="17" t="s">
        <v>1339</v>
      </c>
      <c r="AN18" s="17" t="s">
        <v>1388</v>
      </c>
      <c r="AO18" s="17" t="s">
        <v>1328</v>
      </c>
      <c r="AP18" s="17" t="str">
        <f t="shared" si="7"/>
        <v>intermediate</v>
      </c>
      <c r="AQ18" s="20"/>
    </row>
    <row r="19" ht="15.75" customHeight="1">
      <c r="A19" s="16" t="s">
        <v>1465</v>
      </c>
      <c r="B19" s="16" t="s">
        <v>365</v>
      </c>
      <c r="C19" s="16">
        <v>2013.0</v>
      </c>
      <c r="D19" s="16" t="s">
        <v>1466</v>
      </c>
      <c r="E19" s="16" t="s">
        <v>1467</v>
      </c>
      <c r="F19" s="16" t="s">
        <v>1468</v>
      </c>
      <c r="G19" s="16" t="str">
        <f t="shared" si="1"/>
        <v>No</v>
      </c>
      <c r="H19" s="16" t="s">
        <v>1324</v>
      </c>
      <c r="I19" s="16" t="s">
        <v>1324</v>
      </c>
      <c r="J19" s="16">
        <v>4.0</v>
      </c>
      <c r="K19" s="17" t="s">
        <v>1469</v>
      </c>
      <c r="L19" s="18" t="str">
        <f t="shared" si="2"/>
        <v>http://dx.doi.org/10.1371/journal.pone.0050719</v>
      </c>
      <c r="M19" s="19" t="s">
        <v>1402</v>
      </c>
      <c r="N19" s="17" t="s">
        <v>1470</v>
      </c>
      <c r="O19" s="17" t="s">
        <v>1328</v>
      </c>
      <c r="P19" s="17" t="s">
        <v>1328</v>
      </c>
      <c r="Q19" s="17" t="s">
        <v>1328</v>
      </c>
      <c r="R19" s="17" t="s">
        <v>1328</v>
      </c>
      <c r="S19" s="17" t="s">
        <v>1328</v>
      </c>
      <c r="T19" s="20" t="str">
        <f t="shared" si="3"/>
        <v>Yes</v>
      </c>
      <c r="U19" s="19" t="str">
        <f t="shared" si="4"/>
        <v>AG</v>
      </c>
      <c r="V19" s="17" t="str">
        <f t="shared" si="5"/>
        <v>Yes</v>
      </c>
      <c r="W19" s="17" t="s">
        <v>1443</v>
      </c>
      <c r="X19" s="17" t="s">
        <v>1372</v>
      </c>
      <c r="Y19" s="17" t="s">
        <v>1331</v>
      </c>
      <c r="Z19" s="17" t="s">
        <v>1347</v>
      </c>
      <c r="AA19" s="17" t="s">
        <v>1360</v>
      </c>
      <c r="AB19" s="17" t="s">
        <v>1381</v>
      </c>
      <c r="AC19" s="17" t="s">
        <v>1349</v>
      </c>
      <c r="AD19" s="17">
        <f t="shared" si="6"/>
        <v>5</v>
      </c>
      <c r="AE19" s="17" t="s">
        <v>1328</v>
      </c>
      <c r="AF19" s="17" t="s">
        <v>1328</v>
      </c>
      <c r="AG19" s="17" t="s">
        <v>1328</v>
      </c>
      <c r="AH19" s="17" t="s">
        <v>1336</v>
      </c>
      <c r="AI19" s="17" t="s">
        <v>1328</v>
      </c>
      <c r="AJ19" s="17" t="s">
        <v>1328</v>
      </c>
      <c r="AK19" s="17" t="s">
        <v>1350</v>
      </c>
      <c r="AL19" s="17" t="s">
        <v>1338</v>
      </c>
      <c r="AM19" s="17" t="s">
        <v>1339</v>
      </c>
      <c r="AN19" s="17" t="s">
        <v>1331</v>
      </c>
      <c r="AO19" s="17" t="s">
        <v>1328</v>
      </c>
      <c r="AP19" s="17" t="str">
        <f t="shared" si="7"/>
        <v>high</v>
      </c>
      <c r="AQ19" s="20"/>
    </row>
    <row r="20" ht="15.75" customHeight="1">
      <c r="A20" s="16" t="s">
        <v>1471</v>
      </c>
      <c r="B20" s="16" t="s">
        <v>365</v>
      </c>
      <c r="C20" s="16">
        <v>2012.0</v>
      </c>
      <c r="D20" s="16" t="s">
        <v>1472</v>
      </c>
      <c r="E20" s="16" t="s">
        <v>1473</v>
      </c>
      <c r="F20" s="16" t="s">
        <v>1474</v>
      </c>
      <c r="G20" s="16" t="str">
        <f t="shared" si="1"/>
        <v>No</v>
      </c>
      <c r="H20" s="16" t="s">
        <v>1324</v>
      </c>
      <c r="I20" s="16" t="s">
        <v>1324</v>
      </c>
      <c r="J20" s="16">
        <v>195.0</v>
      </c>
      <c r="K20" s="17" t="s">
        <v>1475</v>
      </c>
      <c r="L20" s="18" t="str">
        <f t="shared" si="2"/>
        <v>http://dx.doi.org/10.1371/journal.pone.0039825</v>
      </c>
      <c r="M20" s="19" t="s">
        <v>1402</v>
      </c>
      <c r="N20" s="17" t="s">
        <v>1403</v>
      </c>
      <c r="O20" s="17" t="s">
        <v>1328</v>
      </c>
      <c r="P20" s="17" t="s">
        <v>1328</v>
      </c>
      <c r="Q20" s="17" t="s">
        <v>1328</v>
      </c>
      <c r="R20" s="17" t="s">
        <v>1328</v>
      </c>
      <c r="S20" s="17" t="s">
        <v>1328</v>
      </c>
      <c r="T20" s="20" t="str">
        <f t="shared" si="3"/>
        <v>Yes</v>
      </c>
      <c r="U20" s="19" t="str">
        <f t="shared" si="4"/>
        <v>DB</v>
      </c>
      <c r="V20" s="17" t="str">
        <f t="shared" si="5"/>
        <v>Yes</v>
      </c>
      <c r="W20" s="17" t="s">
        <v>1329</v>
      </c>
      <c r="X20" s="17" t="s">
        <v>1331</v>
      </c>
      <c r="Y20" s="17" t="s">
        <v>1330</v>
      </c>
      <c r="Z20" s="17" t="s">
        <v>1332</v>
      </c>
      <c r="AA20" s="17" t="s">
        <v>1444</v>
      </c>
      <c r="AB20" s="17" t="s">
        <v>1476</v>
      </c>
      <c r="AC20" s="17" t="s">
        <v>1349</v>
      </c>
      <c r="AD20" s="17">
        <f t="shared" si="6"/>
        <v>4</v>
      </c>
      <c r="AE20" s="17" t="s">
        <v>1328</v>
      </c>
      <c r="AF20" s="17" t="s">
        <v>1328</v>
      </c>
      <c r="AG20" s="17" t="s">
        <v>1328</v>
      </c>
      <c r="AH20" s="17" t="s">
        <v>1336</v>
      </c>
      <c r="AI20" s="17" t="s">
        <v>1328</v>
      </c>
      <c r="AJ20" s="17" t="s">
        <v>1336</v>
      </c>
      <c r="AK20" s="17" t="s">
        <v>1395</v>
      </c>
      <c r="AL20" s="17" t="s">
        <v>1338</v>
      </c>
      <c r="AM20" s="17" t="s">
        <v>1363</v>
      </c>
      <c r="AN20" s="17" t="s">
        <v>1331</v>
      </c>
      <c r="AO20" s="17" t="s">
        <v>1328</v>
      </c>
      <c r="AP20" s="17" t="str">
        <f t="shared" si="7"/>
        <v>intermediate</v>
      </c>
      <c r="AQ20" s="20"/>
    </row>
    <row r="21" ht="15.75" customHeight="1">
      <c r="A21" s="16" t="s">
        <v>1477</v>
      </c>
      <c r="B21" s="16" t="s">
        <v>365</v>
      </c>
      <c r="C21" s="16">
        <v>2011.0</v>
      </c>
      <c r="D21" s="16" t="s">
        <v>1478</v>
      </c>
      <c r="E21" s="16" t="s">
        <v>1479</v>
      </c>
      <c r="F21" s="16" t="s">
        <v>1480</v>
      </c>
      <c r="G21" s="16" t="str">
        <f t="shared" si="1"/>
        <v>No</v>
      </c>
      <c r="H21" s="16" t="s">
        <v>1324</v>
      </c>
      <c r="I21" s="16" t="s">
        <v>1324</v>
      </c>
      <c r="J21" s="16">
        <v>140.0</v>
      </c>
      <c r="K21" s="17" t="s">
        <v>1481</v>
      </c>
      <c r="L21" s="18" t="str">
        <f t="shared" si="2"/>
        <v>http://dx.doi.org/10.1371/journal.pone.0027785</v>
      </c>
      <c r="M21" s="19" t="s">
        <v>1482</v>
      </c>
      <c r="N21" s="17" t="s">
        <v>1387</v>
      </c>
      <c r="O21" s="17" t="s">
        <v>1328</v>
      </c>
      <c r="P21" s="17" t="s">
        <v>1328</v>
      </c>
      <c r="Q21" s="17" t="s">
        <v>1328</v>
      </c>
      <c r="R21" s="17" t="s">
        <v>1328</v>
      </c>
      <c r="S21" s="17" t="s">
        <v>1328</v>
      </c>
      <c r="T21" s="20" t="str">
        <f t="shared" si="3"/>
        <v>Yes</v>
      </c>
      <c r="U21" s="19" t="str">
        <f t="shared" si="4"/>
        <v>MW</v>
      </c>
      <c r="V21" s="17" t="str">
        <f t="shared" si="5"/>
        <v>Yes</v>
      </c>
      <c r="W21" s="17" t="s">
        <v>1329</v>
      </c>
      <c r="X21" s="17" t="s">
        <v>1372</v>
      </c>
      <c r="Y21" s="17" t="s">
        <v>1331</v>
      </c>
      <c r="Z21" s="17" t="s">
        <v>1347</v>
      </c>
      <c r="AA21" s="17" t="s">
        <v>1333</v>
      </c>
      <c r="AB21" s="17" t="s">
        <v>1334</v>
      </c>
      <c r="AC21" s="17" t="s">
        <v>1362</v>
      </c>
      <c r="AD21" s="17">
        <f t="shared" si="6"/>
        <v>2</v>
      </c>
      <c r="AE21" s="17" t="s">
        <v>1336</v>
      </c>
      <c r="AF21" s="17" t="s">
        <v>1328</v>
      </c>
      <c r="AG21" s="17" t="s">
        <v>1328</v>
      </c>
      <c r="AH21" s="17" t="s">
        <v>1336</v>
      </c>
      <c r="AI21" s="17" t="s">
        <v>1336</v>
      </c>
      <c r="AJ21" s="17" t="s">
        <v>1336</v>
      </c>
      <c r="AK21" s="17" t="s">
        <v>1350</v>
      </c>
      <c r="AL21" s="17" t="s">
        <v>1351</v>
      </c>
      <c r="AM21" s="17" t="s">
        <v>1363</v>
      </c>
      <c r="AN21" s="17" t="s">
        <v>1388</v>
      </c>
      <c r="AO21" s="17" t="s">
        <v>1328</v>
      </c>
      <c r="AP21" s="17" t="str">
        <f t="shared" si="7"/>
        <v>intermediate</v>
      </c>
      <c r="AQ21" s="20"/>
    </row>
    <row r="22" ht="15.75" customHeight="1">
      <c r="A22" s="16" t="s">
        <v>1483</v>
      </c>
      <c r="B22" s="16" t="s">
        <v>365</v>
      </c>
      <c r="C22" s="16">
        <v>2010.0</v>
      </c>
      <c r="D22" s="16" t="s">
        <v>1484</v>
      </c>
      <c r="E22" s="16" t="s">
        <v>1485</v>
      </c>
      <c r="F22" s="16" t="s">
        <v>1486</v>
      </c>
      <c r="G22" s="16" t="str">
        <f t="shared" si="1"/>
        <v>No</v>
      </c>
      <c r="H22" s="16" t="s">
        <v>1324</v>
      </c>
      <c r="I22" s="16" t="s">
        <v>1324</v>
      </c>
      <c r="J22" s="16">
        <v>50.0</v>
      </c>
      <c r="K22" s="17" t="s">
        <v>1487</v>
      </c>
      <c r="L22" s="18" t="str">
        <f t="shared" si="2"/>
        <v>http://dx.doi.org/10.1371/journal.pone.0010095</v>
      </c>
      <c r="M22" s="19" t="s">
        <v>1442</v>
      </c>
      <c r="N22" s="17" t="s">
        <v>1327</v>
      </c>
      <c r="O22" s="17" t="s">
        <v>1328</v>
      </c>
      <c r="P22" s="17" t="s">
        <v>1328</v>
      </c>
      <c r="Q22" s="17" t="s">
        <v>1328</v>
      </c>
      <c r="R22" s="17" t="s">
        <v>1328</v>
      </c>
      <c r="S22" s="17" t="s">
        <v>1328</v>
      </c>
      <c r="T22" s="20" t="str">
        <f t="shared" si="3"/>
        <v>Yes</v>
      </c>
      <c r="U22" s="19" t="str">
        <f t="shared" si="4"/>
        <v>PJ</v>
      </c>
      <c r="V22" s="17" t="str">
        <f t="shared" si="5"/>
        <v>Yes</v>
      </c>
      <c r="W22" s="17" t="s">
        <v>1443</v>
      </c>
      <c r="X22" s="17" t="s">
        <v>1330</v>
      </c>
      <c r="Y22" s="17" t="s">
        <v>1331</v>
      </c>
      <c r="Z22" s="17" t="s">
        <v>1331</v>
      </c>
      <c r="AA22" s="17" t="s">
        <v>1444</v>
      </c>
      <c r="AB22" s="17" t="s">
        <v>1488</v>
      </c>
      <c r="AC22" s="17" t="s">
        <v>1349</v>
      </c>
      <c r="AD22" s="17">
        <f t="shared" si="6"/>
        <v>3</v>
      </c>
      <c r="AE22" s="17" t="s">
        <v>1328</v>
      </c>
      <c r="AF22" s="17" t="s">
        <v>1328</v>
      </c>
      <c r="AG22" s="17" t="s">
        <v>1328</v>
      </c>
      <c r="AH22" s="17" t="s">
        <v>1336</v>
      </c>
      <c r="AI22" s="17" t="s">
        <v>1336</v>
      </c>
      <c r="AJ22" s="17" t="s">
        <v>1336</v>
      </c>
      <c r="AK22" s="17" t="s">
        <v>1395</v>
      </c>
      <c r="AL22" s="17" t="s">
        <v>1338</v>
      </c>
      <c r="AM22" s="17" t="s">
        <v>1339</v>
      </c>
      <c r="AN22" s="17" t="s">
        <v>1331</v>
      </c>
      <c r="AO22" s="17" t="s">
        <v>1328</v>
      </c>
      <c r="AP22" s="17" t="str">
        <f t="shared" si="7"/>
        <v>high</v>
      </c>
      <c r="AQ22" s="20" t="s">
        <v>1489</v>
      </c>
    </row>
    <row r="23" ht="15.75" customHeight="1">
      <c r="A23" s="16" t="s">
        <v>1490</v>
      </c>
      <c r="B23" s="16" t="s">
        <v>365</v>
      </c>
      <c r="C23" s="16">
        <v>2008.0</v>
      </c>
      <c r="D23" s="16" t="s">
        <v>1491</v>
      </c>
      <c r="E23" s="16" t="s">
        <v>1492</v>
      </c>
      <c r="F23" s="16" t="s">
        <v>1493</v>
      </c>
      <c r="G23" s="16" t="str">
        <f t="shared" si="1"/>
        <v>No</v>
      </c>
      <c r="H23" s="16" t="s">
        <v>1324</v>
      </c>
      <c r="I23" s="16" t="s">
        <v>1324</v>
      </c>
      <c r="J23" s="16">
        <v>95.0</v>
      </c>
      <c r="K23" s="17" t="s">
        <v>1494</v>
      </c>
      <c r="L23" s="18" t="str">
        <f t="shared" si="2"/>
        <v>http://dx.doi.org/10.1371/journal.pone.0003039</v>
      </c>
      <c r="M23" s="19" t="s">
        <v>1495</v>
      </c>
      <c r="N23" s="17" t="s">
        <v>1436</v>
      </c>
      <c r="O23" s="17" t="s">
        <v>1328</v>
      </c>
      <c r="P23" s="17" t="s">
        <v>1328</v>
      </c>
      <c r="Q23" s="17" t="s">
        <v>1328</v>
      </c>
      <c r="R23" s="17" t="s">
        <v>1328</v>
      </c>
      <c r="S23" s="17" t="s">
        <v>1328</v>
      </c>
      <c r="T23" s="20" t="str">
        <f t="shared" si="3"/>
        <v>Yes</v>
      </c>
      <c r="U23" s="19" t="str">
        <f t="shared" si="4"/>
        <v>CG</v>
      </c>
      <c r="V23" s="17" t="str">
        <f t="shared" si="5"/>
        <v>Yes</v>
      </c>
      <c r="W23" s="17" t="s">
        <v>1329</v>
      </c>
      <c r="X23" s="17" t="s">
        <v>1372</v>
      </c>
      <c r="Y23" s="17" t="s">
        <v>1331</v>
      </c>
      <c r="Z23" s="17" t="s">
        <v>1347</v>
      </c>
      <c r="AA23" s="17" t="s">
        <v>1360</v>
      </c>
      <c r="AB23" s="17" t="s">
        <v>1496</v>
      </c>
      <c r="AC23" s="17" t="s">
        <v>1349</v>
      </c>
      <c r="AD23" s="17">
        <f t="shared" si="6"/>
        <v>2</v>
      </c>
      <c r="AE23" s="17" t="s">
        <v>1328</v>
      </c>
      <c r="AF23" s="17" t="s">
        <v>1328</v>
      </c>
      <c r="AG23" s="17" t="s">
        <v>1336</v>
      </c>
      <c r="AH23" s="17" t="s">
        <v>1336</v>
      </c>
      <c r="AI23" s="17" t="s">
        <v>1336</v>
      </c>
      <c r="AJ23" s="17" t="s">
        <v>1336</v>
      </c>
      <c r="AK23" s="17" t="s">
        <v>1350</v>
      </c>
      <c r="AL23" s="17" t="s">
        <v>1351</v>
      </c>
      <c r="AM23" s="17" t="s">
        <v>1339</v>
      </c>
      <c r="AN23" s="17" t="s">
        <v>1374</v>
      </c>
      <c r="AO23" s="17" t="s">
        <v>1328</v>
      </c>
      <c r="AP23" s="17" t="str">
        <f t="shared" si="7"/>
        <v>high</v>
      </c>
      <c r="AQ23" s="20"/>
    </row>
    <row r="24" ht="15.75" customHeight="1">
      <c r="A24" s="16" t="s">
        <v>1497</v>
      </c>
      <c r="B24" s="16" t="s">
        <v>1498</v>
      </c>
      <c r="C24" s="16">
        <v>2015.0</v>
      </c>
      <c r="D24" s="16" t="s">
        <v>1499</v>
      </c>
      <c r="E24" s="16" t="s">
        <v>1500</v>
      </c>
      <c r="F24" s="16" t="s">
        <v>1501</v>
      </c>
      <c r="G24" s="16" t="str">
        <f t="shared" si="1"/>
        <v>No</v>
      </c>
      <c r="H24" s="16" t="s">
        <v>1324</v>
      </c>
      <c r="I24" s="16" t="s">
        <v>1324</v>
      </c>
      <c r="J24" s="16">
        <v>16.0</v>
      </c>
      <c r="K24" s="17" t="s">
        <v>1502</v>
      </c>
      <c r="L24" s="18" t="str">
        <f t="shared" si="2"/>
        <v>http://dx.doi.org/10.12933/therya-15-225</v>
      </c>
      <c r="M24" s="19" t="s">
        <v>1326</v>
      </c>
      <c r="N24" s="17" t="s">
        <v>1327</v>
      </c>
      <c r="O24" s="17" t="s">
        <v>1328</v>
      </c>
      <c r="P24" s="17" t="s">
        <v>1328</v>
      </c>
      <c r="Q24" s="17" t="s">
        <v>1328</v>
      </c>
      <c r="R24" s="17" t="s">
        <v>1328</v>
      </c>
      <c r="S24" s="17" t="s">
        <v>1328</v>
      </c>
      <c r="T24" s="20" t="str">
        <f t="shared" si="3"/>
        <v>Yes</v>
      </c>
      <c r="U24" s="19" t="str">
        <f t="shared" si="4"/>
        <v>PJ</v>
      </c>
      <c r="V24" s="17" t="str">
        <f t="shared" si="5"/>
        <v>Yes</v>
      </c>
      <c r="W24" s="17" t="s">
        <v>1443</v>
      </c>
      <c r="X24" s="17" t="s">
        <v>1330</v>
      </c>
      <c r="Y24" s="17" t="s">
        <v>1331</v>
      </c>
      <c r="Z24" s="17" t="s">
        <v>1332</v>
      </c>
      <c r="AA24" s="17" t="s">
        <v>1444</v>
      </c>
      <c r="AB24" s="17" t="s">
        <v>1476</v>
      </c>
      <c r="AC24" s="17" t="s">
        <v>1362</v>
      </c>
      <c r="AD24" s="17">
        <f t="shared" si="6"/>
        <v>4</v>
      </c>
      <c r="AE24" s="17" t="s">
        <v>1336</v>
      </c>
      <c r="AF24" s="17" t="s">
        <v>1328</v>
      </c>
      <c r="AG24" s="17" t="s">
        <v>1328</v>
      </c>
      <c r="AH24" s="17" t="s">
        <v>1328</v>
      </c>
      <c r="AI24" s="17" t="s">
        <v>1336</v>
      </c>
      <c r="AJ24" s="17" t="s">
        <v>1328</v>
      </c>
      <c r="AK24" s="17" t="s">
        <v>1337</v>
      </c>
      <c r="AL24" s="17" t="s">
        <v>1338</v>
      </c>
      <c r="AM24" s="17" t="s">
        <v>1339</v>
      </c>
      <c r="AN24" s="17" t="s">
        <v>1331</v>
      </c>
      <c r="AO24" s="17" t="s">
        <v>1328</v>
      </c>
      <c r="AP24" s="17" t="str">
        <f t="shared" si="7"/>
        <v>high</v>
      </c>
      <c r="AQ24" s="20" t="s">
        <v>1503</v>
      </c>
    </row>
    <row r="25" ht="15.75" customHeight="1">
      <c r="A25" s="16" t="s">
        <v>1504</v>
      </c>
      <c r="B25" s="16" t="s">
        <v>1505</v>
      </c>
      <c r="C25" s="16">
        <v>2018.0</v>
      </c>
      <c r="D25" s="16" t="s">
        <v>1506</v>
      </c>
      <c r="E25" s="16" t="s">
        <v>1507</v>
      </c>
      <c r="F25" s="16" t="s">
        <v>1508</v>
      </c>
      <c r="G25" s="16" t="str">
        <f t="shared" si="1"/>
        <v>No</v>
      </c>
      <c r="H25" s="16" t="s">
        <v>1324</v>
      </c>
      <c r="I25" s="16" t="s">
        <v>1324</v>
      </c>
      <c r="J25" s="16">
        <v>8.0</v>
      </c>
      <c r="K25" s="17" t="s">
        <v>1509</v>
      </c>
      <c r="L25" s="18" t="str">
        <f t="shared" si="2"/>
        <v>http://dx.doi.org/10.1186/s40657-018-0106-9</v>
      </c>
      <c r="M25" s="19" t="s">
        <v>1326</v>
      </c>
      <c r="N25" s="17" t="s">
        <v>1327</v>
      </c>
      <c r="O25" s="17" t="s">
        <v>1328</v>
      </c>
      <c r="P25" s="17" t="s">
        <v>1328</v>
      </c>
      <c r="Q25" s="17" t="s">
        <v>1328</v>
      </c>
      <c r="R25" s="17" t="s">
        <v>1328</v>
      </c>
      <c r="S25" s="17" t="s">
        <v>1328</v>
      </c>
      <c r="T25" s="20" t="str">
        <f t="shared" si="3"/>
        <v>Yes</v>
      </c>
      <c r="U25" s="19" t="str">
        <f t="shared" si="4"/>
        <v>PJ</v>
      </c>
      <c r="V25" s="17" t="str">
        <f t="shared" si="5"/>
        <v>Yes</v>
      </c>
      <c r="W25" s="17" t="s">
        <v>1443</v>
      </c>
      <c r="X25" s="17" t="s">
        <v>1330</v>
      </c>
      <c r="Y25" s="17" t="s">
        <v>1331</v>
      </c>
      <c r="Z25" s="17" t="s">
        <v>1347</v>
      </c>
      <c r="AA25" s="17" t="s">
        <v>1360</v>
      </c>
      <c r="AB25" s="17" t="s">
        <v>1381</v>
      </c>
      <c r="AC25" s="17" t="s">
        <v>1335</v>
      </c>
      <c r="AD25" s="17">
        <f t="shared" si="6"/>
        <v>4</v>
      </c>
      <c r="AE25" s="17" t="s">
        <v>1336</v>
      </c>
      <c r="AF25" s="17" t="s">
        <v>1328</v>
      </c>
      <c r="AG25" s="17" t="s">
        <v>1328</v>
      </c>
      <c r="AH25" s="17" t="s">
        <v>1336</v>
      </c>
      <c r="AI25" s="17" t="s">
        <v>1328</v>
      </c>
      <c r="AJ25" s="17" t="s">
        <v>1328</v>
      </c>
      <c r="AK25" s="17" t="s">
        <v>1395</v>
      </c>
      <c r="AL25" s="17" t="s">
        <v>1351</v>
      </c>
      <c r="AM25" s="17" t="s">
        <v>1363</v>
      </c>
      <c r="AN25" s="17" t="s">
        <v>1331</v>
      </c>
      <c r="AO25" s="17" t="s">
        <v>1328</v>
      </c>
      <c r="AP25" s="17" t="str">
        <f t="shared" si="7"/>
        <v>high</v>
      </c>
      <c r="AQ25" s="20"/>
    </row>
    <row r="26" ht="15.75" customHeight="1">
      <c r="A26" s="16" t="s">
        <v>1510</v>
      </c>
      <c r="B26" s="16" t="s">
        <v>1511</v>
      </c>
      <c r="C26" s="16">
        <v>2018.0</v>
      </c>
      <c r="D26" s="16" t="s">
        <v>1512</v>
      </c>
      <c r="E26" s="16" t="s">
        <v>1513</v>
      </c>
      <c r="F26" s="16" t="s">
        <v>1514</v>
      </c>
      <c r="G26" s="16" t="str">
        <f t="shared" si="1"/>
        <v>No</v>
      </c>
      <c r="H26" s="16" t="s">
        <v>1324</v>
      </c>
      <c r="I26" s="16" t="s">
        <v>1324</v>
      </c>
      <c r="J26" s="16">
        <v>66.0</v>
      </c>
      <c r="K26" s="17" t="s">
        <v>1515</v>
      </c>
      <c r="L26" s="18" t="str">
        <f t="shared" si="2"/>
        <v>http://dx.doi.org/10.1177/1940082918769460</v>
      </c>
      <c r="M26" s="19" t="s">
        <v>1482</v>
      </c>
      <c r="N26" s="17" t="s">
        <v>1403</v>
      </c>
      <c r="O26" s="17" t="s">
        <v>1328</v>
      </c>
      <c r="P26" s="17" t="s">
        <v>1328</v>
      </c>
      <c r="Q26" s="17" t="s">
        <v>1328</v>
      </c>
      <c r="R26" s="17" t="s">
        <v>1328</v>
      </c>
      <c r="S26" s="17" t="s">
        <v>1328</v>
      </c>
      <c r="T26" s="20" t="str">
        <f t="shared" si="3"/>
        <v>Yes</v>
      </c>
      <c r="U26" s="19" t="str">
        <f t="shared" si="4"/>
        <v>DB</v>
      </c>
      <c r="V26" s="17" t="str">
        <f t="shared" si="5"/>
        <v>Yes</v>
      </c>
      <c r="W26" s="17" t="s">
        <v>1329</v>
      </c>
      <c r="X26" s="17" t="s">
        <v>1330</v>
      </c>
      <c r="Y26" s="17" t="s">
        <v>1331</v>
      </c>
      <c r="Z26" s="17" t="s">
        <v>1347</v>
      </c>
      <c r="AA26" s="17" t="s">
        <v>1333</v>
      </c>
      <c r="AB26" s="17" t="s">
        <v>1381</v>
      </c>
      <c r="AC26" s="17" t="s">
        <v>1362</v>
      </c>
      <c r="AD26" s="17">
        <f t="shared" si="6"/>
        <v>2</v>
      </c>
      <c r="AE26" s="17" t="s">
        <v>1336</v>
      </c>
      <c r="AF26" s="17" t="s">
        <v>1328</v>
      </c>
      <c r="AG26" s="17" t="s">
        <v>1336</v>
      </c>
      <c r="AH26" s="17" t="s">
        <v>1336</v>
      </c>
      <c r="AI26" s="17" t="s">
        <v>1336</v>
      </c>
      <c r="AJ26" s="17" t="s">
        <v>1328</v>
      </c>
      <c r="AK26" s="17" t="s">
        <v>1350</v>
      </c>
      <c r="AL26" s="17" t="s">
        <v>1351</v>
      </c>
      <c r="AM26" s="17" t="s">
        <v>1363</v>
      </c>
      <c r="AN26" s="17" t="s">
        <v>1374</v>
      </c>
      <c r="AO26" s="17" t="s">
        <v>1328</v>
      </c>
      <c r="AP26" s="17" t="str">
        <f t="shared" si="7"/>
        <v>intermediate</v>
      </c>
      <c r="AQ26" s="20"/>
    </row>
    <row r="27" ht="15.75" customHeight="1">
      <c r="A27" s="16" t="s">
        <v>1516</v>
      </c>
      <c r="B27" s="16" t="s">
        <v>1517</v>
      </c>
      <c r="C27" s="16">
        <v>2015.0</v>
      </c>
      <c r="D27" s="16" t="s">
        <v>1518</v>
      </c>
      <c r="E27" s="16" t="s">
        <v>1519</v>
      </c>
      <c r="F27" s="16" t="s">
        <v>1520</v>
      </c>
      <c r="G27" s="16" t="str">
        <f t="shared" si="1"/>
        <v>No</v>
      </c>
      <c r="H27" s="16" t="s">
        <v>1324</v>
      </c>
      <c r="I27" s="16" t="s">
        <v>1324</v>
      </c>
      <c r="J27" s="16">
        <v>111.0</v>
      </c>
      <c r="K27" s="17" t="s">
        <v>1521</v>
      </c>
      <c r="L27" s="18" t="str">
        <f t="shared" si="2"/>
        <v>http://dx.doi.org/10.1153/9789004284081_018</v>
      </c>
      <c r="M27" s="19" t="s">
        <v>1522</v>
      </c>
      <c r="N27" s="17" t="s">
        <v>1327</v>
      </c>
      <c r="O27" s="17" t="s">
        <v>1328</v>
      </c>
      <c r="P27" s="17" t="s">
        <v>1328</v>
      </c>
      <c r="Q27" s="17" t="s">
        <v>1328</v>
      </c>
      <c r="R27" s="17" t="s">
        <v>1328</v>
      </c>
      <c r="S27" s="17" t="s">
        <v>1328</v>
      </c>
      <c r="T27" s="20" t="str">
        <f t="shared" si="3"/>
        <v>Yes</v>
      </c>
      <c r="U27" s="19" t="str">
        <f t="shared" si="4"/>
        <v>PJ</v>
      </c>
      <c r="V27" s="17" t="str">
        <f t="shared" si="5"/>
        <v>Yes</v>
      </c>
      <c r="W27" s="17" t="s">
        <v>1443</v>
      </c>
      <c r="X27" s="17" t="s">
        <v>1523</v>
      </c>
      <c r="Y27" s="17" t="s">
        <v>1372</v>
      </c>
      <c r="Z27" s="17" t="s">
        <v>1332</v>
      </c>
      <c r="AA27" s="17" t="s">
        <v>1444</v>
      </c>
      <c r="AB27" s="17" t="s">
        <v>1445</v>
      </c>
      <c r="AC27" s="17" t="s">
        <v>1349</v>
      </c>
      <c r="AD27" s="17">
        <f t="shared" si="6"/>
        <v>4</v>
      </c>
      <c r="AE27" s="17" t="s">
        <v>1328</v>
      </c>
      <c r="AF27" s="17" t="s">
        <v>1328</v>
      </c>
      <c r="AG27" s="17" t="s">
        <v>1328</v>
      </c>
      <c r="AH27" s="17" t="s">
        <v>1336</v>
      </c>
      <c r="AI27" s="17" t="s">
        <v>1328</v>
      </c>
      <c r="AJ27" s="17" t="s">
        <v>1336</v>
      </c>
      <c r="AK27" s="17" t="s">
        <v>1337</v>
      </c>
      <c r="AL27" s="17" t="s">
        <v>1338</v>
      </c>
      <c r="AM27" s="17" t="s">
        <v>1339</v>
      </c>
      <c r="AN27" s="17" t="s">
        <v>1331</v>
      </c>
      <c r="AO27" s="17" t="s">
        <v>1328</v>
      </c>
      <c r="AP27" s="17" t="str">
        <f t="shared" si="7"/>
        <v>intermediate</v>
      </c>
      <c r="AQ27" s="20"/>
    </row>
    <row r="28" ht="15.75" customHeight="1">
      <c r="A28" s="16" t="s">
        <v>1524</v>
      </c>
      <c r="B28" s="16" t="s">
        <v>1525</v>
      </c>
      <c r="C28" s="16">
        <v>2005.0</v>
      </c>
      <c r="D28" s="16" t="s">
        <v>1526</v>
      </c>
      <c r="E28" s="16" t="s">
        <v>1527</v>
      </c>
      <c r="F28" s="16" t="s">
        <v>1528</v>
      </c>
      <c r="G28" s="16" t="str">
        <f t="shared" si="1"/>
        <v>No</v>
      </c>
      <c r="H28" s="16" t="s">
        <v>1324</v>
      </c>
      <c r="I28" s="16" t="s">
        <v>1324</v>
      </c>
      <c r="J28" s="16">
        <v>9.0</v>
      </c>
      <c r="K28" s="17" t="s">
        <v>1529</v>
      </c>
      <c r="L28" s="18" t="str">
        <f t="shared" si="2"/>
        <v>http://dx.doi.org/10.1139/F05-061</v>
      </c>
      <c r="M28" s="19" t="s">
        <v>1410</v>
      </c>
      <c r="N28" s="17" t="s">
        <v>1371</v>
      </c>
      <c r="O28" s="17" t="s">
        <v>1328</v>
      </c>
      <c r="P28" s="17" t="s">
        <v>1328</v>
      </c>
      <c r="Q28" s="17" t="s">
        <v>1328</v>
      </c>
      <c r="R28" s="17" t="s">
        <v>1328</v>
      </c>
      <c r="S28" s="17" t="s">
        <v>1328</v>
      </c>
      <c r="T28" s="20" t="str">
        <f t="shared" si="3"/>
        <v>Yes</v>
      </c>
      <c r="U28" s="19" t="str">
        <f t="shared" si="4"/>
        <v>LC</v>
      </c>
      <c r="V28" s="17" t="str">
        <f t="shared" si="5"/>
        <v>Yes</v>
      </c>
      <c r="W28" s="17" t="s">
        <v>1329</v>
      </c>
      <c r="X28" s="17" t="s">
        <v>1372</v>
      </c>
      <c r="Y28" s="17" t="s">
        <v>1331</v>
      </c>
      <c r="Z28" s="17" t="s">
        <v>1347</v>
      </c>
      <c r="AA28" s="17" t="s">
        <v>1333</v>
      </c>
      <c r="AB28" s="17" t="s">
        <v>1348</v>
      </c>
      <c r="AC28" s="17" t="s">
        <v>1530</v>
      </c>
      <c r="AD28" s="17">
        <f t="shared" si="6"/>
        <v>4</v>
      </c>
      <c r="AE28" s="17" t="s">
        <v>1336</v>
      </c>
      <c r="AF28" s="17" t="s">
        <v>1328</v>
      </c>
      <c r="AG28" s="17" t="s">
        <v>1328</v>
      </c>
      <c r="AH28" s="17" t="s">
        <v>1328</v>
      </c>
      <c r="AI28" s="17" t="s">
        <v>1328</v>
      </c>
      <c r="AJ28" s="17" t="s">
        <v>1336</v>
      </c>
      <c r="AK28" s="17" t="s">
        <v>1350</v>
      </c>
      <c r="AL28" s="17" t="s">
        <v>1351</v>
      </c>
      <c r="AM28" s="17" t="s">
        <v>1339</v>
      </c>
      <c r="AN28" s="17" t="s">
        <v>1374</v>
      </c>
      <c r="AO28" s="17" t="s">
        <v>1328</v>
      </c>
      <c r="AP28" s="17" t="str">
        <f t="shared" si="7"/>
        <v>intermediate</v>
      </c>
      <c r="AQ28" s="20"/>
    </row>
    <row r="29" ht="15.75" customHeight="1">
      <c r="A29" s="16" t="s">
        <v>1531</v>
      </c>
      <c r="B29" s="16" t="s">
        <v>1532</v>
      </c>
      <c r="C29" s="16">
        <v>2017.0</v>
      </c>
      <c r="D29" s="16" t="s">
        <v>1533</v>
      </c>
      <c r="E29" s="16" t="s">
        <v>1534</v>
      </c>
      <c r="F29" s="16" t="s">
        <v>1535</v>
      </c>
      <c r="G29" s="16" t="str">
        <f t="shared" si="1"/>
        <v>No</v>
      </c>
      <c r="H29" s="16" t="s">
        <v>1324</v>
      </c>
      <c r="I29" s="16" t="s">
        <v>1324</v>
      </c>
      <c r="J29" s="16">
        <v>1.0</v>
      </c>
      <c r="K29" s="17" t="s">
        <v>1536</v>
      </c>
      <c r="L29" s="18" t="str">
        <f t="shared" si="2"/>
        <v>http://dx.doi.org/10.1139/er-2016-0085</v>
      </c>
      <c r="M29" s="19" t="s">
        <v>1482</v>
      </c>
      <c r="N29" s="17" t="s">
        <v>1470</v>
      </c>
      <c r="O29" s="17" t="s">
        <v>1328</v>
      </c>
      <c r="P29" s="17" t="s">
        <v>1328</v>
      </c>
      <c r="Q29" s="17" t="s">
        <v>1328</v>
      </c>
      <c r="R29" s="17" t="s">
        <v>1328</v>
      </c>
      <c r="S29" s="17" t="s">
        <v>1328</v>
      </c>
      <c r="T29" s="20" t="str">
        <f t="shared" si="3"/>
        <v>Yes</v>
      </c>
      <c r="U29" s="19" t="str">
        <f t="shared" si="4"/>
        <v>AG</v>
      </c>
      <c r="V29" s="17" t="str">
        <f t="shared" si="5"/>
        <v>Yes</v>
      </c>
      <c r="W29" s="17" t="s">
        <v>1443</v>
      </c>
      <c r="X29" s="17" t="s">
        <v>1330</v>
      </c>
      <c r="Y29" s="17" t="s">
        <v>1331</v>
      </c>
      <c r="Z29" s="17" t="s">
        <v>1537</v>
      </c>
      <c r="AA29" s="17" t="s">
        <v>1360</v>
      </c>
      <c r="AB29" s="17" t="s">
        <v>1538</v>
      </c>
      <c r="AC29" s="17" t="s">
        <v>1446</v>
      </c>
      <c r="AD29" s="17">
        <f t="shared" si="6"/>
        <v>5</v>
      </c>
      <c r="AE29" s="17" t="s">
        <v>1328</v>
      </c>
      <c r="AF29" s="17" t="s">
        <v>1328</v>
      </c>
      <c r="AG29" s="17" t="s">
        <v>1336</v>
      </c>
      <c r="AH29" s="17" t="s">
        <v>1328</v>
      </c>
      <c r="AI29" s="17" t="s">
        <v>1328</v>
      </c>
      <c r="AJ29" s="17" t="s">
        <v>1328</v>
      </c>
      <c r="AK29" s="17" t="s">
        <v>1395</v>
      </c>
      <c r="AL29" s="17" t="s">
        <v>1338</v>
      </c>
      <c r="AM29" s="17" t="s">
        <v>1339</v>
      </c>
      <c r="AN29" s="17" t="s">
        <v>1331</v>
      </c>
      <c r="AO29" s="17" t="s">
        <v>1328</v>
      </c>
      <c r="AP29" s="17" t="str">
        <f t="shared" si="7"/>
        <v>high</v>
      </c>
      <c r="AQ29" s="20"/>
    </row>
    <row r="30" ht="15.75" customHeight="1">
      <c r="A30" s="16" t="s">
        <v>1539</v>
      </c>
      <c r="B30" s="16" t="s">
        <v>1540</v>
      </c>
      <c r="C30" s="16">
        <v>2017.0</v>
      </c>
      <c r="D30" s="16" t="s">
        <v>1541</v>
      </c>
      <c r="E30" s="16" t="s">
        <v>1542</v>
      </c>
      <c r="F30" s="16" t="s">
        <v>1543</v>
      </c>
      <c r="G30" s="16" t="str">
        <f t="shared" si="1"/>
        <v>No</v>
      </c>
      <c r="H30" s="16" t="s">
        <v>1324</v>
      </c>
      <c r="I30" s="16" t="s">
        <v>1324</v>
      </c>
      <c r="J30" s="16">
        <v>183.0</v>
      </c>
      <c r="K30" s="17" t="s">
        <v>1544</v>
      </c>
      <c r="L30" s="18" t="str">
        <f t="shared" si="2"/>
        <v>http://dx.doi.org/10.1111/jvs.12579</v>
      </c>
      <c r="M30" s="19" t="s">
        <v>1545</v>
      </c>
      <c r="N30" s="17" t="s">
        <v>1403</v>
      </c>
      <c r="O30" s="17" t="s">
        <v>1328</v>
      </c>
      <c r="P30" s="17" t="s">
        <v>1328</v>
      </c>
      <c r="Q30" s="17" t="s">
        <v>1328</v>
      </c>
      <c r="R30" s="17" t="s">
        <v>1328</v>
      </c>
      <c r="S30" s="17" t="s">
        <v>1328</v>
      </c>
      <c r="T30" s="20" t="str">
        <f t="shared" si="3"/>
        <v>Yes</v>
      </c>
      <c r="U30" s="19" t="str">
        <f t="shared" si="4"/>
        <v>DB</v>
      </c>
      <c r="V30" s="17" t="str">
        <f t="shared" si="5"/>
        <v>Yes</v>
      </c>
      <c r="W30" s="17" t="s">
        <v>1329</v>
      </c>
      <c r="X30" s="17" t="s">
        <v>1330</v>
      </c>
      <c r="Y30" s="17" t="s">
        <v>1331</v>
      </c>
      <c r="Z30" s="17" t="s">
        <v>1347</v>
      </c>
      <c r="AA30" s="17" t="s">
        <v>1333</v>
      </c>
      <c r="AB30" s="17" t="s">
        <v>1361</v>
      </c>
      <c r="AC30" s="17" t="s">
        <v>1362</v>
      </c>
      <c r="AD30" s="17">
        <f t="shared" si="6"/>
        <v>3</v>
      </c>
      <c r="AE30" s="17" t="s">
        <v>1328</v>
      </c>
      <c r="AF30" s="17" t="s">
        <v>1328</v>
      </c>
      <c r="AG30" s="17" t="s">
        <v>1336</v>
      </c>
      <c r="AH30" s="17" t="s">
        <v>1336</v>
      </c>
      <c r="AI30" s="17" t="s">
        <v>1328</v>
      </c>
      <c r="AJ30" s="17" t="s">
        <v>1336</v>
      </c>
      <c r="AK30" s="17" t="s">
        <v>1404</v>
      </c>
      <c r="AL30" s="17" t="s">
        <v>1351</v>
      </c>
      <c r="AM30" s="17" t="s">
        <v>1363</v>
      </c>
      <c r="AN30" s="17" t="s">
        <v>1331</v>
      </c>
      <c r="AO30" s="17" t="s">
        <v>1328</v>
      </c>
      <c r="AP30" s="17" t="str">
        <f t="shared" si="7"/>
        <v>intermediate</v>
      </c>
      <c r="AQ30" s="20"/>
    </row>
    <row r="31" ht="15.75" customHeight="1">
      <c r="A31" s="16" t="s">
        <v>1546</v>
      </c>
      <c r="B31" s="16" t="s">
        <v>1540</v>
      </c>
      <c r="C31" s="16">
        <v>2016.0</v>
      </c>
      <c r="D31" s="16" t="s">
        <v>1547</v>
      </c>
      <c r="E31" s="16" t="s">
        <v>1548</v>
      </c>
      <c r="F31" s="16" t="s">
        <v>1549</v>
      </c>
      <c r="G31" s="16" t="str">
        <f t="shared" si="1"/>
        <v>No</v>
      </c>
      <c r="H31" s="16" t="s">
        <v>1324</v>
      </c>
      <c r="I31" s="16" t="s">
        <v>1324</v>
      </c>
      <c r="J31" s="16">
        <v>199.0</v>
      </c>
      <c r="K31" s="17" t="s">
        <v>1550</v>
      </c>
      <c r="L31" s="18" t="str">
        <f t="shared" si="2"/>
        <v>http://dx.doi.org/10.1111/jvs.12423</v>
      </c>
      <c r="M31" s="19" t="s">
        <v>1346</v>
      </c>
      <c r="N31" s="17" t="s">
        <v>1387</v>
      </c>
      <c r="O31" s="17" t="s">
        <v>1328</v>
      </c>
      <c r="P31" s="17" t="s">
        <v>1328</v>
      </c>
      <c r="Q31" s="17" t="s">
        <v>1328</v>
      </c>
      <c r="R31" s="17" t="s">
        <v>1328</v>
      </c>
      <c r="S31" s="17" t="s">
        <v>1328</v>
      </c>
      <c r="T31" s="20" t="str">
        <f t="shared" si="3"/>
        <v>Yes</v>
      </c>
      <c r="U31" s="19" t="str">
        <f t="shared" si="4"/>
        <v>MW</v>
      </c>
      <c r="V31" s="17" t="str">
        <f t="shared" si="5"/>
        <v>Yes</v>
      </c>
      <c r="W31" s="17" t="s">
        <v>1329</v>
      </c>
      <c r="X31" s="17" t="s">
        <v>1330</v>
      </c>
      <c r="Y31" s="17" t="s">
        <v>1331</v>
      </c>
      <c r="Z31" s="17" t="s">
        <v>1347</v>
      </c>
      <c r="AA31" s="17" t="s">
        <v>1333</v>
      </c>
      <c r="AB31" s="17" t="s">
        <v>1381</v>
      </c>
      <c r="AC31" s="17" t="s">
        <v>1362</v>
      </c>
      <c r="AD31" s="17">
        <f t="shared" si="6"/>
        <v>2</v>
      </c>
      <c r="AE31" s="17" t="s">
        <v>1328</v>
      </c>
      <c r="AF31" s="17" t="s">
        <v>1328</v>
      </c>
      <c r="AG31" s="17" t="s">
        <v>1336</v>
      </c>
      <c r="AH31" s="17" t="s">
        <v>1336</v>
      </c>
      <c r="AI31" s="17" t="s">
        <v>1336</v>
      </c>
      <c r="AJ31" s="17" t="s">
        <v>1336</v>
      </c>
      <c r="AK31" s="17" t="s">
        <v>1350</v>
      </c>
      <c r="AL31" s="17" t="s">
        <v>1351</v>
      </c>
      <c r="AM31" s="17" t="s">
        <v>1339</v>
      </c>
      <c r="AN31" s="17" t="s">
        <v>1331</v>
      </c>
      <c r="AO31" s="17" t="s">
        <v>1328</v>
      </c>
      <c r="AP31" s="17" t="str">
        <f t="shared" si="7"/>
        <v>intermediate</v>
      </c>
      <c r="AQ31" s="20"/>
    </row>
    <row r="32" ht="15.75" customHeight="1">
      <c r="A32" s="16" t="s">
        <v>1551</v>
      </c>
      <c r="B32" s="16" t="s">
        <v>1552</v>
      </c>
      <c r="C32" s="16">
        <v>2017.0</v>
      </c>
      <c r="D32" s="16" t="s">
        <v>1553</v>
      </c>
      <c r="E32" s="16" t="s">
        <v>1554</v>
      </c>
      <c r="F32" s="16" t="s">
        <v>1555</v>
      </c>
      <c r="G32" s="16" t="str">
        <f t="shared" si="1"/>
        <v>No</v>
      </c>
      <c r="H32" s="16" t="s">
        <v>1324</v>
      </c>
      <c r="I32" s="16" t="s">
        <v>1324</v>
      </c>
      <c r="J32" s="16">
        <v>87.0</v>
      </c>
      <c r="K32" s="17" t="s">
        <v>1556</v>
      </c>
      <c r="L32" s="18" t="str">
        <f t="shared" si="2"/>
        <v>http://dx.doi.org/10.1111/jofo.12204</v>
      </c>
      <c r="M32" s="19" t="s">
        <v>1482</v>
      </c>
      <c r="N32" s="17" t="s">
        <v>1417</v>
      </c>
      <c r="O32" s="17" t="s">
        <v>1328</v>
      </c>
      <c r="P32" s="17" t="s">
        <v>1328</v>
      </c>
      <c r="Q32" s="17" t="s">
        <v>1328</v>
      </c>
      <c r="R32" s="17" t="s">
        <v>1328</v>
      </c>
      <c r="S32" s="17" t="s">
        <v>1328</v>
      </c>
      <c r="T32" s="20" t="str">
        <f t="shared" si="3"/>
        <v>Yes</v>
      </c>
      <c r="U32" s="19" t="str">
        <f t="shared" si="4"/>
        <v>NT</v>
      </c>
      <c r="V32" s="17" t="str">
        <f t="shared" si="5"/>
        <v>Yes</v>
      </c>
      <c r="W32" s="17" t="s">
        <v>1329</v>
      </c>
      <c r="X32" s="17" t="s">
        <v>1331</v>
      </c>
      <c r="Y32" s="17" t="s">
        <v>1330</v>
      </c>
      <c r="Z32" s="17" t="s">
        <v>1347</v>
      </c>
      <c r="AA32" s="17" t="s">
        <v>1333</v>
      </c>
      <c r="AB32" s="17" t="s">
        <v>1348</v>
      </c>
      <c r="AC32" s="17" t="s">
        <v>1362</v>
      </c>
      <c r="AD32" s="17">
        <f t="shared" si="6"/>
        <v>2</v>
      </c>
      <c r="AE32" s="17" t="s">
        <v>1328</v>
      </c>
      <c r="AF32" s="17" t="s">
        <v>1328</v>
      </c>
      <c r="AG32" s="17" t="s">
        <v>1336</v>
      </c>
      <c r="AH32" s="17" t="s">
        <v>1336</v>
      </c>
      <c r="AI32" s="17" t="s">
        <v>1336</v>
      </c>
      <c r="AJ32" s="17" t="s">
        <v>1336</v>
      </c>
      <c r="AK32" s="17" t="s">
        <v>1395</v>
      </c>
      <c r="AL32" s="17" t="s">
        <v>1338</v>
      </c>
      <c r="AM32" s="17" t="s">
        <v>1339</v>
      </c>
      <c r="AN32" s="17" t="s">
        <v>1331</v>
      </c>
      <c r="AO32" s="17" t="s">
        <v>1328</v>
      </c>
      <c r="AP32" s="17" t="str">
        <f t="shared" si="7"/>
        <v>intermediate</v>
      </c>
      <c r="AQ32" s="20"/>
    </row>
    <row r="33" ht="15.75" customHeight="1">
      <c r="A33" s="16" t="s">
        <v>1557</v>
      </c>
      <c r="B33" s="16" t="s">
        <v>1558</v>
      </c>
      <c r="C33" s="16">
        <v>2017.0</v>
      </c>
      <c r="D33" s="16" t="s">
        <v>1559</v>
      </c>
      <c r="E33" s="16" t="s">
        <v>1560</v>
      </c>
      <c r="F33" s="16" t="s">
        <v>1561</v>
      </c>
      <c r="G33" s="16" t="str">
        <f t="shared" si="1"/>
        <v>No</v>
      </c>
      <c r="H33" s="16" t="s">
        <v>1324</v>
      </c>
      <c r="I33" s="16" t="s">
        <v>1324</v>
      </c>
      <c r="J33" s="16">
        <v>124.0</v>
      </c>
      <c r="K33" s="17" t="s">
        <v>1562</v>
      </c>
      <c r="L33" s="18" t="str">
        <f t="shared" si="2"/>
        <v>http://dx.doi.org/10.1111/jbi.12808</v>
      </c>
      <c r="M33" s="19" t="s">
        <v>1495</v>
      </c>
      <c r="N33" s="17" t="s">
        <v>1371</v>
      </c>
      <c r="O33" s="17" t="s">
        <v>1328</v>
      </c>
      <c r="P33" s="17" t="s">
        <v>1328</v>
      </c>
      <c r="Q33" s="17" t="s">
        <v>1328</v>
      </c>
      <c r="R33" s="17" t="s">
        <v>1328</v>
      </c>
      <c r="S33" s="17" t="s">
        <v>1328</v>
      </c>
      <c r="T33" s="20" t="str">
        <f t="shared" si="3"/>
        <v>Yes</v>
      </c>
      <c r="U33" s="19" t="str">
        <f t="shared" si="4"/>
        <v>LC</v>
      </c>
      <c r="V33" s="17" t="str">
        <f t="shared" si="5"/>
        <v>Yes</v>
      </c>
      <c r="W33" s="17" t="s">
        <v>1329</v>
      </c>
      <c r="X33" s="17" t="s">
        <v>1330</v>
      </c>
      <c r="Y33" s="17" t="s">
        <v>1372</v>
      </c>
      <c r="Z33" s="17" t="s">
        <v>1332</v>
      </c>
      <c r="AA33" s="17" t="s">
        <v>1444</v>
      </c>
      <c r="AB33" s="17" t="s">
        <v>1445</v>
      </c>
      <c r="AC33" s="17" t="s">
        <v>1464</v>
      </c>
      <c r="AD33" s="17">
        <f t="shared" si="6"/>
        <v>2</v>
      </c>
      <c r="AE33" s="17" t="s">
        <v>1328</v>
      </c>
      <c r="AF33" s="17" t="s">
        <v>1336</v>
      </c>
      <c r="AG33" s="17" t="s">
        <v>1336</v>
      </c>
      <c r="AH33" s="17" t="s">
        <v>1328</v>
      </c>
      <c r="AI33" s="17" t="s">
        <v>1336</v>
      </c>
      <c r="AJ33" s="17" t="s">
        <v>1336</v>
      </c>
      <c r="AK33" s="17" t="s">
        <v>1350</v>
      </c>
      <c r="AL33" s="17" t="s">
        <v>1351</v>
      </c>
      <c r="AM33" s="17" t="s">
        <v>1363</v>
      </c>
      <c r="AN33" s="17" t="s">
        <v>1388</v>
      </c>
      <c r="AO33" s="17" t="s">
        <v>1328</v>
      </c>
      <c r="AP33" s="17" t="str">
        <f t="shared" si="7"/>
        <v>high</v>
      </c>
      <c r="AQ33" s="20"/>
    </row>
    <row r="34" ht="15.75" customHeight="1">
      <c r="A34" s="16" t="s">
        <v>1563</v>
      </c>
      <c r="B34" s="16" t="s">
        <v>1558</v>
      </c>
      <c r="C34" s="16">
        <v>2013.0</v>
      </c>
      <c r="D34" s="16" t="s">
        <v>1564</v>
      </c>
      <c r="E34" s="16" t="s">
        <v>1565</v>
      </c>
      <c r="F34" s="16" t="s">
        <v>1566</v>
      </c>
      <c r="G34" s="16" t="str">
        <f t="shared" si="1"/>
        <v>No</v>
      </c>
      <c r="H34" s="16" t="s">
        <v>1324</v>
      </c>
      <c r="I34" s="16" t="s">
        <v>1324</v>
      </c>
      <c r="J34" s="16">
        <v>154.0</v>
      </c>
      <c r="K34" s="17" t="s">
        <v>1567</v>
      </c>
      <c r="L34" s="18" t="str">
        <f t="shared" si="2"/>
        <v>http://dx.doi.org/10.1111/jbi.12105</v>
      </c>
      <c r="M34" s="19" t="s">
        <v>1346</v>
      </c>
      <c r="N34" s="17" t="s">
        <v>1371</v>
      </c>
      <c r="O34" s="17" t="s">
        <v>1328</v>
      </c>
      <c r="P34" s="17" t="s">
        <v>1328</v>
      </c>
      <c r="Q34" s="17" t="s">
        <v>1328</v>
      </c>
      <c r="R34" s="17" t="s">
        <v>1328</v>
      </c>
      <c r="S34" s="17" t="s">
        <v>1328</v>
      </c>
      <c r="T34" s="20" t="str">
        <f t="shared" si="3"/>
        <v>Yes</v>
      </c>
      <c r="U34" s="19" t="str">
        <f t="shared" si="4"/>
        <v>LC</v>
      </c>
      <c r="V34" s="17" t="str">
        <f t="shared" si="5"/>
        <v>Yes</v>
      </c>
      <c r="W34" s="17" t="s">
        <v>1329</v>
      </c>
      <c r="X34" s="17" t="s">
        <v>1372</v>
      </c>
      <c r="Y34" s="17" t="s">
        <v>1331</v>
      </c>
      <c r="Z34" s="17" t="s">
        <v>1347</v>
      </c>
      <c r="AA34" s="17" t="s">
        <v>1333</v>
      </c>
      <c r="AB34" s="17" t="s">
        <v>1361</v>
      </c>
      <c r="AC34" s="17" t="s">
        <v>1362</v>
      </c>
      <c r="AD34" s="17">
        <f t="shared" si="6"/>
        <v>2</v>
      </c>
      <c r="AE34" s="17" t="s">
        <v>1328</v>
      </c>
      <c r="AF34" s="17" t="s">
        <v>1336</v>
      </c>
      <c r="AG34" s="17" t="s">
        <v>1328</v>
      </c>
      <c r="AH34" s="17" t="s">
        <v>1336</v>
      </c>
      <c r="AI34" s="17" t="s">
        <v>1336</v>
      </c>
      <c r="AJ34" s="17" t="s">
        <v>1336</v>
      </c>
      <c r="AK34" s="17" t="s">
        <v>1350</v>
      </c>
      <c r="AL34" s="17" t="s">
        <v>1351</v>
      </c>
      <c r="AM34" s="17" t="s">
        <v>1363</v>
      </c>
      <c r="AN34" s="17" t="s">
        <v>1388</v>
      </c>
      <c r="AO34" s="17" t="s">
        <v>1328</v>
      </c>
      <c r="AP34" s="17" t="str">
        <f t="shared" si="7"/>
        <v>intermediate</v>
      </c>
      <c r="AQ34" s="20"/>
    </row>
    <row r="35" ht="15.75" customHeight="1">
      <c r="A35" s="16" t="s">
        <v>1568</v>
      </c>
      <c r="B35" s="16" t="s">
        <v>1569</v>
      </c>
      <c r="C35" s="16">
        <v>2013.0</v>
      </c>
      <c r="D35" s="16" t="s">
        <v>1570</v>
      </c>
      <c r="E35" s="16" t="s">
        <v>1571</v>
      </c>
      <c r="F35" s="16" t="s">
        <v>1572</v>
      </c>
      <c r="G35" s="16" t="str">
        <f t="shared" si="1"/>
        <v>No</v>
      </c>
      <c r="H35" s="16" t="s">
        <v>1324</v>
      </c>
      <c r="I35" s="16" t="s">
        <v>1324</v>
      </c>
      <c r="J35" s="16">
        <v>24.0</v>
      </c>
      <c r="K35" s="17" t="s">
        <v>1573</v>
      </c>
      <c r="L35" s="18" t="str">
        <f t="shared" si="2"/>
        <v>http://dx.doi.org/10.1111/j.1752-4598.2012.00186.x</v>
      </c>
      <c r="M35" s="19" t="s">
        <v>1482</v>
      </c>
      <c r="N35" s="17" t="s">
        <v>1417</v>
      </c>
      <c r="O35" s="17" t="s">
        <v>1328</v>
      </c>
      <c r="P35" s="17" t="s">
        <v>1328</v>
      </c>
      <c r="Q35" s="17" t="s">
        <v>1328</v>
      </c>
      <c r="R35" s="17" t="s">
        <v>1328</v>
      </c>
      <c r="S35" s="17" t="s">
        <v>1328</v>
      </c>
      <c r="T35" s="20" t="str">
        <f t="shared" si="3"/>
        <v>Yes</v>
      </c>
      <c r="U35" s="19" t="str">
        <f t="shared" si="4"/>
        <v>NT</v>
      </c>
      <c r="V35" s="17" t="str">
        <f t="shared" si="5"/>
        <v>Yes</v>
      </c>
      <c r="W35" s="17" t="s">
        <v>1443</v>
      </c>
      <c r="X35" s="17" t="s">
        <v>1331</v>
      </c>
      <c r="Y35" s="17" t="s">
        <v>1372</v>
      </c>
      <c r="Z35" s="17" t="s">
        <v>1337</v>
      </c>
      <c r="AA35" s="17" t="s">
        <v>1360</v>
      </c>
      <c r="AB35" s="17" t="s">
        <v>1361</v>
      </c>
      <c r="AC35" s="17" t="s">
        <v>1362</v>
      </c>
      <c r="AD35" s="17">
        <f t="shared" si="6"/>
        <v>5</v>
      </c>
      <c r="AE35" s="17" t="s">
        <v>1328</v>
      </c>
      <c r="AF35" s="17" t="s">
        <v>1328</v>
      </c>
      <c r="AG35" s="17" t="s">
        <v>1328</v>
      </c>
      <c r="AH35" s="17" t="s">
        <v>1328</v>
      </c>
      <c r="AI35" s="17" t="s">
        <v>1328</v>
      </c>
      <c r="AJ35" s="17" t="s">
        <v>1336</v>
      </c>
      <c r="AK35" s="17" t="s">
        <v>1337</v>
      </c>
      <c r="AL35" s="17" t="s">
        <v>1338</v>
      </c>
      <c r="AM35" s="17" t="s">
        <v>1339</v>
      </c>
      <c r="AN35" s="17" t="s">
        <v>1331</v>
      </c>
      <c r="AO35" s="17" t="s">
        <v>1328</v>
      </c>
      <c r="AP35" s="17" t="str">
        <f t="shared" si="7"/>
        <v>intermediate</v>
      </c>
      <c r="AQ35" s="20"/>
    </row>
    <row r="36" ht="15.75" customHeight="1">
      <c r="A36" s="16" t="s">
        <v>1574</v>
      </c>
      <c r="B36" s="16" t="s">
        <v>1575</v>
      </c>
      <c r="C36" s="16">
        <v>2013.0</v>
      </c>
      <c r="D36" s="16" t="s">
        <v>1576</v>
      </c>
      <c r="E36" s="16" t="s">
        <v>1577</v>
      </c>
      <c r="F36" s="16" t="s">
        <v>1578</v>
      </c>
      <c r="G36" s="16" t="str">
        <f t="shared" si="1"/>
        <v>No</v>
      </c>
      <c r="H36" s="16" t="s">
        <v>1324</v>
      </c>
      <c r="I36" s="16" t="s">
        <v>1324</v>
      </c>
      <c r="J36" s="16">
        <v>16.0</v>
      </c>
      <c r="K36" s="17" t="s">
        <v>1579</v>
      </c>
      <c r="L36" s="18" t="str">
        <f t="shared" si="2"/>
        <v>http://dx.doi.org/10.1111/j.1600-0706.2012.20696.x</v>
      </c>
      <c r="M36" s="19" t="s">
        <v>1580</v>
      </c>
      <c r="N36" s="17" t="s">
        <v>1387</v>
      </c>
      <c r="O36" s="17" t="s">
        <v>1328</v>
      </c>
      <c r="P36" s="17" t="s">
        <v>1328</v>
      </c>
      <c r="Q36" s="17" t="s">
        <v>1328</v>
      </c>
      <c r="R36" s="17" t="s">
        <v>1328</v>
      </c>
      <c r="S36" s="17" t="s">
        <v>1328</v>
      </c>
      <c r="T36" s="20" t="str">
        <f t="shared" si="3"/>
        <v>Yes</v>
      </c>
      <c r="U36" s="19" t="str">
        <f t="shared" si="4"/>
        <v>MW</v>
      </c>
      <c r="V36" s="17" t="str">
        <f t="shared" si="5"/>
        <v>Yes</v>
      </c>
      <c r="W36" s="17" t="s">
        <v>1329</v>
      </c>
      <c r="X36" s="17" t="s">
        <v>1330</v>
      </c>
      <c r="Y36" s="17" t="s">
        <v>1331</v>
      </c>
      <c r="Z36" s="17" t="s">
        <v>1332</v>
      </c>
      <c r="AA36" s="17" t="s">
        <v>1333</v>
      </c>
      <c r="AB36" s="17" t="s">
        <v>1348</v>
      </c>
      <c r="AC36" s="17" t="s">
        <v>1530</v>
      </c>
      <c r="AD36" s="17">
        <f t="shared" si="6"/>
        <v>4</v>
      </c>
      <c r="AE36" s="17" t="s">
        <v>1336</v>
      </c>
      <c r="AF36" s="17" t="s">
        <v>1328</v>
      </c>
      <c r="AG36" s="17" t="s">
        <v>1336</v>
      </c>
      <c r="AH36" s="17" t="s">
        <v>1328</v>
      </c>
      <c r="AI36" s="17" t="s">
        <v>1328</v>
      </c>
      <c r="AJ36" s="17" t="s">
        <v>1328</v>
      </c>
      <c r="AK36" s="17" t="s">
        <v>1350</v>
      </c>
      <c r="AL36" s="17" t="s">
        <v>1351</v>
      </c>
      <c r="AM36" s="17" t="s">
        <v>1363</v>
      </c>
      <c r="AN36" s="17" t="s">
        <v>1388</v>
      </c>
      <c r="AO36" s="17" t="s">
        <v>1328</v>
      </c>
      <c r="AP36" s="17" t="str">
        <f t="shared" si="7"/>
        <v>intermediate</v>
      </c>
      <c r="AQ36" s="20"/>
    </row>
    <row r="37" ht="15.75" customHeight="1">
      <c r="A37" s="16" t="s">
        <v>1581</v>
      </c>
      <c r="B37" s="16" t="s">
        <v>1575</v>
      </c>
      <c r="C37" s="16">
        <v>2013.0</v>
      </c>
      <c r="D37" s="16" t="s">
        <v>1582</v>
      </c>
      <c r="E37" s="16" t="s">
        <v>1583</v>
      </c>
      <c r="F37" s="16" t="s">
        <v>1584</v>
      </c>
      <c r="G37" s="16" t="str">
        <f t="shared" si="1"/>
        <v>No</v>
      </c>
      <c r="H37" s="16" t="s">
        <v>1324</v>
      </c>
      <c r="I37" s="16" t="s">
        <v>1324</v>
      </c>
      <c r="J37" s="16">
        <v>15.0</v>
      </c>
      <c r="K37" s="17" t="s">
        <v>1585</v>
      </c>
      <c r="L37" s="18" t="str">
        <f t="shared" si="2"/>
        <v>http://dx.doi.org/10.1111/j.1600-0706.2012.19858.x</v>
      </c>
      <c r="M37" s="19" t="s">
        <v>1416</v>
      </c>
      <c r="N37" s="17" t="s">
        <v>1403</v>
      </c>
      <c r="O37" s="17" t="s">
        <v>1328</v>
      </c>
      <c r="P37" s="17" t="s">
        <v>1328</v>
      </c>
      <c r="Q37" s="17" t="s">
        <v>1328</v>
      </c>
      <c r="R37" s="17" t="s">
        <v>1328</v>
      </c>
      <c r="S37" s="17" t="s">
        <v>1328</v>
      </c>
      <c r="T37" s="20" t="str">
        <f t="shared" si="3"/>
        <v>Yes</v>
      </c>
      <c r="U37" s="19" t="str">
        <f t="shared" si="4"/>
        <v>DB</v>
      </c>
      <c r="V37" s="17" t="str">
        <f t="shared" si="5"/>
        <v>Yes</v>
      </c>
      <c r="W37" s="17" t="s">
        <v>1329</v>
      </c>
      <c r="X37" s="17" t="s">
        <v>1330</v>
      </c>
      <c r="Y37" s="17" t="s">
        <v>1331</v>
      </c>
      <c r="Z37" s="17" t="s">
        <v>1347</v>
      </c>
      <c r="AA37" s="17" t="s">
        <v>1333</v>
      </c>
      <c r="AB37" s="17" t="s">
        <v>1361</v>
      </c>
      <c r="AC37" s="17" t="s">
        <v>1530</v>
      </c>
      <c r="AD37" s="17">
        <f t="shared" si="6"/>
        <v>2</v>
      </c>
      <c r="AE37" s="17" t="s">
        <v>1328</v>
      </c>
      <c r="AF37" s="17" t="s">
        <v>1336</v>
      </c>
      <c r="AG37" s="17" t="s">
        <v>1336</v>
      </c>
      <c r="AH37" s="17" t="s">
        <v>1336</v>
      </c>
      <c r="AI37" s="17" t="s">
        <v>1328</v>
      </c>
      <c r="AJ37" s="17" t="s">
        <v>1336</v>
      </c>
      <c r="AK37" s="17" t="s">
        <v>1350</v>
      </c>
      <c r="AL37" s="17" t="s">
        <v>1351</v>
      </c>
      <c r="AM37" s="17" t="s">
        <v>1363</v>
      </c>
      <c r="AN37" s="17" t="s">
        <v>1374</v>
      </c>
      <c r="AO37" s="17" t="s">
        <v>1328</v>
      </c>
      <c r="AP37" s="17" t="str">
        <f t="shared" si="7"/>
        <v>intermediate</v>
      </c>
      <c r="AQ37" s="20"/>
    </row>
    <row r="38" ht="15.75" customHeight="1">
      <c r="A38" s="16" t="s">
        <v>1586</v>
      </c>
      <c r="B38" s="16" t="s">
        <v>1587</v>
      </c>
      <c r="C38" s="16">
        <v>2009.0</v>
      </c>
      <c r="D38" s="16" t="s">
        <v>1588</v>
      </c>
      <c r="E38" s="16" t="s">
        <v>1589</v>
      </c>
      <c r="F38" s="16" t="s">
        <v>1590</v>
      </c>
      <c r="G38" s="16" t="str">
        <f t="shared" si="1"/>
        <v>No</v>
      </c>
      <c r="H38" s="16" t="s">
        <v>1324</v>
      </c>
      <c r="I38" s="16" t="s">
        <v>1324</v>
      </c>
      <c r="J38" s="16">
        <v>3.0</v>
      </c>
      <c r="K38" s="17" t="s">
        <v>1591</v>
      </c>
      <c r="L38" s="18" t="str">
        <f t="shared" si="2"/>
        <v>http://dx.doi.org/10.1111/j.1523-1739.2009.01336.x</v>
      </c>
      <c r="M38" s="19" t="s">
        <v>1326</v>
      </c>
      <c r="N38" s="17" t="s">
        <v>1327</v>
      </c>
      <c r="O38" s="17" t="s">
        <v>1328</v>
      </c>
      <c r="P38" s="17" t="s">
        <v>1328</v>
      </c>
      <c r="Q38" s="17" t="s">
        <v>1328</v>
      </c>
      <c r="R38" s="17" t="s">
        <v>1328</v>
      </c>
      <c r="S38" s="17" t="s">
        <v>1328</v>
      </c>
      <c r="T38" s="20" t="str">
        <f t="shared" si="3"/>
        <v>Yes</v>
      </c>
      <c r="U38" s="19" t="str">
        <f t="shared" si="4"/>
        <v>PJ</v>
      </c>
      <c r="V38" s="17" t="str">
        <f t="shared" si="5"/>
        <v>Yes</v>
      </c>
      <c r="W38" s="17" t="s">
        <v>1329</v>
      </c>
      <c r="X38" s="17" t="s">
        <v>1330</v>
      </c>
      <c r="Y38" s="17" t="s">
        <v>1331</v>
      </c>
      <c r="Z38" s="17" t="s">
        <v>1347</v>
      </c>
      <c r="AA38" s="17" t="s">
        <v>1444</v>
      </c>
      <c r="AB38" s="17" t="s">
        <v>1476</v>
      </c>
      <c r="AC38" s="17" t="s">
        <v>1446</v>
      </c>
      <c r="AD38" s="17">
        <f t="shared" si="6"/>
        <v>6</v>
      </c>
      <c r="AE38" s="17" t="s">
        <v>1328</v>
      </c>
      <c r="AF38" s="17" t="s">
        <v>1328</v>
      </c>
      <c r="AG38" s="17" t="s">
        <v>1328</v>
      </c>
      <c r="AH38" s="17" t="s">
        <v>1328</v>
      </c>
      <c r="AI38" s="17" t="s">
        <v>1328</v>
      </c>
      <c r="AJ38" s="17" t="s">
        <v>1328</v>
      </c>
      <c r="AK38" s="17" t="s">
        <v>1395</v>
      </c>
      <c r="AL38" s="17" t="s">
        <v>1351</v>
      </c>
      <c r="AM38" s="17" t="s">
        <v>1363</v>
      </c>
      <c r="AN38" s="17" t="s">
        <v>1374</v>
      </c>
      <c r="AO38" s="17" t="s">
        <v>1328</v>
      </c>
      <c r="AP38" s="17" t="str">
        <f t="shared" si="7"/>
        <v>high</v>
      </c>
      <c r="AQ38" s="20"/>
    </row>
    <row r="39" ht="15.75" customHeight="1">
      <c r="A39" s="16" t="s">
        <v>1592</v>
      </c>
      <c r="B39" s="16" t="s">
        <v>1593</v>
      </c>
      <c r="C39" s="16">
        <v>2010.0</v>
      </c>
      <c r="D39" s="16" t="s">
        <v>1594</v>
      </c>
      <c r="E39" s="16" t="s">
        <v>1595</v>
      </c>
      <c r="F39" s="16" t="s">
        <v>1596</v>
      </c>
      <c r="G39" s="16" t="str">
        <f t="shared" si="1"/>
        <v>No</v>
      </c>
      <c r="H39" s="16" t="s">
        <v>1324</v>
      </c>
      <c r="I39" s="16" t="s">
        <v>1324</v>
      </c>
      <c r="J39" s="16">
        <v>43.0</v>
      </c>
      <c r="K39" s="17" t="s">
        <v>1597</v>
      </c>
      <c r="L39" s="18" t="str">
        <f t="shared" si="2"/>
        <v>http://dx.doi.org/10.1111/j.1472-4642.2009.00633.x</v>
      </c>
      <c r="M39" s="19" t="s">
        <v>1442</v>
      </c>
      <c r="N39" s="17" t="s">
        <v>1327</v>
      </c>
      <c r="O39" s="17" t="s">
        <v>1328</v>
      </c>
      <c r="P39" s="17" t="s">
        <v>1328</v>
      </c>
      <c r="Q39" s="17" t="s">
        <v>1328</v>
      </c>
      <c r="R39" s="17" t="s">
        <v>1328</v>
      </c>
      <c r="S39" s="17" t="s">
        <v>1328</v>
      </c>
      <c r="T39" s="20" t="str">
        <f t="shared" si="3"/>
        <v>Yes</v>
      </c>
      <c r="U39" s="19" t="str">
        <f t="shared" si="4"/>
        <v>PJ</v>
      </c>
      <c r="V39" s="17" t="str">
        <f t="shared" si="5"/>
        <v>Yes</v>
      </c>
      <c r="W39" s="17" t="s">
        <v>1443</v>
      </c>
      <c r="X39" s="17" t="s">
        <v>1330</v>
      </c>
      <c r="Y39" s="17" t="s">
        <v>1331</v>
      </c>
      <c r="Z39" s="17" t="s">
        <v>1347</v>
      </c>
      <c r="AA39" s="17" t="s">
        <v>1444</v>
      </c>
      <c r="AB39" s="17" t="s">
        <v>1445</v>
      </c>
      <c r="AC39" s="17" t="s">
        <v>1446</v>
      </c>
      <c r="AD39" s="17">
        <f t="shared" si="6"/>
        <v>6</v>
      </c>
      <c r="AE39" s="17" t="s">
        <v>1328</v>
      </c>
      <c r="AF39" s="17" t="s">
        <v>1328</v>
      </c>
      <c r="AG39" s="17" t="s">
        <v>1328</v>
      </c>
      <c r="AH39" s="17" t="s">
        <v>1328</v>
      </c>
      <c r="AI39" s="17" t="s">
        <v>1328</v>
      </c>
      <c r="AJ39" s="17" t="s">
        <v>1328</v>
      </c>
      <c r="AK39" s="17" t="s">
        <v>1395</v>
      </c>
      <c r="AL39" s="17" t="s">
        <v>1351</v>
      </c>
      <c r="AM39" s="17" t="s">
        <v>1363</v>
      </c>
      <c r="AN39" s="17" t="s">
        <v>1331</v>
      </c>
      <c r="AO39" s="17" t="s">
        <v>1328</v>
      </c>
      <c r="AP39" s="17" t="str">
        <f t="shared" si="7"/>
        <v>high</v>
      </c>
      <c r="AQ39" s="20"/>
    </row>
    <row r="40" ht="15.75" customHeight="1">
      <c r="A40" s="16" t="s">
        <v>1598</v>
      </c>
      <c r="B40" s="16" t="s">
        <v>1120</v>
      </c>
      <c r="C40" s="16">
        <v>2010.0</v>
      </c>
      <c r="D40" s="16" t="s">
        <v>1599</v>
      </c>
      <c r="E40" s="16" t="s">
        <v>1600</v>
      </c>
      <c r="F40" s="16" t="s">
        <v>1601</v>
      </c>
      <c r="G40" s="16" t="str">
        <f t="shared" si="1"/>
        <v>No</v>
      </c>
      <c r="H40" s="16" t="s">
        <v>1324</v>
      </c>
      <c r="I40" s="16" t="s">
        <v>1324</v>
      </c>
      <c r="J40" s="16">
        <v>4.0</v>
      </c>
      <c r="K40" s="17" t="s">
        <v>1602</v>
      </c>
      <c r="L40" s="18" t="str">
        <f t="shared" si="2"/>
        <v>http://dx.doi.org/10.1111/j.1469-1795.2010.00369.x</v>
      </c>
      <c r="M40" s="19" t="s">
        <v>1482</v>
      </c>
      <c r="N40" s="17" t="s">
        <v>1371</v>
      </c>
      <c r="O40" s="17" t="s">
        <v>1328</v>
      </c>
      <c r="P40" s="17" t="s">
        <v>1328</v>
      </c>
      <c r="Q40" s="17" t="s">
        <v>1328</v>
      </c>
      <c r="R40" s="17" t="s">
        <v>1328</v>
      </c>
      <c r="S40" s="17" t="s">
        <v>1328</v>
      </c>
      <c r="T40" s="20" t="str">
        <f t="shared" si="3"/>
        <v>Yes</v>
      </c>
      <c r="U40" s="19" t="str">
        <f t="shared" si="4"/>
        <v>LC</v>
      </c>
      <c r="V40" s="17" t="str">
        <f t="shared" si="5"/>
        <v>Yes</v>
      </c>
      <c r="W40" s="17" t="s">
        <v>1329</v>
      </c>
      <c r="X40" s="17" t="s">
        <v>1330</v>
      </c>
      <c r="Y40" s="17" t="s">
        <v>1331</v>
      </c>
      <c r="Z40" s="17" t="s">
        <v>1347</v>
      </c>
      <c r="AA40" s="17" t="s">
        <v>1333</v>
      </c>
      <c r="AB40" s="17" t="s">
        <v>1334</v>
      </c>
      <c r="AC40" s="17" t="s">
        <v>1362</v>
      </c>
      <c r="AD40" s="17">
        <f t="shared" si="6"/>
        <v>2</v>
      </c>
      <c r="AE40" s="17" t="s">
        <v>1336</v>
      </c>
      <c r="AF40" s="17" t="s">
        <v>1328</v>
      </c>
      <c r="AG40" s="17" t="s">
        <v>1336</v>
      </c>
      <c r="AH40" s="17" t="s">
        <v>1336</v>
      </c>
      <c r="AI40" s="17" t="s">
        <v>1336</v>
      </c>
      <c r="AJ40" s="17" t="s">
        <v>1328</v>
      </c>
      <c r="AK40" s="17" t="s">
        <v>1350</v>
      </c>
      <c r="AL40" s="17" t="s">
        <v>1351</v>
      </c>
      <c r="AM40" s="17" t="s">
        <v>1363</v>
      </c>
      <c r="AN40" s="17" t="s">
        <v>1374</v>
      </c>
      <c r="AO40" s="17" t="s">
        <v>1328</v>
      </c>
      <c r="AP40" s="17" t="str">
        <f t="shared" si="7"/>
        <v>intermediate</v>
      </c>
      <c r="AQ40" s="20"/>
    </row>
    <row r="41" ht="15.75" customHeight="1">
      <c r="A41" s="16" t="s">
        <v>1603</v>
      </c>
      <c r="B41" s="16" t="s">
        <v>1253</v>
      </c>
      <c r="C41" s="16">
        <v>2011.0</v>
      </c>
      <c r="D41" s="16" t="s">
        <v>1604</v>
      </c>
      <c r="E41" s="16" t="s">
        <v>1605</v>
      </c>
      <c r="F41" s="16" t="s">
        <v>1606</v>
      </c>
      <c r="G41" s="16" t="str">
        <f t="shared" si="1"/>
        <v>No</v>
      </c>
      <c r="H41" s="16" t="s">
        <v>1324</v>
      </c>
      <c r="I41" s="16" t="s">
        <v>1324</v>
      </c>
      <c r="J41" s="16">
        <v>111.0</v>
      </c>
      <c r="K41" s="17" t="s">
        <v>1607</v>
      </c>
      <c r="L41" s="18" t="str">
        <f t="shared" si="2"/>
        <v>http://dx.doi.org/10.1111/j.1466-8238.2010.00575.x</v>
      </c>
      <c r="M41" s="19" t="s">
        <v>1346</v>
      </c>
      <c r="N41" s="17" t="s">
        <v>1417</v>
      </c>
      <c r="O41" s="17" t="s">
        <v>1328</v>
      </c>
      <c r="P41" s="17" t="s">
        <v>1328</v>
      </c>
      <c r="Q41" s="17" t="s">
        <v>1328</v>
      </c>
      <c r="R41" s="17" t="s">
        <v>1328</v>
      </c>
      <c r="S41" s="17" t="s">
        <v>1328</v>
      </c>
      <c r="T41" s="20" t="str">
        <f t="shared" si="3"/>
        <v>Yes</v>
      </c>
      <c r="U41" s="19" t="str">
        <f t="shared" si="4"/>
        <v>NT</v>
      </c>
      <c r="V41" s="17" t="str">
        <f t="shared" si="5"/>
        <v>Yes</v>
      </c>
      <c r="W41" s="17" t="s">
        <v>1329</v>
      </c>
      <c r="X41" s="17" t="s">
        <v>1331</v>
      </c>
      <c r="Y41" s="17" t="s">
        <v>1372</v>
      </c>
      <c r="Z41" s="17" t="s">
        <v>1347</v>
      </c>
      <c r="AA41" s="17" t="s">
        <v>1360</v>
      </c>
      <c r="AB41" s="17" t="s">
        <v>1381</v>
      </c>
      <c r="AC41" s="17" t="s">
        <v>1349</v>
      </c>
      <c r="AD41" s="17">
        <f t="shared" si="6"/>
        <v>3</v>
      </c>
      <c r="AE41" s="17" t="s">
        <v>1328</v>
      </c>
      <c r="AF41" s="17" t="s">
        <v>1328</v>
      </c>
      <c r="AG41" s="17" t="s">
        <v>1328</v>
      </c>
      <c r="AH41" s="17" t="s">
        <v>1336</v>
      </c>
      <c r="AI41" s="17" t="s">
        <v>1336</v>
      </c>
      <c r="AJ41" s="17" t="s">
        <v>1336</v>
      </c>
      <c r="AK41" s="17" t="s">
        <v>1350</v>
      </c>
      <c r="AL41" s="17" t="s">
        <v>1338</v>
      </c>
      <c r="AM41" s="17" t="s">
        <v>1339</v>
      </c>
      <c r="AN41" s="17" t="s">
        <v>1331</v>
      </c>
      <c r="AO41" s="17" t="s">
        <v>1328</v>
      </c>
      <c r="AP41" s="17" t="str">
        <f t="shared" si="7"/>
        <v>intermediate</v>
      </c>
      <c r="AQ41" s="20"/>
    </row>
    <row r="42" ht="15.75" customHeight="1">
      <c r="A42" s="16" t="s">
        <v>1608</v>
      </c>
      <c r="B42" s="16" t="s">
        <v>1609</v>
      </c>
      <c r="C42" s="16">
        <v>2009.0</v>
      </c>
      <c r="D42" s="16" t="s">
        <v>1610</v>
      </c>
      <c r="E42" s="16" t="s">
        <v>1611</v>
      </c>
      <c r="F42" s="16" t="s">
        <v>1612</v>
      </c>
      <c r="G42" s="16" t="str">
        <f t="shared" si="1"/>
        <v>No</v>
      </c>
      <c r="H42" s="16" t="s">
        <v>1324</v>
      </c>
      <c r="I42" s="16" t="s">
        <v>1324</v>
      </c>
      <c r="J42" s="16">
        <v>85.0</v>
      </c>
      <c r="K42" s="17" t="s">
        <v>1613</v>
      </c>
      <c r="L42" s="18" t="str">
        <f t="shared" si="2"/>
        <v>http://dx.doi.org/10.1111/j.1442-9993.2009.01979.x</v>
      </c>
      <c r="M42" s="19" t="s">
        <v>1614</v>
      </c>
      <c r="N42" s="17" t="s">
        <v>1470</v>
      </c>
      <c r="O42" s="17" t="s">
        <v>1328</v>
      </c>
      <c r="P42" s="17" t="s">
        <v>1328</v>
      </c>
      <c r="Q42" s="17" t="s">
        <v>1328</v>
      </c>
      <c r="R42" s="17" t="s">
        <v>1328</v>
      </c>
      <c r="S42" s="17" t="s">
        <v>1328</v>
      </c>
      <c r="T42" s="20" t="str">
        <f t="shared" si="3"/>
        <v>Yes</v>
      </c>
      <c r="U42" s="19" t="str">
        <f t="shared" si="4"/>
        <v>AG</v>
      </c>
      <c r="V42" s="17" t="str">
        <f t="shared" si="5"/>
        <v>Yes</v>
      </c>
      <c r="W42" s="17" t="s">
        <v>1329</v>
      </c>
      <c r="X42" s="17" t="s">
        <v>1372</v>
      </c>
      <c r="Y42" s="17" t="s">
        <v>1331</v>
      </c>
      <c r="Z42" s="17" t="s">
        <v>1332</v>
      </c>
      <c r="AA42" s="17" t="s">
        <v>1333</v>
      </c>
      <c r="AB42" s="17" t="s">
        <v>1381</v>
      </c>
      <c r="AC42" s="17" t="s">
        <v>1362</v>
      </c>
      <c r="AD42" s="17">
        <f t="shared" si="6"/>
        <v>2</v>
      </c>
      <c r="AE42" s="17" t="s">
        <v>1336</v>
      </c>
      <c r="AF42" s="17" t="s">
        <v>1328</v>
      </c>
      <c r="AG42" s="17" t="s">
        <v>1328</v>
      </c>
      <c r="AH42" s="17" t="s">
        <v>1336</v>
      </c>
      <c r="AI42" s="17" t="s">
        <v>1336</v>
      </c>
      <c r="AJ42" s="17" t="s">
        <v>1336</v>
      </c>
      <c r="AK42" s="17" t="s">
        <v>1404</v>
      </c>
      <c r="AL42" s="17" t="s">
        <v>1351</v>
      </c>
      <c r="AM42" s="17" t="s">
        <v>1339</v>
      </c>
      <c r="AN42" s="17" t="s">
        <v>1388</v>
      </c>
      <c r="AO42" s="17" t="s">
        <v>1328</v>
      </c>
      <c r="AP42" s="17" t="str">
        <f t="shared" si="7"/>
        <v>intermediate</v>
      </c>
      <c r="AQ42" s="20"/>
    </row>
    <row r="43" ht="15.75" customHeight="1">
      <c r="A43" s="16" t="s">
        <v>1615</v>
      </c>
      <c r="B43" s="16" t="s">
        <v>1616</v>
      </c>
      <c r="C43" s="16">
        <v>2006.0</v>
      </c>
      <c r="D43" s="16" t="s">
        <v>1617</v>
      </c>
      <c r="E43" s="16" t="s">
        <v>1618</v>
      </c>
      <c r="F43" s="16" t="s">
        <v>1619</v>
      </c>
      <c r="G43" s="16" t="str">
        <f t="shared" si="1"/>
        <v>No</v>
      </c>
      <c r="H43" s="16" t="s">
        <v>1324</v>
      </c>
      <c r="I43" s="16" t="s">
        <v>1324</v>
      </c>
      <c r="J43" s="16">
        <v>185.0</v>
      </c>
      <c r="K43" s="17" t="s">
        <v>1620</v>
      </c>
      <c r="L43" s="18" t="str">
        <f t="shared" si="2"/>
        <v>http://dx.doi.org/10.1111/j.1365-2745.2006.01140.x</v>
      </c>
      <c r="M43" s="19" t="s">
        <v>1495</v>
      </c>
      <c r="N43" s="17" t="s">
        <v>1436</v>
      </c>
      <c r="O43" s="17" t="s">
        <v>1328</v>
      </c>
      <c r="P43" s="17" t="s">
        <v>1328</v>
      </c>
      <c r="Q43" s="17" t="s">
        <v>1328</v>
      </c>
      <c r="R43" s="17" t="s">
        <v>1328</v>
      </c>
      <c r="S43" s="17" t="s">
        <v>1328</v>
      </c>
      <c r="T43" s="20" t="str">
        <f t="shared" si="3"/>
        <v>Yes</v>
      </c>
      <c r="U43" s="19" t="str">
        <f t="shared" si="4"/>
        <v>CG</v>
      </c>
      <c r="V43" s="17" t="str">
        <f t="shared" si="5"/>
        <v>Yes</v>
      </c>
      <c r="W43" s="17" t="s">
        <v>1329</v>
      </c>
      <c r="X43" s="17" t="s">
        <v>1372</v>
      </c>
      <c r="Y43" s="17" t="s">
        <v>1331</v>
      </c>
      <c r="Z43" s="17" t="s">
        <v>1347</v>
      </c>
      <c r="AA43" s="17" t="s">
        <v>1333</v>
      </c>
      <c r="AB43" s="17" t="s">
        <v>1381</v>
      </c>
      <c r="AC43" s="17" t="s">
        <v>1464</v>
      </c>
      <c r="AD43" s="17">
        <f t="shared" si="6"/>
        <v>3</v>
      </c>
      <c r="AE43" s="17" t="s">
        <v>1328</v>
      </c>
      <c r="AF43" s="17" t="s">
        <v>1328</v>
      </c>
      <c r="AG43" s="17" t="s">
        <v>1328</v>
      </c>
      <c r="AH43" s="17" t="s">
        <v>1336</v>
      </c>
      <c r="AI43" s="17" t="s">
        <v>1336</v>
      </c>
      <c r="AJ43" s="17" t="s">
        <v>1336</v>
      </c>
      <c r="AK43" s="17" t="s">
        <v>1350</v>
      </c>
      <c r="AL43" s="17" t="s">
        <v>1351</v>
      </c>
      <c r="AM43" s="17" t="s">
        <v>1339</v>
      </c>
      <c r="AN43" s="17" t="s">
        <v>1388</v>
      </c>
      <c r="AO43" s="17" t="s">
        <v>1328</v>
      </c>
      <c r="AP43" s="17" t="str">
        <f t="shared" si="7"/>
        <v>intermediate</v>
      </c>
      <c r="AQ43" s="20"/>
    </row>
    <row r="44" ht="15.75" customHeight="1">
      <c r="A44" s="16" t="s">
        <v>1621</v>
      </c>
      <c r="B44" s="16" t="s">
        <v>774</v>
      </c>
      <c r="C44" s="16">
        <v>2012.0</v>
      </c>
      <c r="D44" s="16" t="s">
        <v>1622</v>
      </c>
      <c r="E44" s="16" t="s">
        <v>1623</v>
      </c>
      <c r="F44" s="16" t="s">
        <v>1624</v>
      </c>
      <c r="G44" s="16" t="str">
        <f t="shared" si="1"/>
        <v>No</v>
      </c>
      <c r="H44" s="16" t="s">
        <v>1324</v>
      </c>
      <c r="I44" s="16" t="s">
        <v>1324</v>
      </c>
      <c r="J44" s="16">
        <v>33.0</v>
      </c>
      <c r="K44" s="17" t="s">
        <v>1625</v>
      </c>
      <c r="L44" s="18" t="str">
        <f t="shared" si="2"/>
        <v>http://dx.doi.org/10.1111/j.1365-2486.2012.02662.x</v>
      </c>
      <c r="M44" s="19" t="s">
        <v>1495</v>
      </c>
      <c r="N44" s="17" t="s">
        <v>1403</v>
      </c>
      <c r="O44" s="17" t="s">
        <v>1328</v>
      </c>
      <c r="P44" s="17" t="s">
        <v>1328</v>
      </c>
      <c r="Q44" s="17" t="s">
        <v>1328</v>
      </c>
      <c r="R44" s="17" t="s">
        <v>1328</v>
      </c>
      <c r="S44" s="17" t="s">
        <v>1328</v>
      </c>
      <c r="T44" s="20" t="str">
        <f t="shared" si="3"/>
        <v>Yes</v>
      </c>
      <c r="U44" s="19" t="str">
        <f t="shared" si="4"/>
        <v>DB</v>
      </c>
      <c r="V44" s="17" t="str">
        <f t="shared" si="5"/>
        <v>Yes</v>
      </c>
      <c r="W44" s="17" t="s">
        <v>1329</v>
      </c>
      <c r="X44" s="17" t="s">
        <v>1330</v>
      </c>
      <c r="Y44" s="17" t="s">
        <v>1331</v>
      </c>
      <c r="Z44" s="17" t="s">
        <v>1347</v>
      </c>
      <c r="AA44" s="17" t="s">
        <v>1333</v>
      </c>
      <c r="AB44" s="17" t="s">
        <v>1361</v>
      </c>
      <c r="AC44" s="17" t="s">
        <v>1530</v>
      </c>
      <c r="AD44" s="17">
        <f t="shared" si="6"/>
        <v>3</v>
      </c>
      <c r="AE44" s="17" t="s">
        <v>1336</v>
      </c>
      <c r="AF44" s="17" t="s">
        <v>1328</v>
      </c>
      <c r="AG44" s="17" t="s">
        <v>1336</v>
      </c>
      <c r="AH44" s="17" t="s">
        <v>1336</v>
      </c>
      <c r="AI44" s="17" t="s">
        <v>1328</v>
      </c>
      <c r="AJ44" s="17" t="s">
        <v>1328</v>
      </c>
      <c r="AK44" s="17" t="s">
        <v>1350</v>
      </c>
      <c r="AL44" s="17" t="s">
        <v>1351</v>
      </c>
      <c r="AM44" s="17" t="s">
        <v>1363</v>
      </c>
      <c r="AN44" s="17" t="s">
        <v>1331</v>
      </c>
      <c r="AO44" s="17" t="s">
        <v>1328</v>
      </c>
      <c r="AP44" s="17" t="str">
        <f t="shared" si="7"/>
        <v>intermediate</v>
      </c>
      <c r="AQ44" s="20"/>
    </row>
    <row r="45" ht="15.75" customHeight="1">
      <c r="A45" s="16" t="s">
        <v>1626</v>
      </c>
      <c r="B45" s="16" t="s">
        <v>774</v>
      </c>
      <c r="C45" s="16">
        <v>2012.0</v>
      </c>
      <c r="D45" s="16" t="s">
        <v>1627</v>
      </c>
      <c r="E45" s="16" t="s">
        <v>1628</v>
      </c>
      <c r="F45" s="16" t="s">
        <v>1629</v>
      </c>
      <c r="G45" s="16" t="str">
        <f t="shared" si="1"/>
        <v>No</v>
      </c>
      <c r="H45" s="16" t="s">
        <v>1324</v>
      </c>
      <c r="I45" s="16" t="s">
        <v>1324</v>
      </c>
      <c r="J45" s="16">
        <v>18.0</v>
      </c>
      <c r="K45" s="17" t="s">
        <v>1630</v>
      </c>
      <c r="L45" s="18" t="str">
        <f t="shared" si="2"/>
        <v>http://dx.doi.org/10.1111/j.1365-2486.2011.02540.x</v>
      </c>
      <c r="M45" s="19" t="s">
        <v>1580</v>
      </c>
      <c r="N45" s="17" t="s">
        <v>1327</v>
      </c>
      <c r="O45" s="17" t="s">
        <v>1328</v>
      </c>
      <c r="P45" s="17" t="s">
        <v>1328</v>
      </c>
      <c r="Q45" s="17" t="s">
        <v>1328</v>
      </c>
      <c r="R45" s="17" t="s">
        <v>1328</v>
      </c>
      <c r="S45" s="17" t="s">
        <v>1328</v>
      </c>
      <c r="T45" s="20" t="str">
        <f t="shared" si="3"/>
        <v>Yes</v>
      </c>
      <c r="U45" s="19" t="str">
        <f t="shared" si="4"/>
        <v>PJ</v>
      </c>
      <c r="V45" s="17" t="str">
        <f t="shared" si="5"/>
        <v>Yes</v>
      </c>
      <c r="W45" s="17" t="s">
        <v>1631</v>
      </c>
      <c r="X45" s="17" t="s">
        <v>1330</v>
      </c>
      <c r="Y45" s="17" t="s">
        <v>1331</v>
      </c>
      <c r="Z45" s="17" t="s">
        <v>1347</v>
      </c>
      <c r="AA45" s="17" t="s">
        <v>1333</v>
      </c>
      <c r="AB45" s="17" t="s">
        <v>1348</v>
      </c>
      <c r="AC45" s="17" t="s">
        <v>1530</v>
      </c>
      <c r="AD45" s="17">
        <f t="shared" si="6"/>
        <v>3</v>
      </c>
      <c r="AE45" s="17" t="s">
        <v>1328</v>
      </c>
      <c r="AF45" s="17" t="s">
        <v>1336</v>
      </c>
      <c r="AG45" s="17" t="s">
        <v>1328</v>
      </c>
      <c r="AH45" s="17" t="s">
        <v>1336</v>
      </c>
      <c r="AI45" s="17" t="s">
        <v>1328</v>
      </c>
      <c r="AJ45" s="17" t="s">
        <v>1336</v>
      </c>
      <c r="AK45" s="17" t="s">
        <v>1350</v>
      </c>
      <c r="AL45" s="17" t="s">
        <v>1351</v>
      </c>
      <c r="AM45" s="17" t="s">
        <v>1363</v>
      </c>
      <c r="AN45" s="17" t="s">
        <v>1331</v>
      </c>
      <c r="AO45" s="17" t="s">
        <v>1328</v>
      </c>
      <c r="AP45" s="17" t="str">
        <f t="shared" si="7"/>
        <v>intermediate</v>
      </c>
      <c r="AQ45" s="20" t="s">
        <v>1632</v>
      </c>
    </row>
    <row r="46" ht="15.75" customHeight="1">
      <c r="A46" s="16" t="s">
        <v>1633</v>
      </c>
      <c r="B46" s="16" t="s">
        <v>1634</v>
      </c>
      <c r="C46" s="16">
        <v>2014.0</v>
      </c>
      <c r="D46" s="16" t="s">
        <v>1635</v>
      </c>
      <c r="E46" s="16" t="s">
        <v>1636</v>
      </c>
      <c r="F46" s="16" t="s">
        <v>1637</v>
      </c>
      <c r="G46" s="16" t="str">
        <f t="shared" si="1"/>
        <v>No</v>
      </c>
      <c r="H46" s="16" t="s">
        <v>1324</v>
      </c>
      <c r="I46" s="16" t="s">
        <v>1324</v>
      </c>
      <c r="J46" s="16">
        <v>143.0</v>
      </c>
      <c r="K46" s="17" t="s">
        <v>1638</v>
      </c>
      <c r="L46" s="18" t="str">
        <f t="shared" si="2"/>
        <v>http://dx.doi.org/10.1111/gfs.12073</v>
      </c>
      <c r="M46" s="19" t="s">
        <v>1358</v>
      </c>
      <c r="N46" s="17" t="s">
        <v>1403</v>
      </c>
      <c r="O46" s="17" t="s">
        <v>1328</v>
      </c>
      <c r="P46" s="17" t="s">
        <v>1328</v>
      </c>
      <c r="Q46" s="17" t="s">
        <v>1328</v>
      </c>
      <c r="R46" s="17" t="s">
        <v>1328</v>
      </c>
      <c r="S46" s="17" t="s">
        <v>1328</v>
      </c>
      <c r="T46" s="20" t="str">
        <f t="shared" si="3"/>
        <v>Yes</v>
      </c>
      <c r="U46" s="19" t="str">
        <f t="shared" si="4"/>
        <v>DB</v>
      </c>
      <c r="V46" s="17" t="str">
        <f t="shared" si="5"/>
        <v>Yes</v>
      </c>
      <c r="W46" s="17" t="s">
        <v>1631</v>
      </c>
      <c r="X46" s="17" t="s">
        <v>1330</v>
      </c>
      <c r="Y46" s="17" t="s">
        <v>1331</v>
      </c>
      <c r="Z46" s="17" t="s">
        <v>1347</v>
      </c>
      <c r="AA46" s="17" t="s">
        <v>1333</v>
      </c>
      <c r="AB46" s="17" t="s">
        <v>1381</v>
      </c>
      <c r="AC46" s="17" t="s">
        <v>1362</v>
      </c>
      <c r="AD46" s="17">
        <f t="shared" si="6"/>
        <v>2</v>
      </c>
      <c r="AE46" s="17" t="s">
        <v>1328</v>
      </c>
      <c r="AF46" s="17" t="s">
        <v>1328</v>
      </c>
      <c r="AG46" s="17" t="s">
        <v>1336</v>
      </c>
      <c r="AH46" s="17" t="s">
        <v>1336</v>
      </c>
      <c r="AI46" s="17" t="s">
        <v>1336</v>
      </c>
      <c r="AJ46" s="17" t="s">
        <v>1336</v>
      </c>
      <c r="AK46" s="17" t="s">
        <v>1350</v>
      </c>
      <c r="AL46" s="17" t="s">
        <v>1351</v>
      </c>
      <c r="AM46" s="17" t="s">
        <v>1363</v>
      </c>
      <c r="AN46" s="17" t="s">
        <v>1331</v>
      </c>
      <c r="AO46" s="17" t="s">
        <v>1328</v>
      </c>
      <c r="AP46" s="17" t="str">
        <f t="shared" si="7"/>
        <v>intermediate</v>
      </c>
      <c r="AQ46" s="20" t="s">
        <v>1639</v>
      </c>
    </row>
    <row r="47" ht="15.75" customHeight="1">
      <c r="A47" s="21" t="s">
        <v>1640</v>
      </c>
      <c r="B47" s="21" t="s">
        <v>1253</v>
      </c>
      <c r="C47" s="21">
        <v>2018.0</v>
      </c>
      <c r="D47" s="21" t="s">
        <v>1641</v>
      </c>
      <c r="E47" s="21" t="s">
        <v>1642</v>
      </c>
      <c r="F47" s="21" t="s">
        <v>1643</v>
      </c>
      <c r="G47" s="16" t="str">
        <f t="shared" si="1"/>
        <v>No</v>
      </c>
      <c r="H47" s="16" t="s">
        <v>1324</v>
      </c>
      <c r="I47" s="16" t="s">
        <v>1324</v>
      </c>
      <c r="J47" s="16">
        <v>28.0</v>
      </c>
      <c r="K47" s="17" t="s">
        <v>1644</v>
      </c>
      <c r="L47" s="18" t="str">
        <f t="shared" si="2"/>
        <v>http://dx.doi.org/10.1111/geb.12690</v>
      </c>
      <c r="M47" s="19" t="s">
        <v>1346</v>
      </c>
      <c r="N47" s="17" t="s">
        <v>1371</v>
      </c>
      <c r="O47" s="17" t="s">
        <v>1328</v>
      </c>
      <c r="P47" s="17" t="s">
        <v>1328</v>
      </c>
      <c r="Q47" s="17" t="s">
        <v>1328</v>
      </c>
      <c r="R47" s="17" t="s">
        <v>1328</v>
      </c>
      <c r="S47" s="17" t="s">
        <v>1328</v>
      </c>
      <c r="T47" s="20" t="str">
        <f t="shared" si="3"/>
        <v>Yes</v>
      </c>
      <c r="U47" s="19" t="str">
        <f t="shared" si="4"/>
        <v>LC</v>
      </c>
      <c r="V47" s="17" t="str">
        <f t="shared" si="5"/>
        <v>Yes</v>
      </c>
      <c r="W47" s="17" t="s">
        <v>1329</v>
      </c>
      <c r="X47" s="17" t="s">
        <v>1372</v>
      </c>
      <c r="Y47" s="17" t="s">
        <v>1331</v>
      </c>
      <c r="Z47" s="17" t="s">
        <v>1347</v>
      </c>
      <c r="AA47" s="17" t="s">
        <v>1360</v>
      </c>
      <c r="AB47" s="17" t="s">
        <v>1361</v>
      </c>
      <c r="AC47" s="17" t="s">
        <v>1530</v>
      </c>
      <c r="AD47" s="22">
        <f t="shared" si="6"/>
        <v>3</v>
      </c>
      <c r="AE47" s="17" t="s">
        <v>1328</v>
      </c>
      <c r="AF47" s="17" t="s">
        <v>1328</v>
      </c>
      <c r="AG47" s="17" t="s">
        <v>1336</v>
      </c>
      <c r="AH47" s="17" t="s">
        <v>1328</v>
      </c>
      <c r="AI47" s="17" t="s">
        <v>1336</v>
      </c>
      <c r="AJ47" s="17" t="s">
        <v>1336</v>
      </c>
      <c r="AK47" s="17" t="s">
        <v>1350</v>
      </c>
      <c r="AL47" s="17" t="s">
        <v>1351</v>
      </c>
      <c r="AM47" s="17" t="s">
        <v>1363</v>
      </c>
      <c r="AN47" s="17" t="s">
        <v>1388</v>
      </c>
      <c r="AO47" s="17" t="s">
        <v>1328</v>
      </c>
      <c r="AP47" s="17" t="str">
        <f t="shared" si="7"/>
        <v>high</v>
      </c>
      <c r="AQ47" s="20"/>
    </row>
    <row r="48" ht="15.75" customHeight="1">
      <c r="A48" s="16" t="s">
        <v>1645</v>
      </c>
      <c r="B48" s="16" t="s">
        <v>774</v>
      </c>
      <c r="C48" s="16">
        <v>2017.0</v>
      </c>
      <c r="D48" s="16" t="s">
        <v>1646</v>
      </c>
      <c r="E48" s="16" t="s">
        <v>1647</v>
      </c>
      <c r="F48" s="16" t="s">
        <v>1648</v>
      </c>
      <c r="G48" s="16" t="str">
        <f t="shared" si="1"/>
        <v>No</v>
      </c>
      <c r="H48" s="16" t="s">
        <v>1324</v>
      </c>
      <c r="I48" s="16" t="s">
        <v>1324</v>
      </c>
      <c r="J48" s="16">
        <v>115.0</v>
      </c>
      <c r="K48" s="17" t="s">
        <v>1649</v>
      </c>
      <c r="L48" s="18" t="str">
        <f t="shared" si="2"/>
        <v>http://dx.doi.org/10.1111/gcb.13714</v>
      </c>
      <c r="M48" s="19" t="s">
        <v>1346</v>
      </c>
      <c r="N48" s="17" t="s">
        <v>1470</v>
      </c>
      <c r="O48" s="17" t="s">
        <v>1328</v>
      </c>
      <c r="P48" s="17" t="s">
        <v>1328</v>
      </c>
      <c r="Q48" s="17" t="s">
        <v>1328</v>
      </c>
      <c r="R48" s="17" t="s">
        <v>1328</v>
      </c>
      <c r="S48" s="17" t="s">
        <v>1328</v>
      </c>
      <c r="T48" s="20" t="str">
        <f t="shared" si="3"/>
        <v>Yes</v>
      </c>
      <c r="U48" s="19" t="str">
        <f t="shared" si="4"/>
        <v>AG</v>
      </c>
      <c r="V48" s="17" t="str">
        <f t="shared" si="5"/>
        <v>Yes</v>
      </c>
      <c r="W48" s="17" t="s">
        <v>1463</v>
      </c>
      <c r="X48" s="17" t="s">
        <v>1372</v>
      </c>
      <c r="Y48" s="17" t="s">
        <v>1331</v>
      </c>
      <c r="Z48" s="17" t="s">
        <v>1331</v>
      </c>
      <c r="AA48" s="17" t="s">
        <v>1444</v>
      </c>
      <c r="AB48" s="17" t="s">
        <v>1445</v>
      </c>
      <c r="AC48" s="17" t="s">
        <v>1362</v>
      </c>
      <c r="AD48" s="17">
        <f t="shared" si="6"/>
        <v>3</v>
      </c>
      <c r="AE48" s="17" t="s">
        <v>1336</v>
      </c>
      <c r="AF48" s="17" t="s">
        <v>1328</v>
      </c>
      <c r="AG48" s="17" t="s">
        <v>1336</v>
      </c>
      <c r="AH48" s="17" t="s">
        <v>1336</v>
      </c>
      <c r="AI48" s="17" t="s">
        <v>1328</v>
      </c>
      <c r="AJ48" s="17" t="s">
        <v>1328</v>
      </c>
      <c r="AK48" s="17" t="s">
        <v>1350</v>
      </c>
      <c r="AL48" s="17" t="s">
        <v>1351</v>
      </c>
      <c r="AM48" s="17" t="s">
        <v>1339</v>
      </c>
      <c r="AN48" s="17" t="s">
        <v>1374</v>
      </c>
      <c r="AO48" s="17" t="s">
        <v>1328</v>
      </c>
      <c r="AP48" s="17" t="str">
        <f t="shared" si="7"/>
        <v>high</v>
      </c>
      <c r="AQ48" s="20"/>
    </row>
    <row r="49" ht="15.75" customHeight="1">
      <c r="A49" s="16" t="s">
        <v>1650</v>
      </c>
      <c r="B49" s="16" t="s">
        <v>774</v>
      </c>
      <c r="C49" s="16">
        <v>2016.0</v>
      </c>
      <c r="D49" s="16" t="s">
        <v>1651</v>
      </c>
      <c r="E49" s="16" t="s">
        <v>1652</v>
      </c>
      <c r="F49" s="16" t="s">
        <v>1653</v>
      </c>
      <c r="G49" s="16" t="str">
        <f t="shared" si="1"/>
        <v>No</v>
      </c>
      <c r="H49" s="16" t="s">
        <v>1324</v>
      </c>
      <c r="I49" s="16" t="s">
        <v>1324</v>
      </c>
      <c r="J49" s="16">
        <v>190.0</v>
      </c>
      <c r="K49" s="17" t="s">
        <v>1654</v>
      </c>
      <c r="L49" s="18" t="str">
        <f t="shared" si="2"/>
        <v>http://dx.doi.org/10.1111/gcb.13091</v>
      </c>
      <c r="M49" s="19" t="s">
        <v>1482</v>
      </c>
      <c r="N49" s="17" t="s">
        <v>1470</v>
      </c>
      <c r="O49" s="17" t="s">
        <v>1328</v>
      </c>
      <c r="P49" s="17" t="s">
        <v>1328</v>
      </c>
      <c r="Q49" s="17" t="s">
        <v>1328</v>
      </c>
      <c r="R49" s="17" t="s">
        <v>1328</v>
      </c>
      <c r="S49" s="17" t="s">
        <v>1328</v>
      </c>
      <c r="T49" s="20" t="str">
        <f t="shared" si="3"/>
        <v>Yes</v>
      </c>
      <c r="U49" s="19" t="str">
        <f t="shared" si="4"/>
        <v>AG</v>
      </c>
      <c r="V49" s="17" t="str">
        <f t="shared" si="5"/>
        <v>Yes</v>
      </c>
      <c r="W49" s="17" t="s">
        <v>1329</v>
      </c>
      <c r="X49" s="17" t="s">
        <v>1330</v>
      </c>
      <c r="Y49" s="17" t="s">
        <v>1331</v>
      </c>
      <c r="Z49" s="17" t="s">
        <v>1332</v>
      </c>
      <c r="AA49" s="17" t="s">
        <v>1333</v>
      </c>
      <c r="AB49" s="17" t="s">
        <v>1361</v>
      </c>
      <c r="AC49" s="17" t="s">
        <v>1362</v>
      </c>
      <c r="AD49" s="17">
        <f t="shared" si="6"/>
        <v>2</v>
      </c>
      <c r="AE49" s="17" t="s">
        <v>1336</v>
      </c>
      <c r="AF49" s="17" t="s">
        <v>1328</v>
      </c>
      <c r="AG49" s="17" t="s">
        <v>1336</v>
      </c>
      <c r="AH49" s="17" t="s">
        <v>1328</v>
      </c>
      <c r="AI49" s="17" t="s">
        <v>1336</v>
      </c>
      <c r="AJ49" s="17" t="s">
        <v>1336</v>
      </c>
      <c r="AK49" s="17" t="s">
        <v>1404</v>
      </c>
      <c r="AL49" s="17" t="s">
        <v>1338</v>
      </c>
      <c r="AM49" s="17" t="s">
        <v>1339</v>
      </c>
      <c r="AN49" s="17" t="s">
        <v>1331</v>
      </c>
      <c r="AO49" s="17" t="s">
        <v>1328</v>
      </c>
      <c r="AP49" s="17" t="str">
        <f t="shared" si="7"/>
        <v>intermediate</v>
      </c>
      <c r="AQ49" s="20"/>
    </row>
    <row r="50" ht="15.75" customHeight="1">
      <c r="A50" s="16" t="s">
        <v>1655</v>
      </c>
      <c r="B50" s="16" t="s">
        <v>774</v>
      </c>
      <c r="C50" s="16">
        <v>2015.0</v>
      </c>
      <c r="D50" s="16" t="s">
        <v>1656</v>
      </c>
      <c r="E50" s="16" t="s">
        <v>1657</v>
      </c>
      <c r="F50" s="16" t="s">
        <v>1658</v>
      </c>
      <c r="G50" s="16" t="str">
        <f t="shared" si="1"/>
        <v>No</v>
      </c>
      <c r="H50" s="16" t="s">
        <v>1324</v>
      </c>
      <c r="I50" s="16" t="s">
        <v>1324</v>
      </c>
      <c r="J50" s="16">
        <v>58.0</v>
      </c>
      <c r="K50" s="17" t="s">
        <v>1659</v>
      </c>
      <c r="L50" s="18" t="str">
        <f t="shared" si="2"/>
        <v>http://dx.doi.org/10.1111/gcb.12993</v>
      </c>
      <c r="M50" s="19" t="s">
        <v>1495</v>
      </c>
      <c r="N50" s="17" t="s">
        <v>1470</v>
      </c>
      <c r="O50" s="17" t="s">
        <v>1328</v>
      </c>
      <c r="P50" s="17" t="s">
        <v>1328</v>
      </c>
      <c r="Q50" s="17" t="s">
        <v>1328</v>
      </c>
      <c r="R50" s="17" t="s">
        <v>1328</v>
      </c>
      <c r="S50" s="17" t="s">
        <v>1328</v>
      </c>
      <c r="T50" s="20" t="str">
        <f t="shared" si="3"/>
        <v>Yes</v>
      </c>
      <c r="U50" s="19" t="str">
        <f t="shared" si="4"/>
        <v>AG</v>
      </c>
      <c r="V50" s="17" t="str">
        <f t="shared" si="5"/>
        <v>Yes</v>
      </c>
      <c r="W50" s="17" t="s">
        <v>1463</v>
      </c>
      <c r="X50" s="17" t="s">
        <v>1372</v>
      </c>
      <c r="Y50" s="17" t="s">
        <v>1331</v>
      </c>
      <c r="Z50" s="17" t="s">
        <v>1347</v>
      </c>
      <c r="AA50" s="17" t="s">
        <v>1660</v>
      </c>
      <c r="AB50" s="17" t="s">
        <v>1361</v>
      </c>
      <c r="AC50" s="17" t="s">
        <v>1362</v>
      </c>
      <c r="AD50" s="17">
        <f t="shared" si="6"/>
        <v>3</v>
      </c>
      <c r="AE50" s="17" t="s">
        <v>1328</v>
      </c>
      <c r="AF50" s="17" t="s">
        <v>1336</v>
      </c>
      <c r="AG50" s="17" t="s">
        <v>1328</v>
      </c>
      <c r="AH50" s="17" t="s">
        <v>1336</v>
      </c>
      <c r="AI50" s="17" t="s">
        <v>1328</v>
      </c>
      <c r="AJ50" s="17" t="s">
        <v>1336</v>
      </c>
      <c r="AK50" s="17" t="s">
        <v>1350</v>
      </c>
      <c r="AL50" s="17" t="s">
        <v>1351</v>
      </c>
      <c r="AM50" s="17" t="s">
        <v>1339</v>
      </c>
      <c r="AN50" s="17" t="s">
        <v>1331</v>
      </c>
      <c r="AO50" s="17" t="s">
        <v>1328</v>
      </c>
      <c r="AP50" s="17" t="str">
        <f t="shared" si="7"/>
        <v>high</v>
      </c>
      <c r="AQ50" s="20"/>
    </row>
    <row r="51" ht="15.75" customHeight="1">
      <c r="A51" s="16" t="s">
        <v>1661</v>
      </c>
      <c r="B51" s="16" t="s">
        <v>774</v>
      </c>
      <c r="C51" s="16">
        <v>2015.0</v>
      </c>
      <c r="D51" s="16" t="s">
        <v>1662</v>
      </c>
      <c r="E51" s="16" t="s">
        <v>1663</v>
      </c>
      <c r="F51" s="16" t="s">
        <v>1664</v>
      </c>
      <c r="G51" s="16" t="str">
        <f t="shared" si="1"/>
        <v>No</v>
      </c>
      <c r="H51" s="16" t="s">
        <v>1324</v>
      </c>
      <c r="I51" s="16" t="s">
        <v>1324</v>
      </c>
      <c r="J51" s="16">
        <v>195.0</v>
      </c>
      <c r="K51" s="17" t="s">
        <v>1665</v>
      </c>
      <c r="L51" s="18" t="str">
        <f t="shared" si="2"/>
        <v>http://dx.doi.org/10.1111/gcb.12795</v>
      </c>
      <c r="M51" s="19" t="s">
        <v>1666</v>
      </c>
      <c r="N51" s="17" t="s">
        <v>1417</v>
      </c>
      <c r="O51" s="17" t="s">
        <v>1328</v>
      </c>
      <c r="P51" s="17" t="s">
        <v>1328</v>
      </c>
      <c r="Q51" s="17" t="s">
        <v>1328</v>
      </c>
      <c r="R51" s="17" t="s">
        <v>1328</v>
      </c>
      <c r="S51" s="17" t="s">
        <v>1328</v>
      </c>
      <c r="T51" s="20" t="str">
        <f t="shared" si="3"/>
        <v>Yes</v>
      </c>
      <c r="U51" s="19" t="str">
        <f t="shared" si="4"/>
        <v>NT</v>
      </c>
      <c r="V51" s="17" t="str">
        <f t="shared" si="5"/>
        <v>Yes</v>
      </c>
      <c r="W51" s="17" t="s">
        <v>1329</v>
      </c>
      <c r="X51" s="17" t="s">
        <v>1330</v>
      </c>
      <c r="Y51" s="17" t="s">
        <v>1331</v>
      </c>
      <c r="Z51" s="17" t="s">
        <v>1347</v>
      </c>
      <c r="AA51" s="17" t="s">
        <v>1360</v>
      </c>
      <c r="AB51" s="17" t="s">
        <v>1381</v>
      </c>
      <c r="AC51" s="17" t="s">
        <v>1362</v>
      </c>
      <c r="AD51" s="17">
        <f t="shared" si="6"/>
        <v>3</v>
      </c>
      <c r="AE51" s="17" t="s">
        <v>1328</v>
      </c>
      <c r="AF51" s="17" t="s">
        <v>1328</v>
      </c>
      <c r="AG51" s="17" t="s">
        <v>1336</v>
      </c>
      <c r="AH51" s="17" t="s">
        <v>1336</v>
      </c>
      <c r="AI51" s="17" t="s">
        <v>1328</v>
      </c>
      <c r="AJ51" s="17" t="s">
        <v>1336</v>
      </c>
      <c r="AK51" s="17" t="s">
        <v>1350</v>
      </c>
      <c r="AL51" s="17" t="s">
        <v>1351</v>
      </c>
      <c r="AM51" s="17" t="s">
        <v>1339</v>
      </c>
      <c r="AN51" s="17" t="s">
        <v>1331</v>
      </c>
      <c r="AO51" s="17" t="s">
        <v>1328</v>
      </c>
      <c r="AP51" s="17" t="str">
        <f t="shared" si="7"/>
        <v>high</v>
      </c>
      <c r="AQ51" s="20"/>
    </row>
    <row r="52" ht="15.75" customHeight="1">
      <c r="A52" s="16" t="s">
        <v>1667</v>
      </c>
      <c r="B52" s="16" t="s">
        <v>774</v>
      </c>
      <c r="C52" s="16">
        <v>2014.0</v>
      </c>
      <c r="D52" s="16" t="s">
        <v>1668</v>
      </c>
      <c r="E52" s="16" t="s">
        <v>1669</v>
      </c>
      <c r="F52" s="16" t="s">
        <v>1670</v>
      </c>
      <c r="G52" s="16" t="str">
        <f t="shared" si="1"/>
        <v>No</v>
      </c>
      <c r="H52" s="16" t="s">
        <v>1324</v>
      </c>
      <c r="I52" s="16" t="s">
        <v>1324</v>
      </c>
      <c r="J52" s="16">
        <v>142.0</v>
      </c>
      <c r="K52" s="17" t="s">
        <v>1671</v>
      </c>
      <c r="L52" s="18" t="str">
        <f t="shared" si="2"/>
        <v>http://dx.doi.org/10.1111/gcb.12588</v>
      </c>
      <c r="M52" s="19" t="s">
        <v>1358</v>
      </c>
      <c r="N52" s="17" t="s">
        <v>1436</v>
      </c>
      <c r="O52" s="17" t="s">
        <v>1328</v>
      </c>
      <c r="P52" s="17" t="s">
        <v>1328</v>
      </c>
      <c r="Q52" s="17" t="s">
        <v>1328</v>
      </c>
      <c r="R52" s="17" t="s">
        <v>1328</v>
      </c>
      <c r="S52" s="17" t="s">
        <v>1328</v>
      </c>
      <c r="T52" s="20" t="str">
        <f t="shared" si="3"/>
        <v>Yes</v>
      </c>
      <c r="U52" s="19" t="str">
        <f t="shared" si="4"/>
        <v>CG</v>
      </c>
      <c r="V52" s="17" t="str">
        <f t="shared" si="5"/>
        <v>Yes</v>
      </c>
      <c r="W52" s="17" t="s">
        <v>1329</v>
      </c>
      <c r="X52" s="17" t="s">
        <v>1330</v>
      </c>
      <c r="Y52" s="17" t="s">
        <v>1331</v>
      </c>
      <c r="Z52" s="17" t="s">
        <v>1347</v>
      </c>
      <c r="AA52" s="17" t="s">
        <v>1333</v>
      </c>
      <c r="AB52" s="17" t="s">
        <v>1381</v>
      </c>
      <c r="AC52" s="17" t="s">
        <v>1362</v>
      </c>
      <c r="AD52" s="17">
        <f t="shared" si="6"/>
        <v>2</v>
      </c>
      <c r="AE52" s="17" t="s">
        <v>1328</v>
      </c>
      <c r="AF52" s="17" t="s">
        <v>1328</v>
      </c>
      <c r="AG52" s="17" t="s">
        <v>1336</v>
      </c>
      <c r="AH52" s="17" t="s">
        <v>1336</v>
      </c>
      <c r="AI52" s="17" t="s">
        <v>1336</v>
      </c>
      <c r="AJ52" s="17" t="s">
        <v>1336</v>
      </c>
      <c r="AK52" s="17" t="s">
        <v>1350</v>
      </c>
      <c r="AL52" s="17" t="s">
        <v>1351</v>
      </c>
      <c r="AM52" s="17" t="s">
        <v>1339</v>
      </c>
      <c r="AN52" s="17" t="s">
        <v>1388</v>
      </c>
      <c r="AO52" s="17" t="s">
        <v>1328</v>
      </c>
      <c r="AP52" s="17" t="str">
        <f t="shared" si="7"/>
        <v>intermediate</v>
      </c>
      <c r="AQ52" s="20"/>
    </row>
    <row r="53" ht="15.75" customHeight="1">
      <c r="A53" s="16" t="s">
        <v>1672</v>
      </c>
      <c r="B53" s="16" t="s">
        <v>126</v>
      </c>
      <c r="C53" s="16">
        <v>2017.0</v>
      </c>
      <c r="D53" s="16" t="s">
        <v>1673</v>
      </c>
      <c r="E53" s="16" t="s">
        <v>1674</v>
      </c>
      <c r="F53" s="16" t="s">
        <v>1675</v>
      </c>
      <c r="G53" s="16" t="str">
        <f t="shared" si="1"/>
        <v>No</v>
      </c>
      <c r="H53" s="16" t="s">
        <v>1324</v>
      </c>
      <c r="I53" s="16" t="s">
        <v>1324</v>
      </c>
      <c r="J53" s="16">
        <v>9.0</v>
      </c>
      <c r="K53" s="17" t="s">
        <v>1676</v>
      </c>
      <c r="L53" s="18" t="str">
        <f t="shared" si="2"/>
        <v>http://dx.doi.org/10.1111/fwb.12929</v>
      </c>
      <c r="M53" s="19" t="s">
        <v>1416</v>
      </c>
      <c r="N53" s="17" t="s">
        <v>1417</v>
      </c>
      <c r="O53" s="17" t="s">
        <v>1328</v>
      </c>
      <c r="P53" s="17" t="s">
        <v>1328</v>
      </c>
      <c r="Q53" s="17" t="s">
        <v>1328</v>
      </c>
      <c r="R53" s="17" t="s">
        <v>1328</v>
      </c>
      <c r="S53" s="17" t="s">
        <v>1328</v>
      </c>
      <c r="T53" s="20" t="str">
        <f t="shared" si="3"/>
        <v>Yes</v>
      </c>
      <c r="U53" s="19" t="str">
        <f t="shared" si="4"/>
        <v>NT</v>
      </c>
      <c r="V53" s="17" t="str">
        <f t="shared" si="5"/>
        <v>Yes</v>
      </c>
      <c r="W53" s="17" t="s">
        <v>1329</v>
      </c>
      <c r="X53" s="17" t="s">
        <v>1330</v>
      </c>
      <c r="Y53" s="17" t="s">
        <v>1331</v>
      </c>
      <c r="Z53" s="17" t="s">
        <v>1347</v>
      </c>
      <c r="AA53" s="17" t="s">
        <v>1360</v>
      </c>
      <c r="AB53" s="17" t="s">
        <v>1361</v>
      </c>
      <c r="AC53" s="17" t="s">
        <v>1530</v>
      </c>
      <c r="AD53" s="17">
        <f t="shared" si="6"/>
        <v>2</v>
      </c>
      <c r="AE53" s="17" t="s">
        <v>1328</v>
      </c>
      <c r="AF53" s="17" t="s">
        <v>1336</v>
      </c>
      <c r="AG53" s="17" t="s">
        <v>1328</v>
      </c>
      <c r="AH53" s="17" t="s">
        <v>1336</v>
      </c>
      <c r="AI53" s="17" t="s">
        <v>1336</v>
      </c>
      <c r="AJ53" s="17" t="s">
        <v>1336</v>
      </c>
      <c r="AK53" s="17" t="s">
        <v>1350</v>
      </c>
      <c r="AL53" s="17" t="s">
        <v>1351</v>
      </c>
      <c r="AM53" s="17" t="s">
        <v>1339</v>
      </c>
      <c r="AN53" s="17" t="s">
        <v>1331</v>
      </c>
      <c r="AO53" s="17" t="s">
        <v>1328</v>
      </c>
      <c r="AP53" s="17" t="str">
        <f t="shared" si="7"/>
        <v>high</v>
      </c>
      <c r="AQ53" s="20"/>
    </row>
    <row r="54" ht="15.75" customHeight="1">
      <c r="A54" s="16" t="s">
        <v>1677</v>
      </c>
      <c r="B54" s="16" t="s">
        <v>126</v>
      </c>
      <c r="C54" s="16">
        <v>2014.0</v>
      </c>
      <c r="D54" s="16" t="s">
        <v>1678</v>
      </c>
      <c r="E54" s="16" t="s">
        <v>1679</v>
      </c>
      <c r="F54" s="16" t="s">
        <v>1680</v>
      </c>
      <c r="G54" s="16" t="str">
        <f t="shared" si="1"/>
        <v>No</v>
      </c>
      <c r="H54" s="16" t="s">
        <v>1324</v>
      </c>
      <c r="I54" s="16" t="s">
        <v>1324</v>
      </c>
      <c r="J54" s="16">
        <v>5.0</v>
      </c>
      <c r="K54" s="17" t="s">
        <v>1681</v>
      </c>
      <c r="L54" s="18" t="str">
        <f t="shared" si="2"/>
        <v>http://dx.doi.org/10.1111/fwb.12380</v>
      </c>
      <c r="M54" s="19" t="s">
        <v>1545</v>
      </c>
      <c r="N54" s="17" t="s">
        <v>1387</v>
      </c>
      <c r="O54" s="17" t="s">
        <v>1328</v>
      </c>
      <c r="P54" s="17" t="s">
        <v>1328</v>
      </c>
      <c r="Q54" s="17" t="s">
        <v>1328</v>
      </c>
      <c r="R54" s="17" t="s">
        <v>1328</v>
      </c>
      <c r="S54" s="17" t="s">
        <v>1328</v>
      </c>
      <c r="T54" s="20" t="str">
        <f t="shared" si="3"/>
        <v>Yes</v>
      </c>
      <c r="U54" s="19" t="str">
        <f t="shared" si="4"/>
        <v>MW</v>
      </c>
      <c r="V54" s="17" t="str">
        <f t="shared" si="5"/>
        <v>Yes</v>
      </c>
      <c r="W54" s="17" t="s">
        <v>1329</v>
      </c>
      <c r="X54" s="17" t="s">
        <v>1330</v>
      </c>
      <c r="Y54" s="17" t="s">
        <v>1331</v>
      </c>
      <c r="Z54" s="17" t="s">
        <v>1347</v>
      </c>
      <c r="AA54" s="17" t="s">
        <v>1333</v>
      </c>
      <c r="AB54" s="17" t="s">
        <v>1361</v>
      </c>
      <c r="AC54" s="17" t="s">
        <v>1530</v>
      </c>
      <c r="AD54" s="17">
        <f t="shared" si="6"/>
        <v>3</v>
      </c>
      <c r="AE54" s="17" t="s">
        <v>1328</v>
      </c>
      <c r="AF54" s="17" t="s">
        <v>1336</v>
      </c>
      <c r="AG54" s="17" t="s">
        <v>1328</v>
      </c>
      <c r="AH54" s="17" t="s">
        <v>1336</v>
      </c>
      <c r="AI54" s="17" t="s">
        <v>1328</v>
      </c>
      <c r="AJ54" s="17" t="s">
        <v>1336</v>
      </c>
      <c r="AK54" s="17" t="s">
        <v>1350</v>
      </c>
      <c r="AL54" s="17" t="s">
        <v>1351</v>
      </c>
      <c r="AM54" s="17" t="s">
        <v>1363</v>
      </c>
      <c r="AN54" s="17" t="s">
        <v>1388</v>
      </c>
      <c r="AO54" s="17" t="s">
        <v>1328</v>
      </c>
      <c r="AP54" s="17" t="str">
        <f t="shared" si="7"/>
        <v>intermediate</v>
      </c>
      <c r="AQ54" s="20"/>
    </row>
    <row r="55" ht="15.75" customHeight="1">
      <c r="A55" s="16" t="s">
        <v>1682</v>
      </c>
      <c r="B55" s="16" t="s">
        <v>126</v>
      </c>
      <c r="C55" s="16">
        <v>2014.0</v>
      </c>
      <c r="D55" s="16" t="s">
        <v>1683</v>
      </c>
      <c r="E55" s="16" t="s">
        <v>1684</v>
      </c>
      <c r="F55" s="16" t="s">
        <v>1685</v>
      </c>
      <c r="G55" s="16" t="str">
        <f t="shared" si="1"/>
        <v>No</v>
      </c>
      <c r="H55" s="16" t="s">
        <v>1324</v>
      </c>
      <c r="I55" s="16" t="s">
        <v>1324</v>
      </c>
      <c r="J55" s="16">
        <v>42.0</v>
      </c>
      <c r="K55" s="17" t="s">
        <v>1686</v>
      </c>
      <c r="L55" s="18" t="str">
        <f t="shared" si="2"/>
        <v>http://dx.doi.org/10.1111/fwb.12353</v>
      </c>
      <c r="M55" s="19" t="s">
        <v>1580</v>
      </c>
      <c r="N55" s="17" t="s">
        <v>1371</v>
      </c>
      <c r="O55" s="17" t="s">
        <v>1328</v>
      </c>
      <c r="P55" s="17" t="s">
        <v>1328</v>
      </c>
      <c r="Q55" s="17" t="s">
        <v>1328</v>
      </c>
      <c r="R55" s="17" t="s">
        <v>1328</v>
      </c>
      <c r="S55" s="17" t="s">
        <v>1328</v>
      </c>
      <c r="T55" s="20" t="str">
        <f t="shared" si="3"/>
        <v>Yes</v>
      </c>
      <c r="U55" s="19" t="str">
        <f t="shared" si="4"/>
        <v>LC</v>
      </c>
      <c r="V55" s="17" t="str">
        <f t="shared" si="5"/>
        <v>Yes</v>
      </c>
      <c r="W55" s="17" t="s">
        <v>1329</v>
      </c>
      <c r="X55" s="17" t="s">
        <v>1372</v>
      </c>
      <c r="Y55" s="17" t="s">
        <v>1330</v>
      </c>
      <c r="Z55" s="17" t="s">
        <v>1347</v>
      </c>
      <c r="AA55" s="17" t="s">
        <v>1333</v>
      </c>
      <c r="AB55" s="17" t="s">
        <v>1348</v>
      </c>
      <c r="AC55" s="17" t="s">
        <v>1464</v>
      </c>
      <c r="AD55" s="17">
        <f t="shared" si="6"/>
        <v>2</v>
      </c>
      <c r="AE55" s="17" t="s">
        <v>1336</v>
      </c>
      <c r="AF55" s="17" t="s">
        <v>1328</v>
      </c>
      <c r="AG55" s="17" t="s">
        <v>1336</v>
      </c>
      <c r="AH55" s="17" t="s">
        <v>1336</v>
      </c>
      <c r="AI55" s="17" t="s">
        <v>1328</v>
      </c>
      <c r="AJ55" s="17" t="s">
        <v>1336</v>
      </c>
      <c r="AK55" s="17" t="s">
        <v>1350</v>
      </c>
      <c r="AL55" s="17" t="s">
        <v>1351</v>
      </c>
      <c r="AM55" s="17" t="s">
        <v>1363</v>
      </c>
      <c r="AN55" s="17" t="s">
        <v>1388</v>
      </c>
      <c r="AO55" s="17" t="s">
        <v>1328</v>
      </c>
      <c r="AP55" s="17" t="str">
        <f t="shared" si="7"/>
        <v>intermediate</v>
      </c>
      <c r="AQ55" s="20"/>
    </row>
    <row r="56" ht="15.75" customHeight="1">
      <c r="A56" s="16" t="s">
        <v>1687</v>
      </c>
      <c r="B56" s="16" t="s">
        <v>1688</v>
      </c>
      <c r="C56" s="16">
        <v>2018.0</v>
      </c>
      <c r="D56" s="16" t="s">
        <v>1689</v>
      </c>
      <c r="E56" s="16" t="s">
        <v>1690</v>
      </c>
      <c r="F56" s="16" t="s">
        <v>1691</v>
      </c>
      <c r="G56" s="16" t="str">
        <f t="shared" si="1"/>
        <v>No</v>
      </c>
      <c r="H56" s="16" t="s">
        <v>1324</v>
      </c>
      <c r="I56" s="16" t="s">
        <v>1324</v>
      </c>
      <c r="J56" s="16">
        <v>53.0</v>
      </c>
      <c r="K56" s="17" t="s">
        <v>1692</v>
      </c>
      <c r="L56" s="18" t="str">
        <f t="shared" si="2"/>
        <v>http://dx.doi.org/10.1111/fog.12246</v>
      </c>
      <c r="M56" s="19" t="s">
        <v>1580</v>
      </c>
      <c r="N56" s="17" t="s">
        <v>1417</v>
      </c>
      <c r="O56" s="17" t="s">
        <v>1328</v>
      </c>
      <c r="P56" s="17" t="s">
        <v>1328</v>
      </c>
      <c r="Q56" s="17" t="s">
        <v>1328</v>
      </c>
      <c r="R56" s="17" t="s">
        <v>1328</v>
      </c>
      <c r="S56" s="17" t="s">
        <v>1328</v>
      </c>
      <c r="T56" s="20" t="str">
        <f t="shared" si="3"/>
        <v>Yes</v>
      </c>
      <c r="U56" s="19" t="str">
        <f t="shared" si="4"/>
        <v>NT</v>
      </c>
      <c r="V56" s="17" t="str">
        <f t="shared" si="5"/>
        <v>Yes</v>
      </c>
      <c r="W56" s="17" t="s">
        <v>1329</v>
      </c>
      <c r="X56" s="17" t="s">
        <v>1331</v>
      </c>
      <c r="Y56" s="17" t="s">
        <v>1330</v>
      </c>
      <c r="Z56" s="17" t="s">
        <v>1347</v>
      </c>
      <c r="AA56" s="17" t="s">
        <v>1360</v>
      </c>
      <c r="AB56" s="17" t="s">
        <v>1361</v>
      </c>
      <c r="AC56" s="17" t="s">
        <v>1349</v>
      </c>
      <c r="AD56" s="17">
        <f t="shared" si="6"/>
        <v>2</v>
      </c>
      <c r="AE56" s="17" t="s">
        <v>1328</v>
      </c>
      <c r="AF56" s="17" t="s">
        <v>1336</v>
      </c>
      <c r="AG56" s="17" t="s">
        <v>1328</v>
      </c>
      <c r="AH56" s="17" t="s">
        <v>1336</v>
      </c>
      <c r="AI56" s="17" t="s">
        <v>1336</v>
      </c>
      <c r="AJ56" s="17" t="s">
        <v>1336</v>
      </c>
      <c r="AK56" s="17" t="s">
        <v>1350</v>
      </c>
      <c r="AL56" s="17" t="s">
        <v>1351</v>
      </c>
      <c r="AM56" s="17" t="s">
        <v>1339</v>
      </c>
      <c r="AN56" s="17" t="s">
        <v>1374</v>
      </c>
      <c r="AO56" s="17" t="s">
        <v>1328</v>
      </c>
      <c r="AP56" s="17" t="str">
        <f t="shared" si="7"/>
        <v>intermediate</v>
      </c>
      <c r="AQ56" s="20"/>
    </row>
    <row r="57" ht="15.75" customHeight="1">
      <c r="A57" s="16" t="s">
        <v>1693</v>
      </c>
      <c r="B57" s="16" t="s">
        <v>1593</v>
      </c>
      <c r="C57" s="16">
        <v>2018.0</v>
      </c>
      <c r="D57" s="16" t="s">
        <v>1694</v>
      </c>
      <c r="E57" s="16" t="s">
        <v>1695</v>
      </c>
      <c r="F57" s="16" t="s">
        <v>1696</v>
      </c>
      <c r="G57" s="16" t="str">
        <f t="shared" si="1"/>
        <v>No</v>
      </c>
      <c r="H57" s="16" t="s">
        <v>1324</v>
      </c>
      <c r="I57" s="16" t="s">
        <v>1324</v>
      </c>
      <c r="J57" s="16">
        <v>139.0</v>
      </c>
      <c r="K57" s="17" t="s">
        <v>1697</v>
      </c>
      <c r="L57" s="18" t="str">
        <f t="shared" si="2"/>
        <v>http://dx.doi.org/10.1111/ddi.12693</v>
      </c>
      <c r="M57" s="19" t="s">
        <v>1666</v>
      </c>
      <c r="N57" s="17" t="s">
        <v>1371</v>
      </c>
      <c r="O57" s="17" t="s">
        <v>1328</v>
      </c>
      <c r="P57" s="17" t="s">
        <v>1328</v>
      </c>
      <c r="Q57" s="17" t="s">
        <v>1328</v>
      </c>
      <c r="R57" s="17" t="s">
        <v>1328</v>
      </c>
      <c r="S57" s="17" t="s">
        <v>1328</v>
      </c>
      <c r="T57" s="20" t="str">
        <f t="shared" si="3"/>
        <v>Yes</v>
      </c>
      <c r="U57" s="19" t="str">
        <f t="shared" si="4"/>
        <v>LC</v>
      </c>
      <c r="V57" s="17" t="str">
        <f t="shared" si="5"/>
        <v>Yes</v>
      </c>
      <c r="W57" s="17" t="s">
        <v>1329</v>
      </c>
      <c r="X57" s="17" t="s">
        <v>1330</v>
      </c>
      <c r="Y57" s="17" t="s">
        <v>1372</v>
      </c>
      <c r="Z57" s="17" t="s">
        <v>1347</v>
      </c>
      <c r="AA57" s="17" t="s">
        <v>1333</v>
      </c>
      <c r="AB57" s="17" t="s">
        <v>1348</v>
      </c>
      <c r="AC57" s="17" t="s">
        <v>1362</v>
      </c>
      <c r="AD57" s="17">
        <f t="shared" si="6"/>
        <v>3</v>
      </c>
      <c r="AE57" s="17" t="s">
        <v>1328</v>
      </c>
      <c r="AF57" s="17" t="s">
        <v>1336</v>
      </c>
      <c r="AG57" s="17" t="s">
        <v>1336</v>
      </c>
      <c r="AH57" s="17" t="s">
        <v>1328</v>
      </c>
      <c r="AI57" s="17" t="s">
        <v>1336</v>
      </c>
      <c r="AJ57" s="17" t="s">
        <v>1328</v>
      </c>
      <c r="AK57" s="17" t="s">
        <v>1350</v>
      </c>
      <c r="AL57" s="17" t="s">
        <v>1351</v>
      </c>
      <c r="AM57" s="17" t="s">
        <v>1363</v>
      </c>
      <c r="AN57" s="17" t="s">
        <v>1388</v>
      </c>
      <c r="AO57" s="17" t="s">
        <v>1328</v>
      </c>
      <c r="AP57" s="17" t="str">
        <f t="shared" si="7"/>
        <v>intermediate</v>
      </c>
      <c r="AQ57" s="20"/>
    </row>
    <row r="58" ht="15.75" customHeight="1">
      <c r="A58" s="16" t="s">
        <v>1698</v>
      </c>
      <c r="B58" s="16" t="s">
        <v>1699</v>
      </c>
      <c r="C58" s="16">
        <v>2017.0</v>
      </c>
      <c r="D58" s="16" t="s">
        <v>1700</v>
      </c>
      <c r="E58" s="16" t="s">
        <v>1701</v>
      </c>
      <c r="F58" s="16" t="s">
        <v>1702</v>
      </c>
      <c r="G58" s="16" t="str">
        <f t="shared" si="1"/>
        <v>No</v>
      </c>
      <c r="H58" s="16" t="s">
        <v>1324</v>
      </c>
      <c r="I58" s="16" t="s">
        <v>1324</v>
      </c>
      <c r="J58" s="16">
        <v>40.0</v>
      </c>
      <c r="K58" s="17" t="s">
        <v>1703</v>
      </c>
      <c r="L58" s="18" t="str">
        <f t="shared" si="2"/>
        <v>http://dx.doi.org/10.1111/conl.12258</v>
      </c>
      <c r="M58" s="19" t="s">
        <v>1326</v>
      </c>
      <c r="N58" s="17" t="s">
        <v>1327</v>
      </c>
      <c r="O58" s="17" t="s">
        <v>1328</v>
      </c>
      <c r="P58" s="17" t="s">
        <v>1328</v>
      </c>
      <c r="Q58" s="17" t="s">
        <v>1328</v>
      </c>
      <c r="R58" s="17" t="s">
        <v>1328</v>
      </c>
      <c r="S58" s="17" t="s">
        <v>1328</v>
      </c>
      <c r="T58" s="20" t="str">
        <f t="shared" si="3"/>
        <v>Yes</v>
      </c>
      <c r="U58" s="19" t="str">
        <f t="shared" si="4"/>
        <v>PJ</v>
      </c>
      <c r="V58" s="17" t="str">
        <f t="shared" si="5"/>
        <v>Yes</v>
      </c>
      <c r="W58" s="17" t="s">
        <v>1443</v>
      </c>
      <c r="X58" s="17" t="s">
        <v>1330</v>
      </c>
      <c r="Y58" s="17" t="s">
        <v>1331</v>
      </c>
      <c r="Z58" s="17" t="s">
        <v>1347</v>
      </c>
      <c r="AA58" s="17" t="s">
        <v>1444</v>
      </c>
      <c r="AB58" s="17" t="s">
        <v>1445</v>
      </c>
      <c r="AC58" s="17" t="s">
        <v>1446</v>
      </c>
      <c r="AD58" s="17">
        <f t="shared" si="6"/>
        <v>5</v>
      </c>
      <c r="AE58" s="17" t="s">
        <v>1328</v>
      </c>
      <c r="AF58" s="17" t="s">
        <v>1328</v>
      </c>
      <c r="AG58" s="17" t="s">
        <v>1328</v>
      </c>
      <c r="AH58" s="17" t="s">
        <v>1328</v>
      </c>
      <c r="AI58" s="17" t="s">
        <v>1328</v>
      </c>
      <c r="AJ58" s="17" t="s">
        <v>1336</v>
      </c>
      <c r="AK58" s="17" t="s">
        <v>1395</v>
      </c>
      <c r="AL58" s="17" t="s">
        <v>1351</v>
      </c>
      <c r="AM58" s="17" t="s">
        <v>1363</v>
      </c>
      <c r="AN58" s="17" t="s">
        <v>1331</v>
      </c>
      <c r="AO58" s="17" t="s">
        <v>1328</v>
      </c>
      <c r="AP58" s="17" t="str">
        <f t="shared" si="7"/>
        <v>high</v>
      </c>
      <c r="AQ58" s="20"/>
    </row>
    <row r="59" ht="15.75" customHeight="1">
      <c r="A59" s="16" t="s">
        <v>1704</v>
      </c>
      <c r="B59" s="16" t="s">
        <v>1587</v>
      </c>
      <c r="C59" s="16">
        <v>2016.0</v>
      </c>
      <c r="D59" s="16" t="s">
        <v>1705</v>
      </c>
      <c r="E59" s="16" t="s">
        <v>1706</v>
      </c>
      <c r="F59" s="16" t="s">
        <v>1707</v>
      </c>
      <c r="G59" s="16" t="str">
        <f t="shared" si="1"/>
        <v>No</v>
      </c>
      <c r="H59" s="16" t="s">
        <v>1324</v>
      </c>
      <c r="I59" s="16" t="s">
        <v>1324</v>
      </c>
      <c r="J59" s="16">
        <v>33.0</v>
      </c>
      <c r="K59" s="17" t="s">
        <v>1708</v>
      </c>
      <c r="L59" s="18" t="str">
        <f t="shared" si="2"/>
        <v>http://dx.doi.org/10.1111/cobi.12576</v>
      </c>
      <c r="M59" s="19" t="s">
        <v>1402</v>
      </c>
      <c r="N59" s="17" t="s">
        <v>1403</v>
      </c>
      <c r="O59" s="17" t="s">
        <v>1328</v>
      </c>
      <c r="P59" s="17" t="s">
        <v>1328</v>
      </c>
      <c r="Q59" s="17" t="s">
        <v>1328</v>
      </c>
      <c r="R59" s="17" t="s">
        <v>1328</v>
      </c>
      <c r="S59" s="17" t="s">
        <v>1328</v>
      </c>
      <c r="T59" s="20" t="str">
        <f t="shared" si="3"/>
        <v>Yes</v>
      </c>
      <c r="U59" s="19" t="str">
        <f t="shared" si="4"/>
        <v>DB</v>
      </c>
      <c r="V59" s="17" t="str">
        <f t="shared" si="5"/>
        <v>Yes</v>
      </c>
      <c r="W59" s="17" t="s">
        <v>1329</v>
      </c>
      <c r="X59" s="17" t="s">
        <v>1330</v>
      </c>
      <c r="Y59" s="17" t="s">
        <v>1331</v>
      </c>
      <c r="Z59" s="17" t="s">
        <v>1347</v>
      </c>
      <c r="AA59" s="17" t="s">
        <v>1333</v>
      </c>
      <c r="AB59" s="17" t="s">
        <v>1381</v>
      </c>
      <c r="AC59" s="17" t="s">
        <v>1349</v>
      </c>
      <c r="AD59" s="17">
        <f t="shared" si="6"/>
        <v>2</v>
      </c>
      <c r="AE59" s="17" t="s">
        <v>1336</v>
      </c>
      <c r="AF59" s="17" t="s">
        <v>1336</v>
      </c>
      <c r="AG59" s="17" t="s">
        <v>1328</v>
      </c>
      <c r="AH59" s="17" t="s">
        <v>1336</v>
      </c>
      <c r="AI59" s="17" t="s">
        <v>1328</v>
      </c>
      <c r="AJ59" s="17" t="s">
        <v>1336</v>
      </c>
      <c r="AK59" s="17" t="s">
        <v>1350</v>
      </c>
      <c r="AL59" s="17" t="s">
        <v>1351</v>
      </c>
      <c r="AM59" s="17" t="s">
        <v>1363</v>
      </c>
      <c r="AN59" s="17" t="s">
        <v>1388</v>
      </c>
      <c r="AO59" s="17" t="s">
        <v>1328</v>
      </c>
      <c r="AP59" s="17" t="str">
        <f t="shared" si="7"/>
        <v>intermediate</v>
      </c>
      <c r="AQ59" s="20"/>
    </row>
    <row r="60" ht="15.75" customHeight="1">
      <c r="A60" s="16" t="s">
        <v>1709</v>
      </c>
      <c r="B60" s="16" t="s">
        <v>1151</v>
      </c>
      <c r="C60" s="16">
        <v>2018.0</v>
      </c>
      <c r="D60" s="16" t="s">
        <v>1710</v>
      </c>
      <c r="E60" s="16" t="s">
        <v>1711</v>
      </c>
      <c r="F60" s="16" t="s">
        <v>1712</v>
      </c>
      <c r="G60" s="16" t="str">
        <f t="shared" si="1"/>
        <v>No</v>
      </c>
      <c r="H60" s="16" t="s">
        <v>1324</v>
      </c>
      <c r="I60" s="16" t="s">
        <v>1324</v>
      </c>
      <c r="J60" s="16">
        <v>68.0</v>
      </c>
      <c r="K60" s="17" t="s">
        <v>1713</v>
      </c>
      <c r="L60" s="18" t="str">
        <f t="shared" si="2"/>
        <v>http://dx.doi.org/10.1111/1365-2664.13137</v>
      </c>
      <c r="M60" s="19" t="s">
        <v>1482</v>
      </c>
      <c r="N60" s="17" t="s">
        <v>1387</v>
      </c>
      <c r="O60" s="17" t="s">
        <v>1328</v>
      </c>
      <c r="P60" s="17" t="s">
        <v>1328</v>
      </c>
      <c r="Q60" s="17" t="s">
        <v>1328</v>
      </c>
      <c r="R60" s="17" t="s">
        <v>1328</v>
      </c>
      <c r="S60" s="17" t="s">
        <v>1328</v>
      </c>
      <c r="T60" s="20" t="str">
        <f t="shared" si="3"/>
        <v>Yes</v>
      </c>
      <c r="U60" s="19" t="str">
        <f t="shared" si="4"/>
        <v>MW</v>
      </c>
      <c r="V60" s="17" t="str">
        <f t="shared" si="5"/>
        <v>Yes</v>
      </c>
      <c r="W60" s="17" t="s">
        <v>1329</v>
      </c>
      <c r="X60" s="17" t="s">
        <v>1330</v>
      </c>
      <c r="Y60" s="17" t="s">
        <v>1331</v>
      </c>
      <c r="Z60" s="17" t="s">
        <v>1347</v>
      </c>
      <c r="AA60" s="17" t="s">
        <v>1333</v>
      </c>
      <c r="AB60" s="17" t="s">
        <v>1381</v>
      </c>
      <c r="AC60" s="17" t="s">
        <v>1362</v>
      </c>
      <c r="AD60" s="17">
        <f t="shared" si="6"/>
        <v>2</v>
      </c>
      <c r="AE60" s="17" t="s">
        <v>1336</v>
      </c>
      <c r="AF60" s="17" t="s">
        <v>1336</v>
      </c>
      <c r="AG60" s="17" t="s">
        <v>1328</v>
      </c>
      <c r="AH60" s="17" t="s">
        <v>1336</v>
      </c>
      <c r="AI60" s="17" t="s">
        <v>1336</v>
      </c>
      <c r="AJ60" s="17" t="s">
        <v>1328</v>
      </c>
      <c r="AK60" s="17" t="s">
        <v>1350</v>
      </c>
      <c r="AL60" s="17" t="s">
        <v>1351</v>
      </c>
      <c r="AM60" s="17" t="s">
        <v>1363</v>
      </c>
      <c r="AN60" s="17" t="s">
        <v>1388</v>
      </c>
      <c r="AO60" s="17" t="s">
        <v>1328</v>
      </c>
      <c r="AP60" s="17" t="str">
        <f t="shared" si="7"/>
        <v>intermediate</v>
      </c>
      <c r="AQ60" s="20"/>
    </row>
    <row r="61" ht="15.75" customHeight="1">
      <c r="A61" s="16" t="s">
        <v>1714</v>
      </c>
      <c r="B61" s="16" t="s">
        <v>460</v>
      </c>
      <c r="C61" s="16">
        <v>2011.0</v>
      </c>
      <c r="D61" s="16" t="s">
        <v>1715</v>
      </c>
      <c r="E61" s="16" t="s">
        <v>1716</v>
      </c>
      <c r="F61" s="16" t="s">
        <v>1717</v>
      </c>
      <c r="G61" s="16" t="str">
        <f t="shared" si="1"/>
        <v>Yes</v>
      </c>
      <c r="H61" s="16" t="s">
        <v>1324</v>
      </c>
      <c r="I61" s="16" t="s">
        <v>1328</v>
      </c>
      <c r="J61" s="16">
        <v>31.0</v>
      </c>
      <c r="K61" s="17" t="s">
        <v>1718</v>
      </c>
      <c r="L61" s="18" t="str">
        <f t="shared" si="2"/>
        <v>http://dx.doi.org/10.1098/rstb.2011.0116</v>
      </c>
      <c r="M61" s="19" t="s">
        <v>1442</v>
      </c>
      <c r="N61" s="17" t="s">
        <v>1327</v>
      </c>
      <c r="O61" s="17" t="s">
        <v>1328</v>
      </c>
      <c r="P61" s="17" t="s">
        <v>1328</v>
      </c>
      <c r="Q61" s="17" t="s">
        <v>1328</v>
      </c>
      <c r="R61" s="17" t="s">
        <v>1328</v>
      </c>
      <c r="S61" s="17" t="s">
        <v>1328</v>
      </c>
      <c r="T61" s="20" t="str">
        <f t="shared" si="3"/>
        <v>Yes</v>
      </c>
      <c r="U61" s="19" t="str">
        <f t="shared" si="4"/>
        <v>PJ</v>
      </c>
      <c r="V61" s="17" t="str">
        <f t="shared" si="5"/>
        <v>Yes</v>
      </c>
      <c r="W61" s="17" t="s">
        <v>1443</v>
      </c>
      <c r="X61" s="17" t="s">
        <v>1330</v>
      </c>
      <c r="Y61" s="17" t="s">
        <v>1330</v>
      </c>
      <c r="Z61" s="17" t="s">
        <v>1347</v>
      </c>
      <c r="AA61" s="17" t="s">
        <v>1444</v>
      </c>
      <c r="AB61" s="17" t="s">
        <v>1445</v>
      </c>
      <c r="AC61" s="17" t="s">
        <v>1446</v>
      </c>
      <c r="AD61" s="17">
        <f t="shared" si="6"/>
        <v>6</v>
      </c>
      <c r="AE61" s="17" t="s">
        <v>1328</v>
      </c>
      <c r="AF61" s="17" t="s">
        <v>1328</v>
      </c>
      <c r="AG61" s="17" t="s">
        <v>1328</v>
      </c>
      <c r="AH61" s="17" t="s">
        <v>1328</v>
      </c>
      <c r="AI61" s="17" t="s">
        <v>1328</v>
      </c>
      <c r="AJ61" s="17" t="s">
        <v>1328</v>
      </c>
      <c r="AK61" s="17" t="s">
        <v>1395</v>
      </c>
      <c r="AL61" s="17" t="s">
        <v>1351</v>
      </c>
      <c r="AM61" s="17" t="s">
        <v>1363</v>
      </c>
      <c r="AN61" s="17" t="s">
        <v>1331</v>
      </c>
      <c r="AO61" s="17" t="s">
        <v>1328</v>
      </c>
      <c r="AP61" s="17" t="str">
        <f t="shared" si="7"/>
        <v>high</v>
      </c>
      <c r="AQ61" s="20"/>
    </row>
    <row r="62" ht="15.75" customHeight="1">
      <c r="A62" s="16" t="s">
        <v>1719</v>
      </c>
      <c r="B62" s="16" t="s">
        <v>460</v>
      </c>
      <c r="C62" s="16">
        <v>2010.0</v>
      </c>
      <c r="D62" s="16" t="s">
        <v>1720</v>
      </c>
      <c r="E62" s="16" t="s">
        <v>1721</v>
      </c>
      <c r="F62" s="16" t="s">
        <v>1722</v>
      </c>
      <c r="G62" s="16" t="str">
        <f t="shared" si="1"/>
        <v>No</v>
      </c>
      <c r="H62" s="16" t="s">
        <v>1324</v>
      </c>
      <c r="I62" s="16" t="s">
        <v>1324</v>
      </c>
      <c r="J62" s="16">
        <v>6.0</v>
      </c>
      <c r="K62" s="17" t="s">
        <v>1723</v>
      </c>
      <c r="L62" s="18" t="str">
        <f t="shared" si="2"/>
        <v>http://dx.doi.org/10.1098/rstb.2010.0273</v>
      </c>
      <c r="M62" s="19" t="s">
        <v>1482</v>
      </c>
      <c r="N62" s="17" t="s">
        <v>1417</v>
      </c>
      <c r="O62" s="17" t="s">
        <v>1328</v>
      </c>
      <c r="P62" s="17" t="s">
        <v>1328</v>
      </c>
      <c r="Q62" s="17" t="s">
        <v>1328</v>
      </c>
      <c r="R62" s="17" t="s">
        <v>1328</v>
      </c>
      <c r="S62" s="17" t="s">
        <v>1328</v>
      </c>
      <c r="T62" s="20" t="str">
        <f t="shared" si="3"/>
        <v>Yes</v>
      </c>
      <c r="U62" s="19" t="str">
        <f t="shared" si="4"/>
        <v>NT</v>
      </c>
      <c r="V62" s="17" t="str">
        <f t="shared" si="5"/>
        <v>Yes</v>
      </c>
      <c r="W62" s="17" t="s">
        <v>1443</v>
      </c>
      <c r="X62" s="17" t="s">
        <v>1331</v>
      </c>
      <c r="Y62" s="17" t="s">
        <v>1372</v>
      </c>
      <c r="Z62" s="17" t="s">
        <v>1337</v>
      </c>
      <c r="AA62" s="17" t="s">
        <v>1444</v>
      </c>
      <c r="AB62" s="17" t="s">
        <v>1476</v>
      </c>
      <c r="AC62" s="17" t="s">
        <v>1362</v>
      </c>
      <c r="AD62" s="17">
        <f t="shared" si="6"/>
        <v>4</v>
      </c>
      <c r="AE62" s="17" t="s">
        <v>1328</v>
      </c>
      <c r="AF62" s="17" t="s">
        <v>1328</v>
      </c>
      <c r="AG62" s="17" t="s">
        <v>1328</v>
      </c>
      <c r="AH62" s="17" t="s">
        <v>1328</v>
      </c>
      <c r="AI62" s="17" t="s">
        <v>1336</v>
      </c>
      <c r="AJ62" s="17" t="s">
        <v>1336</v>
      </c>
      <c r="AK62" s="17" t="s">
        <v>1337</v>
      </c>
      <c r="AL62" s="17" t="s">
        <v>1338</v>
      </c>
      <c r="AM62" s="17" t="s">
        <v>1339</v>
      </c>
      <c r="AN62" s="17" t="s">
        <v>1331</v>
      </c>
      <c r="AO62" s="17" t="s">
        <v>1328</v>
      </c>
      <c r="AP62" s="17" t="str">
        <f t="shared" si="7"/>
        <v>intermediate</v>
      </c>
      <c r="AQ62" s="20"/>
    </row>
    <row r="63" ht="15.75" customHeight="1">
      <c r="A63" s="16" t="s">
        <v>1724</v>
      </c>
      <c r="B63" s="16" t="s">
        <v>1725</v>
      </c>
      <c r="C63" s="16">
        <v>2010.0</v>
      </c>
      <c r="D63" s="16" t="s">
        <v>1726</v>
      </c>
      <c r="E63" s="16" t="s">
        <v>1727</v>
      </c>
      <c r="F63" s="16" t="s">
        <v>1728</v>
      </c>
      <c r="G63" s="16" t="str">
        <f t="shared" si="1"/>
        <v>No</v>
      </c>
      <c r="H63" s="16" t="s">
        <v>1324</v>
      </c>
      <c r="I63" s="16" t="s">
        <v>1324</v>
      </c>
      <c r="J63" s="16">
        <v>41.0</v>
      </c>
      <c r="K63" s="17" t="s">
        <v>1729</v>
      </c>
      <c r="L63" s="18" t="str">
        <f t="shared" si="2"/>
        <v>http://dx.doi.org/10.1098/rspb.2009.1020</v>
      </c>
      <c r="M63" s="19" t="s">
        <v>1410</v>
      </c>
      <c r="N63" s="17" t="s">
        <v>1359</v>
      </c>
      <c r="O63" s="17" t="s">
        <v>1328</v>
      </c>
      <c r="P63" s="17" t="s">
        <v>1328</v>
      </c>
      <c r="Q63" s="17" t="s">
        <v>1328</v>
      </c>
      <c r="R63" s="17" t="s">
        <v>1328</v>
      </c>
      <c r="S63" s="17" t="s">
        <v>1328</v>
      </c>
      <c r="T63" s="20" t="str">
        <f t="shared" si="3"/>
        <v>Yes</v>
      </c>
      <c r="U63" s="19" t="str">
        <f t="shared" si="4"/>
        <v>YT</v>
      </c>
      <c r="V63" s="17" t="str">
        <f t="shared" si="5"/>
        <v>Yes</v>
      </c>
      <c r="W63" s="17" t="s">
        <v>1329</v>
      </c>
      <c r="X63" s="17" t="s">
        <v>1330</v>
      </c>
      <c r="Y63" s="17" t="s">
        <v>1330</v>
      </c>
      <c r="Z63" s="17" t="s">
        <v>1347</v>
      </c>
      <c r="AA63" s="17" t="s">
        <v>1333</v>
      </c>
      <c r="AB63" s="17" t="s">
        <v>1361</v>
      </c>
      <c r="AC63" s="17" t="s">
        <v>1349</v>
      </c>
      <c r="AD63" s="17">
        <f t="shared" si="6"/>
        <v>2</v>
      </c>
      <c r="AE63" s="17" t="s">
        <v>1328</v>
      </c>
      <c r="AF63" s="17" t="s">
        <v>1336</v>
      </c>
      <c r="AG63" s="17" t="s">
        <v>1328</v>
      </c>
      <c r="AH63" s="17" t="s">
        <v>1336</v>
      </c>
      <c r="AI63" s="17" t="s">
        <v>1336</v>
      </c>
      <c r="AJ63" s="17" t="s">
        <v>1336</v>
      </c>
      <c r="AK63" s="17" t="s">
        <v>1350</v>
      </c>
      <c r="AL63" s="17" t="s">
        <v>1351</v>
      </c>
      <c r="AM63" s="17" t="s">
        <v>1339</v>
      </c>
      <c r="AN63" s="17" t="s">
        <v>1331</v>
      </c>
      <c r="AO63" s="17" t="s">
        <v>1328</v>
      </c>
      <c r="AP63" s="17" t="str">
        <f t="shared" si="7"/>
        <v>intermediate</v>
      </c>
      <c r="AQ63" s="20"/>
    </row>
    <row r="64" ht="15.75" customHeight="1">
      <c r="A64" s="16" t="s">
        <v>1730</v>
      </c>
      <c r="B64" s="16" t="s">
        <v>1731</v>
      </c>
      <c r="C64" s="16">
        <v>2014.0</v>
      </c>
      <c r="D64" s="16" t="s">
        <v>1732</v>
      </c>
      <c r="E64" s="16" t="s">
        <v>1733</v>
      </c>
      <c r="F64" s="16" t="s">
        <v>1734</v>
      </c>
      <c r="G64" s="16" t="str">
        <f t="shared" si="1"/>
        <v>No</v>
      </c>
      <c r="H64" s="16" t="s">
        <v>1324</v>
      </c>
      <c r="I64" s="16" t="s">
        <v>1324</v>
      </c>
      <c r="J64" s="16">
        <v>56.0</v>
      </c>
      <c r="K64" s="17" t="s">
        <v>1735</v>
      </c>
      <c r="L64" s="18" t="str">
        <f t="shared" si="2"/>
        <v>http://dx.doi.org/10.1093/icesjms/fst222</v>
      </c>
      <c r="M64" s="19" t="s">
        <v>1346</v>
      </c>
      <c r="N64" s="17" t="s">
        <v>1387</v>
      </c>
      <c r="O64" s="17" t="s">
        <v>1328</v>
      </c>
      <c r="P64" s="17" t="s">
        <v>1328</v>
      </c>
      <c r="Q64" s="17" t="s">
        <v>1328</v>
      </c>
      <c r="R64" s="17" t="s">
        <v>1328</v>
      </c>
      <c r="S64" s="17" t="s">
        <v>1328</v>
      </c>
      <c r="T64" s="20" t="str">
        <f t="shared" si="3"/>
        <v>Yes</v>
      </c>
      <c r="U64" s="19" t="str">
        <f t="shared" si="4"/>
        <v>MW</v>
      </c>
      <c r="V64" s="17" t="str">
        <f t="shared" si="5"/>
        <v>Yes</v>
      </c>
      <c r="W64" s="17" t="s">
        <v>1329</v>
      </c>
      <c r="X64" s="17" t="s">
        <v>1330</v>
      </c>
      <c r="Y64" s="17" t="s">
        <v>1331</v>
      </c>
      <c r="Z64" s="17" t="s">
        <v>1347</v>
      </c>
      <c r="AA64" s="17" t="s">
        <v>1333</v>
      </c>
      <c r="AB64" s="17" t="s">
        <v>1361</v>
      </c>
      <c r="AC64" s="17" t="s">
        <v>1349</v>
      </c>
      <c r="AD64" s="17">
        <f t="shared" si="6"/>
        <v>3</v>
      </c>
      <c r="AE64" s="17" t="s">
        <v>1328</v>
      </c>
      <c r="AF64" s="17" t="s">
        <v>1336</v>
      </c>
      <c r="AG64" s="17" t="s">
        <v>1328</v>
      </c>
      <c r="AH64" s="17" t="s">
        <v>1336</v>
      </c>
      <c r="AI64" s="17" t="s">
        <v>1328</v>
      </c>
      <c r="AJ64" s="17" t="s">
        <v>1336</v>
      </c>
      <c r="AK64" s="17" t="s">
        <v>1350</v>
      </c>
      <c r="AL64" s="17" t="s">
        <v>1351</v>
      </c>
      <c r="AM64" s="17" t="s">
        <v>1363</v>
      </c>
      <c r="AN64" s="17" t="s">
        <v>1388</v>
      </c>
      <c r="AO64" s="17" t="s">
        <v>1328</v>
      </c>
      <c r="AP64" s="17" t="str">
        <f t="shared" si="7"/>
        <v>intermediate</v>
      </c>
      <c r="AQ64" s="20"/>
    </row>
    <row r="65" ht="15.75" customHeight="1">
      <c r="A65" s="16" t="s">
        <v>1736</v>
      </c>
      <c r="B65" s="16" t="s">
        <v>1731</v>
      </c>
      <c r="C65" s="16">
        <v>2012.0</v>
      </c>
      <c r="D65" s="16" t="s">
        <v>1737</v>
      </c>
      <c r="E65" s="16" t="s">
        <v>1738</v>
      </c>
      <c r="F65" s="16" t="s">
        <v>1739</v>
      </c>
      <c r="G65" s="16" t="str">
        <f t="shared" si="1"/>
        <v>No</v>
      </c>
      <c r="H65" s="16" t="s">
        <v>1324</v>
      </c>
      <c r="I65" s="16" t="s">
        <v>1324</v>
      </c>
      <c r="J65" s="16">
        <v>28.0</v>
      </c>
      <c r="K65" s="17" t="s">
        <v>1740</v>
      </c>
      <c r="L65" s="18" t="str">
        <f t="shared" si="2"/>
        <v>http://dx.doi.org/10.1093/icesjms/fss072</v>
      </c>
      <c r="M65" s="19" t="s">
        <v>1545</v>
      </c>
      <c r="N65" s="17" t="s">
        <v>1470</v>
      </c>
      <c r="O65" s="17" t="s">
        <v>1328</v>
      </c>
      <c r="P65" s="17" t="s">
        <v>1328</v>
      </c>
      <c r="Q65" s="17" t="s">
        <v>1328</v>
      </c>
      <c r="R65" s="17" t="s">
        <v>1328</v>
      </c>
      <c r="S65" s="17" t="s">
        <v>1328</v>
      </c>
      <c r="T65" s="20" t="str">
        <f t="shared" si="3"/>
        <v>Yes</v>
      </c>
      <c r="U65" s="19" t="str">
        <f t="shared" si="4"/>
        <v>AG</v>
      </c>
      <c r="V65" s="17" t="str">
        <f t="shared" si="5"/>
        <v>Yes</v>
      </c>
      <c r="W65" s="17" t="s">
        <v>1329</v>
      </c>
      <c r="X65" s="17" t="s">
        <v>1330</v>
      </c>
      <c r="Y65" s="17" t="s">
        <v>1331</v>
      </c>
      <c r="Z65" s="17" t="s">
        <v>1347</v>
      </c>
      <c r="AA65" s="17" t="s">
        <v>1360</v>
      </c>
      <c r="AB65" s="17" t="s">
        <v>1361</v>
      </c>
      <c r="AC65" s="17" t="s">
        <v>1349</v>
      </c>
      <c r="AD65" s="17">
        <f t="shared" si="6"/>
        <v>2</v>
      </c>
      <c r="AE65" s="17" t="s">
        <v>1328</v>
      </c>
      <c r="AF65" s="17" t="s">
        <v>1336</v>
      </c>
      <c r="AG65" s="17" t="s">
        <v>1336</v>
      </c>
      <c r="AH65" s="17" t="s">
        <v>1336</v>
      </c>
      <c r="AI65" s="17" t="s">
        <v>1328</v>
      </c>
      <c r="AJ65" s="17" t="s">
        <v>1336</v>
      </c>
      <c r="AK65" s="17" t="s">
        <v>1350</v>
      </c>
      <c r="AL65" s="17" t="s">
        <v>1351</v>
      </c>
      <c r="AM65" s="17" t="s">
        <v>1339</v>
      </c>
      <c r="AN65" s="17" t="s">
        <v>1331</v>
      </c>
      <c r="AO65" s="17" t="s">
        <v>1328</v>
      </c>
      <c r="AP65" s="17" t="str">
        <f t="shared" si="7"/>
        <v>high</v>
      </c>
      <c r="AQ65" s="20"/>
    </row>
    <row r="66" ht="15.75" customHeight="1">
      <c r="A66" s="16" t="s">
        <v>1741</v>
      </c>
      <c r="B66" s="16" t="s">
        <v>1742</v>
      </c>
      <c r="C66" s="16">
        <v>2010.0</v>
      </c>
      <c r="D66" s="16" t="s">
        <v>1743</v>
      </c>
      <c r="E66" s="16" t="s">
        <v>1744</v>
      </c>
      <c r="F66" s="16" t="s">
        <v>1745</v>
      </c>
      <c r="G66" s="16" t="str">
        <f t="shared" si="1"/>
        <v>No</v>
      </c>
      <c r="H66" s="16" t="s">
        <v>1324</v>
      </c>
      <c r="I66" s="16" t="s">
        <v>1324</v>
      </c>
      <c r="J66" s="16">
        <v>68.0</v>
      </c>
      <c r="K66" s="17" t="s">
        <v>1746</v>
      </c>
      <c r="L66" s="18" t="str">
        <f t="shared" si="2"/>
        <v>http://dx.doi.org/10.1093/icb/icq072</v>
      </c>
      <c r="M66" s="19" t="s">
        <v>1402</v>
      </c>
      <c r="N66" s="17" t="s">
        <v>1436</v>
      </c>
      <c r="O66" s="17" t="s">
        <v>1328</v>
      </c>
      <c r="P66" s="17" t="s">
        <v>1328</v>
      </c>
      <c r="Q66" s="17" t="s">
        <v>1328</v>
      </c>
      <c r="R66" s="17" t="s">
        <v>1328</v>
      </c>
      <c r="S66" s="17" t="s">
        <v>1328</v>
      </c>
      <c r="T66" s="20" t="str">
        <f t="shared" si="3"/>
        <v>Yes</v>
      </c>
      <c r="U66" s="19" t="str">
        <f t="shared" si="4"/>
        <v>CG</v>
      </c>
      <c r="V66" s="17" t="str">
        <f t="shared" si="5"/>
        <v>Yes</v>
      </c>
      <c r="W66" s="17" t="s">
        <v>1443</v>
      </c>
      <c r="X66" s="17" t="s">
        <v>1330</v>
      </c>
      <c r="Y66" s="17" t="s">
        <v>1330</v>
      </c>
      <c r="Z66" s="17" t="s">
        <v>1332</v>
      </c>
      <c r="AA66" s="17" t="s">
        <v>1360</v>
      </c>
      <c r="AB66" s="17" t="s">
        <v>1348</v>
      </c>
      <c r="AC66" s="17" t="s">
        <v>1349</v>
      </c>
      <c r="AD66" s="17">
        <f t="shared" si="6"/>
        <v>3</v>
      </c>
      <c r="AE66" s="17" t="s">
        <v>1328</v>
      </c>
      <c r="AF66" s="17" t="s">
        <v>1328</v>
      </c>
      <c r="AG66" s="17" t="s">
        <v>1328</v>
      </c>
      <c r="AH66" s="17" t="s">
        <v>1336</v>
      </c>
      <c r="AI66" s="17" t="s">
        <v>1336</v>
      </c>
      <c r="AJ66" s="17" t="s">
        <v>1336</v>
      </c>
      <c r="AK66" s="17" t="s">
        <v>1395</v>
      </c>
      <c r="AL66" s="17" t="s">
        <v>1338</v>
      </c>
      <c r="AM66" s="17" t="s">
        <v>1339</v>
      </c>
      <c r="AN66" s="17" t="s">
        <v>1374</v>
      </c>
      <c r="AO66" s="17" t="s">
        <v>1328</v>
      </c>
      <c r="AP66" s="17" t="str">
        <f t="shared" si="7"/>
        <v>high</v>
      </c>
      <c r="AQ66" s="20"/>
    </row>
    <row r="67" ht="15.75" customHeight="1">
      <c r="A67" s="16" t="s">
        <v>1747</v>
      </c>
      <c r="B67" s="16" t="s">
        <v>318</v>
      </c>
      <c r="C67" s="16">
        <v>2018.0</v>
      </c>
      <c r="D67" s="16" t="s">
        <v>1748</v>
      </c>
      <c r="E67" s="16" t="s">
        <v>1749</v>
      </c>
      <c r="F67" s="16" t="s">
        <v>1750</v>
      </c>
      <c r="G67" s="16" t="str">
        <f t="shared" si="1"/>
        <v>No</v>
      </c>
      <c r="H67" s="16" t="s">
        <v>1324</v>
      </c>
      <c r="I67" s="16" t="s">
        <v>1324</v>
      </c>
      <c r="J67" s="16">
        <v>54.0</v>
      </c>
      <c r="K67" s="17" t="s">
        <v>1751</v>
      </c>
      <c r="L67" s="18" t="str">
        <f t="shared" si="2"/>
        <v>http://dx.doi.org/10.1088/1748-9326/aacd1c</v>
      </c>
      <c r="M67" s="19" t="s">
        <v>1614</v>
      </c>
      <c r="N67" s="17" t="s">
        <v>1417</v>
      </c>
      <c r="O67" s="17" t="s">
        <v>1328</v>
      </c>
      <c r="P67" s="17" t="s">
        <v>1328</v>
      </c>
      <c r="Q67" s="17" t="s">
        <v>1328</v>
      </c>
      <c r="R67" s="17" t="s">
        <v>1328</v>
      </c>
      <c r="S67" s="17" t="s">
        <v>1328</v>
      </c>
      <c r="T67" s="20" t="str">
        <f t="shared" si="3"/>
        <v>Yes</v>
      </c>
      <c r="U67" s="19" t="str">
        <f t="shared" si="4"/>
        <v>NT</v>
      </c>
      <c r="V67" s="17" t="str">
        <f t="shared" si="5"/>
        <v>Yes</v>
      </c>
      <c r="W67" s="17" t="s">
        <v>1329</v>
      </c>
      <c r="X67" s="17" t="s">
        <v>1330</v>
      </c>
      <c r="Y67" s="17" t="s">
        <v>1330</v>
      </c>
      <c r="Z67" s="17" t="s">
        <v>1347</v>
      </c>
      <c r="AA67" s="17" t="s">
        <v>1444</v>
      </c>
      <c r="AB67" s="17" t="s">
        <v>1476</v>
      </c>
      <c r="AC67" s="17" t="s">
        <v>1362</v>
      </c>
      <c r="AD67" s="17">
        <f t="shared" si="6"/>
        <v>2</v>
      </c>
      <c r="AE67" s="17" t="s">
        <v>1336</v>
      </c>
      <c r="AF67" s="17" t="s">
        <v>1328</v>
      </c>
      <c r="AG67" s="17" t="s">
        <v>1328</v>
      </c>
      <c r="AH67" s="17" t="s">
        <v>1336</v>
      </c>
      <c r="AI67" s="17" t="s">
        <v>1336</v>
      </c>
      <c r="AJ67" s="17" t="s">
        <v>1336</v>
      </c>
      <c r="AK67" s="17" t="s">
        <v>1350</v>
      </c>
      <c r="AL67" s="17" t="s">
        <v>1351</v>
      </c>
      <c r="AM67" s="17" t="s">
        <v>1339</v>
      </c>
      <c r="AN67" s="17" t="s">
        <v>1331</v>
      </c>
      <c r="AO67" s="17" t="s">
        <v>1328</v>
      </c>
      <c r="AP67" s="17" t="str">
        <f t="shared" si="7"/>
        <v>high</v>
      </c>
      <c r="AQ67" s="20"/>
    </row>
    <row r="68" ht="15.75" customHeight="1">
      <c r="A68" s="16" t="s">
        <v>1752</v>
      </c>
      <c r="B68" s="16" t="s">
        <v>318</v>
      </c>
      <c r="C68" s="16">
        <v>2018.0</v>
      </c>
      <c r="D68" s="16" t="s">
        <v>1753</v>
      </c>
      <c r="E68" s="16" t="s">
        <v>1754</v>
      </c>
      <c r="F68" s="16" t="s">
        <v>1755</v>
      </c>
      <c r="G68" s="16" t="str">
        <f t="shared" si="1"/>
        <v>No</v>
      </c>
      <c r="H68" s="16" t="s">
        <v>1324</v>
      </c>
      <c r="I68" s="16" t="s">
        <v>1324</v>
      </c>
      <c r="J68" s="16">
        <v>1.0</v>
      </c>
      <c r="K68" s="17" t="s">
        <v>1756</v>
      </c>
      <c r="L68" s="18" t="str">
        <f t="shared" si="2"/>
        <v>http://dx.doi.org/10.1088/1748-9326/aac331</v>
      </c>
      <c r="M68" s="19" t="s">
        <v>1614</v>
      </c>
      <c r="N68" s="17" t="s">
        <v>1327</v>
      </c>
      <c r="O68" s="17" t="s">
        <v>1328</v>
      </c>
      <c r="P68" s="17" t="s">
        <v>1328</v>
      </c>
      <c r="Q68" s="17" t="s">
        <v>1328</v>
      </c>
      <c r="R68" s="17" t="s">
        <v>1328</v>
      </c>
      <c r="S68" s="17" t="s">
        <v>1328</v>
      </c>
      <c r="T68" s="20" t="str">
        <f t="shared" si="3"/>
        <v>Yes</v>
      </c>
      <c r="U68" s="19" t="str">
        <f t="shared" si="4"/>
        <v>PJ</v>
      </c>
      <c r="V68" s="17" t="str">
        <f t="shared" si="5"/>
        <v>Yes</v>
      </c>
      <c r="W68" s="17" t="s">
        <v>1329</v>
      </c>
      <c r="X68" s="17" t="s">
        <v>1523</v>
      </c>
      <c r="Y68" s="17" t="s">
        <v>1330</v>
      </c>
      <c r="Z68" s="17" t="s">
        <v>1347</v>
      </c>
      <c r="AA68" s="17" t="s">
        <v>1360</v>
      </c>
      <c r="AB68" s="17" t="s">
        <v>1348</v>
      </c>
      <c r="AC68" s="17" t="s">
        <v>1464</v>
      </c>
      <c r="AD68" s="17">
        <f t="shared" si="6"/>
        <v>2</v>
      </c>
      <c r="AE68" s="17" t="s">
        <v>1336</v>
      </c>
      <c r="AF68" s="17" t="s">
        <v>1336</v>
      </c>
      <c r="AG68" s="17" t="s">
        <v>1328</v>
      </c>
      <c r="AH68" s="17" t="s">
        <v>1336</v>
      </c>
      <c r="AI68" s="17" t="s">
        <v>1336</v>
      </c>
      <c r="AJ68" s="17" t="s">
        <v>1328</v>
      </c>
      <c r="AK68" s="17" t="s">
        <v>1395</v>
      </c>
      <c r="AL68" s="17" t="s">
        <v>1351</v>
      </c>
      <c r="AM68" s="17" t="s">
        <v>1363</v>
      </c>
      <c r="AN68" s="17" t="s">
        <v>1331</v>
      </c>
      <c r="AO68" s="17" t="s">
        <v>1328</v>
      </c>
      <c r="AP68" s="17" t="str">
        <f t="shared" si="7"/>
        <v>intermediate</v>
      </c>
      <c r="AQ68" s="20"/>
    </row>
    <row r="69" ht="15.75" customHeight="1">
      <c r="A69" s="16" t="s">
        <v>1757</v>
      </c>
      <c r="B69" s="16" t="s">
        <v>318</v>
      </c>
      <c r="C69" s="16">
        <v>2013.0</v>
      </c>
      <c r="D69" s="16" t="s">
        <v>1758</v>
      </c>
      <c r="E69" s="16" t="s">
        <v>1759</v>
      </c>
      <c r="F69" s="16" t="s">
        <v>1760</v>
      </c>
      <c r="G69" s="16" t="str">
        <f t="shared" si="1"/>
        <v>No</v>
      </c>
      <c r="H69" s="16" t="s">
        <v>1324</v>
      </c>
      <c r="I69" s="16" t="s">
        <v>1324</v>
      </c>
      <c r="J69" s="16">
        <v>76.0</v>
      </c>
      <c r="K69" s="17" t="s">
        <v>1761</v>
      </c>
      <c r="L69" s="18" t="str">
        <f t="shared" si="2"/>
        <v>http://dx.doi.org/10.1088/1748-9326/8/2/024034</v>
      </c>
      <c r="M69" s="19" t="s">
        <v>1614</v>
      </c>
      <c r="N69" s="17" t="s">
        <v>1470</v>
      </c>
      <c r="O69" s="17" t="s">
        <v>1328</v>
      </c>
      <c r="P69" s="17" t="s">
        <v>1328</v>
      </c>
      <c r="Q69" s="17" t="s">
        <v>1328</v>
      </c>
      <c r="R69" s="17" t="s">
        <v>1328</v>
      </c>
      <c r="S69" s="17" t="s">
        <v>1328</v>
      </c>
      <c r="T69" s="20" t="str">
        <f t="shared" si="3"/>
        <v>Yes</v>
      </c>
      <c r="U69" s="19" t="str">
        <f t="shared" si="4"/>
        <v>AG</v>
      </c>
      <c r="V69" s="17" t="str">
        <f t="shared" si="5"/>
        <v>Yes</v>
      </c>
      <c r="W69" s="17" t="s">
        <v>1329</v>
      </c>
      <c r="X69" s="17" t="s">
        <v>1372</v>
      </c>
      <c r="Y69" s="17" t="s">
        <v>1331</v>
      </c>
      <c r="Z69" s="17" t="s">
        <v>1347</v>
      </c>
      <c r="AA69" s="17" t="s">
        <v>1333</v>
      </c>
      <c r="AB69" s="17" t="s">
        <v>1334</v>
      </c>
      <c r="AC69" s="17" t="s">
        <v>1362</v>
      </c>
      <c r="AD69" s="17">
        <f t="shared" si="6"/>
        <v>3</v>
      </c>
      <c r="AE69" s="17" t="s">
        <v>1336</v>
      </c>
      <c r="AF69" s="17" t="s">
        <v>1328</v>
      </c>
      <c r="AG69" s="17" t="s">
        <v>1328</v>
      </c>
      <c r="AH69" s="17" t="s">
        <v>1328</v>
      </c>
      <c r="AI69" s="17" t="s">
        <v>1336</v>
      </c>
      <c r="AJ69" s="17" t="s">
        <v>1336</v>
      </c>
      <c r="AK69" s="17" t="s">
        <v>1350</v>
      </c>
      <c r="AL69" s="17" t="s">
        <v>1351</v>
      </c>
      <c r="AM69" s="17" t="s">
        <v>1363</v>
      </c>
      <c r="AN69" s="17" t="s">
        <v>1331</v>
      </c>
      <c r="AO69" s="17" t="s">
        <v>1328</v>
      </c>
      <c r="AP69" s="17" t="str">
        <f t="shared" si="7"/>
        <v>intermediate</v>
      </c>
      <c r="AQ69" s="20"/>
    </row>
    <row r="70" ht="15.75" customHeight="1">
      <c r="A70" s="16" t="s">
        <v>1762</v>
      </c>
      <c r="B70" s="16" t="s">
        <v>1763</v>
      </c>
      <c r="C70" s="16">
        <v>2007.0</v>
      </c>
      <c r="D70" s="16" t="s">
        <v>1764</v>
      </c>
      <c r="E70" s="16" t="s">
        <v>1765</v>
      </c>
      <c r="F70" s="16" t="s">
        <v>1766</v>
      </c>
      <c r="G70" s="16" t="str">
        <f t="shared" si="1"/>
        <v>No</v>
      </c>
      <c r="H70" s="16" t="s">
        <v>1324</v>
      </c>
      <c r="I70" s="16" t="s">
        <v>1324</v>
      </c>
      <c r="J70" s="16">
        <v>138.0</v>
      </c>
      <c r="K70" s="17" t="s">
        <v>1767</v>
      </c>
      <c r="L70" s="18" t="str">
        <f t="shared" si="2"/>
        <v>http://dx.doi.org/10.1080/14634980701350686</v>
      </c>
      <c r="M70" s="19" t="s">
        <v>1522</v>
      </c>
      <c r="N70" s="17" t="s">
        <v>1327</v>
      </c>
      <c r="O70" s="17" t="s">
        <v>1328</v>
      </c>
      <c r="P70" s="17" t="s">
        <v>1328</v>
      </c>
      <c r="Q70" s="17" t="s">
        <v>1328</v>
      </c>
      <c r="R70" s="17" t="s">
        <v>1328</v>
      </c>
      <c r="S70" s="17" t="s">
        <v>1328</v>
      </c>
      <c r="T70" s="20" t="str">
        <f t="shared" si="3"/>
        <v>Yes</v>
      </c>
      <c r="U70" s="19" t="str">
        <f t="shared" si="4"/>
        <v>PJ</v>
      </c>
      <c r="V70" s="17" t="str">
        <f t="shared" si="5"/>
        <v>Yes</v>
      </c>
      <c r="W70" s="17" t="s">
        <v>1443</v>
      </c>
      <c r="X70" s="17" t="s">
        <v>1523</v>
      </c>
      <c r="Y70" s="17" t="s">
        <v>1372</v>
      </c>
      <c r="Z70" s="17" t="s">
        <v>1332</v>
      </c>
      <c r="AA70" s="17" t="s">
        <v>1360</v>
      </c>
      <c r="AB70" s="17" t="s">
        <v>1348</v>
      </c>
      <c r="AC70" s="17" t="s">
        <v>1530</v>
      </c>
      <c r="AD70" s="17">
        <f t="shared" si="6"/>
        <v>4</v>
      </c>
      <c r="AE70" s="17" t="s">
        <v>1336</v>
      </c>
      <c r="AF70" s="17" t="s">
        <v>1328</v>
      </c>
      <c r="AG70" s="17" t="s">
        <v>1328</v>
      </c>
      <c r="AH70" s="17" t="s">
        <v>1328</v>
      </c>
      <c r="AI70" s="17" t="s">
        <v>1328</v>
      </c>
      <c r="AJ70" s="17" t="s">
        <v>1336</v>
      </c>
      <c r="AK70" s="17" t="s">
        <v>1395</v>
      </c>
      <c r="AL70" s="17" t="s">
        <v>1338</v>
      </c>
      <c r="AM70" s="17" t="s">
        <v>1339</v>
      </c>
      <c r="AN70" s="17" t="s">
        <v>1331</v>
      </c>
      <c r="AO70" s="17" t="s">
        <v>1328</v>
      </c>
      <c r="AP70" s="17" t="str">
        <f t="shared" si="7"/>
        <v>intermediate</v>
      </c>
      <c r="AQ70" s="20"/>
    </row>
    <row r="71" ht="15.75" customHeight="1">
      <c r="A71" s="16" t="s">
        <v>1768</v>
      </c>
      <c r="B71" s="16" t="s">
        <v>1769</v>
      </c>
      <c r="C71" s="16">
        <v>2017.0</v>
      </c>
      <c r="D71" s="16" t="s">
        <v>1770</v>
      </c>
      <c r="E71" s="16" t="s">
        <v>1771</v>
      </c>
      <c r="F71" s="16" t="s">
        <v>1772</v>
      </c>
      <c r="G71" s="16" t="str">
        <f t="shared" si="1"/>
        <v>No</v>
      </c>
      <c r="H71" s="16" t="s">
        <v>1324</v>
      </c>
      <c r="I71" s="16" t="s">
        <v>1324</v>
      </c>
      <c r="J71" s="16">
        <v>7.0</v>
      </c>
      <c r="K71" s="17" t="s">
        <v>1773</v>
      </c>
      <c r="L71" s="18" t="str">
        <f t="shared" si="2"/>
        <v>http://dx.doi.org/10.1080/02705060.2017.1319431</v>
      </c>
      <c r="M71" s="19" t="s">
        <v>1580</v>
      </c>
      <c r="N71" s="17" t="s">
        <v>1387</v>
      </c>
      <c r="O71" s="17" t="s">
        <v>1328</v>
      </c>
      <c r="P71" s="17" t="s">
        <v>1328</v>
      </c>
      <c r="Q71" s="17" t="s">
        <v>1328</v>
      </c>
      <c r="R71" s="17" t="s">
        <v>1328</v>
      </c>
      <c r="S71" s="17" t="s">
        <v>1328</v>
      </c>
      <c r="T71" s="20" t="str">
        <f t="shared" si="3"/>
        <v>Yes</v>
      </c>
      <c r="U71" s="19" t="str">
        <f t="shared" si="4"/>
        <v>MW</v>
      </c>
      <c r="V71" s="17" t="str">
        <f t="shared" si="5"/>
        <v>Yes</v>
      </c>
      <c r="W71" s="17" t="s">
        <v>1329</v>
      </c>
      <c r="X71" s="17" t="s">
        <v>1372</v>
      </c>
      <c r="Y71" s="17" t="s">
        <v>1331</v>
      </c>
      <c r="Z71" s="17" t="s">
        <v>1347</v>
      </c>
      <c r="AA71" s="17" t="s">
        <v>1333</v>
      </c>
      <c r="AB71" s="17" t="s">
        <v>1348</v>
      </c>
      <c r="AC71" s="17" t="s">
        <v>1530</v>
      </c>
      <c r="AD71" s="17">
        <f t="shared" si="6"/>
        <v>2</v>
      </c>
      <c r="AE71" s="17" t="s">
        <v>1336</v>
      </c>
      <c r="AF71" s="17" t="s">
        <v>1336</v>
      </c>
      <c r="AG71" s="17" t="s">
        <v>1328</v>
      </c>
      <c r="AH71" s="17" t="s">
        <v>1336</v>
      </c>
      <c r="AI71" s="17" t="s">
        <v>1328</v>
      </c>
      <c r="AJ71" s="17" t="s">
        <v>1336</v>
      </c>
      <c r="AK71" s="17" t="s">
        <v>1350</v>
      </c>
      <c r="AL71" s="17" t="s">
        <v>1351</v>
      </c>
      <c r="AM71" s="17" t="s">
        <v>1363</v>
      </c>
      <c r="AN71" s="17" t="s">
        <v>1374</v>
      </c>
      <c r="AO71" s="17" t="s">
        <v>1328</v>
      </c>
      <c r="AP71" s="17" t="str">
        <f t="shared" si="7"/>
        <v>intermediate</v>
      </c>
      <c r="AQ71" s="20"/>
    </row>
    <row r="72" ht="15.75" customHeight="1">
      <c r="A72" s="16" t="s">
        <v>1774</v>
      </c>
      <c r="B72" s="16" t="s">
        <v>37</v>
      </c>
      <c r="C72" s="16">
        <v>2018.0</v>
      </c>
      <c r="D72" s="16" t="s">
        <v>1775</v>
      </c>
      <c r="E72" s="16" t="s">
        <v>1776</v>
      </c>
      <c r="F72" s="16" t="s">
        <v>1777</v>
      </c>
      <c r="G72" s="16" t="str">
        <f t="shared" si="1"/>
        <v>No</v>
      </c>
      <c r="H72" s="16" t="s">
        <v>1324</v>
      </c>
      <c r="I72" s="16" t="s">
        <v>1324</v>
      </c>
      <c r="J72" s="16">
        <v>52.0</v>
      </c>
      <c r="K72" s="17" t="s">
        <v>1778</v>
      </c>
      <c r="L72" s="18" t="str">
        <f t="shared" si="2"/>
        <v>http://dx.doi.org/10.1073/pnas.1711122115</v>
      </c>
      <c r="M72" s="19" t="s">
        <v>1580</v>
      </c>
      <c r="N72" s="17" t="s">
        <v>1387</v>
      </c>
      <c r="O72" s="17" t="s">
        <v>1328</v>
      </c>
      <c r="P72" s="17" t="s">
        <v>1328</v>
      </c>
      <c r="Q72" s="17" t="s">
        <v>1328</v>
      </c>
      <c r="R72" s="17" t="s">
        <v>1328</v>
      </c>
      <c r="S72" s="17" t="s">
        <v>1328</v>
      </c>
      <c r="T72" s="20" t="str">
        <f t="shared" si="3"/>
        <v>Yes</v>
      </c>
      <c r="U72" s="19" t="str">
        <f t="shared" si="4"/>
        <v>MW</v>
      </c>
      <c r="V72" s="17" t="str">
        <f t="shared" si="5"/>
        <v>Yes</v>
      </c>
      <c r="W72" s="17" t="s">
        <v>1329</v>
      </c>
      <c r="X72" s="17" t="s">
        <v>1330</v>
      </c>
      <c r="Y72" s="17" t="s">
        <v>1331</v>
      </c>
      <c r="Z72" s="17" t="s">
        <v>1347</v>
      </c>
      <c r="AA72" s="17" t="s">
        <v>1360</v>
      </c>
      <c r="AB72" s="17" t="s">
        <v>1348</v>
      </c>
      <c r="AC72" s="17" t="s">
        <v>1349</v>
      </c>
      <c r="AD72" s="17">
        <f t="shared" si="6"/>
        <v>3</v>
      </c>
      <c r="AE72" s="17" t="s">
        <v>1328</v>
      </c>
      <c r="AF72" s="17" t="s">
        <v>1336</v>
      </c>
      <c r="AG72" s="17" t="s">
        <v>1328</v>
      </c>
      <c r="AH72" s="17" t="s">
        <v>1336</v>
      </c>
      <c r="AI72" s="17" t="s">
        <v>1336</v>
      </c>
      <c r="AJ72" s="17" t="s">
        <v>1328</v>
      </c>
      <c r="AK72" s="17" t="s">
        <v>1350</v>
      </c>
      <c r="AL72" s="17" t="s">
        <v>1351</v>
      </c>
      <c r="AM72" s="17" t="s">
        <v>1363</v>
      </c>
      <c r="AN72" s="17" t="s">
        <v>1388</v>
      </c>
      <c r="AO72" s="17" t="s">
        <v>1328</v>
      </c>
      <c r="AP72" s="17" t="str">
        <f t="shared" si="7"/>
        <v>high</v>
      </c>
      <c r="AQ72" s="20"/>
    </row>
    <row r="73" ht="15.75" customHeight="1">
      <c r="A73" s="16" t="s">
        <v>1779</v>
      </c>
      <c r="B73" s="16" t="s">
        <v>1780</v>
      </c>
      <c r="C73" s="16">
        <v>2011.0</v>
      </c>
      <c r="D73" s="16" t="s">
        <v>1781</v>
      </c>
      <c r="E73" s="16" t="s">
        <v>1782</v>
      </c>
      <c r="F73" s="16" t="s">
        <v>1783</v>
      </c>
      <c r="G73" s="16" t="str">
        <f t="shared" si="1"/>
        <v>No</v>
      </c>
      <c r="H73" s="16" t="s">
        <v>1324</v>
      </c>
      <c r="I73" s="16" t="s">
        <v>1324</v>
      </c>
      <c r="J73" s="16">
        <v>138.0</v>
      </c>
      <c r="K73" s="17" t="s">
        <v>1784</v>
      </c>
      <c r="L73" s="18" t="str">
        <f t="shared" si="2"/>
        <v>http://dx.doi.org/10.1071/MU10009</v>
      </c>
      <c r="M73" s="19" t="s">
        <v>1482</v>
      </c>
      <c r="N73" s="17" t="s">
        <v>1403</v>
      </c>
      <c r="O73" s="17" t="s">
        <v>1328</v>
      </c>
      <c r="P73" s="17" t="s">
        <v>1328</v>
      </c>
      <c r="Q73" s="17" t="s">
        <v>1328</v>
      </c>
      <c r="R73" s="17" t="s">
        <v>1328</v>
      </c>
      <c r="S73" s="17" t="s">
        <v>1328</v>
      </c>
      <c r="T73" s="20" t="str">
        <f t="shared" si="3"/>
        <v>Yes</v>
      </c>
      <c r="U73" s="19" t="str">
        <f t="shared" si="4"/>
        <v>DB</v>
      </c>
      <c r="V73" s="17" t="str">
        <f t="shared" si="5"/>
        <v>Yes</v>
      </c>
      <c r="W73" s="17" t="s">
        <v>1329</v>
      </c>
      <c r="X73" s="17" t="s">
        <v>1330</v>
      </c>
      <c r="Y73" s="17" t="s">
        <v>1331</v>
      </c>
      <c r="Z73" s="17" t="s">
        <v>1347</v>
      </c>
      <c r="AA73" s="17" t="s">
        <v>1333</v>
      </c>
      <c r="AB73" s="17" t="s">
        <v>1381</v>
      </c>
      <c r="AC73" s="17" t="s">
        <v>1362</v>
      </c>
      <c r="AD73" s="17">
        <f t="shared" si="6"/>
        <v>3</v>
      </c>
      <c r="AE73" s="17" t="s">
        <v>1328</v>
      </c>
      <c r="AF73" s="17" t="s">
        <v>1328</v>
      </c>
      <c r="AG73" s="17" t="s">
        <v>1336</v>
      </c>
      <c r="AH73" s="17" t="s">
        <v>1336</v>
      </c>
      <c r="AI73" s="17" t="s">
        <v>1336</v>
      </c>
      <c r="AJ73" s="17" t="s">
        <v>1328</v>
      </c>
      <c r="AK73" s="17" t="s">
        <v>1350</v>
      </c>
      <c r="AL73" s="17" t="s">
        <v>1351</v>
      </c>
      <c r="AM73" s="17" t="s">
        <v>1363</v>
      </c>
      <c r="AN73" s="17" t="s">
        <v>1331</v>
      </c>
      <c r="AO73" s="17" t="s">
        <v>1328</v>
      </c>
      <c r="AP73" s="17" t="str">
        <f t="shared" si="7"/>
        <v>intermediate</v>
      </c>
      <c r="AQ73" s="20"/>
    </row>
    <row r="74" ht="15.75" customHeight="1">
      <c r="A74" s="16" t="s">
        <v>1785</v>
      </c>
      <c r="B74" s="16" t="s">
        <v>774</v>
      </c>
      <c r="C74" s="16">
        <v>2002.0</v>
      </c>
      <c r="D74" s="16" t="s">
        <v>1786</v>
      </c>
      <c r="E74" s="16" t="s">
        <v>1787</v>
      </c>
      <c r="F74" s="16" t="s">
        <v>1788</v>
      </c>
      <c r="G74" s="16" t="str">
        <f t="shared" si="1"/>
        <v>No</v>
      </c>
      <c r="H74" s="16" t="s">
        <v>1324</v>
      </c>
      <c r="I74" s="16" t="s">
        <v>1324</v>
      </c>
      <c r="J74" s="16">
        <v>99.0</v>
      </c>
      <c r="K74" s="17" t="s">
        <v>1789</v>
      </c>
      <c r="L74" s="18" t="str">
        <f t="shared" si="2"/>
        <v>http://dx.doi.org/10.1046/j.1365-2486.2002.00482.x</v>
      </c>
      <c r="M74" s="19" t="s">
        <v>1614</v>
      </c>
      <c r="N74" s="17" t="s">
        <v>1417</v>
      </c>
      <c r="O74" s="17" t="s">
        <v>1328</v>
      </c>
      <c r="P74" s="17" t="s">
        <v>1328</v>
      </c>
      <c r="Q74" s="17" t="s">
        <v>1328</v>
      </c>
      <c r="R74" s="17" t="s">
        <v>1328</v>
      </c>
      <c r="S74" s="17" t="s">
        <v>1328</v>
      </c>
      <c r="T74" s="20" t="str">
        <f t="shared" si="3"/>
        <v>Yes</v>
      </c>
      <c r="U74" s="19" t="str">
        <f t="shared" si="4"/>
        <v>NT</v>
      </c>
      <c r="V74" s="17" t="str">
        <f t="shared" si="5"/>
        <v>Yes</v>
      </c>
      <c r="W74" s="17" t="s">
        <v>1329</v>
      </c>
      <c r="X74" s="17" t="s">
        <v>1331</v>
      </c>
      <c r="Y74" s="17" t="s">
        <v>1372</v>
      </c>
      <c r="Z74" s="17" t="s">
        <v>1347</v>
      </c>
      <c r="AA74" s="17" t="s">
        <v>1360</v>
      </c>
      <c r="AB74" s="17" t="s">
        <v>1348</v>
      </c>
      <c r="AC74" s="17" t="s">
        <v>1362</v>
      </c>
      <c r="AD74" s="17">
        <f t="shared" si="6"/>
        <v>3</v>
      </c>
      <c r="AE74" s="17" t="s">
        <v>1336</v>
      </c>
      <c r="AF74" s="17" t="s">
        <v>1328</v>
      </c>
      <c r="AG74" s="17" t="s">
        <v>1328</v>
      </c>
      <c r="AH74" s="17" t="s">
        <v>1336</v>
      </c>
      <c r="AI74" s="17" t="s">
        <v>1328</v>
      </c>
      <c r="AJ74" s="17" t="s">
        <v>1336</v>
      </c>
      <c r="AK74" s="17" t="s">
        <v>1350</v>
      </c>
      <c r="AL74" s="17" t="s">
        <v>1351</v>
      </c>
      <c r="AM74" s="17" t="s">
        <v>1339</v>
      </c>
      <c r="AN74" s="17" t="s">
        <v>1331</v>
      </c>
      <c r="AO74" s="17" t="s">
        <v>1328</v>
      </c>
      <c r="AP74" s="17" t="str">
        <f t="shared" si="7"/>
        <v>intermediate</v>
      </c>
      <c r="AQ74" s="20"/>
    </row>
    <row r="75" ht="15.75" customHeight="1">
      <c r="A75" s="16" t="s">
        <v>1790</v>
      </c>
      <c r="B75" s="16" t="s">
        <v>104</v>
      </c>
      <c r="C75" s="16">
        <v>2017.0</v>
      </c>
      <c r="D75" s="16" t="s">
        <v>1791</v>
      </c>
      <c r="E75" s="16" t="s">
        <v>1792</v>
      </c>
      <c r="F75" s="16" t="s">
        <v>1793</v>
      </c>
      <c r="G75" s="16" t="str">
        <f t="shared" si="1"/>
        <v>No</v>
      </c>
      <c r="H75" s="16" t="s">
        <v>1324</v>
      </c>
      <c r="I75" s="16" t="s">
        <v>1324</v>
      </c>
      <c r="J75" s="16">
        <v>58.0</v>
      </c>
      <c r="K75" s="17" t="s">
        <v>1794</v>
      </c>
      <c r="L75" s="18" t="str">
        <f t="shared" si="2"/>
        <v>http://dx.doi.org/10.1038/s41467-017-01997-0</v>
      </c>
      <c r="M75" s="19" t="s">
        <v>1614</v>
      </c>
      <c r="N75" s="17" t="s">
        <v>1470</v>
      </c>
      <c r="O75" s="17" t="s">
        <v>1328</v>
      </c>
      <c r="P75" s="17" t="s">
        <v>1328</v>
      </c>
      <c r="Q75" s="17" t="s">
        <v>1328</v>
      </c>
      <c r="R75" s="17" t="s">
        <v>1328</v>
      </c>
      <c r="S75" s="17" t="s">
        <v>1328</v>
      </c>
      <c r="T75" s="20" t="str">
        <f t="shared" si="3"/>
        <v>Yes</v>
      </c>
      <c r="U75" s="19" t="str">
        <f t="shared" si="4"/>
        <v>AG</v>
      </c>
      <c r="V75" s="17" t="str">
        <f t="shared" si="5"/>
        <v>Yes</v>
      </c>
      <c r="W75" s="17" t="s">
        <v>1329</v>
      </c>
      <c r="X75" s="17" t="s">
        <v>1372</v>
      </c>
      <c r="Y75" s="17" t="s">
        <v>1331</v>
      </c>
      <c r="Z75" s="17" t="s">
        <v>1347</v>
      </c>
      <c r="AA75" s="17" t="s">
        <v>1360</v>
      </c>
      <c r="AB75" s="17" t="s">
        <v>1381</v>
      </c>
      <c r="AC75" s="17" t="s">
        <v>1362</v>
      </c>
      <c r="AD75" s="17">
        <f t="shared" si="6"/>
        <v>3</v>
      </c>
      <c r="AE75" s="17" t="s">
        <v>1328</v>
      </c>
      <c r="AF75" s="17" t="s">
        <v>1328</v>
      </c>
      <c r="AG75" s="17" t="s">
        <v>1328</v>
      </c>
      <c r="AH75" s="17" t="s">
        <v>1336</v>
      </c>
      <c r="AI75" s="17" t="s">
        <v>1336</v>
      </c>
      <c r="AJ75" s="17" t="s">
        <v>1336</v>
      </c>
      <c r="AK75" s="17" t="s">
        <v>1350</v>
      </c>
      <c r="AL75" s="17" t="s">
        <v>1351</v>
      </c>
      <c r="AM75" s="17" t="s">
        <v>1339</v>
      </c>
      <c r="AN75" s="17" t="s">
        <v>1331</v>
      </c>
      <c r="AO75" s="17" t="s">
        <v>1328</v>
      </c>
      <c r="AP75" s="17" t="str">
        <f t="shared" si="7"/>
        <v>high</v>
      </c>
      <c r="AQ75" s="20"/>
    </row>
    <row r="76" ht="15.75" customHeight="1">
      <c r="A76" s="16" t="s">
        <v>1795</v>
      </c>
      <c r="B76" s="16" t="s">
        <v>278</v>
      </c>
      <c r="C76" s="16">
        <v>2018.0</v>
      </c>
      <c r="D76" s="16" t="s">
        <v>1796</v>
      </c>
      <c r="E76" s="16" t="s">
        <v>1797</v>
      </c>
      <c r="F76" s="16" t="s">
        <v>1798</v>
      </c>
      <c r="G76" s="16" t="str">
        <f t="shared" si="1"/>
        <v>No</v>
      </c>
      <c r="H76" s="16" t="s">
        <v>1324</v>
      </c>
      <c r="I76" s="16" t="s">
        <v>1324</v>
      </c>
      <c r="J76" s="16">
        <v>189.0</v>
      </c>
      <c r="K76" s="17" t="s">
        <v>1799</v>
      </c>
      <c r="L76" s="18" t="str">
        <f t="shared" si="2"/>
        <v>http://dx.doi.org/10.1038/nature25139</v>
      </c>
      <c r="M76" s="19" t="s">
        <v>1346</v>
      </c>
      <c r="N76" s="17" t="s">
        <v>1403</v>
      </c>
      <c r="O76" s="17" t="s">
        <v>1328</v>
      </c>
      <c r="P76" s="17" t="s">
        <v>1328</v>
      </c>
      <c r="Q76" s="17" t="s">
        <v>1328</v>
      </c>
      <c r="R76" s="17" t="s">
        <v>1328</v>
      </c>
      <c r="S76" s="17" t="s">
        <v>1328</v>
      </c>
      <c r="T76" s="20" t="str">
        <f t="shared" si="3"/>
        <v>Yes</v>
      </c>
      <c r="U76" s="19" t="str">
        <f t="shared" si="4"/>
        <v>DB</v>
      </c>
      <c r="V76" s="17" t="str">
        <f t="shared" si="5"/>
        <v>Yes</v>
      </c>
      <c r="W76" s="17" t="s">
        <v>1329</v>
      </c>
      <c r="X76" s="17" t="s">
        <v>1330</v>
      </c>
      <c r="Y76" s="17" t="s">
        <v>1331</v>
      </c>
      <c r="Z76" s="17" t="s">
        <v>1347</v>
      </c>
      <c r="AA76" s="17" t="s">
        <v>1444</v>
      </c>
      <c r="AB76" s="17" t="s">
        <v>1445</v>
      </c>
      <c r="AC76" s="17" t="s">
        <v>1530</v>
      </c>
      <c r="AD76" s="17">
        <f t="shared" si="6"/>
        <v>3</v>
      </c>
      <c r="AE76" s="17" t="s">
        <v>1328</v>
      </c>
      <c r="AF76" s="17" t="s">
        <v>1328</v>
      </c>
      <c r="AG76" s="17" t="s">
        <v>1336</v>
      </c>
      <c r="AH76" s="17" t="s">
        <v>1336</v>
      </c>
      <c r="AI76" s="17" t="s">
        <v>1336</v>
      </c>
      <c r="AJ76" s="17" t="s">
        <v>1328</v>
      </c>
      <c r="AK76" s="17" t="s">
        <v>1350</v>
      </c>
      <c r="AL76" s="17" t="s">
        <v>1351</v>
      </c>
      <c r="AM76" s="17" t="s">
        <v>1363</v>
      </c>
      <c r="AN76" s="17" t="s">
        <v>1331</v>
      </c>
      <c r="AO76" s="17" t="s">
        <v>1328</v>
      </c>
      <c r="AP76" s="17" t="str">
        <f t="shared" si="7"/>
        <v>high</v>
      </c>
      <c r="AQ76" s="20"/>
    </row>
    <row r="77" ht="15.75" customHeight="1">
      <c r="A77" s="16" t="s">
        <v>1800</v>
      </c>
      <c r="B77" s="16" t="s">
        <v>1801</v>
      </c>
      <c r="C77" s="16">
        <v>1996.0</v>
      </c>
      <c r="D77" s="16" t="s">
        <v>1802</v>
      </c>
      <c r="E77" s="16" t="s">
        <v>1803</v>
      </c>
      <c r="F77" s="16" t="s">
        <v>1804</v>
      </c>
      <c r="G77" s="16" t="str">
        <f t="shared" si="1"/>
        <v>No</v>
      </c>
      <c r="H77" s="16" t="s">
        <v>1324</v>
      </c>
      <c r="I77" s="16" t="s">
        <v>1324</v>
      </c>
      <c r="J77" s="16">
        <v>128.0</v>
      </c>
      <c r="K77" s="17" t="s">
        <v>1805</v>
      </c>
      <c r="L77" s="18" t="str">
        <f t="shared" si="2"/>
        <v>http://dx.doi.org/10.1029/95JD02138</v>
      </c>
      <c r="M77" s="19" t="s">
        <v>1666</v>
      </c>
      <c r="N77" s="17" t="s">
        <v>1436</v>
      </c>
      <c r="O77" s="17" t="s">
        <v>1328</v>
      </c>
      <c r="P77" s="17" t="s">
        <v>1328</v>
      </c>
      <c r="Q77" s="17" t="s">
        <v>1328</v>
      </c>
      <c r="R77" s="17" t="s">
        <v>1328</v>
      </c>
      <c r="S77" s="17" t="s">
        <v>1328</v>
      </c>
      <c r="T77" s="20" t="str">
        <f t="shared" si="3"/>
        <v>Yes</v>
      </c>
      <c r="U77" s="19" t="str">
        <f t="shared" si="4"/>
        <v>CG</v>
      </c>
      <c r="V77" s="17" t="str">
        <f t="shared" si="5"/>
        <v>Yes</v>
      </c>
      <c r="W77" s="17" t="s">
        <v>1329</v>
      </c>
      <c r="X77" s="17" t="s">
        <v>1330</v>
      </c>
      <c r="Y77" s="17" t="s">
        <v>1331</v>
      </c>
      <c r="Z77" s="17" t="s">
        <v>1537</v>
      </c>
      <c r="AA77" s="17" t="s">
        <v>1444</v>
      </c>
      <c r="AB77" s="17" t="s">
        <v>1445</v>
      </c>
      <c r="AC77" s="17" t="s">
        <v>1362</v>
      </c>
      <c r="AD77" s="17">
        <f t="shared" si="6"/>
        <v>2</v>
      </c>
      <c r="AE77" s="17" t="s">
        <v>1328</v>
      </c>
      <c r="AF77" s="17" t="s">
        <v>1328</v>
      </c>
      <c r="AG77" s="17" t="s">
        <v>1336</v>
      </c>
      <c r="AH77" s="17" t="s">
        <v>1336</v>
      </c>
      <c r="AI77" s="17" t="s">
        <v>1336</v>
      </c>
      <c r="AJ77" s="17" t="s">
        <v>1336</v>
      </c>
      <c r="AK77" s="17" t="s">
        <v>1350</v>
      </c>
      <c r="AL77" s="17" t="s">
        <v>1351</v>
      </c>
      <c r="AM77" s="17" t="s">
        <v>1339</v>
      </c>
      <c r="AN77" s="17" t="s">
        <v>1374</v>
      </c>
      <c r="AO77" s="17" t="s">
        <v>1328</v>
      </c>
      <c r="AP77" s="17" t="str">
        <f t="shared" si="7"/>
        <v>intermediate</v>
      </c>
      <c r="AQ77" s="20"/>
    </row>
    <row r="78" ht="15.75" customHeight="1">
      <c r="A78" s="16" t="s">
        <v>1806</v>
      </c>
      <c r="B78" s="16" t="s">
        <v>1807</v>
      </c>
      <c r="C78" s="16">
        <v>2012.0</v>
      </c>
      <c r="D78" s="16" t="s">
        <v>1808</v>
      </c>
      <c r="E78" s="16" t="s">
        <v>1809</v>
      </c>
      <c r="F78" s="16" t="s">
        <v>1810</v>
      </c>
      <c r="G78" s="16" t="str">
        <f t="shared" si="1"/>
        <v>No</v>
      </c>
      <c r="H78" s="16" t="s">
        <v>1324</v>
      </c>
      <c r="I78" s="16" t="s">
        <v>1324</v>
      </c>
      <c r="J78" s="16">
        <v>20.0</v>
      </c>
      <c r="K78" s="17" t="s">
        <v>1811</v>
      </c>
      <c r="L78" s="18" t="str">
        <f t="shared" si="2"/>
        <v>http://dx.doi.org/10.1029/2011JG001930</v>
      </c>
      <c r="M78" s="19" t="s">
        <v>1358</v>
      </c>
      <c r="N78" s="17" t="s">
        <v>1417</v>
      </c>
      <c r="O78" s="17" t="s">
        <v>1328</v>
      </c>
      <c r="P78" s="17" t="s">
        <v>1328</v>
      </c>
      <c r="Q78" s="17" t="s">
        <v>1328</v>
      </c>
      <c r="R78" s="17" t="s">
        <v>1328</v>
      </c>
      <c r="S78" s="17" t="s">
        <v>1328</v>
      </c>
      <c r="T78" s="20" t="str">
        <f t="shared" si="3"/>
        <v>Yes</v>
      </c>
      <c r="U78" s="19" t="str">
        <f t="shared" si="4"/>
        <v>NT</v>
      </c>
      <c r="V78" s="17" t="str">
        <f t="shared" si="5"/>
        <v>Yes</v>
      </c>
      <c r="W78" s="17" t="s">
        <v>1329</v>
      </c>
      <c r="X78" s="17" t="s">
        <v>1330</v>
      </c>
      <c r="Y78" s="17" t="s">
        <v>1331</v>
      </c>
      <c r="Z78" s="17" t="s">
        <v>1347</v>
      </c>
      <c r="AA78" s="17" t="s">
        <v>1660</v>
      </c>
      <c r="AB78" s="17" t="s">
        <v>1348</v>
      </c>
      <c r="AC78" s="17" t="s">
        <v>1362</v>
      </c>
      <c r="AD78" s="17">
        <f t="shared" si="6"/>
        <v>4</v>
      </c>
      <c r="AE78" s="17" t="s">
        <v>1328</v>
      </c>
      <c r="AF78" s="17" t="s">
        <v>1328</v>
      </c>
      <c r="AG78" s="17" t="s">
        <v>1336</v>
      </c>
      <c r="AH78" s="17" t="s">
        <v>1328</v>
      </c>
      <c r="AI78" s="17" t="s">
        <v>1328</v>
      </c>
      <c r="AJ78" s="17" t="s">
        <v>1336</v>
      </c>
      <c r="AK78" s="17" t="s">
        <v>1350</v>
      </c>
      <c r="AL78" s="17" t="s">
        <v>1351</v>
      </c>
      <c r="AM78" s="17" t="s">
        <v>1363</v>
      </c>
      <c r="AN78" s="17" t="s">
        <v>1331</v>
      </c>
      <c r="AO78" s="17" t="s">
        <v>1328</v>
      </c>
      <c r="AP78" s="17" t="str">
        <f t="shared" si="7"/>
        <v>high</v>
      </c>
      <c r="AQ78" s="20"/>
    </row>
    <row r="79" ht="15.75" customHeight="1">
      <c r="A79" s="16" t="s">
        <v>1812</v>
      </c>
      <c r="B79" s="16" t="s">
        <v>1813</v>
      </c>
      <c r="C79" s="16">
        <v>2011.0</v>
      </c>
      <c r="D79" s="16" t="s">
        <v>1814</v>
      </c>
      <c r="E79" s="16" t="s">
        <v>1815</v>
      </c>
      <c r="F79" s="16" t="s">
        <v>1816</v>
      </c>
      <c r="G79" s="16" t="str">
        <f t="shared" si="1"/>
        <v>No</v>
      </c>
      <c r="H79" s="16" t="s">
        <v>1324</v>
      </c>
      <c r="I79" s="16" t="s">
        <v>1324</v>
      </c>
      <c r="J79" s="16">
        <v>168.0</v>
      </c>
      <c r="K79" s="17" t="s">
        <v>1817</v>
      </c>
      <c r="L79" s="18" t="str">
        <f t="shared" si="2"/>
        <v>http://dx.doi.org/10.1029/2010GB003838</v>
      </c>
      <c r="M79" s="19" t="s">
        <v>1358</v>
      </c>
      <c r="N79" s="17" t="s">
        <v>1436</v>
      </c>
      <c r="O79" s="17" t="s">
        <v>1328</v>
      </c>
      <c r="P79" s="17" t="s">
        <v>1328</v>
      </c>
      <c r="Q79" s="17" t="s">
        <v>1328</v>
      </c>
      <c r="R79" s="17" t="s">
        <v>1328</v>
      </c>
      <c r="S79" s="17" t="s">
        <v>1328</v>
      </c>
      <c r="T79" s="20" t="str">
        <f t="shared" si="3"/>
        <v>Yes</v>
      </c>
      <c r="U79" s="19" t="str">
        <f t="shared" si="4"/>
        <v>CG</v>
      </c>
      <c r="V79" s="17" t="str">
        <f t="shared" si="5"/>
        <v>Yes</v>
      </c>
      <c r="W79" s="17" t="s">
        <v>1329</v>
      </c>
      <c r="X79" s="17" t="s">
        <v>1330</v>
      </c>
      <c r="Y79" s="17" t="s">
        <v>1331</v>
      </c>
      <c r="Z79" s="17" t="s">
        <v>1347</v>
      </c>
      <c r="AA79" s="17" t="s">
        <v>1333</v>
      </c>
      <c r="AB79" s="17" t="s">
        <v>1381</v>
      </c>
      <c r="AC79" s="17" t="s">
        <v>1362</v>
      </c>
      <c r="AD79" s="17">
        <f t="shared" si="6"/>
        <v>3</v>
      </c>
      <c r="AE79" s="17" t="s">
        <v>1328</v>
      </c>
      <c r="AF79" s="17" t="s">
        <v>1328</v>
      </c>
      <c r="AG79" s="17" t="s">
        <v>1336</v>
      </c>
      <c r="AH79" s="17" t="s">
        <v>1336</v>
      </c>
      <c r="AI79" s="17" t="s">
        <v>1328</v>
      </c>
      <c r="AJ79" s="17" t="s">
        <v>1336</v>
      </c>
      <c r="AK79" s="17" t="s">
        <v>1350</v>
      </c>
      <c r="AL79" s="17" t="s">
        <v>1351</v>
      </c>
      <c r="AM79" s="17" t="s">
        <v>1339</v>
      </c>
      <c r="AN79" s="17" t="s">
        <v>1388</v>
      </c>
      <c r="AO79" s="17" t="s">
        <v>1328</v>
      </c>
      <c r="AP79" s="17" t="str">
        <f t="shared" si="7"/>
        <v>intermediate</v>
      </c>
      <c r="AQ79" s="20"/>
    </row>
    <row r="80" ht="15.75" customHeight="1">
      <c r="A80" s="16" t="s">
        <v>1818</v>
      </c>
      <c r="B80" s="16" t="s">
        <v>1807</v>
      </c>
      <c r="C80" s="16">
        <v>2009.0</v>
      </c>
      <c r="D80" s="16" t="s">
        <v>1819</v>
      </c>
      <c r="E80" s="16" t="s">
        <v>1820</v>
      </c>
      <c r="F80" s="16" t="s">
        <v>1821</v>
      </c>
      <c r="G80" s="16" t="str">
        <f t="shared" si="1"/>
        <v>No</v>
      </c>
      <c r="H80" s="16" t="s">
        <v>1324</v>
      </c>
      <c r="I80" s="16" t="s">
        <v>1324</v>
      </c>
      <c r="J80" s="16">
        <v>47.0</v>
      </c>
      <c r="K80" s="17" t="s">
        <v>1822</v>
      </c>
      <c r="L80" s="18" t="str">
        <f t="shared" si="2"/>
        <v>http://dx.doi.org/10.1029/2008JG000911</v>
      </c>
      <c r="M80" s="19" t="s">
        <v>1358</v>
      </c>
      <c r="N80" s="17" t="s">
        <v>1417</v>
      </c>
      <c r="O80" s="17" t="s">
        <v>1328</v>
      </c>
      <c r="P80" s="17" t="s">
        <v>1328</v>
      </c>
      <c r="Q80" s="17" t="s">
        <v>1328</v>
      </c>
      <c r="R80" s="17" t="s">
        <v>1328</v>
      </c>
      <c r="S80" s="17" t="s">
        <v>1328</v>
      </c>
      <c r="T80" s="20" t="str">
        <f t="shared" si="3"/>
        <v>Yes</v>
      </c>
      <c r="U80" s="19" t="str">
        <f t="shared" si="4"/>
        <v>NT</v>
      </c>
      <c r="V80" s="17" t="str">
        <f t="shared" si="5"/>
        <v>Yes</v>
      </c>
      <c r="W80" s="17" t="s">
        <v>1443</v>
      </c>
      <c r="X80" s="17" t="s">
        <v>1331</v>
      </c>
      <c r="Y80" s="17" t="s">
        <v>1330</v>
      </c>
      <c r="Z80" s="17" t="s">
        <v>1337</v>
      </c>
      <c r="AA80" s="17" t="s">
        <v>1444</v>
      </c>
      <c r="AB80" s="17" t="s">
        <v>1445</v>
      </c>
      <c r="AC80" s="17" t="s">
        <v>1362</v>
      </c>
      <c r="AD80" s="17">
        <f t="shared" si="6"/>
        <v>6</v>
      </c>
      <c r="AE80" s="17" t="s">
        <v>1328</v>
      </c>
      <c r="AF80" s="17" t="s">
        <v>1328</v>
      </c>
      <c r="AG80" s="17" t="s">
        <v>1328</v>
      </c>
      <c r="AH80" s="17" t="s">
        <v>1328</v>
      </c>
      <c r="AI80" s="17" t="s">
        <v>1328</v>
      </c>
      <c r="AJ80" s="17" t="s">
        <v>1328</v>
      </c>
      <c r="AK80" s="17" t="s">
        <v>1337</v>
      </c>
      <c r="AL80" s="17" t="s">
        <v>1338</v>
      </c>
      <c r="AM80" s="17" t="s">
        <v>1339</v>
      </c>
      <c r="AN80" s="17" t="s">
        <v>1331</v>
      </c>
      <c r="AO80" s="17" t="s">
        <v>1328</v>
      </c>
      <c r="AP80" s="17" t="str">
        <f t="shared" si="7"/>
        <v>intermediate</v>
      </c>
      <c r="AQ80" s="20"/>
    </row>
    <row r="81" ht="15.75" customHeight="1">
      <c r="A81" s="16" t="s">
        <v>1823</v>
      </c>
      <c r="B81" s="16" t="s">
        <v>1824</v>
      </c>
      <c r="C81" s="16">
        <v>2003.0</v>
      </c>
      <c r="D81" s="16" t="s">
        <v>1825</v>
      </c>
      <c r="E81" s="16" t="s">
        <v>1826</v>
      </c>
      <c r="F81" s="16" t="s">
        <v>1827</v>
      </c>
      <c r="G81" s="16" t="str">
        <f t="shared" si="1"/>
        <v>No</v>
      </c>
      <c r="H81" s="16" t="s">
        <v>1324</v>
      </c>
      <c r="I81" s="16" t="s">
        <v>1324</v>
      </c>
      <c r="J81" s="16">
        <v>97.0</v>
      </c>
      <c r="K81" s="17" t="s">
        <v>1828</v>
      </c>
      <c r="L81" s="18" t="str">
        <f t="shared" si="2"/>
        <v>http://dx.doi.org/10.1023/A:1024147529295</v>
      </c>
      <c r="M81" s="19" t="s">
        <v>1614</v>
      </c>
      <c r="N81" s="17" t="s">
        <v>1371</v>
      </c>
      <c r="O81" s="17" t="s">
        <v>1328</v>
      </c>
      <c r="P81" s="17" t="s">
        <v>1328</v>
      </c>
      <c r="Q81" s="17" t="s">
        <v>1328</v>
      </c>
      <c r="R81" s="17" t="s">
        <v>1328</v>
      </c>
      <c r="S81" s="17" t="s">
        <v>1328</v>
      </c>
      <c r="T81" s="20" t="str">
        <f t="shared" si="3"/>
        <v>Yes</v>
      </c>
      <c r="U81" s="19" t="str">
        <f t="shared" si="4"/>
        <v>LC</v>
      </c>
      <c r="V81" s="17" t="str">
        <f t="shared" si="5"/>
        <v>Yes</v>
      </c>
      <c r="W81" s="17" t="s">
        <v>1329</v>
      </c>
      <c r="X81" s="17" t="s">
        <v>1372</v>
      </c>
      <c r="Y81" s="17" t="s">
        <v>1330</v>
      </c>
      <c r="Z81" s="17" t="s">
        <v>1347</v>
      </c>
      <c r="AA81" s="17" t="s">
        <v>1333</v>
      </c>
      <c r="AB81" s="17" t="s">
        <v>1348</v>
      </c>
      <c r="AC81" s="17" t="s">
        <v>1362</v>
      </c>
      <c r="AD81" s="17">
        <f t="shared" si="6"/>
        <v>2</v>
      </c>
      <c r="AE81" s="17" t="s">
        <v>1336</v>
      </c>
      <c r="AF81" s="17" t="s">
        <v>1336</v>
      </c>
      <c r="AG81" s="17" t="s">
        <v>1328</v>
      </c>
      <c r="AH81" s="17" t="s">
        <v>1336</v>
      </c>
      <c r="AI81" s="17" t="s">
        <v>1336</v>
      </c>
      <c r="AJ81" s="17" t="s">
        <v>1328</v>
      </c>
      <c r="AK81" s="17" t="s">
        <v>1350</v>
      </c>
      <c r="AL81" s="17" t="s">
        <v>1351</v>
      </c>
      <c r="AM81" s="17" t="s">
        <v>1363</v>
      </c>
      <c r="AN81" s="17" t="s">
        <v>1331</v>
      </c>
      <c r="AO81" s="17" t="s">
        <v>1328</v>
      </c>
      <c r="AP81" s="17" t="str">
        <f t="shared" si="7"/>
        <v>intermediate</v>
      </c>
      <c r="AQ81" s="20"/>
    </row>
    <row r="82" ht="15.75" customHeight="1">
      <c r="A82" s="16" t="s">
        <v>1829</v>
      </c>
      <c r="B82" s="16" t="s">
        <v>1830</v>
      </c>
      <c r="C82" s="16">
        <v>2001.0</v>
      </c>
      <c r="D82" s="16" t="s">
        <v>1831</v>
      </c>
      <c r="E82" s="16" t="s">
        <v>1832</v>
      </c>
      <c r="F82" s="16" t="s">
        <v>1833</v>
      </c>
      <c r="G82" s="16" t="str">
        <f t="shared" si="1"/>
        <v>No</v>
      </c>
      <c r="H82" s="16" t="s">
        <v>1324</v>
      </c>
      <c r="I82" s="16" t="s">
        <v>1324</v>
      </c>
      <c r="J82" s="16">
        <v>121.0</v>
      </c>
      <c r="K82" s="17" t="s">
        <v>1834</v>
      </c>
      <c r="L82" s="18" t="str">
        <f t="shared" si="2"/>
        <v>http://dx.doi.org/10.1023/A:1011185409347</v>
      </c>
      <c r="M82" s="19" t="s">
        <v>1835</v>
      </c>
      <c r="N82" s="17" t="s">
        <v>1417</v>
      </c>
      <c r="O82" s="17" t="s">
        <v>1328</v>
      </c>
      <c r="P82" s="17" t="s">
        <v>1328</v>
      </c>
      <c r="Q82" s="17" t="s">
        <v>1328</v>
      </c>
      <c r="R82" s="17" t="s">
        <v>1328</v>
      </c>
      <c r="S82" s="17" t="s">
        <v>1328</v>
      </c>
      <c r="T82" s="20" t="str">
        <f t="shared" si="3"/>
        <v>Yes</v>
      </c>
      <c r="U82" s="19" t="str">
        <f t="shared" si="4"/>
        <v>NT</v>
      </c>
      <c r="V82" s="17" t="str">
        <f t="shared" si="5"/>
        <v>Yes</v>
      </c>
      <c r="W82" s="17" t="s">
        <v>1329</v>
      </c>
      <c r="X82" s="17" t="s">
        <v>1331</v>
      </c>
      <c r="Y82" s="17" t="s">
        <v>1330</v>
      </c>
      <c r="Z82" s="17" t="s">
        <v>1347</v>
      </c>
      <c r="AA82" s="17" t="s">
        <v>1333</v>
      </c>
      <c r="AB82" s="17" t="s">
        <v>1348</v>
      </c>
      <c r="AC82" s="17" t="s">
        <v>1362</v>
      </c>
      <c r="AD82" s="17">
        <f t="shared" si="6"/>
        <v>2</v>
      </c>
      <c r="AE82" s="17" t="s">
        <v>1336</v>
      </c>
      <c r="AF82" s="17" t="s">
        <v>1328</v>
      </c>
      <c r="AG82" s="17" t="s">
        <v>1328</v>
      </c>
      <c r="AH82" s="17" t="s">
        <v>1336</v>
      </c>
      <c r="AI82" s="17" t="s">
        <v>1336</v>
      </c>
      <c r="AJ82" s="17" t="s">
        <v>1336</v>
      </c>
      <c r="AK82" s="17" t="s">
        <v>1350</v>
      </c>
      <c r="AL82" s="17" t="s">
        <v>1351</v>
      </c>
      <c r="AM82" s="17" t="s">
        <v>1339</v>
      </c>
      <c r="AN82" s="17" t="s">
        <v>1331</v>
      </c>
      <c r="AO82" s="17" t="s">
        <v>1328</v>
      </c>
      <c r="AP82" s="17" t="str">
        <f t="shared" si="7"/>
        <v>intermediate</v>
      </c>
      <c r="AQ82" s="20"/>
    </row>
    <row r="83" ht="15.75" customHeight="1">
      <c r="A83" s="16" t="s">
        <v>1836</v>
      </c>
      <c r="B83" s="16" t="s">
        <v>1837</v>
      </c>
      <c r="C83" s="16">
        <v>1997.0</v>
      </c>
      <c r="D83" s="16" t="s">
        <v>1838</v>
      </c>
      <c r="E83" s="16" t="s">
        <v>1839</v>
      </c>
      <c r="F83" s="16" t="s">
        <v>1840</v>
      </c>
      <c r="G83" s="16" t="str">
        <f t="shared" si="1"/>
        <v>No</v>
      </c>
      <c r="H83" s="16" t="s">
        <v>1324</v>
      </c>
      <c r="I83" s="16" t="s">
        <v>1324</v>
      </c>
      <c r="J83" s="16">
        <v>11.0</v>
      </c>
      <c r="K83" s="17" t="s">
        <v>1841</v>
      </c>
      <c r="L83" s="18" t="str">
        <f t="shared" si="2"/>
        <v>http://dx.doi.org/10.1023/A:1007320932349</v>
      </c>
      <c r="M83" s="19" t="s">
        <v>1522</v>
      </c>
      <c r="N83" s="17" t="s">
        <v>1417</v>
      </c>
      <c r="O83" s="17" t="s">
        <v>1328</v>
      </c>
      <c r="P83" s="17" t="s">
        <v>1328</v>
      </c>
      <c r="Q83" s="17" t="s">
        <v>1328</v>
      </c>
      <c r="R83" s="17" t="s">
        <v>1328</v>
      </c>
      <c r="S83" s="17" t="s">
        <v>1328</v>
      </c>
      <c r="T83" s="20" t="str">
        <f t="shared" si="3"/>
        <v>Yes</v>
      </c>
      <c r="U83" s="19" t="str">
        <f t="shared" si="4"/>
        <v>NT</v>
      </c>
      <c r="V83" s="17" t="str">
        <f t="shared" si="5"/>
        <v>Yes</v>
      </c>
      <c r="W83" s="17" t="s">
        <v>1443</v>
      </c>
      <c r="X83" s="17" t="s">
        <v>1331</v>
      </c>
      <c r="Y83" s="17" t="s">
        <v>1330</v>
      </c>
      <c r="Z83" s="17" t="s">
        <v>1337</v>
      </c>
      <c r="AA83" s="17" t="s">
        <v>1660</v>
      </c>
      <c r="AB83" s="17" t="s">
        <v>1334</v>
      </c>
      <c r="AC83" s="17" t="s">
        <v>1530</v>
      </c>
      <c r="AD83" s="17">
        <f t="shared" si="6"/>
        <v>5</v>
      </c>
      <c r="AE83" s="17" t="s">
        <v>1328</v>
      </c>
      <c r="AF83" s="17" t="s">
        <v>1328</v>
      </c>
      <c r="AG83" s="17" t="s">
        <v>1328</v>
      </c>
      <c r="AH83" s="17" t="s">
        <v>1328</v>
      </c>
      <c r="AI83" s="17" t="s">
        <v>1328</v>
      </c>
      <c r="AJ83" s="17" t="s">
        <v>1336</v>
      </c>
      <c r="AK83" s="17" t="s">
        <v>1337</v>
      </c>
      <c r="AL83" s="17" t="s">
        <v>1338</v>
      </c>
      <c r="AM83" s="17" t="s">
        <v>1339</v>
      </c>
      <c r="AN83" s="17" t="s">
        <v>1331</v>
      </c>
      <c r="AO83" s="17" t="s">
        <v>1328</v>
      </c>
      <c r="AP83" s="17" t="str">
        <f t="shared" si="7"/>
        <v>intermediate</v>
      </c>
      <c r="AQ83" s="20"/>
    </row>
    <row r="84" ht="15.75" customHeight="1">
      <c r="A84" s="16" t="s">
        <v>1842</v>
      </c>
      <c r="B84" s="16" t="s">
        <v>507</v>
      </c>
      <c r="C84" s="16">
        <v>2017.0</v>
      </c>
      <c r="D84" s="16" t="s">
        <v>1843</v>
      </c>
      <c r="E84" s="16" t="s">
        <v>1844</v>
      </c>
      <c r="F84" s="16" t="s">
        <v>1845</v>
      </c>
      <c r="G84" s="16" t="str">
        <f t="shared" si="1"/>
        <v>No</v>
      </c>
      <c r="H84" s="16" t="s">
        <v>1324</v>
      </c>
      <c r="I84" s="16" t="s">
        <v>1324</v>
      </c>
      <c r="J84" s="16">
        <v>27.0</v>
      </c>
      <c r="K84" s="17" t="s">
        <v>1846</v>
      </c>
      <c r="L84" s="18" t="str">
        <f t="shared" si="2"/>
        <v>http://dx.doi.org/10.1021/acs.est.6b05296</v>
      </c>
      <c r="M84" s="19" t="s">
        <v>1462</v>
      </c>
      <c r="N84" s="17" t="s">
        <v>1359</v>
      </c>
      <c r="O84" s="17" t="s">
        <v>1328</v>
      </c>
      <c r="P84" s="17" t="s">
        <v>1328</v>
      </c>
      <c r="Q84" s="17" t="s">
        <v>1328</v>
      </c>
      <c r="R84" s="17" t="s">
        <v>1328</v>
      </c>
      <c r="S84" s="17" t="s">
        <v>1328</v>
      </c>
      <c r="T84" s="20" t="str">
        <f t="shared" si="3"/>
        <v>Yes</v>
      </c>
      <c r="U84" s="19" t="str">
        <f t="shared" si="4"/>
        <v>YT</v>
      </c>
      <c r="V84" s="17" t="str">
        <f t="shared" si="5"/>
        <v>Yes</v>
      </c>
      <c r="W84" s="17" t="s">
        <v>1329</v>
      </c>
      <c r="X84" s="17" t="s">
        <v>1330</v>
      </c>
      <c r="Y84" s="17" t="s">
        <v>1331</v>
      </c>
      <c r="Z84" s="17" t="s">
        <v>1347</v>
      </c>
      <c r="AA84" s="17" t="s">
        <v>1444</v>
      </c>
      <c r="AB84" s="17" t="s">
        <v>1445</v>
      </c>
      <c r="AC84" s="17" t="s">
        <v>1362</v>
      </c>
      <c r="AD84" s="17">
        <f t="shared" si="6"/>
        <v>2</v>
      </c>
      <c r="AE84" s="17" t="s">
        <v>1328</v>
      </c>
      <c r="AF84" s="17" t="s">
        <v>1328</v>
      </c>
      <c r="AG84" s="17" t="s">
        <v>1336</v>
      </c>
      <c r="AH84" s="17" t="s">
        <v>1336</v>
      </c>
      <c r="AI84" s="17" t="s">
        <v>1336</v>
      </c>
      <c r="AJ84" s="17" t="s">
        <v>1336</v>
      </c>
      <c r="AK84" s="17" t="s">
        <v>1350</v>
      </c>
      <c r="AL84" s="17" t="s">
        <v>1351</v>
      </c>
      <c r="AM84" s="17" t="s">
        <v>1363</v>
      </c>
      <c r="AN84" s="17" t="s">
        <v>1331</v>
      </c>
      <c r="AO84" s="17" t="s">
        <v>1328</v>
      </c>
      <c r="AP84" s="17" t="str">
        <f t="shared" si="7"/>
        <v>high</v>
      </c>
      <c r="AQ84" s="20"/>
    </row>
    <row r="85" ht="15.75" customHeight="1">
      <c r="A85" s="16" t="s">
        <v>1847</v>
      </c>
      <c r="B85" s="16" t="s">
        <v>1848</v>
      </c>
      <c r="C85" s="16">
        <v>2012.0</v>
      </c>
      <c r="D85" s="16" t="s">
        <v>1849</v>
      </c>
      <c r="E85" s="16" t="s">
        <v>1850</v>
      </c>
      <c r="F85" s="16" t="s">
        <v>1851</v>
      </c>
      <c r="G85" s="16" t="str">
        <f t="shared" si="1"/>
        <v>No</v>
      </c>
      <c r="H85" s="16" t="s">
        <v>1324</v>
      </c>
      <c r="I85" s="16" t="s">
        <v>1324</v>
      </c>
      <c r="J85" s="16">
        <v>2.0</v>
      </c>
      <c r="K85" s="17" t="s">
        <v>1852</v>
      </c>
      <c r="L85" s="18" t="str">
        <f t="shared" si="2"/>
        <v>http://dx.doi.org/10.1017/S0959270912000020</v>
      </c>
      <c r="M85" s="19" t="s">
        <v>1326</v>
      </c>
      <c r="N85" s="17" t="s">
        <v>1327</v>
      </c>
      <c r="O85" s="17" t="s">
        <v>1328</v>
      </c>
      <c r="P85" s="17" t="s">
        <v>1328</v>
      </c>
      <c r="Q85" s="17" t="s">
        <v>1328</v>
      </c>
      <c r="R85" s="17" t="s">
        <v>1328</v>
      </c>
      <c r="S85" s="17" t="s">
        <v>1328</v>
      </c>
      <c r="T85" s="20" t="str">
        <f t="shared" si="3"/>
        <v>Yes</v>
      </c>
      <c r="U85" s="19" t="str">
        <f t="shared" si="4"/>
        <v>PJ</v>
      </c>
      <c r="V85" s="17" t="str">
        <f t="shared" si="5"/>
        <v>Yes</v>
      </c>
      <c r="W85" s="17" t="s">
        <v>1329</v>
      </c>
      <c r="X85" s="17" t="s">
        <v>1330</v>
      </c>
      <c r="Y85" s="17" t="s">
        <v>1331</v>
      </c>
      <c r="Z85" s="17" t="s">
        <v>1347</v>
      </c>
      <c r="AA85" s="17" t="s">
        <v>1444</v>
      </c>
      <c r="AB85" s="17" t="s">
        <v>1445</v>
      </c>
      <c r="AC85" s="17" t="s">
        <v>1349</v>
      </c>
      <c r="AD85" s="17">
        <f t="shared" si="6"/>
        <v>6</v>
      </c>
      <c r="AE85" s="17" t="s">
        <v>1328</v>
      </c>
      <c r="AF85" s="17" t="s">
        <v>1328</v>
      </c>
      <c r="AG85" s="17" t="s">
        <v>1328</v>
      </c>
      <c r="AH85" s="17" t="s">
        <v>1328</v>
      </c>
      <c r="AI85" s="17" t="s">
        <v>1328</v>
      </c>
      <c r="AJ85" s="17" t="s">
        <v>1328</v>
      </c>
      <c r="AK85" s="17" t="s">
        <v>1395</v>
      </c>
      <c r="AL85" s="17" t="s">
        <v>1351</v>
      </c>
      <c r="AM85" s="17" t="s">
        <v>1363</v>
      </c>
      <c r="AN85" s="17" t="s">
        <v>1331</v>
      </c>
      <c r="AO85" s="17" t="s">
        <v>1328</v>
      </c>
      <c r="AP85" s="17" t="str">
        <f t="shared" si="7"/>
        <v>high</v>
      </c>
      <c r="AQ85" s="20"/>
    </row>
    <row r="86" ht="15.75" customHeight="1">
      <c r="A86" s="16" t="s">
        <v>1853</v>
      </c>
      <c r="B86" s="16" t="s">
        <v>1848</v>
      </c>
      <c r="C86" s="16">
        <v>2008.0</v>
      </c>
      <c r="D86" s="16" t="s">
        <v>1854</v>
      </c>
      <c r="E86" s="16" t="s">
        <v>1855</v>
      </c>
      <c r="F86" s="16" t="s">
        <v>1856</v>
      </c>
      <c r="G86" s="16" t="str">
        <f t="shared" si="1"/>
        <v>Yes</v>
      </c>
      <c r="H86" s="16" t="s">
        <v>1324</v>
      </c>
      <c r="I86" s="16" t="s">
        <v>1328</v>
      </c>
      <c r="J86" s="16">
        <v>36.0</v>
      </c>
      <c r="K86" s="17" t="s">
        <v>1857</v>
      </c>
      <c r="L86" s="18" t="str">
        <f t="shared" si="2"/>
        <v>http://dx.doi.org/10.1017/S0959270908000439</v>
      </c>
      <c r="M86" s="19" t="s">
        <v>1442</v>
      </c>
      <c r="N86" s="17" t="s">
        <v>1327</v>
      </c>
      <c r="O86" s="17" t="s">
        <v>1328</v>
      </c>
      <c r="P86" s="17" t="s">
        <v>1328</v>
      </c>
      <c r="Q86" s="17" t="s">
        <v>1328</v>
      </c>
      <c r="R86" s="17" t="s">
        <v>1328</v>
      </c>
      <c r="S86" s="17" t="s">
        <v>1328</v>
      </c>
      <c r="T86" s="20" t="str">
        <f t="shared" si="3"/>
        <v>Yes</v>
      </c>
      <c r="U86" s="19" t="str">
        <f t="shared" si="4"/>
        <v>PJ</v>
      </c>
      <c r="V86" s="17" t="str">
        <f t="shared" si="5"/>
        <v>Yes</v>
      </c>
      <c r="W86" s="17" t="s">
        <v>1443</v>
      </c>
      <c r="X86" s="17" t="s">
        <v>1330</v>
      </c>
      <c r="Y86" s="17" t="s">
        <v>1331</v>
      </c>
      <c r="Z86" s="17" t="s">
        <v>1347</v>
      </c>
      <c r="AA86" s="17" t="s">
        <v>1444</v>
      </c>
      <c r="AB86" s="17" t="s">
        <v>1445</v>
      </c>
      <c r="AC86" s="17" t="s">
        <v>1446</v>
      </c>
      <c r="AD86" s="17">
        <f t="shared" si="6"/>
        <v>6</v>
      </c>
      <c r="AE86" s="17" t="s">
        <v>1328</v>
      </c>
      <c r="AF86" s="17" t="s">
        <v>1328</v>
      </c>
      <c r="AG86" s="17" t="s">
        <v>1328</v>
      </c>
      <c r="AH86" s="17" t="s">
        <v>1328</v>
      </c>
      <c r="AI86" s="17" t="s">
        <v>1328</v>
      </c>
      <c r="AJ86" s="17" t="s">
        <v>1328</v>
      </c>
      <c r="AK86" s="17" t="s">
        <v>1395</v>
      </c>
      <c r="AL86" s="17" t="s">
        <v>1351</v>
      </c>
      <c r="AM86" s="17" t="s">
        <v>1363</v>
      </c>
      <c r="AN86" s="17" t="s">
        <v>1331</v>
      </c>
      <c r="AO86" s="17" t="s">
        <v>1328</v>
      </c>
      <c r="AP86" s="17" t="str">
        <f t="shared" si="7"/>
        <v>high</v>
      </c>
      <c r="AQ86" s="20"/>
    </row>
    <row r="87" ht="15.75" customHeight="1">
      <c r="A87" s="16" t="s">
        <v>1858</v>
      </c>
      <c r="B87" s="16" t="s">
        <v>1859</v>
      </c>
      <c r="C87" s="16">
        <v>2009.0</v>
      </c>
      <c r="D87" s="16" t="s">
        <v>1860</v>
      </c>
      <c r="E87" s="16" t="s">
        <v>1861</v>
      </c>
      <c r="F87" s="16" t="s">
        <v>1862</v>
      </c>
      <c r="G87" s="16" t="str">
        <f t="shared" si="1"/>
        <v>No</v>
      </c>
      <c r="H87" s="16" t="s">
        <v>1324</v>
      </c>
      <c r="I87" s="16" t="s">
        <v>1324</v>
      </c>
      <c r="J87" s="16">
        <v>59.0</v>
      </c>
      <c r="K87" s="17" t="s">
        <v>1863</v>
      </c>
      <c r="L87" s="18" t="str">
        <f t="shared" si="2"/>
        <v>http://dx.doi.org/10.1017/S0954102009001722</v>
      </c>
      <c r="M87" s="19" t="s">
        <v>1835</v>
      </c>
      <c r="N87" s="17" t="s">
        <v>1327</v>
      </c>
      <c r="O87" s="17" t="s">
        <v>1328</v>
      </c>
      <c r="P87" s="17" t="s">
        <v>1328</v>
      </c>
      <c r="Q87" s="17" t="s">
        <v>1328</v>
      </c>
      <c r="R87" s="17" t="s">
        <v>1328</v>
      </c>
      <c r="S87" s="17" t="s">
        <v>1328</v>
      </c>
      <c r="T87" s="20" t="str">
        <f t="shared" si="3"/>
        <v>Yes</v>
      </c>
      <c r="U87" s="19" t="str">
        <f t="shared" si="4"/>
        <v>PJ</v>
      </c>
      <c r="V87" s="17" t="str">
        <f t="shared" si="5"/>
        <v>Yes</v>
      </c>
      <c r="W87" s="17" t="s">
        <v>1443</v>
      </c>
      <c r="X87" s="17" t="s">
        <v>1523</v>
      </c>
      <c r="Y87" s="17" t="s">
        <v>1330</v>
      </c>
      <c r="Z87" s="17" t="s">
        <v>1332</v>
      </c>
      <c r="AA87" s="17" t="s">
        <v>1660</v>
      </c>
      <c r="AB87" s="17" t="s">
        <v>1864</v>
      </c>
      <c r="AC87" s="17" t="s">
        <v>1373</v>
      </c>
      <c r="AD87" s="17">
        <f t="shared" si="6"/>
        <v>5</v>
      </c>
      <c r="AE87" s="17" t="s">
        <v>1336</v>
      </c>
      <c r="AF87" s="17" t="s">
        <v>1328</v>
      </c>
      <c r="AG87" s="17" t="s">
        <v>1328</v>
      </c>
      <c r="AH87" s="17" t="s">
        <v>1328</v>
      </c>
      <c r="AI87" s="17" t="s">
        <v>1328</v>
      </c>
      <c r="AJ87" s="17" t="s">
        <v>1328</v>
      </c>
      <c r="AK87" s="17" t="s">
        <v>1337</v>
      </c>
      <c r="AL87" s="17" t="s">
        <v>1338</v>
      </c>
      <c r="AM87" s="17" t="s">
        <v>1339</v>
      </c>
      <c r="AN87" s="17" t="s">
        <v>1331</v>
      </c>
      <c r="AO87" s="17" t="s">
        <v>1328</v>
      </c>
      <c r="AP87" s="17" t="str">
        <f t="shared" si="7"/>
        <v>intermediate</v>
      </c>
      <c r="AQ87" s="20" t="s">
        <v>1865</v>
      </c>
    </row>
    <row r="88" ht="15.75" customHeight="1">
      <c r="A88" s="16" t="s">
        <v>1866</v>
      </c>
      <c r="B88" s="16" t="s">
        <v>1867</v>
      </c>
      <c r="C88" s="16">
        <v>2005.0</v>
      </c>
      <c r="D88" s="16" t="s">
        <v>1868</v>
      </c>
      <c r="E88" s="16" t="s">
        <v>1869</v>
      </c>
      <c r="F88" s="16" t="s">
        <v>1870</v>
      </c>
      <c r="G88" s="16" t="str">
        <f t="shared" si="1"/>
        <v>No</v>
      </c>
      <c r="H88" s="16" t="s">
        <v>1324</v>
      </c>
      <c r="I88" s="16" t="s">
        <v>1324</v>
      </c>
      <c r="J88" s="16">
        <v>157.0</v>
      </c>
      <c r="K88" s="17" t="s">
        <v>1871</v>
      </c>
      <c r="L88" s="18" t="str">
        <f t="shared" si="2"/>
        <v>http://dx.doi.org/10.1017/S0266467404001683</v>
      </c>
      <c r="M88" s="19" t="s">
        <v>1614</v>
      </c>
      <c r="N88" s="17" t="s">
        <v>1470</v>
      </c>
      <c r="O88" s="17" t="s">
        <v>1328</v>
      </c>
      <c r="P88" s="17" t="s">
        <v>1328</v>
      </c>
      <c r="Q88" s="17" t="s">
        <v>1328</v>
      </c>
      <c r="R88" s="17" t="s">
        <v>1328</v>
      </c>
      <c r="S88" s="17" t="s">
        <v>1328</v>
      </c>
      <c r="T88" s="20" t="str">
        <f t="shared" si="3"/>
        <v>Yes</v>
      </c>
      <c r="U88" s="19" t="str">
        <f t="shared" si="4"/>
        <v>AG</v>
      </c>
      <c r="V88" s="17" t="str">
        <f t="shared" si="5"/>
        <v>Yes</v>
      </c>
      <c r="W88" s="17" t="s">
        <v>1329</v>
      </c>
      <c r="X88" s="17" t="s">
        <v>1330</v>
      </c>
      <c r="Y88" s="17" t="s">
        <v>1331</v>
      </c>
      <c r="Z88" s="17" t="s">
        <v>1332</v>
      </c>
      <c r="AA88" s="17" t="s">
        <v>1333</v>
      </c>
      <c r="AB88" s="17" t="s">
        <v>1348</v>
      </c>
      <c r="AC88" s="17" t="s">
        <v>1362</v>
      </c>
      <c r="AD88" s="17">
        <f t="shared" si="6"/>
        <v>2</v>
      </c>
      <c r="AE88" s="17" t="s">
        <v>1336</v>
      </c>
      <c r="AF88" s="17" t="s">
        <v>1328</v>
      </c>
      <c r="AG88" s="17" t="s">
        <v>1328</v>
      </c>
      <c r="AH88" s="17" t="s">
        <v>1336</v>
      </c>
      <c r="AI88" s="17" t="s">
        <v>1336</v>
      </c>
      <c r="AJ88" s="17" t="s">
        <v>1336</v>
      </c>
      <c r="AK88" s="17" t="s">
        <v>1350</v>
      </c>
      <c r="AL88" s="17" t="s">
        <v>1351</v>
      </c>
      <c r="AM88" s="17" t="s">
        <v>1339</v>
      </c>
      <c r="AN88" s="17" t="s">
        <v>1331</v>
      </c>
      <c r="AO88" s="17" t="s">
        <v>1328</v>
      </c>
      <c r="AP88" s="17" t="str">
        <f t="shared" si="7"/>
        <v>intermediate</v>
      </c>
      <c r="AQ88" s="20"/>
    </row>
    <row r="89" ht="15.75" customHeight="1">
      <c r="A89" s="16" t="s">
        <v>1872</v>
      </c>
      <c r="B89" s="16" t="s">
        <v>1873</v>
      </c>
      <c r="C89" s="16">
        <v>2012.0</v>
      </c>
      <c r="D89" s="16" t="s">
        <v>1874</v>
      </c>
      <c r="E89" s="16" t="s">
        <v>1875</v>
      </c>
      <c r="F89" s="16" t="s">
        <v>1876</v>
      </c>
      <c r="G89" s="16" t="str">
        <f t="shared" si="1"/>
        <v>No</v>
      </c>
      <c r="H89" s="16" t="s">
        <v>1324</v>
      </c>
      <c r="I89" s="16" t="s">
        <v>1324</v>
      </c>
      <c r="J89" s="16">
        <v>28.0</v>
      </c>
      <c r="K89" s="17" t="s">
        <v>1877</v>
      </c>
      <c r="L89" s="18" t="str">
        <f t="shared" si="2"/>
        <v>http://dx.doi.org/10.1017/S0030605311000937</v>
      </c>
      <c r="M89" s="19" t="s">
        <v>1482</v>
      </c>
      <c r="N89" s="17" t="s">
        <v>1470</v>
      </c>
      <c r="O89" s="17" t="s">
        <v>1328</v>
      </c>
      <c r="P89" s="17" t="s">
        <v>1328</v>
      </c>
      <c r="Q89" s="17" t="s">
        <v>1328</v>
      </c>
      <c r="R89" s="17" t="s">
        <v>1328</v>
      </c>
      <c r="S89" s="17" t="s">
        <v>1328</v>
      </c>
      <c r="T89" s="20" t="str">
        <f t="shared" si="3"/>
        <v>Yes</v>
      </c>
      <c r="U89" s="19" t="str">
        <f t="shared" si="4"/>
        <v>AG</v>
      </c>
      <c r="V89" s="17" t="str">
        <f t="shared" si="5"/>
        <v>Yes</v>
      </c>
      <c r="W89" s="17" t="s">
        <v>1329</v>
      </c>
      <c r="X89" s="17" t="s">
        <v>1330</v>
      </c>
      <c r="Y89" s="17" t="s">
        <v>1331</v>
      </c>
      <c r="Z89" s="17" t="s">
        <v>1332</v>
      </c>
      <c r="AA89" s="17" t="s">
        <v>1333</v>
      </c>
      <c r="AB89" s="17" t="s">
        <v>1381</v>
      </c>
      <c r="AC89" s="17" t="s">
        <v>1530</v>
      </c>
      <c r="AD89" s="17">
        <f t="shared" si="6"/>
        <v>5</v>
      </c>
      <c r="AE89" s="17" t="s">
        <v>1336</v>
      </c>
      <c r="AF89" s="17" t="s">
        <v>1328</v>
      </c>
      <c r="AG89" s="17" t="s">
        <v>1328</v>
      </c>
      <c r="AH89" s="17" t="s">
        <v>1328</v>
      </c>
      <c r="AI89" s="17" t="s">
        <v>1328</v>
      </c>
      <c r="AJ89" s="17" t="s">
        <v>1328</v>
      </c>
      <c r="AK89" s="17" t="s">
        <v>1395</v>
      </c>
      <c r="AL89" s="17" t="s">
        <v>1351</v>
      </c>
      <c r="AM89" s="17" t="s">
        <v>1339</v>
      </c>
      <c r="AN89" s="17" t="s">
        <v>1388</v>
      </c>
      <c r="AO89" s="17" t="s">
        <v>1328</v>
      </c>
      <c r="AP89" s="17" t="str">
        <f t="shared" si="7"/>
        <v>intermediate</v>
      </c>
      <c r="AQ89" s="20"/>
    </row>
    <row r="90" ht="15.75" customHeight="1">
      <c r="A90" s="16" t="s">
        <v>1878</v>
      </c>
      <c r="B90" s="16" t="s">
        <v>1873</v>
      </c>
      <c r="C90" s="16">
        <v>2007.0</v>
      </c>
      <c r="D90" s="16" t="s">
        <v>1879</v>
      </c>
      <c r="E90" s="16" t="s">
        <v>1880</v>
      </c>
      <c r="F90" s="16" t="s">
        <v>1881</v>
      </c>
      <c r="G90" s="16" t="str">
        <f t="shared" si="1"/>
        <v>No</v>
      </c>
      <c r="H90" s="16" t="s">
        <v>1324</v>
      </c>
      <c r="I90" s="16" t="s">
        <v>1324</v>
      </c>
      <c r="J90" s="16">
        <v>19.0</v>
      </c>
      <c r="K90" s="17" t="s">
        <v>1882</v>
      </c>
      <c r="L90" s="18" t="str">
        <f t="shared" si="2"/>
        <v>http://dx.doi.org/10.1017/S0030605307001883</v>
      </c>
      <c r="M90" s="19" t="s">
        <v>1614</v>
      </c>
      <c r="N90" s="17" t="s">
        <v>1327</v>
      </c>
      <c r="O90" s="17" t="s">
        <v>1328</v>
      </c>
      <c r="P90" s="17" t="s">
        <v>1328</v>
      </c>
      <c r="Q90" s="17" t="s">
        <v>1328</v>
      </c>
      <c r="R90" s="17" t="s">
        <v>1328</v>
      </c>
      <c r="S90" s="17" t="s">
        <v>1328</v>
      </c>
      <c r="T90" s="20" t="str">
        <f t="shared" si="3"/>
        <v>Yes</v>
      </c>
      <c r="U90" s="19" t="str">
        <f t="shared" si="4"/>
        <v>PJ</v>
      </c>
      <c r="V90" s="17" t="str">
        <f t="shared" si="5"/>
        <v>Yes</v>
      </c>
      <c r="W90" s="17" t="s">
        <v>1329</v>
      </c>
      <c r="X90" s="17" t="s">
        <v>1523</v>
      </c>
      <c r="Y90" s="17" t="s">
        <v>1330</v>
      </c>
      <c r="Z90" s="17" t="s">
        <v>1347</v>
      </c>
      <c r="AA90" s="17" t="s">
        <v>1333</v>
      </c>
      <c r="AB90" s="17" t="s">
        <v>1334</v>
      </c>
      <c r="AC90" s="17" t="s">
        <v>1362</v>
      </c>
      <c r="AD90" s="17">
        <f t="shared" si="6"/>
        <v>2</v>
      </c>
      <c r="AE90" s="17" t="s">
        <v>1336</v>
      </c>
      <c r="AF90" s="17" t="s">
        <v>1336</v>
      </c>
      <c r="AG90" s="17" t="s">
        <v>1328</v>
      </c>
      <c r="AH90" s="17" t="s">
        <v>1336</v>
      </c>
      <c r="AI90" s="17" t="s">
        <v>1336</v>
      </c>
      <c r="AJ90" s="17" t="s">
        <v>1328</v>
      </c>
      <c r="AK90" s="17" t="s">
        <v>1395</v>
      </c>
      <c r="AL90" s="17" t="s">
        <v>1338</v>
      </c>
      <c r="AM90" s="17" t="s">
        <v>1339</v>
      </c>
      <c r="AN90" s="17" t="s">
        <v>1331</v>
      </c>
      <c r="AO90" s="17" t="s">
        <v>1328</v>
      </c>
      <c r="AP90" s="17" t="str">
        <f t="shared" si="7"/>
        <v>intermediate</v>
      </c>
      <c r="AQ90" s="20"/>
    </row>
    <row r="91" ht="15.75" customHeight="1">
      <c r="A91" s="16" t="s">
        <v>1883</v>
      </c>
      <c r="B91" s="16" t="s">
        <v>1884</v>
      </c>
      <c r="C91" s="16">
        <v>2006.0</v>
      </c>
      <c r="D91" s="16" t="s">
        <v>1885</v>
      </c>
      <c r="E91" s="16" t="s">
        <v>1886</v>
      </c>
      <c r="F91" s="16" t="s">
        <v>1887</v>
      </c>
      <c r="G91" s="16" t="str">
        <f t="shared" si="1"/>
        <v>No</v>
      </c>
      <c r="H91" s="16" t="s">
        <v>1324</v>
      </c>
      <c r="I91" s="16" t="s">
        <v>1324</v>
      </c>
      <c r="J91" s="16">
        <v>1.0</v>
      </c>
      <c r="K91" s="17" t="s">
        <v>1888</v>
      </c>
      <c r="L91" s="18" t="str">
        <f t="shared" si="2"/>
        <v>http://dx.doi.org/10.1016/S0065-2881(05)50001-4</v>
      </c>
      <c r="M91" s="19" t="s">
        <v>1402</v>
      </c>
      <c r="N91" s="17" t="s">
        <v>1327</v>
      </c>
      <c r="O91" s="17" t="s">
        <v>1328</v>
      </c>
      <c r="P91" s="17" t="s">
        <v>1328</v>
      </c>
      <c r="Q91" s="17" t="s">
        <v>1328</v>
      </c>
      <c r="R91" s="17" t="s">
        <v>1328</v>
      </c>
      <c r="S91" s="17" t="s">
        <v>1328</v>
      </c>
      <c r="T91" s="20" t="str">
        <f t="shared" si="3"/>
        <v>Yes</v>
      </c>
      <c r="U91" s="19" t="str">
        <f t="shared" si="4"/>
        <v>PJ</v>
      </c>
      <c r="V91" s="17" t="str">
        <f t="shared" si="5"/>
        <v>Yes</v>
      </c>
      <c r="W91" s="17" t="s">
        <v>1443</v>
      </c>
      <c r="X91" s="17" t="s">
        <v>1330</v>
      </c>
      <c r="Y91" s="17" t="s">
        <v>1523</v>
      </c>
      <c r="Z91" s="17" t="s">
        <v>1347</v>
      </c>
      <c r="AA91" s="17" t="s">
        <v>1444</v>
      </c>
      <c r="AB91" s="17" t="s">
        <v>1445</v>
      </c>
      <c r="AC91" s="17" t="s">
        <v>1349</v>
      </c>
      <c r="AD91" s="17">
        <f t="shared" si="6"/>
        <v>3</v>
      </c>
      <c r="AE91" s="17" t="s">
        <v>1328</v>
      </c>
      <c r="AF91" s="17" t="s">
        <v>1336</v>
      </c>
      <c r="AG91" s="17" t="s">
        <v>1336</v>
      </c>
      <c r="AH91" s="17" t="s">
        <v>1328</v>
      </c>
      <c r="AI91" s="17" t="s">
        <v>1328</v>
      </c>
      <c r="AJ91" s="17" t="s">
        <v>1336</v>
      </c>
      <c r="AK91" s="17" t="s">
        <v>1395</v>
      </c>
      <c r="AL91" s="17" t="s">
        <v>1338</v>
      </c>
      <c r="AM91" s="17" t="s">
        <v>1339</v>
      </c>
      <c r="AN91" s="17" t="s">
        <v>1331</v>
      </c>
      <c r="AO91" s="17" t="s">
        <v>1328</v>
      </c>
      <c r="AP91" s="17" t="str">
        <f t="shared" si="7"/>
        <v>high</v>
      </c>
      <c r="AQ91" s="20"/>
    </row>
    <row r="92" ht="15.75" customHeight="1">
      <c r="A92" s="16" t="s">
        <v>1889</v>
      </c>
      <c r="B92" s="16" t="s">
        <v>251</v>
      </c>
      <c r="C92" s="16">
        <v>2003.0</v>
      </c>
      <c r="D92" s="16" t="s">
        <v>1890</v>
      </c>
      <c r="E92" s="16" t="s">
        <v>1891</v>
      </c>
      <c r="F92" s="16" t="s">
        <v>1892</v>
      </c>
      <c r="G92" s="16" t="str">
        <f t="shared" si="1"/>
        <v>No</v>
      </c>
      <c r="H92" s="16" t="s">
        <v>1324</v>
      </c>
      <c r="I92" s="16" t="s">
        <v>1324</v>
      </c>
      <c r="J92" s="16">
        <v>194.0</v>
      </c>
      <c r="K92" s="17" t="s">
        <v>1893</v>
      </c>
      <c r="L92" s="18" t="str">
        <f t="shared" si="2"/>
        <v>http://dx.doi.org/10.1016/S0006-3207(03)00051-X</v>
      </c>
      <c r="M92" s="19" t="s">
        <v>1580</v>
      </c>
      <c r="N92" s="17" t="s">
        <v>1371</v>
      </c>
      <c r="O92" s="17" t="s">
        <v>1328</v>
      </c>
      <c r="P92" s="17" t="s">
        <v>1328</v>
      </c>
      <c r="Q92" s="17" t="s">
        <v>1328</v>
      </c>
      <c r="R92" s="17" t="s">
        <v>1328</v>
      </c>
      <c r="S92" s="17" t="s">
        <v>1328</v>
      </c>
      <c r="T92" s="20" t="str">
        <f t="shared" si="3"/>
        <v>Yes</v>
      </c>
      <c r="U92" s="19" t="str">
        <f t="shared" si="4"/>
        <v>LC</v>
      </c>
      <c r="V92" s="17" t="str">
        <f t="shared" si="5"/>
        <v>Yes</v>
      </c>
      <c r="W92" s="17" t="s">
        <v>1329</v>
      </c>
      <c r="X92" s="17" t="s">
        <v>1372</v>
      </c>
      <c r="Y92" s="17" t="s">
        <v>1331</v>
      </c>
      <c r="Z92" s="17" t="s">
        <v>1332</v>
      </c>
      <c r="AA92" s="17" t="s">
        <v>1333</v>
      </c>
      <c r="AB92" s="17" t="s">
        <v>1361</v>
      </c>
      <c r="AC92" s="17" t="s">
        <v>1464</v>
      </c>
      <c r="AD92" s="17">
        <f t="shared" si="6"/>
        <v>2</v>
      </c>
      <c r="AE92" s="17" t="s">
        <v>1336</v>
      </c>
      <c r="AF92" s="17" t="s">
        <v>1328</v>
      </c>
      <c r="AG92" s="17" t="s">
        <v>1336</v>
      </c>
      <c r="AH92" s="17" t="s">
        <v>1328</v>
      </c>
      <c r="AI92" s="17" t="s">
        <v>1336</v>
      </c>
      <c r="AJ92" s="17" t="s">
        <v>1336</v>
      </c>
      <c r="AK92" s="17" t="s">
        <v>1350</v>
      </c>
      <c r="AL92" s="17" t="s">
        <v>1351</v>
      </c>
      <c r="AM92" s="17" t="s">
        <v>1339</v>
      </c>
      <c r="AN92" s="17" t="s">
        <v>1388</v>
      </c>
      <c r="AO92" s="17" t="s">
        <v>1328</v>
      </c>
      <c r="AP92" s="17" t="str">
        <f t="shared" si="7"/>
        <v>intermediate</v>
      </c>
      <c r="AQ92" s="20"/>
    </row>
    <row r="93" ht="15.75" customHeight="1">
      <c r="A93" s="16" t="s">
        <v>1894</v>
      </c>
      <c r="B93" s="16" t="s">
        <v>629</v>
      </c>
      <c r="C93" s="16">
        <v>2013.0</v>
      </c>
      <c r="D93" s="16" t="s">
        <v>1895</v>
      </c>
      <c r="E93" s="16" t="s">
        <v>1896</v>
      </c>
      <c r="F93" s="16" t="s">
        <v>1897</v>
      </c>
      <c r="G93" s="16" t="str">
        <f t="shared" si="1"/>
        <v>No</v>
      </c>
      <c r="H93" s="16" t="s">
        <v>1324</v>
      </c>
      <c r="I93" s="16" t="s">
        <v>1324</v>
      </c>
      <c r="J93" s="16">
        <v>199.0</v>
      </c>
      <c r="K93" s="17" t="s">
        <v>1898</v>
      </c>
      <c r="L93" s="18" t="str">
        <f t="shared" si="2"/>
        <v>http://dx.doi.org/10.1016/j.tree.2013.04.005</v>
      </c>
      <c r="M93" s="19" t="s">
        <v>1482</v>
      </c>
      <c r="N93" s="17" t="s">
        <v>1470</v>
      </c>
      <c r="O93" s="17" t="s">
        <v>1328</v>
      </c>
      <c r="P93" s="17" t="s">
        <v>1328</v>
      </c>
      <c r="Q93" s="17" t="s">
        <v>1328</v>
      </c>
      <c r="R93" s="17" t="s">
        <v>1328</v>
      </c>
      <c r="S93" s="17" t="s">
        <v>1328</v>
      </c>
      <c r="T93" s="20" t="str">
        <f t="shared" si="3"/>
        <v>Yes</v>
      </c>
      <c r="U93" s="19" t="str">
        <f t="shared" si="4"/>
        <v>AG</v>
      </c>
      <c r="V93" s="17" t="str">
        <f t="shared" si="5"/>
        <v>Yes</v>
      </c>
      <c r="W93" s="17" t="s">
        <v>1443</v>
      </c>
      <c r="X93" s="17" t="s">
        <v>1330</v>
      </c>
      <c r="Y93" s="17" t="s">
        <v>1331</v>
      </c>
      <c r="Z93" s="17" t="s">
        <v>1331</v>
      </c>
      <c r="AA93" s="17" t="s">
        <v>1360</v>
      </c>
      <c r="AB93" s="17" t="s">
        <v>1381</v>
      </c>
      <c r="AC93" s="17" t="s">
        <v>1362</v>
      </c>
      <c r="AD93" s="17">
        <f t="shared" si="6"/>
        <v>2</v>
      </c>
      <c r="AE93" s="17" t="s">
        <v>1336</v>
      </c>
      <c r="AF93" s="17" t="s">
        <v>1328</v>
      </c>
      <c r="AG93" s="17" t="s">
        <v>1328</v>
      </c>
      <c r="AH93" s="17" t="s">
        <v>1336</v>
      </c>
      <c r="AI93" s="17" t="s">
        <v>1336</v>
      </c>
      <c r="AJ93" s="17" t="s">
        <v>1336</v>
      </c>
      <c r="AK93" s="17" t="s">
        <v>1350</v>
      </c>
      <c r="AL93" s="17" t="s">
        <v>1351</v>
      </c>
      <c r="AM93" s="17" t="s">
        <v>1363</v>
      </c>
      <c r="AN93" s="17" t="s">
        <v>1331</v>
      </c>
      <c r="AO93" s="17" t="s">
        <v>1328</v>
      </c>
      <c r="AP93" s="17" t="str">
        <f t="shared" si="7"/>
        <v>high</v>
      </c>
      <c r="AQ93" s="20"/>
    </row>
    <row r="94" ht="15.75" customHeight="1">
      <c r="A94" s="16" t="s">
        <v>1899</v>
      </c>
      <c r="B94" s="16" t="s">
        <v>629</v>
      </c>
      <c r="C94" s="16">
        <v>2011.0</v>
      </c>
      <c r="D94" s="16" t="s">
        <v>1900</v>
      </c>
      <c r="E94" s="16" t="s">
        <v>1901</v>
      </c>
      <c r="F94" s="16" t="s">
        <v>1902</v>
      </c>
      <c r="G94" s="16" t="str">
        <f t="shared" si="1"/>
        <v>No</v>
      </c>
      <c r="H94" s="16" t="s">
        <v>1324</v>
      </c>
      <c r="I94" s="16" t="s">
        <v>1324</v>
      </c>
      <c r="J94" s="16">
        <v>21.0</v>
      </c>
      <c r="K94" s="17" t="s">
        <v>1903</v>
      </c>
      <c r="L94" s="18" t="str">
        <f t="shared" si="2"/>
        <v>http://dx.doi.org/10.1016/j.tree.2011.07.008</v>
      </c>
      <c r="M94" s="19" t="s">
        <v>1580</v>
      </c>
      <c r="N94" s="17" t="s">
        <v>1470</v>
      </c>
      <c r="O94" s="17" t="s">
        <v>1328</v>
      </c>
      <c r="P94" s="17" t="s">
        <v>1328</v>
      </c>
      <c r="Q94" s="17" t="s">
        <v>1328</v>
      </c>
      <c r="R94" s="17" t="s">
        <v>1328</v>
      </c>
      <c r="S94" s="17" t="s">
        <v>1328</v>
      </c>
      <c r="T94" s="20" t="str">
        <f t="shared" si="3"/>
        <v>Yes</v>
      </c>
      <c r="U94" s="19" t="str">
        <f t="shared" si="4"/>
        <v>AG</v>
      </c>
      <c r="V94" s="17" t="str">
        <f t="shared" si="5"/>
        <v>Yes</v>
      </c>
      <c r="W94" s="17" t="s">
        <v>1443</v>
      </c>
      <c r="X94" s="17" t="s">
        <v>1372</v>
      </c>
      <c r="Y94" s="17" t="s">
        <v>1331</v>
      </c>
      <c r="Z94" s="17" t="s">
        <v>1347</v>
      </c>
      <c r="AA94" s="17" t="s">
        <v>1444</v>
      </c>
      <c r="AB94" s="17" t="s">
        <v>1445</v>
      </c>
      <c r="AC94" s="17" t="s">
        <v>1349</v>
      </c>
      <c r="AD94" s="17">
        <f t="shared" si="6"/>
        <v>3</v>
      </c>
      <c r="AE94" s="17" t="s">
        <v>1336</v>
      </c>
      <c r="AF94" s="17" t="s">
        <v>1328</v>
      </c>
      <c r="AG94" s="17" t="s">
        <v>1328</v>
      </c>
      <c r="AH94" s="17" t="s">
        <v>1336</v>
      </c>
      <c r="AI94" s="17" t="s">
        <v>1328</v>
      </c>
      <c r="AJ94" s="17" t="s">
        <v>1336</v>
      </c>
      <c r="AK94" s="17" t="s">
        <v>1395</v>
      </c>
      <c r="AL94" s="17" t="s">
        <v>1338</v>
      </c>
      <c r="AM94" s="17" t="s">
        <v>1363</v>
      </c>
      <c r="AN94" s="17" t="s">
        <v>1374</v>
      </c>
      <c r="AO94" s="17" t="s">
        <v>1328</v>
      </c>
      <c r="AP94" s="17" t="str">
        <f t="shared" si="7"/>
        <v>high</v>
      </c>
      <c r="AQ94" s="20"/>
    </row>
    <row r="95" ht="15.75" customHeight="1">
      <c r="A95" s="16" t="s">
        <v>1904</v>
      </c>
      <c r="B95" s="16" t="s">
        <v>629</v>
      </c>
      <c r="C95" s="16">
        <v>2009.0</v>
      </c>
      <c r="D95" s="16" t="s">
        <v>1905</v>
      </c>
      <c r="E95" s="16" t="s">
        <v>1906</v>
      </c>
      <c r="F95" s="16" t="s">
        <v>1907</v>
      </c>
      <c r="G95" s="16" t="str">
        <f t="shared" si="1"/>
        <v>No</v>
      </c>
      <c r="H95" s="16" t="s">
        <v>1324</v>
      </c>
      <c r="I95" s="16" t="s">
        <v>1324</v>
      </c>
      <c r="J95" s="16">
        <v>24.0</v>
      </c>
      <c r="K95" s="17" t="s">
        <v>1908</v>
      </c>
      <c r="L95" s="18" t="str">
        <f t="shared" si="2"/>
        <v>http://dx.doi.org/10.1016/j.tree.2008.12.004</v>
      </c>
      <c r="M95" s="19" t="s">
        <v>1580</v>
      </c>
      <c r="N95" s="17" t="s">
        <v>1371</v>
      </c>
      <c r="O95" s="17" t="s">
        <v>1328</v>
      </c>
      <c r="P95" s="17" t="s">
        <v>1328</v>
      </c>
      <c r="Q95" s="17" t="s">
        <v>1328</v>
      </c>
      <c r="R95" s="17" t="s">
        <v>1328</v>
      </c>
      <c r="S95" s="17" t="s">
        <v>1328</v>
      </c>
      <c r="T95" s="20" t="str">
        <f t="shared" si="3"/>
        <v>Yes</v>
      </c>
      <c r="U95" s="19" t="str">
        <f t="shared" si="4"/>
        <v>LC</v>
      </c>
      <c r="V95" s="17" t="str">
        <f t="shared" si="5"/>
        <v>Yes</v>
      </c>
      <c r="W95" s="17" t="s">
        <v>1443</v>
      </c>
      <c r="X95" s="17" t="s">
        <v>1330</v>
      </c>
      <c r="Y95" s="17" t="s">
        <v>1372</v>
      </c>
      <c r="Z95" s="17" t="s">
        <v>1347</v>
      </c>
      <c r="AA95" s="17" t="s">
        <v>1444</v>
      </c>
      <c r="AB95" s="17" t="s">
        <v>1445</v>
      </c>
      <c r="AC95" s="17" t="s">
        <v>1349</v>
      </c>
      <c r="AD95" s="17">
        <f t="shared" si="6"/>
        <v>2</v>
      </c>
      <c r="AE95" s="17" t="s">
        <v>1328</v>
      </c>
      <c r="AF95" s="17" t="s">
        <v>1336</v>
      </c>
      <c r="AG95" s="17" t="s">
        <v>1328</v>
      </c>
      <c r="AH95" s="17" t="s">
        <v>1336</v>
      </c>
      <c r="AI95" s="17" t="s">
        <v>1336</v>
      </c>
      <c r="AJ95" s="17" t="s">
        <v>1336</v>
      </c>
      <c r="AK95" s="17" t="s">
        <v>1350</v>
      </c>
      <c r="AL95" s="17" t="s">
        <v>1338</v>
      </c>
      <c r="AM95" s="17" t="s">
        <v>1339</v>
      </c>
      <c r="AN95" s="17" t="s">
        <v>1331</v>
      </c>
      <c r="AO95" s="17" t="s">
        <v>1328</v>
      </c>
      <c r="AP95" s="17" t="str">
        <f t="shared" si="7"/>
        <v>high</v>
      </c>
      <c r="AQ95" s="20"/>
    </row>
    <row r="96" ht="15.75" customHeight="1">
      <c r="A96" s="16" t="s">
        <v>1909</v>
      </c>
      <c r="B96" s="16" t="s">
        <v>64</v>
      </c>
      <c r="C96" s="16">
        <v>2017.0</v>
      </c>
      <c r="D96" s="16" t="s">
        <v>1910</v>
      </c>
      <c r="E96" s="16" t="s">
        <v>1911</v>
      </c>
      <c r="F96" s="16" t="s">
        <v>1912</v>
      </c>
      <c r="G96" s="16" t="str">
        <f t="shared" si="1"/>
        <v>No</v>
      </c>
      <c r="H96" s="16" t="s">
        <v>1324</v>
      </c>
      <c r="I96" s="16" t="s">
        <v>1324</v>
      </c>
      <c r="J96" s="16">
        <v>74.0</v>
      </c>
      <c r="K96" s="17" t="s">
        <v>1913</v>
      </c>
      <c r="L96" s="18" t="str">
        <f t="shared" si="2"/>
        <v>http://dx.doi.org/10.1016/j.scitotenv.2017.02.210</v>
      </c>
      <c r="M96" s="19" t="s">
        <v>1666</v>
      </c>
      <c r="N96" s="17" t="s">
        <v>1436</v>
      </c>
      <c r="O96" s="17" t="s">
        <v>1328</v>
      </c>
      <c r="P96" s="17" t="s">
        <v>1328</v>
      </c>
      <c r="Q96" s="17" t="s">
        <v>1328</v>
      </c>
      <c r="R96" s="17" t="s">
        <v>1328</v>
      </c>
      <c r="S96" s="17" t="s">
        <v>1328</v>
      </c>
      <c r="T96" s="20" t="str">
        <f t="shared" si="3"/>
        <v>Yes</v>
      </c>
      <c r="U96" s="19" t="str">
        <f t="shared" si="4"/>
        <v>CG</v>
      </c>
      <c r="V96" s="17" t="str">
        <f t="shared" si="5"/>
        <v>Yes</v>
      </c>
      <c r="W96" s="17" t="s">
        <v>1329</v>
      </c>
      <c r="X96" s="17" t="s">
        <v>1330</v>
      </c>
      <c r="Y96" s="17" t="s">
        <v>1330</v>
      </c>
      <c r="Z96" s="17" t="s">
        <v>1347</v>
      </c>
      <c r="AA96" s="17" t="s">
        <v>1333</v>
      </c>
      <c r="AB96" s="17" t="s">
        <v>1381</v>
      </c>
      <c r="AC96" s="17" t="s">
        <v>1464</v>
      </c>
      <c r="AD96" s="17">
        <f t="shared" si="6"/>
        <v>2</v>
      </c>
      <c r="AE96" s="17" t="s">
        <v>1328</v>
      </c>
      <c r="AF96" s="17" t="s">
        <v>1328</v>
      </c>
      <c r="AG96" s="17" t="s">
        <v>1336</v>
      </c>
      <c r="AH96" s="17" t="s">
        <v>1336</v>
      </c>
      <c r="AI96" s="17" t="s">
        <v>1336</v>
      </c>
      <c r="AJ96" s="17" t="s">
        <v>1336</v>
      </c>
      <c r="AK96" s="17" t="s">
        <v>1350</v>
      </c>
      <c r="AL96" s="17" t="s">
        <v>1351</v>
      </c>
      <c r="AM96" s="17" t="s">
        <v>1339</v>
      </c>
      <c r="AN96" s="17" t="s">
        <v>1374</v>
      </c>
      <c r="AO96" s="17" t="s">
        <v>1328</v>
      </c>
      <c r="AP96" s="17" t="str">
        <f t="shared" si="7"/>
        <v>intermediate</v>
      </c>
      <c r="AQ96" s="20"/>
    </row>
    <row r="97" ht="15.75" customHeight="1">
      <c r="A97" s="16" t="s">
        <v>1914</v>
      </c>
      <c r="B97" s="16" t="s">
        <v>64</v>
      </c>
      <c r="C97" s="16">
        <v>2016.0</v>
      </c>
      <c r="D97" s="16" t="s">
        <v>1915</v>
      </c>
      <c r="E97" s="16" t="s">
        <v>1916</v>
      </c>
      <c r="F97" s="16" t="s">
        <v>1917</v>
      </c>
      <c r="G97" s="16" t="str">
        <f t="shared" si="1"/>
        <v>No</v>
      </c>
      <c r="H97" s="16" t="s">
        <v>1324</v>
      </c>
      <c r="I97" s="16" t="s">
        <v>1324</v>
      </c>
      <c r="J97" s="16">
        <v>165.0</v>
      </c>
      <c r="K97" s="17" t="s">
        <v>1918</v>
      </c>
      <c r="L97" s="18" t="str">
        <f t="shared" si="2"/>
        <v>http://dx.doi.org/10.1016/j.scitotenv.2016.03.055</v>
      </c>
      <c r="M97" s="19" t="s">
        <v>1835</v>
      </c>
      <c r="N97" s="17" t="s">
        <v>1387</v>
      </c>
      <c r="O97" s="17" t="s">
        <v>1328</v>
      </c>
      <c r="P97" s="17" t="s">
        <v>1328</v>
      </c>
      <c r="Q97" s="17" t="s">
        <v>1328</v>
      </c>
      <c r="R97" s="17" t="s">
        <v>1328</v>
      </c>
      <c r="S97" s="17" t="s">
        <v>1328</v>
      </c>
      <c r="T97" s="20" t="str">
        <f t="shared" si="3"/>
        <v>Yes</v>
      </c>
      <c r="U97" s="19" t="str">
        <f t="shared" si="4"/>
        <v>MW</v>
      </c>
      <c r="V97" s="17" t="str">
        <f t="shared" si="5"/>
        <v>Yes</v>
      </c>
      <c r="W97" s="17" t="s">
        <v>1329</v>
      </c>
      <c r="X97" s="17" t="s">
        <v>1330</v>
      </c>
      <c r="Y97" s="17" t="s">
        <v>1331</v>
      </c>
      <c r="Z97" s="17" t="s">
        <v>1347</v>
      </c>
      <c r="AA97" s="17" t="s">
        <v>1333</v>
      </c>
      <c r="AB97" s="17" t="s">
        <v>1361</v>
      </c>
      <c r="AC97" s="17" t="s">
        <v>1362</v>
      </c>
      <c r="AD97" s="17">
        <f t="shared" si="6"/>
        <v>2</v>
      </c>
      <c r="AE97" s="17" t="s">
        <v>1336</v>
      </c>
      <c r="AF97" s="17" t="s">
        <v>1328</v>
      </c>
      <c r="AG97" s="17" t="s">
        <v>1336</v>
      </c>
      <c r="AH97" s="17" t="s">
        <v>1336</v>
      </c>
      <c r="AI97" s="17" t="s">
        <v>1328</v>
      </c>
      <c r="AJ97" s="17" t="s">
        <v>1336</v>
      </c>
      <c r="AK97" s="17" t="s">
        <v>1350</v>
      </c>
      <c r="AL97" s="17" t="s">
        <v>1351</v>
      </c>
      <c r="AM97" s="17" t="s">
        <v>1363</v>
      </c>
      <c r="AN97" s="17" t="s">
        <v>1388</v>
      </c>
      <c r="AO97" s="17" t="s">
        <v>1328</v>
      </c>
      <c r="AP97" s="17" t="str">
        <f t="shared" si="7"/>
        <v>intermediate</v>
      </c>
      <c r="AQ97" s="20"/>
    </row>
    <row r="98" ht="15.75" customHeight="1">
      <c r="A98" s="16" t="s">
        <v>1919</v>
      </c>
      <c r="B98" s="16" t="s">
        <v>64</v>
      </c>
      <c r="C98" s="16">
        <v>2014.0</v>
      </c>
      <c r="D98" s="16" t="s">
        <v>1920</v>
      </c>
      <c r="E98" s="16" t="s">
        <v>1921</v>
      </c>
      <c r="F98" s="16" t="s">
        <v>1922</v>
      </c>
      <c r="G98" s="16" t="str">
        <f t="shared" si="1"/>
        <v>No</v>
      </c>
      <c r="H98" s="16" t="s">
        <v>1324</v>
      </c>
      <c r="I98" s="16" t="s">
        <v>1324</v>
      </c>
      <c r="J98" s="16">
        <v>73.0</v>
      </c>
      <c r="K98" s="17" t="s">
        <v>1923</v>
      </c>
      <c r="L98" s="18" t="str">
        <f t="shared" si="2"/>
        <v>http://dx.doi.org/10.1016/j.scitotenv.2013.10.128</v>
      </c>
      <c r="M98" s="19" t="s">
        <v>1358</v>
      </c>
      <c r="N98" s="17" t="s">
        <v>1387</v>
      </c>
      <c r="O98" s="17" t="s">
        <v>1328</v>
      </c>
      <c r="P98" s="17" t="s">
        <v>1328</v>
      </c>
      <c r="Q98" s="17" t="s">
        <v>1328</v>
      </c>
      <c r="R98" s="17" t="s">
        <v>1328</v>
      </c>
      <c r="S98" s="17" t="s">
        <v>1328</v>
      </c>
      <c r="T98" s="20" t="str">
        <f t="shared" si="3"/>
        <v>Yes</v>
      </c>
      <c r="U98" s="19" t="str">
        <f t="shared" si="4"/>
        <v>MW</v>
      </c>
      <c r="V98" s="17" t="str">
        <f t="shared" si="5"/>
        <v>Yes</v>
      </c>
      <c r="W98" s="17" t="s">
        <v>1329</v>
      </c>
      <c r="X98" s="17" t="s">
        <v>1330</v>
      </c>
      <c r="Y98" s="17" t="s">
        <v>1331</v>
      </c>
      <c r="Z98" s="17" t="s">
        <v>1347</v>
      </c>
      <c r="AA98" s="17" t="s">
        <v>1333</v>
      </c>
      <c r="AB98" s="17" t="s">
        <v>1381</v>
      </c>
      <c r="AC98" s="17" t="s">
        <v>1362</v>
      </c>
      <c r="AD98" s="17">
        <f t="shared" si="6"/>
        <v>2</v>
      </c>
      <c r="AE98" s="17" t="s">
        <v>1328</v>
      </c>
      <c r="AF98" s="17" t="s">
        <v>1328</v>
      </c>
      <c r="AG98" s="17" t="s">
        <v>1336</v>
      </c>
      <c r="AH98" s="17" t="s">
        <v>1336</v>
      </c>
      <c r="AI98" s="17" t="s">
        <v>1336</v>
      </c>
      <c r="AJ98" s="17" t="s">
        <v>1336</v>
      </c>
      <c r="AK98" s="17" t="s">
        <v>1404</v>
      </c>
      <c r="AL98" s="17" t="s">
        <v>1351</v>
      </c>
      <c r="AM98" s="17" t="s">
        <v>1363</v>
      </c>
      <c r="AN98" s="17" t="s">
        <v>1331</v>
      </c>
      <c r="AO98" s="17" t="s">
        <v>1328</v>
      </c>
      <c r="AP98" s="17" t="str">
        <f t="shared" si="7"/>
        <v>intermediate</v>
      </c>
      <c r="AQ98" s="20"/>
    </row>
    <row r="99" ht="15.75" customHeight="1">
      <c r="A99" s="16" t="s">
        <v>1924</v>
      </c>
      <c r="B99" s="16" t="s">
        <v>1925</v>
      </c>
      <c r="C99" s="16">
        <v>2016.0</v>
      </c>
      <c r="D99" s="16" t="s">
        <v>1926</v>
      </c>
      <c r="E99" s="16" t="s">
        <v>1927</v>
      </c>
      <c r="F99" s="16" t="s">
        <v>1928</v>
      </c>
      <c r="G99" s="16" t="str">
        <f t="shared" si="1"/>
        <v>No</v>
      </c>
      <c r="H99" s="16" t="s">
        <v>1324</v>
      </c>
      <c r="I99" s="16" t="s">
        <v>1324</v>
      </c>
      <c r="J99" s="16">
        <v>10.0</v>
      </c>
      <c r="K99" s="17" t="s">
        <v>1929</v>
      </c>
      <c r="L99" s="18" t="str">
        <f t="shared" si="2"/>
        <v>http://dx.doi.org/10.1016/j.rsma.2016.09.001</v>
      </c>
      <c r="M99" s="19" t="s">
        <v>1326</v>
      </c>
      <c r="N99" s="17" t="s">
        <v>1327</v>
      </c>
      <c r="O99" s="17" t="s">
        <v>1328</v>
      </c>
      <c r="P99" s="17" t="s">
        <v>1328</v>
      </c>
      <c r="Q99" s="17" t="s">
        <v>1328</v>
      </c>
      <c r="R99" s="17" t="s">
        <v>1328</v>
      </c>
      <c r="S99" s="17" t="s">
        <v>1328</v>
      </c>
      <c r="T99" s="20" t="str">
        <f t="shared" si="3"/>
        <v>Yes</v>
      </c>
      <c r="U99" s="19" t="str">
        <f t="shared" si="4"/>
        <v>PJ</v>
      </c>
      <c r="V99" s="17" t="str">
        <f t="shared" si="5"/>
        <v>Yes</v>
      </c>
      <c r="W99" s="17" t="s">
        <v>1443</v>
      </c>
      <c r="X99" s="17" t="s">
        <v>1330</v>
      </c>
      <c r="Y99" s="17" t="s">
        <v>1331</v>
      </c>
      <c r="Z99" s="17" t="s">
        <v>1347</v>
      </c>
      <c r="AA99" s="17" t="s">
        <v>1360</v>
      </c>
      <c r="AB99" s="17" t="s">
        <v>1381</v>
      </c>
      <c r="AC99" s="17" t="s">
        <v>1349</v>
      </c>
      <c r="AD99" s="17">
        <f t="shared" si="6"/>
        <v>5</v>
      </c>
      <c r="AE99" s="17" t="s">
        <v>1328</v>
      </c>
      <c r="AF99" s="17" t="s">
        <v>1328</v>
      </c>
      <c r="AG99" s="17" t="s">
        <v>1328</v>
      </c>
      <c r="AH99" s="17" t="s">
        <v>1328</v>
      </c>
      <c r="AI99" s="17" t="s">
        <v>1328</v>
      </c>
      <c r="AJ99" s="17" t="s">
        <v>1336</v>
      </c>
      <c r="AK99" s="17" t="s">
        <v>1395</v>
      </c>
      <c r="AL99" s="17" t="s">
        <v>1351</v>
      </c>
      <c r="AM99" s="17" t="s">
        <v>1363</v>
      </c>
      <c r="AN99" s="17" t="s">
        <v>1331</v>
      </c>
      <c r="AO99" s="17" t="s">
        <v>1328</v>
      </c>
      <c r="AP99" s="17" t="str">
        <f t="shared" si="7"/>
        <v>high</v>
      </c>
      <c r="AQ99" s="20"/>
    </row>
    <row r="100" ht="15.75" customHeight="1">
      <c r="A100" s="16" t="s">
        <v>1930</v>
      </c>
      <c r="B100" s="16" t="s">
        <v>1925</v>
      </c>
      <c r="C100" s="16">
        <v>2016.0</v>
      </c>
      <c r="D100" s="16" t="s">
        <v>1931</v>
      </c>
      <c r="E100" s="16" t="s">
        <v>1932</v>
      </c>
      <c r="F100" s="16" t="s">
        <v>1933</v>
      </c>
      <c r="G100" s="16" t="str">
        <f t="shared" si="1"/>
        <v>No</v>
      </c>
      <c r="H100" s="16" t="s">
        <v>1324</v>
      </c>
      <c r="I100" s="16" t="s">
        <v>1324</v>
      </c>
      <c r="J100" s="16">
        <v>53.0</v>
      </c>
      <c r="K100" s="17" t="s">
        <v>1934</v>
      </c>
      <c r="L100" s="18" t="str">
        <f t="shared" si="2"/>
        <v>http://dx.doi.org/10.1016/j.rsma.2015.06.001</v>
      </c>
      <c r="M100" s="19" t="s">
        <v>1346</v>
      </c>
      <c r="N100" s="17" t="s">
        <v>1436</v>
      </c>
      <c r="O100" s="17" t="s">
        <v>1328</v>
      </c>
      <c r="P100" s="17" t="s">
        <v>1328</v>
      </c>
      <c r="Q100" s="17" t="s">
        <v>1328</v>
      </c>
      <c r="R100" s="17" t="s">
        <v>1328</v>
      </c>
      <c r="S100" s="17" t="s">
        <v>1328</v>
      </c>
      <c r="T100" s="20" t="str">
        <f t="shared" si="3"/>
        <v>Yes</v>
      </c>
      <c r="U100" s="19" t="str">
        <f t="shared" si="4"/>
        <v>CG</v>
      </c>
      <c r="V100" s="17" t="str">
        <f t="shared" si="5"/>
        <v>Yes</v>
      </c>
      <c r="W100" s="17" t="s">
        <v>1329</v>
      </c>
      <c r="X100" s="17" t="s">
        <v>1372</v>
      </c>
      <c r="Y100" s="17" t="s">
        <v>1523</v>
      </c>
      <c r="Z100" s="17" t="s">
        <v>1347</v>
      </c>
      <c r="AA100" s="17" t="s">
        <v>1333</v>
      </c>
      <c r="AB100" s="17" t="s">
        <v>1348</v>
      </c>
      <c r="AC100" s="17" t="s">
        <v>1349</v>
      </c>
      <c r="AD100" s="17">
        <f t="shared" si="6"/>
        <v>3</v>
      </c>
      <c r="AE100" s="17" t="s">
        <v>1328</v>
      </c>
      <c r="AF100" s="17" t="s">
        <v>1336</v>
      </c>
      <c r="AG100" s="17" t="s">
        <v>1336</v>
      </c>
      <c r="AH100" s="17" t="s">
        <v>1336</v>
      </c>
      <c r="AI100" s="17" t="s">
        <v>1328</v>
      </c>
      <c r="AJ100" s="17" t="s">
        <v>1328</v>
      </c>
      <c r="AK100" s="17" t="s">
        <v>1350</v>
      </c>
      <c r="AL100" s="17" t="s">
        <v>1351</v>
      </c>
      <c r="AM100" s="17" t="s">
        <v>1339</v>
      </c>
      <c r="AN100" s="17" t="s">
        <v>1388</v>
      </c>
      <c r="AO100" s="17" t="s">
        <v>1328</v>
      </c>
      <c r="AP100" s="17" t="str">
        <f t="shared" si="7"/>
        <v>intermediate</v>
      </c>
      <c r="AQ100" s="20"/>
    </row>
    <row r="101" ht="15.75" customHeight="1">
      <c r="A101" s="16" t="s">
        <v>1935</v>
      </c>
      <c r="B101" s="16" t="s">
        <v>1936</v>
      </c>
      <c r="C101" s="16">
        <v>2018.0</v>
      </c>
      <c r="D101" s="16" t="s">
        <v>1937</v>
      </c>
      <c r="E101" s="16" t="s">
        <v>1938</v>
      </c>
      <c r="F101" s="16" t="s">
        <v>1939</v>
      </c>
      <c r="G101" s="16" t="str">
        <f t="shared" si="1"/>
        <v>No</v>
      </c>
      <c r="H101" s="16" t="s">
        <v>1324</v>
      </c>
      <c r="I101" s="16" t="s">
        <v>1324</v>
      </c>
      <c r="J101" s="16">
        <v>184.0</v>
      </c>
      <c r="K101" s="17" t="s">
        <v>1940</v>
      </c>
      <c r="L101" s="18" t="str">
        <f t="shared" si="2"/>
        <v>http://dx.doi.org/10.1016/j.rama.2018.02.008</v>
      </c>
      <c r="M101" s="19" t="s">
        <v>1482</v>
      </c>
      <c r="N101" s="17" t="s">
        <v>1371</v>
      </c>
      <c r="O101" s="17" t="s">
        <v>1328</v>
      </c>
      <c r="P101" s="17" t="s">
        <v>1328</v>
      </c>
      <c r="Q101" s="17" t="s">
        <v>1328</v>
      </c>
      <c r="R101" s="17" t="s">
        <v>1328</v>
      </c>
      <c r="S101" s="17" t="s">
        <v>1328</v>
      </c>
      <c r="T101" s="20" t="str">
        <f t="shared" si="3"/>
        <v>Yes</v>
      </c>
      <c r="U101" s="19" t="str">
        <f t="shared" si="4"/>
        <v>LC</v>
      </c>
      <c r="V101" s="17" t="str">
        <f t="shared" si="5"/>
        <v>Yes</v>
      </c>
      <c r="W101" s="17" t="s">
        <v>1329</v>
      </c>
      <c r="X101" s="17" t="s">
        <v>1330</v>
      </c>
      <c r="Y101" s="17" t="s">
        <v>1372</v>
      </c>
      <c r="Z101" s="17" t="s">
        <v>1347</v>
      </c>
      <c r="AA101" s="17" t="s">
        <v>1333</v>
      </c>
      <c r="AB101" s="17" t="s">
        <v>1348</v>
      </c>
      <c r="AC101" s="17" t="s">
        <v>1362</v>
      </c>
      <c r="AD101" s="17">
        <f t="shared" si="6"/>
        <v>2</v>
      </c>
      <c r="AE101" s="17" t="s">
        <v>1336</v>
      </c>
      <c r="AF101" s="17" t="s">
        <v>1328</v>
      </c>
      <c r="AG101" s="17" t="s">
        <v>1328</v>
      </c>
      <c r="AH101" s="17" t="s">
        <v>1336</v>
      </c>
      <c r="AI101" s="17" t="s">
        <v>1336</v>
      </c>
      <c r="AJ101" s="17" t="s">
        <v>1336</v>
      </c>
      <c r="AK101" s="17" t="s">
        <v>1350</v>
      </c>
      <c r="AL101" s="17" t="s">
        <v>1351</v>
      </c>
      <c r="AM101" s="17" t="s">
        <v>1363</v>
      </c>
      <c r="AN101" s="17" t="s">
        <v>1388</v>
      </c>
      <c r="AO101" s="17" t="s">
        <v>1328</v>
      </c>
      <c r="AP101" s="17" t="str">
        <f t="shared" si="7"/>
        <v>intermediate</v>
      </c>
      <c r="AQ101" s="20"/>
    </row>
    <row r="102" ht="15.75" customHeight="1">
      <c r="A102" s="16" t="s">
        <v>1941</v>
      </c>
      <c r="B102" s="16" t="s">
        <v>1942</v>
      </c>
      <c r="C102" s="16">
        <v>2011.0</v>
      </c>
      <c r="D102" s="16" t="s">
        <v>1943</v>
      </c>
      <c r="E102" s="16" t="s">
        <v>1944</v>
      </c>
      <c r="F102" s="16" t="s">
        <v>1945</v>
      </c>
      <c r="G102" s="16" t="str">
        <f t="shared" si="1"/>
        <v>No</v>
      </c>
      <c r="H102" s="16" t="s">
        <v>1324</v>
      </c>
      <c r="I102" s="16" t="s">
        <v>1324</v>
      </c>
      <c r="J102" s="16">
        <v>112.0</v>
      </c>
      <c r="K102" s="17" t="s">
        <v>1946</v>
      </c>
      <c r="L102" s="18" t="str">
        <f t="shared" si="2"/>
        <v>http://dx.doi.org/10.1016/j.proenv.2011.09.341</v>
      </c>
      <c r="M102" s="19" t="s">
        <v>1947</v>
      </c>
      <c r="N102" s="17" t="s">
        <v>1371</v>
      </c>
      <c r="O102" s="17" t="s">
        <v>1328</v>
      </c>
      <c r="P102" s="17" t="s">
        <v>1328</v>
      </c>
      <c r="Q102" s="17" t="s">
        <v>1328</v>
      </c>
      <c r="R102" s="17" t="s">
        <v>1328</v>
      </c>
      <c r="S102" s="17" t="s">
        <v>1328</v>
      </c>
      <c r="T102" s="20" t="str">
        <f t="shared" si="3"/>
        <v>Yes</v>
      </c>
      <c r="U102" s="19" t="str">
        <f t="shared" si="4"/>
        <v>LC</v>
      </c>
      <c r="V102" s="17" t="str">
        <f t="shared" si="5"/>
        <v>Yes</v>
      </c>
      <c r="W102" s="17" t="s">
        <v>1329</v>
      </c>
      <c r="X102" s="17" t="s">
        <v>1372</v>
      </c>
      <c r="Y102" s="17" t="s">
        <v>1331</v>
      </c>
      <c r="Z102" s="17" t="s">
        <v>1347</v>
      </c>
      <c r="AA102" s="17" t="s">
        <v>1333</v>
      </c>
      <c r="AB102" s="17" t="s">
        <v>1381</v>
      </c>
      <c r="AC102" s="17" t="s">
        <v>1464</v>
      </c>
      <c r="AD102" s="17">
        <f t="shared" si="6"/>
        <v>3</v>
      </c>
      <c r="AE102" s="17" t="s">
        <v>1336</v>
      </c>
      <c r="AF102" s="17" t="s">
        <v>1328</v>
      </c>
      <c r="AG102" s="17" t="s">
        <v>1328</v>
      </c>
      <c r="AH102" s="17" t="s">
        <v>1336</v>
      </c>
      <c r="AI102" s="17" t="s">
        <v>1336</v>
      </c>
      <c r="AJ102" s="17" t="s">
        <v>1328</v>
      </c>
      <c r="AK102" s="17" t="s">
        <v>1350</v>
      </c>
      <c r="AL102" s="17" t="s">
        <v>1351</v>
      </c>
      <c r="AM102" s="17" t="s">
        <v>1363</v>
      </c>
      <c r="AN102" s="17" t="s">
        <v>1331</v>
      </c>
      <c r="AO102" s="17" t="s">
        <v>1328</v>
      </c>
      <c r="AP102" s="17" t="str">
        <f t="shared" si="7"/>
        <v>intermediate</v>
      </c>
      <c r="AQ102" s="20"/>
    </row>
    <row r="103" ht="15.75" customHeight="1">
      <c r="A103" s="16" t="s">
        <v>1948</v>
      </c>
      <c r="B103" s="16" t="s">
        <v>1949</v>
      </c>
      <c r="C103" s="16">
        <v>2016.0</v>
      </c>
      <c r="D103" s="16" t="s">
        <v>1950</v>
      </c>
      <c r="E103" s="16" t="s">
        <v>1951</v>
      </c>
      <c r="F103" s="16" t="s">
        <v>1952</v>
      </c>
      <c r="G103" s="16" t="str">
        <f t="shared" si="1"/>
        <v>No</v>
      </c>
      <c r="H103" s="16" t="s">
        <v>1324</v>
      </c>
      <c r="I103" s="16" t="s">
        <v>1324</v>
      </c>
      <c r="J103" s="16">
        <v>19.0</v>
      </c>
      <c r="K103" s="17" t="s">
        <v>1953</v>
      </c>
      <c r="L103" s="18" t="str">
        <f t="shared" si="2"/>
        <v>http://dx.doi.org/10.1016/j.orggeochem.2016.06.001</v>
      </c>
      <c r="M103" s="19" t="s">
        <v>1370</v>
      </c>
      <c r="N103" s="17" t="s">
        <v>1371</v>
      </c>
      <c r="O103" s="17" t="s">
        <v>1328</v>
      </c>
      <c r="P103" s="17" t="s">
        <v>1328</v>
      </c>
      <c r="Q103" s="17" t="s">
        <v>1328</v>
      </c>
      <c r="R103" s="17" t="s">
        <v>1328</v>
      </c>
      <c r="S103" s="17" t="s">
        <v>1328</v>
      </c>
      <c r="T103" s="20" t="str">
        <f t="shared" si="3"/>
        <v>Yes</v>
      </c>
      <c r="U103" s="19" t="str">
        <f t="shared" si="4"/>
        <v>LC</v>
      </c>
      <c r="V103" s="17" t="str">
        <f t="shared" si="5"/>
        <v>Yes</v>
      </c>
      <c r="W103" s="17" t="s">
        <v>1329</v>
      </c>
      <c r="X103" s="17" t="s">
        <v>1330</v>
      </c>
      <c r="Y103" s="17" t="s">
        <v>1331</v>
      </c>
      <c r="Z103" s="17" t="s">
        <v>1347</v>
      </c>
      <c r="AA103" s="17" t="s">
        <v>1333</v>
      </c>
      <c r="AB103" s="17" t="s">
        <v>1381</v>
      </c>
      <c r="AC103" s="17" t="s">
        <v>1373</v>
      </c>
      <c r="AD103" s="17">
        <f t="shared" si="6"/>
        <v>2</v>
      </c>
      <c r="AE103" s="17" t="s">
        <v>1328</v>
      </c>
      <c r="AF103" s="17" t="s">
        <v>1328</v>
      </c>
      <c r="AG103" s="17" t="s">
        <v>1336</v>
      </c>
      <c r="AH103" s="17" t="s">
        <v>1336</v>
      </c>
      <c r="AI103" s="17" t="s">
        <v>1336</v>
      </c>
      <c r="AJ103" s="17" t="s">
        <v>1336</v>
      </c>
      <c r="AK103" s="17" t="s">
        <v>1350</v>
      </c>
      <c r="AL103" s="17" t="s">
        <v>1351</v>
      </c>
      <c r="AM103" s="17" t="s">
        <v>1339</v>
      </c>
      <c r="AN103" s="17" t="s">
        <v>1374</v>
      </c>
      <c r="AO103" s="17" t="s">
        <v>1328</v>
      </c>
      <c r="AP103" s="17" t="str">
        <f t="shared" si="7"/>
        <v>intermediate</v>
      </c>
      <c r="AQ103" s="20"/>
    </row>
    <row r="104" ht="15.75" customHeight="1">
      <c r="A104" s="16" t="s">
        <v>1954</v>
      </c>
      <c r="B104" s="16" t="s">
        <v>260</v>
      </c>
      <c r="C104" s="16">
        <v>2018.0</v>
      </c>
      <c r="D104" s="16" t="s">
        <v>1955</v>
      </c>
      <c r="E104" s="16" t="s">
        <v>1956</v>
      </c>
      <c r="F104" s="16" t="s">
        <v>1957</v>
      </c>
      <c r="G104" s="16" t="str">
        <f t="shared" si="1"/>
        <v>No</v>
      </c>
      <c r="H104" s="16" t="s">
        <v>1324</v>
      </c>
      <c r="I104" s="16" t="s">
        <v>1324</v>
      </c>
      <c r="J104" s="16">
        <v>16.0</v>
      </c>
      <c r="K104" s="17" t="s">
        <v>1958</v>
      </c>
      <c r="L104" s="18" t="str">
        <f t="shared" si="2"/>
        <v>http://dx.doi.org/10.1016/j.marpolbul.2018.04.065</v>
      </c>
      <c r="M104" s="19" t="s">
        <v>1402</v>
      </c>
      <c r="N104" s="17" t="s">
        <v>1371</v>
      </c>
      <c r="O104" s="17" t="s">
        <v>1328</v>
      </c>
      <c r="P104" s="17" t="s">
        <v>1328</v>
      </c>
      <c r="Q104" s="17" t="s">
        <v>1328</v>
      </c>
      <c r="R104" s="17" t="s">
        <v>1328</v>
      </c>
      <c r="S104" s="17" t="s">
        <v>1328</v>
      </c>
      <c r="T104" s="20" t="str">
        <f t="shared" si="3"/>
        <v>Yes</v>
      </c>
      <c r="U104" s="19" t="str">
        <f t="shared" si="4"/>
        <v>LC</v>
      </c>
      <c r="V104" s="17" t="str">
        <f t="shared" si="5"/>
        <v>Yes</v>
      </c>
      <c r="W104" s="17" t="s">
        <v>1329</v>
      </c>
      <c r="X104" s="17" t="s">
        <v>1372</v>
      </c>
      <c r="Y104" s="17" t="s">
        <v>1330</v>
      </c>
      <c r="Z104" s="17" t="s">
        <v>1347</v>
      </c>
      <c r="AA104" s="17" t="s">
        <v>1333</v>
      </c>
      <c r="AB104" s="17" t="s">
        <v>1381</v>
      </c>
      <c r="AC104" s="17" t="s">
        <v>1349</v>
      </c>
      <c r="AD104" s="17">
        <f t="shared" si="6"/>
        <v>4</v>
      </c>
      <c r="AE104" s="17" t="s">
        <v>1328</v>
      </c>
      <c r="AF104" s="17" t="s">
        <v>1328</v>
      </c>
      <c r="AG104" s="17" t="s">
        <v>1328</v>
      </c>
      <c r="AH104" s="17" t="s">
        <v>1336</v>
      </c>
      <c r="AI104" s="17" t="s">
        <v>1328</v>
      </c>
      <c r="AJ104" s="17" t="s">
        <v>1336</v>
      </c>
      <c r="AK104" s="17" t="s">
        <v>1350</v>
      </c>
      <c r="AL104" s="17" t="s">
        <v>1351</v>
      </c>
      <c r="AM104" s="17" t="s">
        <v>1363</v>
      </c>
      <c r="AN104" s="17" t="s">
        <v>1388</v>
      </c>
      <c r="AO104" s="17" t="s">
        <v>1328</v>
      </c>
      <c r="AP104" s="17" t="str">
        <f t="shared" si="7"/>
        <v>intermediate</v>
      </c>
      <c r="AQ104" s="20"/>
    </row>
    <row r="105" ht="15.75" customHeight="1">
      <c r="A105" s="16" t="s">
        <v>1959</v>
      </c>
      <c r="B105" s="16" t="s">
        <v>260</v>
      </c>
      <c r="C105" s="16">
        <v>2017.0</v>
      </c>
      <c r="D105" s="16" t="s">
        <v>1960</v>
      </c>
      <c r="E105" s="16" t="s">
        <v>1961</v>
      </c>
      <c r="F105" s="16" t="s">
        <v>1962</v>
      </c>
      <c r="G105" s="16" t="str">
        <f t="shared" si="1"/>
        <v>No</v>
      </c>
      <c r="H105" s="16" t="s">
        <v>1324</v>
      </c>
      <c r="I105" s="16" t="s">
        <v>1324</v>
      </c>
      <c r="J105" s="16">
        <v>19.0</v>
      </c>
      <c r="K105" s="17" t="s">
        <v>1963</v>
      </c>
      <c r="L105" s="18" t="str">
        <f t="shared" si="2"/>
        <v>http://dx.doi.org/10.1016/j.marpolbul.2017.06.054</v>
      </c>
      <c r="M105" s="19" t="s">
        <v>1402</v>
      </c>
      <c r="N105" s="17" t="s">
        <v>1327</v>
      </c>
      <c r="O105" s="17" t="s">
        <v>1328</v>
      </c>
      <c r="P105" s="17" t="s">
        <v>1328</v>
      </c>
      <c r="Q105" s="17" t="s">
        <v>1328</v>
      </c>
      <c r="R105" s="17" t="s">
        <v>1328</v>
      </c>
      <c r="S105" s="17" t="s">
        <v>1328</v>
      </c>
      <c r="T105" s="20" t="str">
        <f t="shared" si="3"/>
        <v>Yes</v>
      </c>
      <c r="U105" s="19" t="str">
        <f t="shared" si="4"/>
        <v>PJ</v>
      </c>
      <c r="V105" s="17" t="str">
        <f t="shared" si="5"/>
        <v>Yes</v>
      </c>
      <c r="W105" s="17" t="s">
        <v>1443</v>
      </c>
      <c r="X105" s="17" t="s">
        <v>1330</v>
      </c>
      <c r="Y105" s="17" t="s">
        <v>1523</v>
      </c>
      <c r="Z105" s="17" t="s">
        <v>1347</v>
      </c>
      <c r="AA105" s="17" t="s">
        <v>1333</v>
      </c>
      <c r="AB105" s="17" t="s">
        <v>1381</v>
      </c>
      <c r="AC105" s="17" t="s">
        <v>1349</v>
      </c>
      <c r="AD105" s="17">
        <f t="shared" si="6"/>
        <v>2</v>
      </c>
      <c r="AE105" s="17" t="s">
        <v>1336</v>
      </c>
      <c r="AF105" s="17" t="s">
        <v>1328</v>
      </c>
      <c r="AG105" s="17" t="s">
        <v>1336</v>
      </c>
      <c r="AH105" s="17" t="s">
        <v>1336</v>
      </c>
      <c r="AI105" s="17" t="s">
        <v>1328</v>
      </c>
      <c r="AJ105" s="17" t="s">
        <v>1336</v>
      </c>
      <c r="AK105" s="17" t="s">
        <v>1350</v>
      </c>
      <c r="AL105" s="17" t="s">
        <v>1351</v>
      </c>
      <c r="AM105" s="17" t="s">
        <v>1339</v>
      </c>
      <c r="AN105" s="17" t="s">
        <v>1331</v>
      </c>
      <c r="AO105" s="17" t="s">
        <v>1328</v>
      </c>
      <c r="AP105" s="17" t="str">
        <f t="shared" si="7"/>
        <v>intermediate</v>
      </c>
      <c r="AQ105" s="20"/>
    </row>
    <row r="106" ht="15.75" customHeight="1">
      <c r="A106" s="16" t="s">
        <v>1964</v>
      </c>
      <c r="B106" s="16" t="s">
        <v>1965</v>
      </c>
      <c r="C106" s="16">
        <v>2018.0</v>
      </c>
      <c r="D106" s="16" t="s">
        <v>1966</v>
      </c>
      <c r="E106" s="16" t="s">
        <v>1967</v>
      </c>
      <c r="F106" s="16" t="s">
        <v>1968</v>
      </c>
      <c r="G106" s="16" t="str">
        <f t="shared" si="1"/>
        <v>No</v>
      </c>
      <c r="H106" s="16" t="s">
        <v>1324</v>
      </c>
      <c r="I106" s="16" t="s">
        <v>1324</v>
      </c>
      <c r="J106" s="16">
        <v>17.0</v>
      </c>
      <c r="K106" s="17" t="s">
        <v>1969</v>
      </c>
      <c r="L106" s="18" t="str">
        <f t="shared" si="2"/>
        <v>http://dx.doi.org/10.1016/j.marenvres.2018.05.008</v>
      </c>
      <c r="M106" s="19" t="s">
        <v>1402</v>
      </c>
      <c r="N106" s="17" t="s">
        <v>1387</v>
      </c>
      <c r="O106" s="17" t="s">
        <v>1328</v>
      </c>
      <c r="P106" s="17" t="s">
        <v>1328</v>
      </c>
      <c r="Q106" s="17" t="s">
        <v>1328</v>
      </c>
      <c r="R106" s="17" t="s">
        <v>1328</v>
      </c>
      <c r="S106" s="17" t="s">
        <v>1328</v>
      </c>
      <c r="T106" s="20" t="str">
        <f t="shared" si="3"/>
        <v>Yes</v>
      </c>
      <c r="U106" s="19" t="str">
        <f t="shared" si="4"/>
        <v>MW</v>
      </c>
      <c r="V106" s="17" t="str">
        <f t="shared" si="5"/>
        <v>Yes</v>
      </c>
      <c r="W106" s="17" t="s">
        <v>1329</v>
      </c>
      <c r="X106" s="17" t="s">
        <v>1330</v>
      </c>
      <c r="Y106" s="17" t="s">
        <v>1331</v>
      </c>
      <c r="Z106" s="17" t="s">
        <v>1347</v>
      </c>
      <c r="AA106" s="17" t="s">
        <v>1333</v>
      </c>
      <c r="AB106" s="17" t="s">
        <v>1348</v>
      </c>
      <c r="AC106" s="17" t="s">
        <v>1349</v>
      </c>
      <c r="AD106" s="17">
        <f t="shared" si="6"/>
        <v>3</v>
      </c>
      <c r="AE106" s="17" t="s">
        <v>1336</v>
      </c>
      <c r="AF106" s="17" t="s">
        <v>1336</v>
      </c>
      <c r="AG106" s="17" t="s">
        <v>1328</v>
      </c>
      <c r="AH106" s="17" t="s">
        <v>1336</v>
      </c>
      <c r="AI106" s="17" t="s">
        <v>1328</v>
      </c>
      <c r="AJ106" s="17" t="s">
        <v>1328</v>
      </c>
      <c r="AK106" s="17" t="s">
        <v>1350</v>
      </c>
      <c r="AL106" s="17" t="s">
        <v>1351</v>
      </c>
      <c r="AM106" s="17" t="s">
        <v>1363</v>
      </c>
      <c r="AN106" s="17" t="s">
        <v>1388</v>
      </c>
      <c r="AO106" s="17" t="s">
        <v>1328</v>
      </c>
      <c r="AP106" s="17" t="str">
        <f t="shared" si="7"/>
        <v>intermediate</v>
      </c>
      <c r="AQ106" s="20"/>
    </row>
    <row r="107" ht="15.75" customHeight="1">
      <c r="A107" s="16" t="s">
        <v>1970</v>
      </c>
      <c r="B107" s="16" t="s">
        <v>168</v>
      </c>
      <c r="C107" s="16">
        <v>2017.0</v>
      </c>
      <c r="D107" s="16" t="s">
        <v>1971</v>
      </c>
      <c r="E107" s="16" t="s">
        <v>1972</v>
      </c>
      <c r="F107" s="16" t="s">
        <v>1973</v>
      </c>
      <c r="G107" s="16" t="str">
        <f t="shared" si="1"/>
        <v>No</v>
      </c>
      <c r="H107" s="16" t="s">
        <v>1324</v>
      </c>
      <c r="I107" s="16" t="s">
        <v>1324</v>
      </c>
      <c r="J107" s="16">
        <v>187.0</v>
      </c>
      <c r="K107" s="17" t="s">
        <v>1974</v>
      </c>
      <c r="L107" s="18" t="str">
        <f t="shared" si="2"/>
        <v>http://dx.doi.org/10.1016/j.landusepol.2017.09.045</v>
      </c>
      <c r="M107" s="19" t="s">
        <v>1482</v>
      </c>
      <c r="N107" s="17" t="s">
        <v>1327</v>
      </c>
      <c r="O107" s="17" t="s">
        <v>1328</v>
      </c>
      <c r="P107" s="17" t="s">
        <v>1328</v>
      </c>
      <c r="Q107" s="17" t="s">
        <v>1328</v>
      </c>
      <c r="R107" s="17" t="s">
        <v>1328</v>
      </c>
      <c r="S107" s="17" t="s">
        <v>1328</v>
      </c>
      <c r="T107" s="20" t="str">
        <f t="shared" si="3"/>
        <v>Yes</v>
      </c>
      <c r="U107" s="19" t="str">
        <f t="shared" si="4"/>
        <v>PJ</v>
      </c>
      <c r="V107" s="17" t="str">
        <f t="shared" si="5"/>
        <v>Yes</v>
      </c>
      <c r="W107" s="17" t="s">
        <v>1443</v>
      </c>
      <c r="X107" s="17" t="s">
        <v>1330</v>
      </c>
      <c r="Y107" s="17" t="s">
        <v>1331</v>
      </c>
      <c r="Z107" s="17" t="s">
        <v>1332</v>
      </c>
      <c r="AA107" s="17" t="s">
        <v>1660</v>
      </c>
      <c r="AB107" s="17" t="s">
        <v>1361</v>
      </c>
      <c r="AC107" s="17" t="s">
        <v>1446</v>
      </c>
      <c r="AD107" s="17">
        <f t="shared" si="6"/>
        <v>2</v>
      </c>
      <c r="AE107" s="17" t="s">
        <v>1336</v>
      </c>
      <c r="AF107" s="17" t="s">
        <v>1328</v>
      </c>
      <c r="AG107" s="17" t="s">
        <v>1328</v>
      </c>
      <c r="AH107" s="17" t="s">
        <v>1336</v>
      </c>
      <c r="AI107" s="17" t="s">
        <v>1336</v>
      </c>
      <c r="AJ107" s="17" t="s">
        <v>1336</v>
      </c>
      <c r="AK107" s="17" t="s">
        <v>1395</v>
      </c>
      <c r="AL107" s="17" t="s">
        <v>1351</v>
      </c>
      <c r="AM107" s="17" t="s">
        <v>1339</v>
      </c>
      <c r="AN107" s="17" t="s">
        <v>1331</v>
      </c>
      <c r="AO107" s="17" t="s">
        <v>1328</v>
      </c>
      <c r="AP107" s="17" t="str">
        <f t="shared" si="7"/>
        <v>high</v>
      </c>
      <c r="AQ107" s="20"/>
    </row>
    <row r="108" ht="15.75" customHeight="1">
      <c r="A108" s="21" t="s">
        <v>1975</v>
      </c>
      <c r="B108" s="21" t="s">
        <v>1976</v>
      </c>
      <c r="C108" s="21">
        <v>2016.0</v>
      </c>
      <c r="D108" s="21" t="s">
        <v>1977</v>
      </c>
      <c r="E108" s="21" t="s">
        <v>1978</v>
      </c>
      <c r="F108" s="21" t="s">
        <v>1979</v>
      </c>
      <c r="G108" s="16" t="str">
        <f t="shared" si="1"/>
        <v>No</v>
      </c>
      <c r="H108" s="16" t="s">
        <v>1324</v>
      </c>
      <c r="I108" s="16" t="s">
        <v>1324</v>
      </c>
      <c r="J108" s="16">
        <v>21.0</v>
      </c>
      <c r="K108" s="17" t="s">
        <v>1980</v>
      </c>
      <c r="L108" s="18" t="str">
        <f t="shared" si="2"/>
        <v>http://dx.doi.org/10.1016/j.jglr.2015.11.006</v>
      </c>
      <c r="M108" s="19" t="s">
        <v>1346</v>
      </c>
      <c r="N108" s="17" t="s">
        <v>1417</v>
      </c>
      <c r="O108" s="17" t="s">
        <v>1328</v>
      </c>
      <c r="P108" s="17" t="s">
        <v>1328</v>
      </c>
      <c r="Q108" s="17" t="s">
        <v>1328</v>
      </c>
      <c r="R108" s="17" t="s">
        <v>1328</v>
      </c>
      <c r="S108" s="17" t="s">
        <v>1328</v>
      </c>
      <c r="T108" s="20" t="str">
        <f t="shared" si="3"/>
        <v>Yes</v>
      </c>
      <c r="U108" s="19" t="str">
        <f t="shared" si="4"/>
        <v>NT</v>
      </c>
      <c r="V108" s="17" t="str">
        <f t="shared" si="5"/>
        <v>Yes</v>
      </c>
      <c r="W108" s="17" t="s">
        <v>1329</v>
      </c>
      <c r="X108" s="17" t="s">
        <v>1331</v>
      </c>
      <c r="Y108" s="17" t="s">
        <v>1330</v>
      </c>
      <c r="Z108" s="17" t="s">
        <v>1347</v>
      </c>
      <c r="AA108" s="17" t="s">
        <v>1333</v>
      </c>
      <c r="AB108" s="17" t="s">
        <v>1361</v>
      </c>
      <c r="AC108" s="17" t="s">
        <v>1530</v>
      </c>
      <c r="AD108" s="22">
        <f t="shared" si="6"/>
        <v>2</v>
      </c>
      <c r="AE108" s="17" t="s">
        <v>1328</v>
      </c>
      <c r="AF108" s="17" t="s">
        <v>1336</v>
      </c>
      <c r="AG108" s="17" t="s">
        <v>1336</v>
      </c>
      <c r="AH108" s="17" t="s">
        <v>1336</v>
      </c>
      <c r="AI108" s="17" t="s">
        <v>1328</v>
      </c>
      <c r="AJ108" s="17" t="s">
        <v>1336</v>
      </c>
      <c r="AK108" s="17" t="s">
        <v>1404</v>
      </c>
      <c r="AL108" s="17" t="s">
        <v>1351</v>
      </c>
      <c r="AM108" s="17" t="s">
        <v>1339</v>
      </c>
      <c r="AN108" s="17" t="s">
        <v>1331</v>
      </c>
      <c r="AO108" s="17" t="s">
        <v>1328</v>
      </c>
      <c r="AP108" s="17" t="str">
        <f t="shared" si="7"/>
        <v>intermediate</v>
      </c>
      <c r="AQ108" s="20"/>
    </row>
    <row r="109" ht="15.75" customHeight="1">
      <c r="A109" s="16" t="s">
        <v>1981</v>
      </c>
      <c r="B109" s="16" t="s">
        <v>1976</v>
      </c>
      <c r="C109" s="16">
        <v>2012.0</v>
      </c>
      <c r="D109" s="16" t="s">
        <v>1982</v>
      </c>
      <c r="E109" s="16" t="s">
        <v>1983</v>
      </c>
      <c r="F109" s="16" t="s">
        <v>1984</v>
      </c>
      <c r="G109" s="16" t="str">
        <f t="shared" si="1"/>
        <v>No</v>
      </c>
      <c r="H109" s="16" t="s">
        <v>1324</v>
      </c>
      <c r="I109" s="16" t="s">
        <v>1324</v>
      </c>
      <c r="J109" s="16">
        <v>43.0</v>
      </c>
      <c r="K109" s="17" t="s">
        <v>1985</v>
      </c>
      <c r="L109" s="18" t="str">
        <f t="shared" si="2"/>
        <v>http://dx.doi.org/10.1016/j.jglr.2012.09.022</v>
      </c>
      <c r="M109" s="19" t="s">
        <v>1522</v>
      </c>
      <c r="N109" s="17" t="s">
        <v>1436</v>
      </c>
      <c r="O109" s="17" t="s">
        <v>1328</v>
      </c>
      <c r="P109" s="17" t="s">
        <v>1328</v>
      </c>
      <c r="Q109" s="17" t="s">
        <v>1328</v>
      </c>
      <c r="R109" s="17" t="s">
        <v>1328</v>
      </c>
      <c r="S109" s="17" t="s">
        <v>1328</v>
      </c>
      <c r="T109" s="20" t="str">
        <f t="shared" si="3"/>
        <v>Yes</v>
      </c>
      <c r="U109" s="19" t="str">
        <f t="shared" si="4"/>
        <v>CG</v>
      </c>
      <c r="V109" s="17" t="str">
        <f t="shared" si="5"/>
        <v>Yes</v>
      </c>
      <c r="W109" s="17" t="s">
        <v>1329</v>
      </c>
      <c r="X109" s="17" t="s">
        <v>1330</v>
      </c>
      <c r="Y109" s="17" t="s">
        <v>1330</v>
      </c>
      <c r="Z109" s="17" t="s">
        <v>1347</v>
      </c>
      <c r="AA109" s="17" t="s">
        <v>1333</v>
      </c>
      <c r="AB109" s="17" t="s">
        <v>1334</v>
      </c>
      <c r="AC109" s="17" t="s">
        <v>1530</v>
      </c>
      <c r="AD109" s="17">
        <f t="shared" si="6"/>
        <v>2</v>
      </c>
      <c r="AE109" s="17" t="s">
        <v>1328</v>
      </c>
      <c r="AF109" s="17" t="s">
        <v>1336</v>
      </c>
      <c r="AG109" s="17" t="s">
        <v>1328</v>
      </c>
      <c r="AH109" s="17" t="s">
        <v>1336</v>
      </c>
      <c r="AI109" s="17" t="s">
        <v>1336</v>
      </c>
      <c r="AJ109" s="17" t="s">
        <v>1336</v>
      </c>
      <c r="AK109" s="17" t="s">
        <v>1350</v>
      </c>
      <c r="AL109" s="17" t="s">
        <v>1351</v>
      </c>
      <c r="AM109" s="17" t="s">
        <v>1339</v>
      </c>
      <c r="AN109" s="17" t="s">
        <v>1388</v>
      </c>
      <c r="AO109" s="17" t="s">
        <v>1328</v>
      </c>
      <c r="AP109" s="17" t="str">
        <f t="shared" si="7"/>
        <v>intermediate</v>
      </c>
      <c r="AQ109" s="20"/>
    </row>
    <row r="110" ht="15.75" customHeight="1">
      <c r="A110" s="16" t="s">
        <v>1986</v>
      </c>
      <c r="B110" s="16" t="s">
        <v>1987</v>
      </c>
      <c r="C110" s="16">
        <v>2015.0</v>
      </c>
      <c r="D110" s="16" t="s">
        <v>1988</v>
      </c>
      <c r="E110" s="16" t="s">
        <v>1989</v>
      </c>
      <c r="F110" s="16" t="s">
        <v>1990</v>
      </c>
      <c r="G110" s="16" t="str">
        <f t="shared" si="1"/>
        <v>No</v>
      </c>
      <c r="H110" s="16" t="s">
        <v>1324</v>
      </c>
      <c r="I110" s="16" t="s">
        <v>1324</v>
      </c>
      <c r="J110" s="16">
        <v>85.0</v>
      </c>
      <c r="K110" s="17" t="s">
        <v>1991</v>
      </c>
      <c r="L110" s="18" t="str">
        <f t="shared" si="2"/>
        <v>http://dx.doi.org/10.1016/j.jenvman.2014.01.020</v>
      </c>
      <c r="M110" s="19" t="s">
        <v>1370</v>
      </c>
      <c r="N110" s="17" t="s">
        <v>1327</v>
      </c>
      <c r="O110" s="17" t="s">
        <v>1328</v>
      </c>
      <c r="P110" s="17" t="s">
        <v>1328</v>
      </c>
      <c r="Q110" s="17" t="s">
        <v>1328</v>
      </c>
      <c r="R110" s="17" t="s">
        <v>1328</v>
      </c>
      <c r="S110" s="17" t="s">
        <v>1328</v>
      </c>
      <c r="T110" s="20" t="str">
        <f t="shared" si="3"/>
        <v>Yes</v>
      </c>
      <c r="U110" s="19" t="str">
        <f t="shared" si="4"/>
        <v>PJ</v>
      </c>
      <c r="V110" s="17" t="str">
        <f t="shared" si="5"/>
        <v>Yes</v>
      </c>
      <c r="W110" s="17" t="s">
        <v>1329</v>
      </c>
      <c r="X110" s="17" t="s">
        <v>1330</v>
      </c>
      <c r="Y110" s="17" t="s">
        <v>1331</v>
      </c>
      <c r="Z110" s="17" t="s">
        <v>1347</v>
      </c>
      <c r="AA110" s="17" t="s">
        <v>1360</v>
      </c>
      <c r="AB110" s="17" t="s">
        <v>1381</v>
      </c>
      <c r="AC110" s="17" t="s">
        <v>1335</v>
      </c>
      <c r="AD110" s="17">
        <f t="shared" si="6"/>
        <v>3</v>
      </c>
      <c r="AE110" s="17" t="s">
        <v>1336</v>
      </c>
      <c r="AF110" s="17" t="s">
        <v>1328</v>
      </c>
      <c r="AG110" s="17" t="s">
        <v>1328</v>
      </c>
      <c r="AH110" s="17" t="s">
        <v>1336</v>
      </c>
      <c r="AI110" s="17" t="s">
        <v>1328</v>
      </c>
      <c r="AJ110" s="17" t="s">
        <v>1336</v>
      </c>
      <c r="AK110" s="17" t="s">
        <v>1350</v>
      </c>
      <c r="AL110" s="17" t="s">
        <v>1351</v>
      </c>
      <c r="AM110" s="17" t="s">
        <v>1339</v>
      </c>
      <c r="AN110" s="17" t="s">
        <v>1331</v>
      </c>
      <c r="AO110" s="17" t="s">
        <v>1328</v>
      </c>
      <c r="AP110" s="17" t="str">
        <f t="shared" si="7"/>
        <v>high</v>
      </c>
      <c r="AQ110" s="20"/>
    </row>
    <row r="111" ht="15.75" customHeight="1">
      <c r="A111" s="16" t="s">
        <v>1992</v>
      </c>
      <c r="B111" s="16" t="s">
        <v>193</v>
      </c>
      <c r="C111" s="16">
        <v>2012.0</v>
      </c>
      <c r="D111" s="16" t="s">
        <v>1993</v>
      </c>
      <c r="E111" s="16" t="s">
        <v>1994</v>
      </c>
      <c r="F111" s="16" t="s">
        <v>1995</v>
      </c>
      <c r="G111" s="16" t="str">
        <f t="shared" si="1"/>
        <v>No</v>
      </c>
      <c r="H111" s="16" t="s">
        <v>1324</v>
      </c>
      <c r="I111" s="16" t="s">
        <v>1324</v>
      </c>
      <c r="J111" s="16">
        <v>14.0</v>
      </c>
      <c r="K111" s="17" t="s">
        <v>1996</v>
      </c>
      <c r="L111" s="18" t="str">
        <f t="shared" si="2"/>
        <v>http://dx.doi.org/10.1016/j.jclepro.2012.06.016</v>
      </c>
      <c r="M111" s="19" t="s">
        <v>1462</v>
      </c>
      <c r="N111" s="17" t="s">
        <v>1387</v>
      </c>
      <c r="O111" s="17" t="s">
        <v>1328</v>
      </c>
      <c r="P111" s="17" t="s">
        <v>1328</v>
      </c>
      <c r="Q111" s="17" t="s">
        <v>1328</v>
      </c>
      <c r="R111" s="17" t="s">
        <v>1328</v>
      </c>
      <c r="S111" s="17" t="s">
        <v>1328</v>
      </c>
      <c r="T111" s="20" t="str">
        <f t="shared" si="3"/>
        <v>Yes</v>
      </c>
      <c r="U111" s="19" t="str">
        <f t="shared" si="4"/>
        <v>MW</v>
      </c>
      <c r="V111" s="17" t="str">
        <f t="shared" si="5"/>
        <v>Yes</v>
      </c>
      <c r="W111" s="17" t="s">
        <v>1329</v>
      </c>
      <c r="X111" s="17" t="s">
        <v>1372</v>
      </c>
      <c r="Y111" s="17" t="s">
        <v>1331</v>
      </c>
      <c r="Z111" s="17" t="s">
        <v>1337</v>
      </c>
      <c r="AA111" s="17" t="s">
        <v>1444</v>
      </c>
      <c r="AB111" s="17" t="s">
        <v>1864</v>
      </c>
      <c r="AC111" s="17" t="s">
        <v>1446</v>
      </c>
      <c r="AD111" s="17">
        <f t="shared" si="6"/>
        <v>3</v>
      </c>
      <c r="AE111" s="17" t="s">
        <v>1328</v>
      </c>
      <c r="AF111" s="17" t="s">
        <v>1328</v>
      </c>
      <c r="AG111" s="17" t="s">
        <v>1328</v>
      </c>
      <c r="AH111" s="17" t="s">
        <v>1336</v>
      </c>
      <c r="AI111" s="17" t="s">
        <v>1336</v>
      </c>
      <c r="AJ111" s="17" t="s">
        <v>1336</v>
      </c>
      <c r="AK111" s="17" t="s">
        <v>1404</v>
      </c>
      <c r="AL111" s="17" t="s">
        <v>1351</v>
      </c>
      <c r="AM111" s="17" t="s">
        <v>1363</v>
      </c>
      <c r="AN111" s="17" t="s">
        <v>1331</v>
      </c>
      <c r="AO111" s="17" t="s">
        <v>1328</v>
      </c>
      <c r="AP111" s="17" t="str">
        <f t="shared" si="7"/>
        <v>high</v>
      </c>
      <c r="AQ111" s="20"/>
    </row>
    <row r="112" ht="15.75" customHeight="1">
      <c r="A112" s="16" t="s">
        <v>1997</v>
      </c>
      <c r="B112" s="16" t="s">
        <v>1055</v>
      </c>
      <c r="C112" s="16">
        <v>2014.0</v>
      </c>
      <c r="D112" s="16" t="s">
        <v>1998</v>
      </c>
      <c r="E112" s="16" t="s">
        <v>1999</v>
      </c>
      <c r="F112" s="16" t="s">
        <v>2000</v>
      </c>
      <c r="G112" s="16" t="str">
        <f t="shared" si="1"/>
        <v>No</v>
      </c>
      <c r="H112" s="16" t="s">
        <v>1324</v>
      </c>
      <c r="I112" s="16" t="s">
        <v>1324</v>
      </c>
      <c r="J112" s="16">
        <v>72.0</v>
      </c>
      <c r="K112" s="17" t="s">
        <v>2001</v>
      </c>
      <c r="L112" s="18" t="str">
        <f t="shared" si="2"/>
        <v>http://dx.doi.org/10.1016/j.gloplacha.2014.07.007</v>
      </c>
      <c r="M112" s="19" t="s">
        <v>1358</v>
      </c>
      <c r="N112" s="17" t="s">
        <v>1371</v>
      </c>
      <c r="O112" s="17" t="s">
        <v>1328</v>
      </c>
      <c r="P112" s="17" t="s">
        <v>1328</v>
      </c>
      <c r="Q112" s="17" t="s">
        <v>1328</v>
      </c>
      <c r="R112" s="17" t="s">
        <v>1328</v>
      </c>
      <c r="S112" s="17" t="s">
        <v>1328</v>
      </c>
      <c r="T112" s="20" t="str">
        <f t="shared" si="3"/>
        <v>Yes</v>
      </c>
      <c r="U112" s="19" t="str">
        <f t="shared" si="4"/>
        <v>LC</v>
      </c>
      <c r="V112" s="17" t="str">
        <f t="shared" si="5"/>
        <v>Yes</v>
      </c>
      <c r="W112" s="17" t="s">
        <v>1329</v>
      </c>
      <c r="X112" s="17" t="s">
        <v>1330</v>
      </c>
      <c r="Y112" s="17" t="s">
        <v>1330</v>
      </c>
      <c r="Z112" s="17" t="s">
        <v>1347</v>
      </c>
      <c r="AA112" s="17" t="s">
        <v>1333</v>
      </c>
      <c r="AB112" s="17" t="s">
        <v>1381</v>
      </c>
      <c r="AC112" s="17" t="s">
        <v>1362</v>
      </c>
      <c r="AD112" s="17">
        <f t="shared" si="6"/>
        <v>2</v>
      </c>
      <c r="AE112" s="17" t="s">
        <v>1328</v>
      </c>
      <c r="AF112" s="17" t="s">
        <v>1328</v>
      </c>
      <c r="AG112" s="17" t="s">
        <v>1336</v>
      </c>
      <c r="AH112" s="17" t="s">
        <v>1336</v>
      </c>
      <c r="AI112" s="17" t="s">
        <v>1336</v>
      </c>
      <c r="AJ112" s="17" t="s">
        <v>1336</v>
      </c>
      <c r="AK112" s="17" t="s">
        <v>1350</v>
      </c>
      <c r="AL112" s="17" t="s">
        <v>1351</v>
      </c>
      <c r="AM112" s="17" t="s">
        <v>1363</v>
      </c>
      <c r="AN112" s="17" t="s">
        <v>1388</v>
      </c>
      <c r="AO112" s="17" t="s">
        <v>1328</v>
      </c>
      <c r="AP112" s="17" t="str">
        <f t="shared" si="7"/>
        <v>intermediate</v>
      </c>
      <c r="AQ112" s="20"/>
    </row>
    <row r="113" ht="15.75" customHeight="1">
      <c r="A113" s="16" t="s">
        <v>2002</v>
      </c>
      <c r="B113" s="16" t="s">
        <v>1055</v>
      </c>
      <c r="C113" s="16">
        <v>2013.0</v>
      </c>
      <c r="D113" s="16" t="s">
        <v>2003</v>
      </c>
      <c r="E113" s="16" t="s">
        <v>2004</v>
      </c>
      <c r="F113" s="16" t="s">
        <v>2005</v>
      </c>
      <c r="G113" s="16" t="str">
        <f t="shared" si="1"/>
        <v>No</v>
      </c>
      <c r="H113" s="16" t="s">
        <v>1324</v>
      </c>
      <c r="I113" s="16" t="s">
        <v>1324</v>
      </c>
      <c r="J113" s="16">
        <v>151.0</v>
      </c>
      <c r="K113" s="17" t="s">
        <v>2006</v>
      </c>
      <c r="L113" s="18" t="str">
        <f t="shared" si="2"/>
        <v>http://dx.doi.org/10.1016/j.gloplacha.2013.06.007</v>
      </c>
      <c r="M113" s="19" t="s">
        <v>1358</v>
      </c>
      <c r="N113" s="17" t="s">
        <v>1403</v>
      </c>
      <c r="O113" s="17" t="s">
        <v>1328</v>
      </c>
      <c r="P113" s="17" t="s">
        <v>1328</v>
      </c>
      <c r="Q113" s="17" t="s">
        <v>1328</v>
      </c>
      <c r="R113" s="17" t="s">
        <v>1328</v>
      </c>
      <c r="S113" s="17" t="s">
        <v>1328</v>
      </c>
      <c r="T113" s="20" t="str">
        <f t="shared" si="3"/>
        <v>Yes</v>
      </c>
      <c r="U113" s="19" t="str">
        <f t="shared" si="4"/>
        <v>DB</v>
      </c>
      <c r="V113" s="17" t="str">
        <f t="shared" si="5"/>
        <v>Yes</v>
      </c>
      <c r="W113" s="17" t="s">
        <v>1631</v>
      </c>
      <c r="X113" s="17" t="s">
        <v>1330</v>
      </c>
      <c r="Y113" s="17" t="s">
        <v>1331</v>
      </c>
      <c r="Z113" s="17" t="s">
        <v>1347</v>
      </c>
      <c r="AA113" s="17" t="s">
        <v>1333</v>
      </c>
      <c r="AB113" s="17" t="s">
        <v>1381</v>
      </c>
      <c r="AC113" s="17" t="s">
        <v>1362</v>
      </c>
      <c r="AD113" s="17">
        <f t="shared" si="6"/>
        <v>2</v>
      </c>
      <c r="AE113" s="17" t="s">
        <v>1328</v>
      </c>
      <c r="AF113" s="17" t="s">
        <v>1328</v>
      </c>
      <c r="AG113" s="17" t="s">
        <v>1336</v>
      </c>
      <c r="AH113" s="17" t="s">
        <v>1336</v>
      </c>
      <c r="AI113" s="17" t="s">
        <v>1336</v>
      </c>
      <c r="AJ113" s="17" t="s">
        <v>1336</v>
      </c>
      <c r="AK113" s="17" t="s">
        <v>1350</v>
      </c>
      <c r="AL113" s="17" t="s">
        <v>1351</v>
      </c>
      <c r="AM113" s="17" t="s">
        <v>1363</v>
      </c>
      <c r="AN113" s="17" t="s">
        <v>1331</v>
      </c>
      <c r="AO113" s="17" t="s">
        <v>1328</v>
      </c>
      <c r="AP113" s="17" t="str">
        <f t="shared" si="7"/>
        <v>intermediate</v>
      </c>
      <c r="AQ113" s="20" t="s">
        <v>1639</v>
      </c>
    </row>
    <row r="114" ht="15.75" customHeight="1">
      <c r="A114" s="16" t="s">
        <v>2007</v>
      </c>
      <c r="B114" s="16" t="s">
        <v>2008</v>
      </c>
      <c r="C114" s="16">
        <v>2018.0</v>
      </c>
      <c r="D114" s="16" t="s">
        <v>2009</v>
      </c>
      <c r="E114" s="16" t="s">
        <v>2010</v>
      </c>
      <c r="F114" s="16" t="s">
        <v>2011</v>
      </c>
      <c r="G114" s="16" t="str">
        <f t="shared" si="1"/>
        <v>No</v>
      </c>
      <c r="H114" s="16" t="s">
        <v>1324</v>
      </c>
      <c r="I114" s="16" t="s">
        <v>1324</v>
      </c>
      <c r="J114" s="16">
        <v>31.0</v>
      </c>
      <c r="K114" s="17" t="s">
        <v>2012</v>
      </c>
      <c r="L114" s="18" t="str">
        <f t="shared" si="2"/>
        <v>http://dx.doi.org/10.1016/j.foreco.2018.04.012</v>
      </c>
      <c r="M114" s="19" t="s">
        <v>1835</v>
      </c>
      <c r="N114" s="17" t="s">
        <v>1417</v>
      </c>
      <c r="O114" s="17" t="s">
        <v>1328</v>
      </c>
      <c r="P114" s="17" t="s">
        <v>1328</v>
      </c>
      <c r="Q114" s="17" t="s">
        <v>1328</v>
      </c>
      <c r="R114" s="17" t="s">
        <v>1328</v>
      </c>
      <c r="S114" s="17" t="s">
        <v>1328</v>
      </c>
      <c r="T114" s="20" t="str">
        <f t="shared" si="3"/>
        <v>Yes</v>
      </c>
      <c r="U114" s="19" t="str">
        <f t="shared" si="4"/>
        <v>NT</v>
      </c>
      <c r="V114" s="17" t="str">
        <f t="shared" si="5"/>
        <v>Yes</v>
      </c>
      <c r="W114" s="17" t="s">
        <v>1329</v>
      </c>
      <c r="X114" s="17" t="s">
        <v>1331</v>
      </c>
      <c r="Y114" s="17" t="s">
        <v>1330</v>
      </c>
      <c r="Z114" s="17" t="s">
        <v>1347</v>
      </c>
      <c r="AA114" s="17" t="s">
        <v>1360</v>
      </c>
      <c r="AB114" s="17" t="s">
        <v>1348</v>
      </c>
      <c r="AC114" s="17" t="s">
        <v>1362</v>
      </c>
      <c r="AD114" s="17">
        <f t="shared" si="6"/>
        <v>4</v>
      </c>
      <c r="AE114" s="17" t="s">
        <v>1328</v>
      </c>
      <c r="AF114" s="17" t="s">
        <v>1328</v>
      </c>
      <c r="AG114" s="17" t="s">
        <v>1328</v>
      </c>
      <c r="AH114" s="17" t="s">
        <v>1336</v>
      </c>
      <c r="AI114" s="17" t="s">
        <v>1336</v>
      </c>
      <c r="AJ114" s="17" t="s">
        <v>1328</v>
      </c>
      <c r="AK114" s="17" t="s">
        <v>1404</v>
      </c>
      <c r="AL114" s="17" t="s">
        <v>1338</v>
      </c>
      <c r="AM114" s="17" t="s">
        <v>1339</v>
      </c>
      <c r="AN114" s="17" t="s">
        <v>1331</v>
      </c>
      <c r="AO114" s="17" t="s">
        <v>1328</v>
      </c>
      <c r="AP114" s="17" t="str">
        <f t="shared" si="7"/>
        <v>intermediate</v>
      </c>
      <c r="AQ114" s="20"/>
    </row>
    <row r="115" ht="15.75" customHeight="1">
      <c r="A115" s="16" t="s">
        <v>2013</v>
      </c>
      <c r="B115" s="16" t="s">
        <v>2008</v>
      </c>
      <c r="C115" s="16">
        <v>2014.0</v>
      </c>
      <c r="D115" s="16" t="s">
        <v>2014</v>
      </c>
      <c r="E115" s="16" t="s">
        <v>2015</v>
      </c>
      <c r="F115" s="16" t="s">
        <v>2016</v>
      </c>
      <c r="G115" s="16" t="str">
        <f t="shared" si="1"/>
        <v>No</v>
      </c>
      <c r="H115" s="16" t="s">
        <v>1324</v>
      </c>
      <c r="I115" s="16" t="s">
        <v>1324</v>
      </c>
      <c r="J115" s="16">
        <v>189.0</v>
      </c>
      <c r="K115" s="17" t="s">
        <v>2017</v>
      </c>
      <c r="L115" s="18" t="str">
        <f t="shared" si="2"/>
        <v>http://dx.doi.org/10.1016/j.foreco.2013.10.039</v>
      </c>
      <c r="M115" s="19" t="s">
        <v>1835</v>
      </c>
      <c r="N115" s="17" t="s">
        <v>1436</v>
      </c>
      <c r="O115" s="17" t="s">
        <v>1328</v>
      </c>
      <c r="P115" s="17" t="s">
        <v>1328</v>
      </c>
      <c r="Q115" s="17" t="s">
        <v>1328</v>
      </c>
      <c r="R115" s="17" t="s">
        <v>1328</v>
      </c>
      <c r="S115" s="17" t="s">
        <v>1328</v>
      </c>
      <c r="T115" s="20" t="str">
        <f t="shared" si="3"/>
        <v>Yes</v>
      </c>
      <c r="U115" s="19" t="str">
        <f t="shared" si="4"/>
        <v>CG</v>
      </c>
      <c r="V115" s="17" t="str">
        <f t="shared" si="5"/>
        <v>Yes</v>
      </c>
      <c r="W115" s="17" t="s">
        <v>1329</v>
      </c>
      <c r="X115" s="17" t="s">
        <v>1372</v>
      </c>
      <c r="Y115" s="17" t="s">
        <v>1330</v>
      </c>
      <c r="Z115" s="17" t="s">
        <v>1347</v>
      </c>
      <c r="AA115" s="17" t="s">
        <v>1333</v>
      </c>
      <c r="AB115" s="17" t="s">
        <v>1348</v>
      </c>
      <c r="AC115" s="17" t="s">
        <v>1362</v>
      </c>
      <c r="AD115" s="17">
        <f t="shared" si="6"/>
        <v>4</v>
      </c>
      <c r="AE115" s="17" t="s">
        <v>1328</v>
      </c>
      <c r="AF115" s="17" t="s">
        <v>1328</v>
      </c>
      <c r="AG115" s="17" t="s">
        <v>1328</v>
      </c>
      <c r="AH115" s="17" t="s">
        <v>1336</v>
      </c>
      <c r="AI115" s="17" t="s">
        <v>1336</v>
      </c>
      <c r="AJ115" s="17" t="s">
        <v>1328</v>
      </c>
      <c r="AK115" s="17" t="s">
        <v>1350</v>
      </c>
      <c r="AL115" s="17" t="s">
        <v>1351</v>
      </c>
      <c r="AM115" s="17" t="s">
        <v>1339</v>
      </c>
      <c r="AN115" s="17" t="s">
        <v>1388</v>
      </c>
      <c r="AO115" s="17" t="s">
        <v>1328</v>
      </c>
      <c r="AP115" s="17" t="str">
        <f t="shared" si="7"/>
        <v>intermediate</v>
      </c>
      <c r="AQ115" s="20"/>
    </row>
    <row r="116" ht="15.75" customHeight="1">
      <c r="A116" s="16" t="s">
        <v>2018</v>
      </c>
      <c r="B116" s="16" t="s">
        <v>2008</v>
      </c>
      <c r="C116" s="16">
        <v>2009.0</v>
      </c>
      <c r="D116" s="16" t="s">
        <v>2019</v>
      </c>
      <c r="E116" s="16" t="s">
        <v>2020</v>
      </c>
      <c r="F116" s="16" t="s">
        <v>2021</v>
      </c>
      <c r="G116" s="16" t="str">
        <f t="shared" si="1"/>
        <v>No</v>
      </c>
      <c r="H116" s="16" t="s">
        <v>1324</v>
      </c>
      <c r="I116" s="16" t="s">
        <v>1324</v>
      </c>
      <c r="J116" s="16">
        <v>13.0</v>
      </c>
      <c r="K116" s="17" t="s">
        <v>2022</v>
      </c>
      <c r="L116" s="18" t="str">
        <f t="shared" si="2"/>
        <v>http://dx.doi.org/10.1016/j.foreco.2009.07.013</v>
      </c>
      <c r="M116" s="19" t="s">
        <v>1947</v>
      </c>
      <c r="N116" s="17" t="s">
        <v>1371</v>
      </c>
      <c r="O116" s="17" t="s">
        <v>1328</v>
      </c>
      <c r="P116" s="17" t="s">
        <v>1328</v>
      </c>
      <c r="Q116" s="17" t="s">
        <v>1328</v>
      </c>
      <c r="R116" s="17" t="s">
        <v>1328</v>
      </c>
      <c r="S116" s="17" t="s">
        <v>1328</v>
      </c>
      <c r="T116" s="20" t="str">
        <f t="shared" si="3"/>
        <v>Yes</v>
      </c>
      <c r="U116" s="19" t="str">
        <f t="shared" si="4"/>
        <v>LC</v>
      </c>
      <c r="V116" s="17" t="str">
        <f t="shared" si="5"/>
        <v>Yes</v>
      </c>
      <c r="W116" s="17" t="s">
        <v>1329</v>
      </c>
      <c r="X116" s="17" t="s">
        <v>1330</v>
      </c>
      <c r="Y116" s="17" t="s">
        <v>1330</v>
      </c>
      <c r="Z116" s="17" t="s">
        <v>1347</v>
      </c>
      <c r="AA116" s="17" t="s">
        <v>1333</v>
      </c>
      <c r="AB116" s="17" t="s">
        <v>1348</v>
      </c>
      <c r="AC116" s="17" t="s">
        <v>1362</v>
      </c>
      <c r="AD116" s="17">
        <f t="shared" si="6"/>
        <v>3</v>
      </c>
      <c r="AE116" s="17" t="s">
        <v>1336</v>
      </c>
      <c r="AF116" s="17" t="s">
        <v>1328</v>
      </c>
      <c r="AG116" s="17" t="s">
        <v>1336</v>
      </c>
      <c r="AH116" s="17" t="s">
        <v>1328</v>
      </c>
      <c r="AI116" s="17" t="s">
        <v>1336</v>
      </c>
      <c r="AJ116" s="17" t="s">
        <v>1328</v>
      </c>
      <c r="AK116" s="17" t="s">
        <v>1350</v>
      </c>
      <c r="AL116" s="17" t="s">
        <v>1351</v>
      </c>
      <c r="AM116" s="17" t="s">
        <v>1363</v>
      </c>
      <c r="AN116" s="17" t="s">
        <v>1388</v>
      </c>
      <c r="AO116" s="17" t="s">
        <v>1328</v>
      </c>
      <c r="AP116" s="17" t="str">
        <f t="shared" si="7"/>
        <v>intermediate</v>
      </c>
      <c r="AQ116" s="20"/>
    </row>
    <row r="117" ht="15.75" customHeight="1">
      <c r="A117" s="16" t="s">
        <v>2023</v>
      </c>
      <c r="B117" s="16" t="s">
        <v>2024</v>
      </c>
      <c r="C117" s="16">
        <v>2015.0</v>
      </c>
      <c r="D117" s="16" t="s">
        <v>2025</v>
      </c>
      <c r="E117" s="16" t="s">
        <v>2026</v>
      </c>
      <c r="F117" s="16" t="s">
        <v>2027</v>
      </c>
      <c r="G117" s="16" t="str">
        <f t="shared" si="1"/>
        <v>No</v>
      </c>
      <c r="H117" s="16" t="s">
        <v>1324</v>
      </c>
      <c r="I117" s="16" t="s">
        <v>1324</v>
      </c>
      <c r="J117" s="16">
        <v>35.0</v>
      </c>
      <c r="K117" s="17" t="s">
        <v>2028</v>
      </c>
      <c r="L117" s="18" t="str">
        <f t="shared" si="2"/>
        <v>http://dx.doi.org/10.1016/j.flora.2015.09.013</v>
      </c>
      <c r="M117" s="19" t="s">
        <v>1495</v>
      </c>
      <c r="N117" s="17" t="s">
        <v>1387</v>
      </c>
      <c r="O117" s="17" t="s">
        <v>1328</v>
      </c>
      <c r="P117" s="17" t="s">
        <v>1328</v>
      </c>
      <c r="Q117" s="17" t="s">
        <v>1328</v>
      </c>
      <c r="R117" s="17" t="s">
        <v>1328</v>
      </c>
      <c r="S117" s="17" t="s">
        <v>1328</v>
      </c>
      <c r="T117" s="20" t="str">
        <f t="shared" si="3"/>
        <v>Yes</v>
      </c>
      <c r="U117" s="19" t="str">
        <f t="shared" si="4"/>
        <v>MW</v>
      </c>
      <c r="V117" s="17" t="str">
        <f t="shared" si="5"/>
        <v>Yes</v>
      </c>
      <c r="W117" s="17" t="s">
        <v>1329</v>
      </c>
      <c r="X117" s="17" t="s">
        <v>1330</v>
      </c>
      <c r="Y117" s="17" t="s">
        <v>1331</v>
      </c>
      <c r="Z117" s="17" t="s">
        <v>1347</v>
      </c>
      <c r="AA117" s="17" t="s">
        <v>1360</v>
      </c>
      <c r="AB117" s="17" t="s">
        <v>1361</v>
      </c>
      <c r="AC117" s="17" t="s">
        <v>1362</v>
      </c>
      <c r="AD117" s="17">
        <f t="shared" si="6"/>
        <v>3</v>
      </c>
      <c r="AE117" s="17" t="s">
        <v>1328</v>
      </c>
      <c r="AF117" s="17" t="s">
        <v>1328</v>
      </c>
      <c r="AG117" s="17" t="s">
        <v>1336</v>
      </c>
      <c r="AH117" s="17" t="s">
        <v>1336</v>
      </c>
      <c r="AI117" s="17" t="s">
        <v>1328</v>
      </c>
      <c r="AJ117" s="17" t="s">
        <v>1336</v>
      </c>
      <c r="AK117" s="17" t="s">
        <v>1395</v>
      </c>
      <c r="AL117" s="17" t="s">
        <v>1351</v>
      </c>
      <c r="AM117" s="17" t="s">
        <v>1339</v>
      </c>
      <c r="AN117" s="17" t="s">
        <v>1331</v>
      </c>
      <c r="AO117" s="17" t="s">
        <v>1328</v>
      </c>
      <c r="AP117" s="17" t="str">
        <f t="shared" si="7"/>
        <v>high</v>
      </c>
      <c r="AQ117" s="20"/>
    </row>
    <row r="118" ht="15.75" customHeight="1">
      <c r="A118" s="16" t="s">
        <v>2029</v>
      </c>
      <c r="B118" s="16" t="s">
        <v>2030</v>
      </c>
      <c r="C118" s="16">
        <v>2018.0</v>
      </c>
      <c r="D118" s="16" t="s">
        <v>2031</v>
      </c>
      <c r="E118" s="16" t="s">
        <v>2032</v>
      </c>
      <c r="F118" s="16" t="s">
        <v>2033</v>
      </c>
      <c r="G118" s="16" t="str">
        <f t="shared" si="1"/>
        <v>No</v>
      </c>
      <c r="H118" s="16" t="s">
        <v>1324</v>
      </c>
      <c r="I118" s="16" t="s">
        <v>1324</v>
      </c>
      <c r="J118" s="16">
        <v>129.0</v>
      </c>
      <c r="K118" s="17" t="s">
        <v>2034</v>
      </c>
      <c r="L118" s="18" t="str">
        <f t="shared" si="2"/>
        <v>http://dx.doi.org/10.1016/j.fishres.2017.10.012</v>
      </c>
      <c r="M118" s="19" t="s">
        <v>1346</v>
      </c>
      <c r="N118" s="17" t="s">
        <v>1417</v>
      </c>
      <c r="O118" s="17" t="s">
        <v>1328</v>
      </c>
      <c r="P118" s="17" t="s">
        <v>1328</v>
      </c>
      <c r="Q118" s="17" t="s">
        <v>1328</v>
      </c>
      <c r="R118" s="17" t="s">
        <v>1328</v>
      </c>
      <c r="S118" s="17" t="s">
        <v>1328</v>
      </c>
      <c r="T118" s="20" t="str">
        <f t="shared" si="3"/>
        <v>Yes</v>
      </c>
      <c r="U118" s="19" t="str">
        <f t="shared" si="4"/>
        <v>NT</v>
      </c>
      <c r="V118" s="17" t="str">
        <f t="shared" si="5"/>
        <v>Yes</v>
      </c>
      <c r="W118" s="17" t="s">
        <v>1329</v>
      </c>
      <c r="X118" s="17" t="s">
        <v>1331</v>
      </c>
      <c r="Y118" s="17" t="s">
        <v>1330</v>
      </c>
      <c r="Z118" s="17" t="s">
        <v>1347</v>
      </c>
      <c r="AA118" s="17" t="s">
        <v>1360</v>
      </c>
      <c r="AB118" s="17" t="s">
        <v>1361</v>
      </c>
      <c r="AC118" s="17" t="s">
        <v>1335</v>
      </c>
      <c r="AD118" s="17">
        <f t="shared" si="6"/>
        <v>2</v>
      </c>
      <c r="AE118" s="17" t="s">
        <v>1328</v>
      </c>
      <c r="AF118" s="17" t="s">
        <v>1336</v>
      </c>
      <c r="AG118" s="17" t="s">
        <v>1328</v>
      </c>
      <c r="AH118" s="17" t="s">
        <v>1336</v>
      </c>
      <c r="AI118" s="17" t="s">
        <v>1336</v>
      </c>
      <c r="AJ118" s="17" t="s">
        <v>1336</v>
      </c>
      <c r="AK118" s="17" t="s">
        <v>1350</v>
      </c>
      <c r="AL118" s="17" t="s">
        <v>1351</v>
      </c>
      <c r="AM118" s="17" t="s">
        <v>1339</v>
      </c>
      <c r="AN118" s="17" t="s">
        <v>1331</v>
      </c>
      <c r="AO118" s="17" t="s">
        <v>1328</v>
      </c>
      <c r="AP118" s="17" t="str">
        <f t="shared" si="7"/>
        <v>intermediate</v>
      </c>
      <c r="AQ118" s="20" t="s">
        <v>2035</v>
      </c>
    </row>
    <row r="119" ht="15.75" customHeight="1">
      <c r="A119" s="16" t="s">
        <v>2036</v>
      </c>
      <c r="B119" s="16" t="s">
        <v>2030</v>
      </c>
      <c r="C119" s="16">
        <v>2016.0</v>
      </c>
      <c r="D119" s="16" t="s">
        <v>2037</v>
      </c>
      <c r="E119" s="16" t="s">
        <v>2038</v>
      </c>
      <c r="F119" s="16" t="s">
        <v>2039</v>
      </c>
      <c r="G119" s="16" t="str">
        <f t="shared" si="1"/>
        <v>No</v>
      </c>
      <c r="H119" s="16" t="s">
        <v>1324</v>
      </c>
      <c r="I119" s="16" t="s">
        <v>1324</v>
      </c>
      <c r="J119" s="16">
        <v>96.0</v>
      </c>
      <c r="K119" s="17" t="s">
        <v>2040</v>
      </c>
      <c r="L119" s="18" t="str">
        <f t="shared" si="2"/>
        <v>http://dx.doi.org/10.1016/j.fishres.2016.01.005</v>
      </c>
      <c r="M119" s="19" t="s">
        <v>1416</v>
      </c>
      <c r="N119" s="17" t="s">
        <v>1403</v>
      </c>
      <c r="O119" s="17" t="s">
        <v>1328</v>
      </c>
      <c r="P119" s="17" t="s">
        <v>1328</v>
      </c>
      <c r="Q119" s="17" t="s">
        <v>1328</v>
      </c>
      <c r="R119" s="17" t="s">
        <v>1328</v>
      </c>
      <c r="S119" s="17" t="s">
        <v>1328</v>
      </c>
      <c r="T119" s="20" t="str">
        <f t="shared" si="3"/>
        <v>Yes</v>
      </c>
      <c r="U119" s="19" t="str">
        <f t="shared" si="4"/>
        <v>DB</v>
      </c>
      <c r="V119" s="17" t="str">
        <f t="shared" si="5"/>
        <v>Yes</v>
      </c>
      <c r="W119" s="17" t="s">
        <v>1329</v>
      </c>
      <c r="X119" s="17" t="s">
        <v>1330</v>
      </c>
      <c r="Y119" s="17" t="s">
        <v>1331</v>
      </c>
      <c r="Z119" s="17" t="s">
        <v>1347</v>
      </c>
      <c r="AA119" s="17" t="s">
        <v>1333</v>
      </c>
      <c r="AB119" s="17" t="s">
        <v>1361</v>
      </c>
      <c r="AC119" s="17" t="s">
        <v>1349</v>
      </c>
      <c r="AD119" s="17">
        <f t="shared" si="6"/>
        <v>2</v>
      </c>
      <c r="AE119" s="17" t="s">
        <v>1328</v>
      </c>
      <c r="AF119" s="17" t="s">
        <v>1336</v>
      </c>
      <c r="AG119" s="17" t="s">
        <v>1328</v>
      </c>
      <c r="AH119" s="17" t="s">
        <v>1336</v>
      </c>
      <c r="AI119" s="17" t="s">
        <v>1336</v>
      </c>
      <c r="AJ119" s="17" t="s">
        <v>1336</v>
      </c>
      <c r="AK119" s="17" t="s">
        <v>1350</v>
      </c>
      <c r="AL119" s="17" t="s">
        <v>1351</v>
      </c>
      <c r="AM119" s="17" t="s">
        <v>1363</v>
      </c>
      <c r="AN119" s="17" t="s">
        <v>1331</v>
      </c>
      <c r="AO119" s="17" t="s">
        <v>1328</v>
      </c>
      <c r="AP119" s="17" t="str">
        <f t="shared" si="7"/>
        <v>intermediate</v>
      </c>
      <c r="AQ119" s="20"/>
    </row>
    <row r="120" ht="15.75" customHeight="1">
      <c r="A120" s="16" t="s">
        <v>2041</v>
      </c>
      <c r="B120" s="16" t="s">
        <v>2030</v>
      </c>
      <c r="C120" s="16">
        <v>2015.0</v>
      </c>
      <c r="D120" s="16" t="s">
        <v>2042</v>
      </c>
      <c r="E120" s="16" t="s">
        <v>2043</v>
      </c>
      <c r="F120" s="16" t="s">
        <v>2044</v>
      </c>
      <c r="G120" s="16" t="str">
        <f t="shared" si="1"/>
        <v>No</v>
      </c>
      <c r="H120" s="16" t="s">
        <v>1324</v>
      </c>
      <c r="I120" s="16" t="s">
        <v>1324</v>
      </c>
      <c r="J120" s="16">
        <v>3.0</v>
      </c>
      <c r="K120" s="17" t="s">
        <v>2045</v>
      </c>
      <c r="L120" s="18" t="str">
        <f t="shared" si="2"/>
        <v>http://dx.doi.org/10.1016/j.fishres.2014.12.016</v>
      </c>
      <c r="M120" s="19" t="s">
        <v>1410</v>
      </c>
      <c r="N120" s="17" t="s">
        <v>1327</v>
      </c>
      <c r="O120" s="17" t="s">
        <v>1328</v>
      </c>
      <c r="P120" s="17" t="s">
        <v>1328</v>
      </c>
      <c r="Q120" s="17" t="s">
        <v>1328</v>
      </c>
      <c r="R120" s="17" t="s">
        <v>1328</v>
      </c>
      <c r="S120" s="17" t="s">
        <v>1328</v>
      </c>
      <c r="T120" s="20" t="str">
        <f t="shared" si="3"/>
        <v>Yes</v>
      </c>
      <c r="U120" s="19" t="str">
        <f t="shared" si="4"/>
        <v>PJ</v>
      </c>
      <c r="V120" s="17" t="str">
        <f t="shared" si="5"/>
        <v>Yes</v>
      </c>
      <c r="W120" s="17" t="s">
        <v>1329</v>
      </c>
      <c r="X120" s="17" t="s">
        <v>1330</v>
      </c>
      <c r="Y120" s="17" t="s">
        <v>1331</v>
      </c>
      <c r="Z120" s="17" t="s">
        <v>1347</v>
      </c>
      <c r="AA120" s="17" t="s">
        <v>1333</v>
      </c>
      <c r="AB120" s="17" t="s">
        <v>1361</v>
      </c>
      <c r="AC120" s="17" t="s">
        <v>2046</v>
      </c>
      <c r="AD120" s="17">
        <f t="shared" si="6"/>
        <v>2</v>
      </c>
      <c r="AE120" s="17" t="s">
        <v>1328</v>
      </c>
      <c r="AF120" s="17" t="s">
        <v>1336</v>
      </c>
      <c r="AG120" s="17" t="s">
        <v>1328</v>
      </c>
      <c r="AH120" s="17" t="s">
        <v>1336</v>
      </c>
      <c r="AI120" s="17" t="s">
        <v>1336</v>
      </c>
      <c r="AJ120" s="17" t="s">
        <v>1336</v>
      </c>
      <c r="AK120" s="17" t="s">
        <v>1350</v>
      </c>
      <c r="AL120" s="17" t="s">
        <v>1351</v>
      </c>
      <c r="AM120" s="17" t="s">
        <v>1363</v>
      </c>
      <c r="AN120" s="17" t="s">
        <v>1331</v>
      </c>
      <c r="AO120" s="17" t="s">
        <v>1328</v>
      </c>
      <c r="AP120" s="17" t="str">
        <f t="shared" si="7"/>
        <v>intermediate</v>
      </c>
      <c r="AQ120" s="20"/>
    </row>
    <row r="121" ht="15.75" customHeight="1">
      <c r="A121" s="16" t="s">
        <v>2047</v>
      </c>
      <c r="B121" s="16" t="s">
        <v>2048</v>
      </c>
      <c r="C121" s="16">
        <v>2016.0</v>
      </c>
      <c r="D121" s="16" t="s">
        <v>2049</v>
      </c>
      <c r="E121" s="16" t="s">
        <v>2050</v>
      </c>
      <c r="F121" s="16" t="s">
        <v>2051</v>
      </c>
      <c r="G121" s="16" t="str">
        <f t="shared" si="1"/>
        <v>No</v>
      </c>
      <c r="H121" s="16" t="s">
        <v>1324</v>
      </c>
      <c r="I121" s="16" t="s">
        <v>1324</v>
      </c>
      <c r="J121" s="16">
        <v>172.0</v>
      </c>
      <c r="K121" s="17" t="s">
        <v>2052</v>
      </c>
      <c r="L121" s="18" t="str">
        <f t="shared" si="2"/>
        <v>http://dx.doi.org/10.1016/j.envres.2015.09.002</v>
      </c>
      <c r="M121" s="19" t="s">
        <v>1666</v>
      </c>
      <c r="N121" s="17" t="s">
        <v>1470</v>
      </c>
      <c r="O121" s="17" t="s">
        <v>1328</v>
      </c>
      <c r="P121" s="17" t="s">
        <v>1328</v>
      </c>
      <c r="Q121" s="17" t="s">
        <v>1328</v>
      </c>
      <c r="R121" s="17" t="s">
        <v>1328</v>
      </c>
      <c r="S121" s="17" t="s">
        <v>1328</v>
      </c>
      <c r="T121" s="20" t="str">
        <f t="shared" si="3"/>
        <v>Yes</v>
      </c>
      <c r="U121" s="19" t="str">
        <f t="shared" si="4"/>
        <v>AG</v>
      </c>
      <c r="V121" s="17" t="str">
        <f t="shared" si="5"/>
        <v>Yes</v>
      </c>
      <c r="W121" s="17" t="s">
        <v>1329</v>
      </c>
      <c r="X121" s="17" t="s">
        <v>1330</v>
      </c>
      <c r="Y121" s="17" t="s">
        <v>1330</v>
      </c>
      <c r="Z121" s="17" t="s">
        <v>1332</v>
      </c>
      <c r="AA121" s="17" t="s">
        <v>1333</v>
      </c>
      <c r="AB121" s="17" t="s">
        <v>1381</v>
      </c>
      <c r="AC121" s="17" t="s">
        <v>1362</v>
      </c>
      <c r="AD121" s="17">
        <f t="shared" si="6"/>
        <v>2</v>
      </c>
      <c r="AE121" s="17" t="s">
        <v>1328</v>
      </c>
      <c r="AF121" s="17" t="s">
        <v>1328</v>
      </c>
      <c r="AG121" s="17" t="s">
        <v>1336</v>
      </c>
      <c r="AH121" s="17" t="s">
        <v>1336</v>
      </c>
      <c r="AI121" s="17" t="s">
        <v>1336</v>
      </c>
      <c r="AJ121" s="17" t="s">
        <v>1336</v>
      </c>
      <c r="AK121" s="17" t="s">
        <v>1350</v>
      </c>
      <c r="AL121" s="17" t="s">
        <v>1351</v>
      </c>
      <c r="AM121" s="17" t="s">
        <v>1339</v>
      </c>
      <c r="AN121" s="17" t="s">
        <v>1331</v>
      </c>
      <c r="AO121" s="17" t="s">
        <v>1328</v>
      </c>
      <c r="AP121" s="17" t="str">
        <f t="shared" si="7"/>
        <v>intermediate</v>
      </c>
      <c r="AQ121" s="20"/>
    </row>
    <row r="122" ht="15.75" customHeight="1">
      <c r="A122" s="16" t="s">
        <v>2053</v>
      </c>
      <c r="B122" s="16" t="s">
        <v>227</v>
      </c>
      <c r="C122" s="16">
        <v>2007.0</v>
      </c>
      <c r="D122" s="16" t="s">
        <v>2054</v>
      </c>
      <c r="E122" s="16" t="s">
        <v>2055</v>
      </c>
      <c r="F122" s="16" t="s">
        <v>2056</v>
      </c>
      <c r="G122" s="16" t="str">
        <f t="shared" si="1"/>
        <v>No</v>
      </c>
      <c r="H122" s="16" t="s">
        <v>1324</v>
      </c>
      <c r="I122" s="16" t="s">
        <v>1324</v>
      </c>
      <c r="J122" s="16">
        <v>80.0</v>
      </c>
      <c r="K122" s="17" t="s">
        <v>2057</v>
      </c>
      <c r="L122" s="18" t="str">
        <f t="shared" si="2"/>
        <v>http://dx.doi.org/10.1016/j.ecss.2006.08.018</v>
      </c>
      <c r="M122" s="19" t="s">
        <v>1346</v>
      </c>
      <c r="N122" s="17" t="s">
        <v>1436</v>
      </c>
      <c r="O122" s="17" t="s">
        <v>1328</v>
      </c>
      <c r="P122" s="17" t="s">
        <v>1328</v>
      </c>
      <c r="Q122" s="17" t="s">
        <v>1328</v>
      </c>
      <c r="R122" s="17" t="s">
        <v>1328</v>
      </c>
      <c r="S122" s="17" t="s">
        <v>1328</v>
      </c>
      <c r="T122" s="20" t="str">
        <f t="shared" si="3"/>
        <v>Yes</v>
      </c>
      <c r="U122" s="19" t="str">
        <f t="shared" si="4"/>
        <v>CG</v>
      </c>
      <c r="V122" s="17" t="str">
        <f t="shared" si="5"/>
        <v>Yes</v>
      </c>
      <c r="W122" s="17" t="s">
        <v>1329</v>
      </c>
      <c r="X122" s="17" t="s">
        <v>1330</v>
      </c>
      <c r="Y122" s="17" t="s">
        <v>1331</v>
      </c>
      <c r="Z122" s="17" t="s">
        <v>1347</v>
      </c>
      <c r="AA122" s="17" t="s">
        <v>1333</v>
      </c>
      <c r="AB122" s="17" t="s">
        <v>1361</v>
      </c>
      <c r="AC122" s="17" t="s">
        <v>1335</v>
      </c>
      <c r="AD122" s="17">
        <f t="shared" si="6"/>
        <v>2</v>
      </c>
      <c r="AE122" s="17" t="s">
        <v>1328</v>
      </c>
      <c r="AF122" s="17" t="s">
        <v>1336</v>
      </c>
      <c r="AG122" s="17" t="s">
        <v>1336</v>
      </c>
      <c r="AH122" s="17" t="s">
        <v>1336</v>
      </c>
      <c r="AI122" s="17" t="s">
        <v>1328</v>
      </c>
      <c r="AJ122" s="17" t="s">
        <v>1336</v>
      </c>
      <c r="AK122" s="17" t="s">
        <v>1350</v>
      </c>
      <c r="AL122" s="17" t="s">
        <v>1351</v>
      </c>
      <c r="AM122" s="17" t="s">
        <v>1339</v>
      </c>
      <c r="AN122" s="17" t="s">
        <v>1388</v>
      </c>
      <c r="AO122" s="17" t="s">
        <v>1328</v>
      </c>
      <c r="AP122" s="17" t="str">
        <f t="shared" si="7"/>
        <v>intermediate</v>
      </c>
      <c r="AQ122" s="20"/>
    </row>
    <row r="123" ht="15.75" customHeight="1">
      <c r="A123" s="16" t="s">
        <v>2058</v>
      </c>
      <c r="B123" s="16" t="s">
        <v>2059</v>
      </c>
      <c r="C123" s="16">
        <v>2014.0</v>
      </c>
      <c r="D123" s="16" t="s">
        <v>2060</v>
      </c>
      <c r="E123" s="16" t="s">
        <v>2061</v>
      </c>
      <c r="F123" s="16" t="s">
        <v>2062</v>
      </c>
      <c r="G123" s="16" t="str">
        <f t="shared" si="1"/>
        <v>No</v>
      </c>
      <c r="H123" s="16" t="s">
        <v>1324</v>
      </c>
      <c r="I123" s="16" t="s">
        <v>1324</v>
      </c>
      <c r="J123" s="16">
        <v>45.0</v>
      </c>
      <c r="K123" s="17" t="s">
        <v>2063</v>
      </c>
      <c r="L123" s="18" t="str">
        <f t="shared" si="2"/>
        <v>http://dx.doi.org/10.1016/j.ecolmodel.2013.11.004</v>
      </c>
      <c r="M123" s="19" t="s">
        <v>1522</v>
      </c>
      <c r="N123" s="17" t="s">
        <v>1371</v>
      </c>
      <c r="O123" s="17" t="s">
        <v>1328</v>
      </c>
      <c r="P123" s="17" t="s">
        <v>1328</v>
      </c>
      <c r="Q123" s="17" t="s">
        <v>1328</v>
      </c>
      <c r="R123" s="17" t="s">
        <v>1328</v>
      </c>
      <c r="S123" s="17" t="s">
        <v>1328</v>
      </c>
      <c r="T123" s="20" t="str">
        <f t="shared" si="3"/>
        <v>Yes</v>
      </c>
      <c r="U123" s="19" t="str">
        <f t="shared" si="4"/>
        <v>LC</v>
      </c>
      <c r="V123" s="17" t="str">
        <f t="shared" si="5"/>
        <v>Yes</v>
      </c>
      <c r="W123" s="17" t="s">
        <v>1329</v>
      </c>
      <c r="X123" s="17" t="s">
        <v>1372</v>
      </c>
      <c r="Y123" s="17" t="s">
        <v>1331</v>
      </c>
      <c r="Z123" s="17" t="s">
        <v>1347</v>
      </c>
      <c r="AA123" s="17" t="s">
        <v>1333</v>
      </c>
      <c r="AB123" s="17" t="s">
        <v>1334</v>
      </c>
      <c r="AC123" s="17" t="s">
        <v>1349</v>
      </c>
      <c r="AD123" s="17">
        <f t="shared" si="6"/>
        <v>2</v>
      </c>
      <c r="AE123" s="17" t="s">
        <v>1336</v>
      </c>
      <c r="AF123" s="17" t="s">
        <v>1336</v>
      </c>
      <c r="AG123" s="17" t="s">
        <v>1328</v>
      </c>
      <c r="AH123" s="17" t="s">
        <v>1328</v>
      </c>
      <c r="AI123" s="17" t="s">
        <v>1336</v>
      </c>
      <c r="AJ123" s="17" t="s">
        <v>1336</v>
      </c>
      <c r="AK123" s="17" t="s">
        <v>1350</v>
      </c>
      <c r="AL123" s="17" t="s">
        <v>1351</v>
      </c>
      <c r="AM123" s="17" t="s">
        <v>1363</v>
      </c>
      <c r="AN123" s="17" t="s">
        <v>1388</v>
      </c>
      <c r="AO123" s="17" t="s">
        <v>1328</v>
      </c>
      <c r="AP123" s="17" t="str">
        <f t="shared" si="7"/>
        <v>intermediate</v>
      </c>
      <c r="AQ123" s="20"/>
    </row>
    <row r="124" ht="15.75" customHeight="1">
      <c r="A124" s="16" t="s">
        <v>2064</v>
      </c>
      <c r="B124" s="16" t="s">
        <v>2059</v>
      </c>
      <c r="C124" s="16">
        <v>2011.0</v>
      </c>
      <c r="D124" s="16" t="s">
        <v>2065</v>
      </c>
      <c r="E124" s="16" t="s">
        <v>2066</v>
      </c>
      <c r="F124" s="16" t="s">
        <v>2067</v>
      </c>
      <c r="G124" s="16" t="str">
        <f t="shared" si="1"/>
        <v>No</v>
      </c>
      <c r="H124" s="16" t="s">
        <v>1324</v>
      </c>
      <c r="I124" s="16" t="s">
        <v>1324</v>
      </c>
      <c r="J124" s="16">
        <v>21.0</v>
      </c>
      <c r="K124" s="17" t="s">
        <v>2068</v>
      </c>
      <c r="L124" s="18" t="str">
        <f t="shared" si="2"/>
        <v>http://dx.doi.org/10.1016/j.ecolmodel.2011.03.042</v>
      </c>
      <c r="M124" s="19" t="s">
        <v>1358</v>
      </c>
      <c r="N124" s="17" t="s">
        <v>1327</v>
      </c>
      <c r="O124" s="17" t="s">
        <v>1328</v>
      </c>
      <c r="P124" s="17" t="s">
        <v>1328</v>
      </c>
      <c r="Q124" s="17" t="s">
        <v>1328</v>
      </c>
      <c r="R124" s="17" t="s">
        <v>1328</v>
      </c>
      <c r="S124" s="17" t="s">
        <v>1328</v>
      </c>
      <c r="T124" s="20" t="str">
        <f t="shared" si="3"/>
        <v>Yes</v>
      </c>
      <c r="U124" s="19" t="str">
        <f t="shared" si="4"/>
        <v>PJ</v>
      </c>
      <c r="V124" s="17" t="str">
        <f t="shared" si="5"/>
        <v>Yes</v>
      </c>
      <c r="W124" s="17" t="s">
        <v>1329</v>
      </c>
      <c r="X124" s="17" t="s">
        <v>1330</v>
      </c>
      <c r="Y124" s="17" t="s">
        <v>1331</v>
      </c>
      <c r="Z124" s="17" t="s">
        <v>1347</v>
      </c>
      <c r="AA124" s="17" t="s">
        <v>1360</v>
      </c>
      <c r="AB124" s="17" t="s">
        <v>1348</v>
      </c>
      <c r="AC124" s="17" t="s">
        <v>2069</v>
      </c>
      <c r="AD124" s="17">
        <f t="shared" si="6"/>
        <v>3</v>
      </c>
      <c r="AE124" s="17" t="s">
        <v>1336</v>
      </c>
      <c r="AF124" s="17" t="s">
        <v>1328</v>
      </c>
      <c r="AG124" s="17" t="s">
        <v>1328</v>
      </c>
      <c r="AH124" s="17" t="s">
        <v>1336</v>
      </c>
      <c r="AI124" s="17" t="s">
        <v>1336</v>
      </c>
      <c r="AJ124" s="17" t="s">
        <v>1328</v>
      </c>
      <c r="AK124" s="17" t="s">
        <v>1350</v>
      </c>
      <c r="AL124" s="17" t="s">
        <v>1351</v>
      </c>
      <c r="AM124" s="17" t="s">
        <v>1363</v>
      </c>
      <c r="AN124" s="17" t="s">
        <v>1331</v>
      </c>
      <c r="AO124" s="17" t="s">
        <v>1328</v>
      </c>
      <c r="AP124" s="17" t="str">
        <f t="shared" si="7"/>
        <v>high</v>
      </c>
      <c r="AQ124" s="20"/>
    </row>
    <row r="125" ht="15.75" customHeight="1">
      <c r="A125" s="16" t="s">
        <v>2070</v>
      </c>
      <c r="B125" s="16" t="s">
        <v>2071</v>
      </c>
      <c r="C125" s="16">
        <v>2018.0</v>
      </c>
      <c r="D125" s="16" t="s">
        <v>2072</v>
      </c>
      <c r="E125" s="16" t="s">
        <v>2073</v>
      </c>
      <c r="F125" s="16" t="s">
        <v>2074</v>
      </c>
      <c r="G125" s="16" t="str">
        <f t="shared" si="1"/>
        <v>No</v>
      </c>
      <c r="H125" s="16" t="s">
        <v>1324</v>
      </c>
      <c r="I125" s="16" t="s">
        <v>1324</v>
      </c>
      <c r="J125" s="16">
        <v>48.0</v>
      </c>
      <c r="K125" s="17" t="s">
        <v>2075</v>
      </c>
      <c r="L125" s="18" t="str">
        <f t="shared" si="2"/>
        <v>http://dx.doi.org/10.1016/j.ecolind.2018.03.004</v>
      </c>
      <c r="M125" s="19" t="s">
        <v>1495</v>
      </c>
      <c r="N125" s="17" t="s">
        <v>1359</v>
      </c>
      <c r="O125" s="17" t="s">
        <v>1328</v>
      </c>
      <c r="P125" s="17" t="s">
        <v>1328</v>
      </c>
      <c r="Q125" s="17" t="s">
        <v>1328</v>
      </c>
      <c r="R125" s="17" t="s">
        <v>1328</v>
      </c>
      <c r="S125" s="17" t="s">
        <v>1328</v>
      </c>
      <c r="T125" s="20" t="str">
        <f t="shared" si="3"/>
        <v>Yes</v>
      </c>
      <c r="U125" s="19" t="str">
        <f t="shared" si="4"/>
        <v>YT</v>
      </c>
      <c r="V125" s="17" t="str">
        <f t="shared" si="5"/>
        <v>Yes</v>
      </c>
      <c r="W125" s="17" t="s">
        <v>1329</v>
      </c>
      <c r="X125" s="17" t="s">
        <v>1330</v>
      </c>
      <c r="Y125" s="17" t="s">
        <v>1330</v>
      </c>
      <c r="Z125" s="17" t="s">
        <v>1347</v>
      </c>
      <c r="AA125" s="17" t="s">
        <v>1333</v>
      </c>
      <c r="AB125" s="17" t="s">
        <v>1381</v>
      </c>
      <c r="AC125" s="17" t="s">
        <v>1530</v>
      </c>
      <c r="AD125" s="17">
        <f t="shared" si="6"/>
        <v>2</v>
      </c>
      <c r="AE125" s="17" t="s">
        <v>1336</v>
      </c>
      <c r="AF125" s="17" t="s">
        <v>1336</v>
      </c>
      <c r="AG125" s="17" t="s">
        <v>1336</v>
      </c>
      <c r="AH125" s="17" t="s">
        <v>1328</v>
      </c>
      <c r="AI125" s="17" t="s">
        <v>1336</v>
      </c>
      <c r="AJ125" s="17" t="s">
        <v>1328</v>
      </c>
      <c r="AK125" s="17" t="s">
        <v>1350</v>
      </c>
      <c r="AL125" s="17" t="s">
        <v>1351</v>
      </c>
      <c r="AM125" s="17" t="s">
        <v>1339</v>
      </c>
      <c r="AN125" s="17" t="s">
        <v>1331</v>
      </c>
      <c r="AO125" s="17" t="s">
        <v>1328</v>
      </c>
      <c r="AP125" s="17" t="str">
        <f t="shared" si="7"/>
        <v>intermediate</v>
      </c>
      <c r="AQ125" s="20"/>
    </row>
    <row r="126" ht="15.75" customHeight="1">
      <c r="A126" s="16" t="s">
        <v>2076</v>
      </c>
      <c r="B126" s="16" t="s">
        <v>2077</v>
      </c>
      <c r="C126" s="16">
        <v>2009.0</v>
      </c>
      <c r="D126" s="16" t="s">
        <v>2078</v>
      </c>
      <c r="E126" s="16" t="s">
        <v>2079</v>
      </c>
      <c r="F126" s="16" t="s">
        <v>2080</v>
      </c>
      <c r="G126" s="16" t="str">
        <f t="shared" si="1"/>
        <v>No</v>
      </c>
      <c r="H126" s="16" t="s">
        <v>1324</v>
      </c>
      <c r="I126" s="16" t="s">
        <v>1324</v>
      </c>
      <c r="J126" s="16">
        <v>45.0</v>
      </c>
      <c r="K126" s="17" t="s">
        <v>2081</v>
      </c>
      <c r="L126" s="18" t="str">
        <f t="shared" si="2"/>
        <v>http://dx.doi.org/10.1016/j.ecolecon.2009.07.001</v>
      </c>
      <c r="M126" s="19" t="s">
        <v>1358</v>
      </c>
      <c r="N126" s="17" t="s">
        <v>1371</v>
      </c>
      <c r="O126" s="17" t="s">
        <v>1328</v>
      </c>
      <c r="P126" s="17" t="s">
        <v>1328</v>
      </c>
      <c r="Q126" s="17" t="s">
        <v>1328</v>
      </c>
      <c r="R126" s="17" t="s">
        <v>1328</v>
      </c>
      <c r="S126" s="17" t="s">
        <v>1328</v>
      </c>
      <c r="T126" s="20" t="str">
        <f t="shared" si="3"/>
        <v>Yes</v>
      </c>
      <c r="U126" s="19" t="str">
        <f t="shared" si="4"/>
        <v>LC</v>
      </c>
      <c r="V126" s="17" t="str">
        <f t="shared" si="5"/>
        <v>Yes</v>
      </c>
      <c r="W126" s="17" t="s">
        <v>1443</v>
      </c>
      <c r="X126" s="17" t="s">
        <v>1330</v>
      </c>
      <c r="Y126" s="17" t="s">
        <v>1331</v>
      </c>
      <c r="Z126" s="17" t="s">
        <v>1332</v>
      </c>
      <c r="AA126" s="17" t="s">
        <v>1444</v>
      </c>
      <c r="AB126" s="17" t="s">
        <v>1445</v>
      </c>
      <c r="AC126" s="17" t="s">
        <v>1362</v>
      </c>
      <c r="AD126" s="17">
        <f t="shared" si="6"/>
        <v>2</v>
      </c>
      <c r="AE126" s="17" t="s">
        <v>1336</v>
      </c>
      <c r="AF126" s="17" t="s">
        <v>1328</v>
      </c>
      <c r="AG126" s="17" t="s">
        <v>1328</v>
      </c>
      <c r="AH126" s="17" t="s">
        <v>1336</v>
      </c>
      <c r="AI126" s="17" t="s">
        <v>1336</v>
      </c>
      <c r="AJ126" s="17" t="s">
        <v>1336</v>
      </c>
      <c r="AK126" s="17" t="s">
        <v>1350</v>
      </c>
      <c r="AL126" s="17" t="s">
        <v>1351</v>
      </c>
      <c r="AM126" s="17" t="s">
        <v>1363</v>
      </c>
      <c r="AN126" s="17" t="s">
        <v>1374</v>
      </c>
      <c r="AO126" s="17" t="s">
        <v>1328</v>
      </c>
      <c r="AP126" s="17" t="str">
        <f t="shared" si="7"/>
        <v>high</v>
      </c>
      <c r="AQ126" s="20"/>
    </row>
    <row r="127" ht="15.75" customHeight="1">
      <c r="A127" s="16" t="s">
        <v>2082</v>
      </c>
      <c r="B127" s="16" t="s">
        <v>2083</v>
      </c>
      <c r="C127" s="16">
        <v>2017.0</v>
      </c>
      <c r="D127" s="16" t="s">
        <v>2084</v>
      </c>
      <c r="E127" s="16" t="s">
        <v>2085</v>
      </c>
      <c r="F127" s="16" t="s">
        <v>2086</v>
      </c>
      <c r="G127" s="16" t="str">
        <f t="shared" si="1"/>
        <v>No</v>
      </c>
      <c r="H127" s="16" t="s">
        <v>1324</v>
      </c>
      <c r="I127" s="16" t="s">
        <v>1324</v>
      </c>
      <c r="J127" s="16">
        <v>116.0</v>
      </c>
      <c r="K127" s="17" t="s">
        <v>2087</v>
      </c>
      <c r="L127" s="18" t="str">
        <f t="shared" si="2"/>
        <v>http://dx.doi.org/10.1016/j.catena.2016.11.014</v>
      </c>
      <c r="M127" s="19" t="s">
        <v>1358</v>
      </c>
      <c r="N127" s="17" t="s">
        <v>1403</v>
      </c>
      <c r="O127" s="17" t="s">
        <v>1328</v>
      </c>
      <c r="P127" s="17" t="s">
        <v>1328</v>
      </c>
      <c r="Q127" s="17" t="s">
        <v>1328</v>
      </c>
      <c r="R127" s="17" t="s">
        <v>1328</v>
      </c>
      <c r="S127" s="17" t="s">
        <v>1328</v>
      </c>
      <c r="T127" s="20" t="str">
        <f t="shared" si="3"/>
        <v>Yes</v>
      </c>
      <c r="U127" s="19" t="str">
        <f t="shared" si="4"/>
        <v>DB</v>
      </c>
      <c r="V127" s="17" t="str">
        <f t="shared" si="5"/>
        <v>Yes</v>
      </c>
      <c r="W127" s="17" t="s">
        <v>1631</v>
      </c>
      <c r="X127" s="17" t="s">
        <v>1372</v>
      </c>
      <c r="Y127" s="17" t="s">
        <v>1331</v>
      </c>
      <c r="Z127" s="17" t="s">
        <v>1347</v>
      </c>
      <c r="AA127" s="17" t="s">
        <v>1333</v>
      </c>
      <c r="AB127" s="17" t="s">
        <v>1361</v>
      </c>
      <c r="AC127" s="17" t="s">
        <v>1362</v>
      </c>
      <c r="AD127" s="17">
        <f t="shared" si="6"/>
        <v>2</v>
      </c>
      <c r="AE127" s="17" t="s">
        <v>1328</v>
      </c>
      <c r="AF127" s="17" t="s">
        <v>1328</v>
      </c>
      <c r="AG127" s="17" t="s">
        <v>1336</v>
      </c>
      <c r="AH127" s="17" t="s">
        <v>1336</v>
      </c>
      <c r="AI127" s="17" t="s">
        <v>1336</v>
      </c>
      <c r="AJ127" s="17" t="s">
        <v>1336</v>
      </c>
      <c r="AK127" s="17" t="s">
        <v>1350</v>
      </c>
      <c r="AL127" s="17" t="s">
        <v>1351</v>
      </c>
      <c r="AM127" s="17" t="s">
        <v>1363</v>
      </c>
      <c r="AN127" s="17" t="s">
        <v>1331</v>
      </c>
      <c r="AO127" s="17" t="s">
        <v>1328</v>
      </c>
      <c r="AP127" s="17" t="str">
        <f t="shared" si="7"/>
        <v>intermediate</v>
      </c>
      <c r="AQ127" s="20" t="s">
        <v>1639</v>
      </c>
    </row>
    <row r="128" ht="15.75" customHeight="1">
      <c r="A128" s="16" t="s">
        <v>2088</v>
      </c>
      <c r="B128" s="16" t="s">
        <v>251</v>
      </c>
      <c r="C128" s="16">
        <v>2017.0</v>
      </c>
      <c r="D128" s="16" t="s">
        <v>2089</v>
      </c>
      <c r="E128" s="16" t="s">
        <v>2090</v>
      </c>
      <c r="F128" s="16" t="s">
        <v>2091</v>
      </c>
      <c r="G128" s="16" t="str">
        <f t="shared" si="1"/>
        <v>No</v>
      </c>
      <c r="H128" s="16" t="s">
        <v>1324</v>
      </c>
      <c r="I128" s="16" t="s">
        <v>1324</v>
      </c>
      <c r="J128" s="16">
        <v>32.0</v>
      </c>
      <c r="K128" s="17" t="s">
        <v>2092</v>
      </c>
      <c r="L128" s="18" t="str">
        <f t="shared" si="2"/>
        <v>http://dx.doi.org/10.1016/j.biocon.2017.08.032</v>
      </c>
      <c r="M128" s="19" t="s">
        <v>1835</v>
      </c>
      <c r="N128" s="17" t="s">
        <v>1327</v>
      </c>
      <c r="O128" s="17" t="s">
        <v>1328</v>
      </c>
      <c r="P128" s="17" t="s">
        <v>1328</v>
      </c>
      <c r="Q128" s="17" t="s">
        <v>1328</v>
      </c>
      <c r="R128" s="17" t="s">
        <v>1328</v>
      </c>
      <c r="S128" s="17" t="s">
        <v>1328</v>
      </c>
      <c r="T128" s="20" t="str">
        <f t="shared" si="3"/>
        <v>Yes</v>
      </c>
      <c r="U128" s="19" t="str">
        <f t="shared" si="4"/>
        <v>PJ</v>
      </c>
      <c r="V128" s="17" t="str">
        <f t="shared" si="5"/>
        <v>Yes</v>
      </c>
      <c r="W128" s="17" t="s">
        <v>1443</v>
      </c>
      <c r="X128" s="17" t="s">
        <v>1523</v>
      </c>
      <c r="Y128" s="17" t="s">
        <v>1330</v>
      </c>
      <c r="Z128" s="17" t="s">
        <v>1332</v>
      </c>
      <c r="AA128" s="17" t="s">
        <v>1360</v>
      </c>
      <c r="AB128" s="17" t="s">
        <v>1381</v>
      </c>
      <c r="AC128" s="17" t="s">
        <v>1362</v>
      </c>
      <c r="AD128" s="17">
        <f t="shared" si="6"/>
        <v>4</v>
      </c>
      <c r="AE128" s="17" t="s">
        <v>1328</v>
      </c>
      <c r="AF128" s="17" t="s">
        <v>1328</v>
      </c>
      <c r="AG128" s="17" t="s">
        <v>1328</v>
      </c>
      <c r="AH128" s="17" t="s">
        <v>1336</v>
      </c>
      <c r="AI128" s="17" t="s">
        <v>1336</v>
      </c>
      <c r="AJ128" s="17" t="s">
        <v>1328</v>
      </c>
      <c r="AK128" s="17" t="s">
        <v>1395</v>
      </c>
      <c r="AL128" s="17" t="s">
        <v>1338</v>
      </c>
      <c r="AM128" s="17" t="s">
        <v>1339</v>
      </c>
      <c r="AN128" s="17" t="s">
        <v>1331</v>
      </c>
      <c r="AO128" s="17" t="s">
        <v>1328</v>
      </c>
      <c r="AP128" s="17" t="str">
        <f t="shared" si="7"/>
        <v>intermediate</v>
      </c>
      <c r="AQ128" s="20"/>
    </row>
    <row r="129" ht="15.75" customHeight="1">
      <c r="A129" s="16" t="s">
        <v>2093</v>
      </c>
      <c r="B129" s="16" t="s">
        <v>251</v>
      </c>
      <c r="C129" s="16">
        <v>2016.0</v>
      </c>
      <c r="D129" s="16" t="s">
        <v>2094</v>
      </c>
      <c r="E129" s="16" t="s">
        <v>2095</v>
      </c>
      <c r="F129" s="16" t="s">
        <v>2096</v>
      </c>
      <c r="G129" s="16" t="str">
        <f t="shared" si="1"/>
        <v>No</v>
      </c>
      <c r="H129" s="16" t="s">
        <v>1324</v>
      </c>
      <c r="I129" s="16" t="s">
        <v>1324</v>
      </c>
      <c r="J129" s="16">
        <v>12.0</v>
      </c>
      <c r="K129" s="17" t="s">
        <v>2097</v>
      </c>
      <c r="L129" s="18" t="str">
        <f t="shared" si="2"/>
        <v>http://dx.doi.org/10.1016/j.biocon.2016.06.017</v>
      </c>
      <c r="M129" s="19" t="s">
        <v>1326</v>
      </c>
      <c r="N129" s="17" t="s">
        <v>1327</v>
      </c>
      <c r="O129" s="17" t="s">
        <v>1328</v>
      </c>
      <c r="P129" s="17" t="s">
        <v>1328</v>
      </c>
      <c r="Q129" s="17" t="s">
        <v>1328</v>
      </c>
      <c r="R129" s="17" t="s">
        <v>1328</v>
      </c>
      <c r="S129" s="17" t="s">
        <v>1328</v>
      </c>
      <c r="T129" s="20" t="str">
        <f t="shared" si="3"/>
        <v>Yes</v>
      </c>
      <c r="U129" s="19" t="str">
        <f t="shared" si="4"/>
        <v>PJ</v>
      </c>
      <c r="V129" s="17" t="str">
        <f t="shared" si="5"/>
        <v>Yes</v>
      </c>
      <c r="W129" s="17" t="s">
        <v>1443</v>
      </c>
      <c r="X129" s="17" t="s">
        <v>1330</v>
      </c>
      <c r="Y129" s="17" t="s">
        <v>1331</v>
      </c>
      <c r="Z129" s="17" t="s">
        <v>1332</v>
      </c>
      <c r="AA129" s="17" t="s">
        <v>1444</v>
      </c>
      <c r="AB129" s="17" t="s">
        <v>1445</v>
      </c>
      <c r="AC129" s="17" t="s">
        <v>1373</v>
      </c>
      <c r="AD129" s="17">
        <f t="shared" si="6"/>
        <v>6</v>
      </c>
      <c r="AE129" s="17" t="s">
        <v>1328</v>
      </c>
      <c r="AF129" s="17" t="s">
        <v>1328</v>
      </c>
      <c r="AG129" s="17" t="s">
        <v>1328</v>
      </c>
      <c r="AH129" s="17" t="s">
        <v>1328</v>
      </c>
      <c r="AI129" s="17" t="s">
        <v>1328</v>
      </c>
      <c r="AJ129" s="17" t="s">
        <v>1328</v>
      </c>
      <c r="AK129" s="17" t="s">
        <v>1395</v>
      </c>
      <c r="AL129" s="17" t="s">
        <v>1338</v>
      </c>
      <c r="AM129" s="17" t="s">
        <v>1339</v>
      </c>
      <c r="AN129" s="17" t="s">
        <v>1331</v>
      </c>
      <c r="AO129" s="17" t="s">
        <v>1328</v>
      </c>
      <c r="AP129" s="17" t="str">
        <f t="shared" si="7"/>
        <v>high</v>
      </c>
      <c r="AQ129" s="20"/>
    </row>
    <row r="130" ht="15.75" customHeight="1">
      <c r="A130" s="21" t="s">
        <v>2098</v>
      </c>
      <c r="B130" s="21" t="s">
        <v>251</v>
      </c>
      <c r="C130" s="21">
        <v>2016.0</v>
      </c>
      <c r="D130" s="21" t="s">
        <v>2099</v>
      </c>
      <c r="E130" s="21" t="s">
        <v>2100</v>
      </c>
      <c r="F130" s="21" t="s">
        <v>2101</v>
      </c>
      <c r="G130" s="16" t="str">
        <f t="shared" si="1"/>
        <v>No</v>
      </c>
      <c r="H130" s="16" t="s">
        <v>1324</v>
      </c>
      <c r="I130" s="16" t="s">
        <v>1324</v>
      </c>
      <c r="J130" s="16">
        <v>41.0</v>
      </c>
      <c r="K130" s="17" t="s">
        <v>2102</v>
      </c>
      <c r="L130" s="18" t="str">
        <f t="shared" si="2"/>
        <v>http://dx.doi.org/10.1016/j.biocon.2016.05.031</v>
      </c>
      <c r="M130" s="19" t="s">
        <v>2103</v>
      </c>
      <c r="N130" s="17" t="s">
        <v>1403</v>
      </c>
      <c r="O130" s="17" t="s">
        <v>1328</v>
      </c>
      <c r="P130" s="17" t="s">
        <v>1328</v>
      </c>
      <c r="Q130" s="17" t="s">
        <v>1328</v>
      </c>
      <c r="R130" s="17" t="s">
        <v>1328</v>
      </c>
      <c r="S130" s="17" t="s">
        <v>1328</v>
      </c>
      <c r="T130" s="20" t="str">
        <f t="shared" si="3"/>
        <v>Yes</v>
      </c>
      <c r="U130" s="19" t="str">
        <f t="shared" si="4"/>
        <v>DB</v>
      </c>
      <c r="V130" s="17" t="str">
        <f t="shared" si="5"/>
        <v>Yes</v>
      </c>
      <c r="W130" s="17" t="s">
        <v>1329</v>
      </c>
      <c r="X130" s="17" t="s">
        <v>1330</v>
      </c>
      <c r="Y130" s="17" t="s">
        <v>1331</v>
      </c>
      <c r="Z130" s="17" t="s">
        <v>1347</v>
      </c>
      <c r="AA130" s="17" t="s">
        <v>1333</v>
      </c>
      <c r="AB130" s="17" t="s">
        <v>1361</v>
      </c>
      <c r="AC130" s="17" t="s">
        <v>1464</v>
      </c>
      <c r="AD130" s="22">
        <f t="shared" si="6"/>
        <v>2</v>
      </c>
      <c r="AE130" s="17" t="s">
        <v>1336</v>
      </c>
      <c r="AF130" s="17" t="s">
        <v>1328</v>
      </c>
      <c r="AG130" s="17" t="s">
        <v>1336</v>
      </c>
      <c r="AH130" s="17" t="s">
        <v>1336</v>
      </c>
      <c r="AI130" s="17" t="s">
        <v>1328</v>
      </c>
      <c r="AJ130" s="17" t="s">
        <v>1336</v>
      </c>
      <c r="AK130" s="17" t="s">
        <v>1404</v>
      </c>
      <c r="AL130" s="17" t="s">
        <v>1338</v>
      </c>
      <c r="AM130" s="17" t="s">
        <v>1363</v>
      </c>
      <c r="AN130" s="17" t="s">
        <v>1331</v>
      </c>
      <c r="AO130" s="17" t="s">
        <v>1328</v>
      </c>
      <c r="AP130" s="17" t="str">
        <f t="shared" si="7"/>
        <v>intermediate</v>
      </c>
      <c r="AQ130" s="20"/>
    </row>
    <row r="131" ht="15.75" customHeight="1">
      <c r="A131" s="16" t="s">
        <v>2104</v>
      </c>
      <c r="B131" s="16" t="s">
        <v>251</v>
      </c>
      <c r="C131" s="16">
        <v>2016.0</v>
      </c>
      <c r="D131" s="16" t="s">
        <v>2105</v>
      </c>
      <c r="E131" s="16" t="s">
        <v>2106</v>
      </c>
      <c r="F131" s="16" t="s">
        <v>2107</v>
      </c>
      <c r="G131" s="16" t="str">
        <f t="shared" si="1"/>
        <v>No</v>
      </c>
      <c r="H131" s="16" t="s">
        <v>1324</v>
      </c>
      <c r="I131" s="16" t="s">
        <v>1324</v>
      </c>
      <c r="J131" s="16">
        <v>61.0</v>
      </c>
      <c r="K131" s="17" t="s">
        <v>2108</v>
      </c>
      <c r="L131" s="18" t="str">
        <f t="shared" si="2"/>
        <v>http://dx.doi.org/10.1016/j.biocon.2016.04.013</v>
      </c>
      <c r="M131" s="19" t="s">
        <v>1614</v>
      </c>
      <c r="N131" s="17" t="s">
        <v>1371</v>
      </c>
      <c r="O131" s="17" t="s">
        <v>1328</v>
      </c>
      <c r="P131" s="17" t="s">
        <v>1328</v>
      </c>
      <c r="Q131" s="17" t="s">
        <v>1328</v>
      </c>
      <c r="R131" s="17" t="s">
        <v>1328</v>
      </c>
      <c r="S131" s="17" t="s">
        <v>1328</v>
      </c>
      <c r="T131" s="20" t="str">
        <f t="shared" si="3"/>
        <v>Yes</v>
      </c>
      <c r="U131" s="19" t="str">
        <f t="shared" si="4"/>
        <v>LC</v>
      </c>
      <c r="V131" s="17" t="str">
        <f t="shared" si="5"/>
        <v>Yes</v>
      </c>
      <c r="W131" s="17" t="s">
        <v>1329</v>
      </c>
      <c r="X131" s="17" t="s">
        <v>1330</v>
      </c>
      <c r="Y131" s="17" t="s">
        <v>1330</v>
      </c>
      <c r="Z131" s="17" t="s">
        <v>1332</v>
      </c>
      <c r="AA131" s="17" t="s">
        <v>1333</v>
      </c>
      <c r="AB131" s="17" t="s">
        <v>1334</v>
      </c>
      <c r="AC131" s="17" t="s">
        <v>1362</v>
      </c>
      <c r="AD131" s="17">
        <f t="shared" si="6"/>
        <v>2</v>
      </c>
      <c r="AE131" s="17" t="s">
        <v>1336</v>
      </c>
      <c r="AF131" s="17" t="s">
        <v>1328</v>
      </c>
      <c r="AG131" s="17" t="s">
        <v>1328</v>
      </c>
      <c r="AH131" s="17" t="s">
        <v>1336</v>
      </c>
      <c r="AI131" s="17" t="s">
        <v>1336</v>
      </c>
      <c r="AJ131" s="17" t="s">
        <v>1336</v>
      </c>
      <c r="AK131" s="17" t="s">
        <v>1395</v>
      </c>
      <c r="AL131" s="17" t="s">
        <v>1351</v>
      </c>
      <c r="AM131" s="17" t="s">
        <v>1363</v>
      </c>
      <c r="AN131" s="17" t="s">
        <v>1374</v>
      </c>
      <c r="AO131" s="17" t="s">
        <v>1328</v>
      </c>
      <c r="AP131" s="17" t="str">
        <f t="shared" si="7"/>
        <v>intermediate</v>
      </c>
      <c r="AQ131" s="20"/>
    </row>
    <row r="132" ht="15.75" customHeight="1">
      <c r="A132" s="16" t="s">
        <v>2109</v>
      </c>
      <c r="B132" s="16" t="s">
        <v>251</v>
      </c>
      <c r="C132" s="16">
        <v>2013.0</v>
      </c>
      <c r="D132" s="16" t="s">
        <v>2110</v>
      </c>
      <c r="E132" s="16" t="s">
        <v>2111</v>
      </c>
      <c r="F132" s="16" t="s">
        <v>2112</v>
      </c>
      <c r="G132" s="16" t="str">
        <f t="shared" si="1"/>
        <v>No</v>
      </c>
      <c r="H132" s="16" t="s">
        <v>1324</v>
      </c>
      <c r="I132" s="16" t="s">
        <v>1324</v>
      </c>
      <c r="J132" s="16">
        <v>37.0</v>
      </c>
      <c r="K132" s="17" t="s">
        <v>2113</v>
      </c>
      <c r="L132" s="18" t="str">
        <f t="shared" si="2"/>
        <v>http://dx.doi.org/10.1016/j.biocon.2013.07.012</v>
      </c>
      <c r="M132" s="19" t="s">
        <v>1442</v>
      </c>
      <c r="N132" s="17" t="s">
        <v>1327</v>
      </c>
      <c r="O132" s="17" t="s">
        <v>1328</v>
      </c>
      <c r="P132" s="17" t="s">
        <v>1328</v>
      </c>
      <c r="Q132" s="17" t="s">
        <v>1328</v>
      </c>
      <c r="R132" s="17" t="s">
        <v>1328</v>
      </c>
      <c r="S132" s="17" t="s">
        <v>1328</v>
      </c>
      <c r="T132" s="20" t="str">
        <f t="shared" si="3"/>
        <v>Yes</v>
      </c>
      <c r="U132" s="19" t="str">
        <f t="shared" si="4"/>
        <v>PJ</v>
      </c>
      <c r="V132" s="17" t="str">
        <f t="shared" si="5"/>
        <v>Yes</v>
      </c>
      <c r="W132" s="17" t="s">
        <v>1443</v>
      </c>
      <c r="X132" s="17" t="s">
        <v>1330</v>
      </c>
      <c r="Y132" s="17" t="s">
        <v>1331</v>
      </c>
      <c r="Z132" s="17" t="s">
        <v>1331</v>
      </c>
      <c r="AA132" s="17" t="s">
        <v>1333</v>
      </c>
      <c r="AB132" s="17" t="s">
        <v>1381</v>
      </c>
      <c r="AC132" s="17" t="s">
        <v>1446</v>
      </c>
      <c r="AD132" s="17">
        <f t="shared" si="6"/>
        <v>2</v>
      </c>
      <c r="AE132" s="17" t="s">
        <v>1336</v>
      </c>
      <c r="AF132" s="17" t="s">
        <v>1328</v>
      </c>
      <c r="AG132" s="17" t="s">
        <v>1328</v>
      </c>
      <c r="AH132" s="17" t="s">
        <v>1336</v>
      </c>
      <c r="AI132" s="17" t="s">
        <v>1336</v>
      </c>
      <c r="AJ132" s="17" t="s">
        <v>1336</v>
      </c>
      <c r="AK132" s="17" t="s">
        <v>1395</v>
      </c>
      <c r="AL132" s="17" t="s">
        <v>1338</v>
      </c>
      <c r="AM132" s="17" t="s">
        <v>1339</v>
      </c>
      <c r="AN132" s="17" t="s">
        <v>1331</v>
      </c>
      <c r="AO132" s="17" t="s">
        <v>1328</v>
      </c>
      <c r="AP132" s="17" t="str">
        <f t="shared" si="7"/>
        <v>intermediate</v>
      </c>
      <c r="AQ132" s="20"/>
    </row>
    <row r="133" ht="15.75" customHeight="1">
      <c r="A133" s="16" t="s">
        <v>2114</v>
      </c>
      <c r="B133" s="16" t="s">
        <v>251</v>
      </c>
      <c r="C133" s="16">
        <v>2012.0</v>
      </c>
      <c r="D133" s="16" t="s">
        <v>2115</v>
      </c>
      <c r="E133" s="16" t="s">
        <v>2116</v>
      </c>
      <c r="F133" s="16" t="s">
        <v>2117</v>
      </c>
      <c r="G133" s="16" t="str">
        <f t="shared" si="1"/>
        <v>Yes</v>
      </c>
      <c r="H133" s="16" t="s">
        <v>1324</v>
      </c>
      <c r="I133" s="16" t="s">
        <v>1328</v>
      </c>
      <c r="J133" s="16">
        <v>63.0</v>
      </c>
      <c r="K133" s="17" t="s">
        <v>2118</v>
      </c>
      <c r="L133" s="18" t="str">
        <f t="shared" si="2"/>
        <v>http://dx.doi.org/10.1016/j.biocon.2012.01.062</v>
      </c>
      <c r="M133" s="19" t="s">
        <v>1442</v>
      </c>
      <c r="N133" s="17" t="s">
        <v>1327</v>
      </c>
      <c r="O133" s="17" t="s">
        <v>1328</v>
      </c>
      <c r="P133" s="17" t="s">
        <v>1328</v>
      </c>
      <c r="Q133" s="17" t="s">
        <v>1328</v>
      </c>
      <c r="R133" s="17" t="s">
        <v>1328</v>
      </c>
      <c r="S133" s="17" t="s">
        <v>1328</v>
      </c>
      <c r="T133" s="20" t="str">
        <f t="shared" si="3"/>
        <v>Yes</v>
      </c>
      <c r="U133" s="19" t="str">
        <f t="shared" si="4"/>
        <v>PJ</v>
      </c>
      <c r="V133" s="17" t="str">
        <f t="shared" si="5"/>
        <v>Yes</v>
      </c>
      <c r="W133" s="17" t="s">
        <v>1443</v>
      </c>
      <c r="X133" s="17" t="s">
        <v>1330</v>
      </c>
      <c r="Y133" s="17" t="s">
        <v>1331</v>
      </c>
      <c r="Z133" s="17" t="s">
        <v>1347</v>
      </c>
      <c r="AA133" s="17" t="s">
        <v>1660</v>
      </c>
      <c r="AB133" s="17" t="s">
        <v>1381</v>
      </c>
      <c r="AC133" s="17" t="s">
        <v>1446</v>
      </c>
      <c r="AD133" s="17">
        <f t="shared" si="6"/>
        <v>6</v>
      </c>
      <c r="AE133" s="17" t="s">
        <v>1328</v>
      </c>
      <c r="AF133" s="17" t="s">
        <v>1328</v>
      </c>
      <c r="AG133" s="17" t="s">
        <v>1328</v>
      </c>
      <c r="AH133" s="17" t="s">
        <v>1328</v>
      </c>
      <c r="AI133" s="17" t="s">
        <v>1328</v>
      </c>
      <c r="AJ133" s="17" t="s">
        <v>1328</v>
      </c>
      <c r="AK133" s="17" t="s">
        <v>1395</v>
      </c>
      <c r="AL133" s="17" t="s">
        <v>1351</v>
      </c>
      <c r="AM133" s="17" t="s">
        <v>1363</v>
      </c>
      <c r="AN133" s="17" t="s">
        <v>1331</v>
      </c>
      <c r="AO133" s="17" t="s">
        <v>1328</v>
      </c>
      <c r="AP133" s="17" t="str">
        <f t="shared" si="7"/>
        <v>high</v>
      </c>
      <c r="AQ133" s="20" t="s">
        <v>2119</v>
      </c>
    </row>
    <row r="134" ht="15.75" customHeight="1">
      <c r="A134" s="16" t="s">
        <v>2120</v>
      </c>
      <c r="B134" s="16" t="s">
        <v>251</v>
      </c>
      <c r="C134" s="16">
        <v>2008.0</v>
      </c>
      <c r="D134" s="16" t="s">
        <v>2121</v>
      </c>
      <c r="E134" s="16" t="s">
        <v>2122</v>
      </c>
      <c r="F134" s="16" t="s">
        <v>2123</v>
      </c>
      <c r="G134" s="16" t="str">
        <f t="shared" si="1"/>
        <v>No</v>
      </c>
      <c r="H134" s="16" t="s">
        <v>1324</v>
      </c>
      <c r="I134" s="16" t="s">
        <v>1324</v>
      </c>
      <c r="J134" s="16">
        <v>40.0</v>
      </c>
      <c r="K134" s="17" t="s">
        <v>2124</v>
      </c>
      <c r="L134" s="18" t="str">
        <f t="shared" si="2"/>
        <v>http://dx.doi.org/10.1016/j.biocon.2008.04.024</v>
      </c>
      <c r="M134" s="19" t="s">
        <v>1614</v>
      </c>
      <c r="N134" s="17" t="s">
        <v>1470</v>
      </c>
      <c r="O134" s="17" t="s">
        <v>1328</v>
      </c>
      <c r="P134" s="17" t="s">
        <v>1328</v>
      </c>
      <c r="Q134" s="17" t="s">
        <v>1328</v>
      </c>
      <c r="R134" s="17" t="s">
        <v>1328</v>
      </c>
      <c r="S134" s="17" t="s">
        <v>1328</v>
      </c>
      <c r="T134" s="20" t="str">
        <f t="shared" si="3"/>
        <v>Yes</v>
      </c>
      <c r="U134" s="19" t="str">
        <f t="shared" si="4"/>
        <v>AG</v>
      </c>
      <c r="V134" s="17" t="str">
        <f t="shared" si="5"/>
        <v>Yes</v>
      </c>
      <c r="W134" s="17" t="s">
        <v>1329</v>
      </c>
      <c r="X134" s="17" t="s">
        <v>1331</v>
      </c>
      <c r="Y134" s="17" t="s">
        <v>1330</v>
      </c>
      <c r="Z134" s="17" t="s">
        <v>1347</v>
      </c>
      <c r="AA134" s="17" t="s">
        <v>1333</v>
      </c>
      <c r="AB134" s="17" t="s">
        <v>1348</v>
      </c>
      <c r="AC134" s="17" t="s">
        <v>1362</v>
      </c>
      <c r="AD134" s="17">
        <f t="shared" si="6"/>
        <v>2</v>
      </c>
      <c r="AE134" s="17" t="s">
        <v>1336</v>
      </c>
      <c r="AF134" s="17" t="s">
        <v>1328</v>
      </c>
      <c r="AG134" s="17" t="s">
        <v>1328</v>
      </c>
      <c r="AH134" s="17" t="s">
        <v>1336</v>
      </c>
      <c r="AI134" s="17" t="s">
        <v>1336</v>
      </c>
      <c r="AJ134" s="17" t="s">
        <v>1336</v>
      </c>
      <c r="AK134" s="17" t="s">
        <v>1350</v>
      </c>
      <c r="AL134" s="17" t="s">
        <v>1351</v>
      </c>
      <c r="AM134" s="17" t="s">
        <v>1363</v>
      </c>
      <c r="AN134" s="17" t="s">
        <v>1388</v>
      </c>
      <c r="AO134" s="17" t="s">
        <v>1328</v>
      </c>
      <c r="AP134" s="17" t="str">
        <f t="shared" si="7"/>
        <v>intermediate</v>
      </c>
      <c r="AQ134" s="20"/>
    </row>
    <row r="135" ht="15.75" customHeight="1">
      <c r="A135" s="16" t="s">
        <v>2125</v>
      </c>
      <c r="B135" s="16" t="s">
        <v>949</v>
      </c>
      <c r="C135" s="16">
        <v>2018.0</v>
      </c>
      <c r="D135" s="16" t="s">
        <v>2126</v>
      </c>
      <c r="E135" s="16" t="s">
        <v>2127</v>
      </c>
      <c r="F135" s="16" t="s">
        <v>2128</v>
      </c>
      <c r="G135" s="16" t="str">
        <f t="shared" si="1"/>
        <v>No</v>
      </c>
      <c r="H135" s="16" t="s">
        <v>1324</v>
      </c>
      <c r="I135" s="16" t="s">
        <v>1324</v>
      </c>
      <c r="J135" s="16">
        <v>58.0</v>
      </c>
      <c r="K135" s="17" t="s">
        <v>2129</v>
      </c>
      <c r="L135" s="18" t="str">
        <f t="shared" si="2"/>
        <v>http://dx.doi.org/10.1016/j.apgeog.2018.03.006</v>
      </c>
      <c r="M135" s="19" t="s">
        <v>1370</v>
      </c>
      <c r="N135" s="17" t="s">
        <v>1327</v>
      </c>
      <c r="O135" s="17" t="s">
        <v>1328</v>
      </c>
      <c r="P135" s="17" t="s">
        <v>1328</v>
      </c>
      <c r="Q135" s="17" t="s">
        <v>1328</v>
      </c>
      <c r="R135" s="17" t="s">
        <v>1328</v>
      </c>
      <c r="S135" s="17" t="s">
        <v>1328</v>
      </c>
      <c r="T135" s="20" t="str">
        <f t="shared" si="3"/>
        <v>Yes</v>
      </c>
      <c r="U135" s="19" t="str">
        <f t="shared" si="4"/>
        <v>PJ</v>
      </c>
      <c r="V135" s="17" t="str">
        <f t="shared" si="5"/>
        <v>Yes</v>
      </c>
      <c r="W135" s="17" t="s">
        <v>1329</v>
      </c>
      <c r="X135" s="17" t="s">
        <v>1330</v>
      </c>
      <c r="Y135" s="17" t="s">
        <v>1331</v>
      </c>
      <c r="Z135" s="17" t="s">
        <v>1347</v>
      </c>
      <c r="AA135" s="17" t="s">
        <v>1333</v>
      </c>
      <c r="AB135" s="17" t="s">
        <v>1381</v>
      </c>
      <c r="AC135" s="17" t="s">
        <v>1530</v>
      </c>
      <c r="AD135" s="17">
        <f t="shared" si="6"/>
        <v>3</v>
      </c>
      <c r="AE135" s="17" t="s">
        <v>1336</v>
      </c>
      <c r="AF135" s="17" t="s">
        <v>1328</v>
      </c>
      <c r="AG135" s="17" t="s">
        <v>1336</v>
      </c>
      <c r="AH135" s="17" t="s">
        <v>1336</v>
      </c>
      <c r="AI135" s="17" t="s">
        <v>1328</v>
      </c>
      <c r="AJ135" s="17" t="s">
        <v>1328</v>
      </c>
      <c r="AK135" s="17" t="s">
        <v>1350</v>
      </c>
      <c r="AL135" s="17" t="s">
        <v>1338</v>
      </c>
      <c r="AM135" s="17" t="s">
        <v>1339</v>
      </c>
      <c r="AN135" s="17" t="s">
        <v>1331</v>
      </c>
      <c r="AO135" s="17" t="s">
        <v>1328</v>
      </c>
      <c r="AP135" s="17" t="str">
        <f t="shared" si="7"/>
        <v>intermediate</v>
      </c>
      <c r="AQ135" s="20"/>
    </row>
    <row r="136" ht="15.75" customHeight="1">
      <c r="A136" s="16" t="s">
        <v>2130</v>
      </c>
      <c r="B136" s="16" t="s">
        <v>2131</v>
      </c>
      <c r="C136" s="16">
        <v>2014.0</v>
      </c>
      <c r="D136" s="16" t="s">
        <v>2132</v>
      </c>
      <c r="E136" s="16" t="s">
        <v>2133</v>
      </c>
      <c r="F136" s="16" t="s">
        <v>2134</v>
      </c>
      <c r="G136" s="16" t="str">
        <f t="shared" si="1"/>
        <v>No</v>
      </c>
      <c r="H136" s="16" t="s">
        <v>1324</v>
      </c>
      <c r="I136" s="16" t="s">
        <v>1324</v>
      </c>
      <c r="J136" s="16">
        <v>134.0</v>
      </c>
      <c r="K136" s="17" t="s">
        <v>2135</v>
      </c>
      <c r="L136" s="18" t="str">
        <f t="shared" si="2"/>
        <v>http://dx.doi.org/10.1016/j.agrformet.2014.01.002</v>
      </c>
      <c r="M136" s="19" t="s">
        <v>1358</v>
      </c>
      <c r="N136" s="17" t="s">
        <v>1403</v>
      </c>
      <c r="O136" s="17" t="s">
        <v>1328</v>
      </c>
      <c r="P136" s="17" t="s">
        <v>1328</v>
      </c>
      <c r="Q136" s="17" t="s">
        <v>1328</v>
      </c>
      <c r="R136" s="17" t="s">
        <v>1328</v>
      </c>
      <c r="S136" s="17" t="s">
        <v>1328</v>
      </c>
      <c r="T136" s="20" t="str">
        <f t="shared" si="3"/>
        <v>Yes</v>
      </c>
      <c r="U136" s="19" t="str">
        <f t="shared" si="4"/>
        <v>DB</v>
      </c>
      <c r="V136" s="17" t="str">
        <f t="shared" si="5"/>
        <v>Yes</v>
      </c>
      <c r="W136" s="17" t="s">
        <v>1631</v>
      </c>
      <c r="X136" s="17" t="s">
        <v>1330</v>
      </c>
      <c r="Y136" s="17" t="s">
        <v>1331</v>
      </c>
      <c r="Z136" s="17" t="s">
        <v>1347</v>
      </c>
      <c r="AA136" s="17" t="s">
        <v>1333</v>
      </c>
      <c r="AB136" s="17" t="s">
        <v>1361</v>
      </c>
      <c r="AC136" s="17" t="s">
        <v>1362</v>
      </c>
      <c r="AD136" s="17">
        <f t="shared" si="6"/>
        <v>2</v>
      </c>
      <c r="AE136" s="17" t="s">
        <v>1328</v>
      </c>
      <c r="AF136" s="17" t="s">
        <v>1328</v>
      </c>
      <c r="AG136" s="17" t="s">
        <v>1336</v>
      </c>
      <c r="AH136" s="17" t="s">
        <v>1336</v>
      </c>
      <c r="AI136" s="17" t="s">
        <v>1336</v>
      </c>
      <c r="AJ136" s="17" t="s">
        <v>1336</v>
      </c>
      <c r="AK136" s="17" t="s">
        <v>1350</v>
      </c>
      <c r="AL136" s="17" t="s">
        <v>1351</v>
      </c>
      <c r="AM136" s="17" t="s">
        <v>1363</v>
      </c>
      <c r="AN136" s="17" t="s">
        <v>1331</v>
      </c>
      <c r="AO136" s="17" t="s">
        <v>1328</v>
      </c>
      <c r="AP136" s="17" t="str">
        <f t="shared" si="7"/>
        <v>intermediate</v>
      </c>
      <c r="AQ136" s="20" t="s">
        <v>1639</v>
      </c>
    </row>
    <row r="137" ht="15.75" customHeight="1">
      <c r="A137" s="16" t="s">
        <v>2136</v>
      </c>
      <c r="B137" s="16" t="s">
        <v>2131</v>
      </c>
      <c r="C137" s="16">
        <v>2012.0</v>
      </c>
      <c r="D137" s="16" t="s">
        <v>2137</v>
      </c>
      <c r="E137" s="16" t="s">
        <v>2138</v>
      </c>
      <c r="F137" s="16" t="s">
        <v>2139</v>
      </c>
      <c r="G137" s="16" t="str">
        <f t="shared" si="1"/>
        <v>No</v>
      </c>
      <c r="H137" s="16" t="s">
        <v>1324</v>
      </c>
      <c r="I137" s="16" t="s">
        <v>1324</v>
      </c>
      <c r="J137" s="16">
        <v>49.0</v>
      </c>
      <c r="K137" s="17" t="s">
        <v>2140</v>
      </c>
      <c r="L137" s="18" t="str">
        <f t="shared" si="2"/>
        <v>http://dx.doi.org/10.1016/j.agrformet.2012.07.007</v>
      </c>
      <c r="M137" s="19" t="s">
        <v>1666</v>
      </c>
      <c r="N137" s="17" t="s">
        <v>1371</v>
      </c>
      <c r="O137" s="17" t="s">
        <v>1328</v>
      </c>
      <c r="P137" s="17" t="s">
        <v>1328</v>
      </c>
      <c r="Q137" s="17" t="s">
        <v>1328</v>
      </c>
      <c r="R137" s="17" t="s">
        <v>1328</v>
      </c>
      <c r="S137" s="17" t="s">
        <v>1328</v>
      </c>
      <c r="T137" s="20" t="str">
        <f t="shared" si="3"/>
        <v>Yes</v>
      </c>
      <c r="U137" s="19" t="str">
        <f t="shared" si="4"/>
        <v>LC</v>
      </c>
      <c r="V137" s="17" t="str">
        <f t="shared" si="5"/>
        <v>Yes</v>
      </c>
      <c r="W137" s="17" t="s">
        <v>1329</v>
      </c>
      <c r="X137" s="17" t="s">
        <v>1372</v>
      </c>
      <c r="Y137" s="17" t="s">
        <v>1372</v>
      </c>
      <c r="Z137" s="17" t="s">
        <v>1347</v>
      </c>
      <c r="AA137" s="17" t="s">
        <v>1333</v>
      </c>
      <c r="AB137" s="17" t="s">
        <v>1348</v>
      </c>
      <c r="AC137" s="17" t="s">
        <v>1362</v>
      </c>
      <c r="AD137" s="17">
        <f t="shared" si="6"/>
        <v>2</v>
      </c>
      <c r="AE137" s="17" t="s">
        <v>1336</v>
      </c>
      <c r="AF137" s="17" t="s">
        <v>1336</v>
      </c>
      <c r="AG137" s="17" t="s">
        <v>1336</v>
      </c>
      <c r="AH137" s="17" t="s">
        <v>1328</v>
      </c>
      <c r="AI137" s="17" t="s">
        <v>1336</v>
      </c>
      <c r="AJ137" s="17" t="s">
        <v>1328</v>
      </c>
      <c r="AK137" s="17" t="s">
        <v>1350</v>
      </c>
      <c r="AL137" s="17" t="s">
        <v>1351</v>
      </c>
      <c r="AM137" s="17" t="s">
        <v>1363</v>
      </c>
      <c r="AN137" s="17" t="s">
        <v>1388</v>
      </c>
      <c r="AO137" s="17" t="s">
        <v>1328</v>
      </c>
      <c r="AP137" s="17" t="str">
        <f t="shared" si="7"/>
        <v>intermediate</v>
      </c>
      <c r="AQ137" s="20"/>
    </row>
    <row r="138" ht="15.75" customHeight="1">
      <c r="A138" s="16" t="s">
        <v>2141</v>
      </c>
      <c r="B138" s="16" t="s">
        <v>2142</v>
      </c>
      <c r="C138" s="16">
        <v>2006.0</v>
      </c>
      <c r="D138" s="16" t="s">
        <v>2143</v>
      </c>
      <c r="E138" s="16" t="s">
        <v>2144</v>
      </c>
      <c r="F138" s="16" t="s">
        <v>2145</v>
      </c>
      <c r="G138" s="16" t="str">
        <f t="shared" si="1"/>
        <v>No</v>
      </c>
      <c r="H138" s="16" t="s">
        <v>1324</v>
      </c>
      <c r="I138" s="16" t="s">
        <v>1324</v>
      </c>
      <c r="J138" s="16">
        <v>142.0</v>
      </c>
      <c r="K138" s="17" t="s">
        <v>2146</v>
      </c>
      <c r="L138" s="18" t="str">
        <f t="shared" si="2"/>
        <v>http://dx.doi.org/10.1016/j.agee.2005.10.019</v>
      </c>
      <c r="M138" s="19" t="s">
        <v>1947</v>
      </c>
      <c r="N138" s="17" t="s">
        <v>1327</v>
      </c>
      <c r="O138" s="17" t="s">
        <v>1328</v>
      </c>
      <c r="P138" s="17" t="s">
        <v>1328</v>
      </c>
      <c r="Q138" s="17" t="s">
        <v>1328</v>
      </c>
      <c r="R138" s="17" t="s">
        <v>1328</v>
      </c>
      <c r="S138" s="17" t="s">
        <v>1328</v>
      </c>
      <c r="T138" s="20" t="str">
        <f t="shared" si="3"/>
        <v>Yes</v>
      </c>
      <c r="U138" s="19" t="str">
        <f t="shared" si="4"/>
        <v>PJ</v>
      </c>
      <c r="V138" s="17" t="str">
        <f t="shared" si="5"/>
        <v>Yes</v>
      </c>
      <c r="W138" s="17" t="s">
        <v>1329</v>
      </c>
      <c r="X138" s="17" t="s">
        <v>1330</v>
      </c>
      <c r="Y138" s="17" t="s">
        <v>1331</v>
      </c>
      <c r="Z138" s="17" t="s">
        <v>1347</v>
      </c>
      <c r="AA138" s="17" t="s">
        <v>1333</v>
      </c>
      <c r="AB138" s="17" t="s">
        <v>1334</v>
      </c>
      <c r="AC138" s="17" t="s">
        <v>1362</v>
      </c>
      <c r="AD138" s="17">
        <f t="shared" si="6"/>
        <v>2</v>
      </c>
      <c r="AE138" s="17" t="s">
        <v>1336</v>
      </c>
      <c r="AF138" s="17" t="s">
        <v>1328</v>
      </c>
      <c r="AG138" s="17" t="s">
        <v>1328</v>
      </c>
      <c r="AH138" s="17" t="s">
        <v>1336</v>
      </c>
      <c r="AI138" s="17" t="s">
        <v>1336</v>
      </c>
      <c r="AJ138" s="17" t="s">
        <v>1336</v>
      </c>
      <c r="AK138" s="17" t="s">
        <v>1350</v>
      </c>
      <c r="AL138" s="17" t="s">
        <v>1351</v>
      </c>
      <c r="AM138" s="17" t="s">
        <v>1363</v>
      </c>
      <c r="AN138" s="17" t="s">
        <v>1331</v>
      </c>
      <c r="AO138" s="17" t="s">
        <v>1328</v>
      </c>
      <c r="AP138" s="17" t="str">
        <f t="shared" si="7"/>
        <v>intermediate</v>
      </c>
      <c r="AQ138" s="20"/>
    </row>
    <row r="139" ht="15.75" customHeight="1">
      <c r="A139" s="16" t="s">
        <v>2147</v>
      </c>
      <c r="B139" s="16" t="s">
        <v>2148</v>
      </c>
      <c r="C139" s="16">
        <v>2014.0</v>
      </c>
      <c r="D139" s="16" t="s">
        <v>2149</v>
      </c>
      <c r="E139" s="16" t="s">
        <v>2150</v>
      </c>
      <c r="F139" s="16" t="s">
        <v>2151</v>
      </c>
      <c r="G139" s="16" t="str">
        <f t="shared" si="1"/>
        <v>No</v>
      </c>
      <c r="H139" s="16" t="s">
        <v>1324</v>
      </c>
      <c r="I139" s="16" t="s">
        <v>1324</v>
      </c>
      <c r="J139" s="16">
        <v>35.0</v>
      </c>
      <c r="K139" s="17" t="s">
        <v>2152</v>
      </c>
      <c r="L139" s="18" t="str">
        <f t="shared" si="2"/>
        <v>http://dx.doi.org/10.1016/j.actao.2013.12.006</v>
      </c>
      <c r="M139" s="19" t="s">
        <v>1358</v>
      </c>
      <c r="N139" s="17" t="s">
        <v>1403</v>
      </c>
      <c r="O139" s="17" t="s">
        <v>1328</v>
      </c>
      <c r="P139" s="17" t="s">
        <v>1328</v>
      </c>
      <c r="Q139" s="17" t="s">
        <v>1328</v>
      </c>
      <c r="R139" s="17" t="s">
        <v>1328</v>
      </c>
      <c r="S139" s="17" t="s">
        <v>1328</v>
      </c>
      <c r="T139" s="20" t="str">
        <f t="shared" si="3"/>
        <v>Yes</v>
      </c>
      <c r="U139" s="19" t="str">
        <f t="shared" si="4"/>
        <v>DB</v>
      </c>
      <c r="V139" s="17" t="str">
        <f t="shared" si="5"/>
        <v>Yes</v>
      </c>
      <c r="W139" s="17" t="s">
        <v>1631</v>
      </c>
      <c r="X139" s="17" t="s">
        <v>1330</v>
      </c>
      <c r="Y139" s="17" t="s">
        <v>1331</v>
      </c>
      <c r="Z139" s="17" t="s">
        <v>1347</v>
      </c>
      <c r="AA139" s="17" t="s">
        <v>1333</v>
      </c>
      <c r="AB139" s="17" t="s">
        <v>1381</v>
      </c>
      <c r="AC139" s="17" t="s">
        <v>1362</v>
      </c>
      <c r="AD139" s="17">
        <f t="shared" si="6"/>
        <v>2</v>
      </c>
      <c r="AE139" s="17" t="s">
        <v>1328</v>
      </c>
      <c r="AF139" s="17" t="s">
        <v>1328</v>
      </c>
      <c r="AG139" s="17" t="s">
        <v>1336</v>
      </c>
      <c r="AH139" s="17" t="s">
        <v>1336</v>
      </c>
      <c r="AI139" s="17" t="s">
        <v>1336</v>
      </c>
      <c r="AJ139" s="17" t="s">
        <v>1336</v>
      </c>
      <c r="AK139" s="17" t="s">
        <v>1350</v>
      </c>
      <c r="AL139" s="17" t="s">
        <v>1351</v>
      </c>
      <c r="AM139" s="17" t="s">
        <v>1363</v>
      </c>
      <c r="AN139" s="17" t="s">
        <v>1331</v>
      </c>
      <c r="AO139" s="17" t="s">
        <v>1328</v>
      </c>
      <c r="AP139" s="17" t="str">
        <f t="shared" si="7"/>
        <v>intermediate</v>
      </c>
      <c r="AQ139" s="20" t="s">
        <v>1639</v>
      </c>
    </row>
    <row r="140" ht="15.75" customHeight="1">
      <c r="A140" s="16" t="s">
        <v>2153</v>
      </c>
      <c r="B140" s="16" t="s">
        <v>2154</v>
      </c>
      <c r="C140" s="16">
        <v>2008.0</v>
      </c>
      <c r="D140" s="16" t="s">
        <v>2155</v>
      </c>
      <c r="E140" s="16" t="s">
        <v>2156</v>
      </c>
      <c r="F140" s="16" t="s">
        <v>2157</v>
      </c>
      <c r="G140" s="16" t="str">
        <f t="shared" si="1"/>
        <v>No</v>
      </c>
      <c r="H140" s="16" t="s">
        <v>1324</v>
      </c>
      <c r="I140" s="16" t="s">
        <v>1324</v>
      </c>
      <c r="J140" s="16">
        <v>46.0</v>
      </c>
      <c r="K140" s="17" t="s">
        <v>2158</v>
      </c>
      <c r="L140" s="18" t="str">
        <f t="shared" si="2"/>
        <v>http://dx.doi.org/10.1016/B978-012088449-0.50007-8</v>
      </c>
      <c r="M140" s="19" t="s">
        <v>1495</v>
      </c>
      <c r="N140" s="17" t="s">
        <v>1327</v>
      </c>
      <c r="O140" s="17" t="s">
        <v>1328</v>
      </c>
      <c r="P140" s="17" t="s">
        <v>1328</v>
      </c>
      <c r="Q140" s="17" t="s">
        <v>1328</v>
      </c>
      <c r="R140" s="17" t="s">
        <v>1328</v>
      </c>
      <c r="S140" s="17" t="s">
        <v>1328</v>
      </c>
      <c r="T140" s="20" t="str">
        <f t="shared" si="3"/>
        <v>Yes</v>
      </c>
      <c r="U140" s="19" t="str">
        <f t="shared" si="4"/>
        <v>PJ</v>
      </c>
      <c r="V140" s="17" t="str">
        <f t="shared" si="5"/>
        <v>Yes</v>
      </c>
      <c r="W140" s="17" t="s">
        <v>1443</v>
      </c>
      <c r="X140" s="17" t="s">
        <v>1372</v>
      </c>
      <c r="Y140" s="17" t="s">
        <v>1331</v>
      </c>
      <c r="Z140" s="17" t="s">
        <v>1332</v>
      </c>
      <c r="AA140" s="17" t="s">
        <v>1444</v>
      </c>
      <c r="AB140" s="17" t="s">
        <v>1476</v>
      </c>
      <c r="AC140" s="17" t="s">
        <v>1530</v>
      </c>
      <c r="AD140" s="17">
        <f t="shared" si="6"/>
        <v>5</v>
      </c>
      <c r="AE140" s="17" t="s">
        <v>1336</v>
      </c>
      <c r="AF140" s="17" t="s">
        <v>1328</v>
      </c>
      <c r="AG140" s="17" t="s">
        <v>1328</v>
      </c>
      <c r="AH140" s="17" t="s">
        <v>1328</v>
      </c>
      <c r="AI140" s="17" t="s">
        <v>1328</v>
      </c>
      <c r="AJ140" s="17" t="s">
        <v>1328</v>
      </c>
      <c r="AK140" s="17" t="s">
        <v>1350</v>
      </c>
      <c r="AL140" s="17" t="s">
        <v>1351</v>
      </c>
      <c r="AM140" s="17" t="s">
        <v>1339</v>
      </c>
      <c r="AN140" s="17" t="s">
        <v>1331</v>
      </c>
      <c r="AO140" s="17" t="s">
        <v>1328</v>
      </c>
      <c r="AP140" s="17" t="str">
        <f t="shared" si="7"/>
        <v>high</v>
      </c>
      <c r="AQ140" s="20"/>
    </row>
    <row r="141" ht="15.75" customHeight="1">
      <c r="A141" s="16" t="s">
        <v>2159</v>
      </c>
      <c r="B141" s="16" t="s">
        <v>2160</v>
      </c>
      <c r="C141" s="16">
        <v>2012.0</v>
      </c>
      <c r="D141" s="16" t="s">
        <v>2161</v>
      </c>
      <c r="E141" s="16" t="s">
        <v>2162</v>
      </c>
      <c r="F141" s="16" t="s">
        <v>2163</v>
      </c>
      <c r="G141" s="16" t="str">
        <f t="shared" si="1"/>
        <v>No</v>
      </c>
      <c r="H141" s="16" t="s">
        <v>1324</v>
      </c>
      <c r="I141" s="16" t="s">
        <v>1324</v>
      </c>
      <c r="J141" s="16">
        <v>61.0</v>
      </c>
      <c r="K141" s="17" t="s">
        <v>2164</v>
      </c>
      <c r="L141" s="18" t="str">
        <f t="shared" si="2"/>
        <v>http://dx.doi.org/10.1016/B978-0-12-385140-6.00064-5</v>
      </c>
      <c r="M141" s="19" t="s">
        <v>1402</v>
      </c>
      <c r="N141" s="17" t="s">
        <v>1371</v>
      </c>
      <c r="O141" s="17" t="s">
        <v>1328</v>
      </c>
      <c r="P141" s="17" t="s">
        <v>1328</v>
      </c>
      <c r="Q141" s="17" t="s">
        <v>1328</v>
      </c>
      <c r="R141" s="17" t="s">
        <v>1328</v>
      </c>
      <c r="S141" s="17" t="s">
        <v>1328</v>
      </c>
      <c r="T141" s="20" t="str">
        <f t="shared" si="3"/>
        <v>Yes</v>
      </c>
      <c r="U141" s="19" t="str">
        <f t="shared" si="4"/>
        <v>LC</v>
      </c>
      <c r="V141" s="17" t="str">
        <f t="shared" si="5"/>
        <v>Yes</v>
      </c>
      <c r="W141" s="17" t="s">
        <v>1463</v>
      </c>
      <c r="X141" s="17" t="s">
        <v>1330</v>
      </c>
      <c r="Y141" s="17" t="s">
        <v>1331</v>
      </c>
      <c r="Z141" s="17" t="s">
        <v>1331</v>
      </c>
      <c r="AA141" s="17" t="s">
        <v>1444</v>
      </c>
      <c r="AB141" s="17" t="s">
        <v>1445</v>
      </c>
      <c r="AC141" s="17" t="s">
        <v>1349</v>
      </c>
      <c r="AD141" s="17">
        <f t="shared" si="6"/>
        <v>6</v>
      </c>
      <c r="AE141" s="17" t="s">
        <v>1328</v>
      </c>
      <c r="AF141" s="17" t="s">
        <v>1328</v>
      </c>
      <c r="AG141" s="17" t="s">
        <v>1328</v>
      </c>
      <c r="AH141" s="17" t="s">
        <v>1328</v>
      </c>
      <c r="AI141" s="17" t="s">
        <v>1328</v>
      </c>
      <c r="AJ141" s="17" t="s">
        <v>1328</v>
      </c>
      <c r="AK141" s="17" t="s">
        <v>1395</v>
      </c>
      <c r="AL141" s="17" t="s">
        <v>1338</v>
      </c>
      <c r="AM141" s="17" t="s">
        <v>1339</v>
      </c>
      <c r="AN141" s="17" t="s">
        <v>1331</v>
      </c>
      <c r="AO141" s="17" t="s">
        <v>1328</v>
      </c>
      <c r="AP141" s="17" t="str">
        <f t="shared" si="7"/>
        <v>high</v>
      </c>
      <c r="AQ141" s="20"/>
    </row>
    <row r="142" ht="15.75" customHeight="1">
      <c r="A142" s="16" t="s">
        <v>2165</v>
      </c>
      <c r="B142" s="16" t="s">
        <v>2166</v>
      </c>
      <c r="C142" s="16">
        <v>2013.0</v>
      </c>
      <c r="D142" s="16" t="s">
        <v>2167</v>
      </c>
      <c r="E142" s="16" t="s">
        <v>2168</v>
      </c>
      <c r="F142" s="16" t="s">
        <v>2169</v>
      </c>
      <c r="G142" s="16" t="str">
        <f t="shared" si="1"/>
        <v>No</v>
      </c>
      <c r="H142" s="16" t="s">
        <v>1324</v>
      </c>
      <c r="I142" s="16" t="s">
        <v>1324</v>
      </c>
      <c r="J142" s="16">
        <v>17.0</v>
      </c>
      <c r="K142" s="17" t="s">
        <v>2170</v>
      </c>
      <c r="L142" s="18" t="str">
        <f t="shared" si="2"/>
        <v>http://dx.doi.org/10.1007/s40333-013-0181-z</v>
      </c>
      <c r="M142" s="19" t="s">
        <v>1358</v>
      </c>
      <c r="N142" s="17" t="s">
        <v>1403</v>
      </c>
      <c r="O142" s="17" t="s">
        <v>1328</v>
      </c>
      <c r="P142" s="17" t="s">
        <v>1328</v>
      </c>
      <c r="Q142" s="17" t="s">
        <v>1328</v>
      </c>
      <c r="R142" s="17" t="s">
        <v>1328</v>
      </c>
      <c r="S142" s="17" t="s">
        <v>1328</v>
      </c>
      <c r="T142" s="20" t="str">
        <f t="shared" si="3"/>
        <v>Yes</v>
      </c>
      <c r="U142" s="19" t="str">
        <f t="shared" si="4"/>
        <v>DB</v>
      </c>
      <c r="V142" s="17" t="str">
        <f t="shared" si="5"/>
        <v>Yes</v>
      </c>
      <c r="W142" s="17" t="s">
        <v>1631</v>
      </c>
      <c r="X142" s="17" t="s">
        <v>1330</v>
      </c>
      <c r="Y142" s="17" t="s">
        <v>1331</v>
      </c>
      <c r="Z142" s="17" t="s">
        <v>1347</v>
      </c>
      <c r="AA142" s="17" t="s">
        <v>1333</v>
      </c>
      <c r="AB142" s="17" t="s">
        <v>1381</v>
      </c>
      <c r="AC142" s="17" t="s">
        <v>1362</v>
      </c>
      <c r="AD142" s="17">
        <f t="shared" si="6"/>
        <v>2</v>
      </c>
      <c r="AE142" s="17" t="s">
        <v>1328</v>
      </c>
      <c r="AF142" s="17" t="s">
        <v>1328</v>
      </c>
      <c r="AG142" s="17" t="s">
        <v>1336</v>
      </c>
      <c r="AH142" s="17" t="s">
        <v>1336</v>
      </c>
      <c r="AI142" s="17" t="s">
        <v>1336</v>
      </c>
      <c r="AJ142" s="17" t="s">
        <v>1336</v>
      </c>
      <c r="AK142" s="17" t="s">
        <v>1350</v>
      </c>
      <c r="AL142" s="17" t="s">
        <v>1351</v>
      </c>
      <c r="AM142" s="17" t="s">
        <v>1363</v>
      </c>
      <c r="AN142" s="17" t="s">
        <v>1331</v>
      </c>
      <c r="AO142" s="17" t="s">
        <v>1328</v>
      </c>
      <c r="AP142" s="17" t="str">
        <f t="shared" si="7"/>
        <v>intermediate</v>
      </c>
      <c r="AQ142" s="20" t="s">
        <v>1639</v>
      </c>
    </row>
    <row r="143" ht="15.75" customHeight="1">
      <c r="A143" s="16" t="s">
        <v>2171</v>
      </c>
      <c r="B143" s="16" t="s">
        <v>2172</v>
      </c>
      <c r="C143" s="16">
        <v>2014.0</v>
      </c>
      <c r="D143" s="16" t="s">
        <v>2173</v>
      </c>
      <c r="E143" s="16" t="s">
        <v>2174</v>
      </c>
      <c r="F143" s="16" t="s">
        <v>2175</v>
      </c>
      <c r="G143" s="16" t="str">
        <f t="shared" si="1"/>
        <v>No</v>
      </c>
      <c r="H143" s="16" t="s">
        <v>1324</v>
      </c>
      <c r="I143" s="16" t="s">
        <v>1324</v>
      </c>
      <c r="J143" s="16">
        <v>42.0</v>
      </c>
      <c r="K143" s="17" t="s">
        <v>2176</v>
      </c>
      <c r="L143" s="18" t="str">
        <f t="shared" si="2"/>
        <v>http://dx.doi.org/10.1007/s12665-013-2547-0</v>
      </c>
      <c r="M143" s="19" t="s">
        <v>1666</v>
      </c>
      <c r="N143" s="17" t="s">
        <v>1417</v>
      </c>
      <c r="O143" s="17" t="s">
        <v>1328</v>
      </c>
      <c r="P143" s="17" t="s">
        <v>1328</v>
      </c>
      <c r="Q143" s="17" t="s">
        <v>1328</v>
      </c>
      <c r="R143" s="17" t="s">
        <v>1328</v>
      </c>
      <c r="S143" s="17" t="s">
        <v>1328</v>
      </c>
      <c r="T143" s="20" t="str">
        <f t="shared" si="3"/>
        <v>Yes</v>
      </c>
      <c r="U143" s="19" t="str">
        <f t="shared" si="4"/>
        <v>NT</v>
      </c>
      <c r="V143" s="17" t="str">
        <f t="shared" si="5"/>
        <v>Yes</v>
      </c>
      <c r="W143" s="17" t="s">
        <v>1329</v>
      </c>
      <c r="X143" s="17" t="s">
        <v>1330</v>
      </c>
      <c r="Y143" s="17" t="s">
        <v>1331</v>
      </c>
      <c r="Z143" s="17" t="s">
        <v>1332</v>
      </c>
      <c r="AA143" s="17" t="s">
        <v>1333</v>
      </c>
      <c r="AB143" s="17" t="s">
        <v>1381</v>
      </c>
      <c r="AC143" s="17" t="s">
        <v>1362</v>
      </c>
      <c r="AD143" s="17">
        <f t="shared" si="6"/>
        <v>2</v>
      </c>
      <c r="AE143" s="17" t="s">
        <v>1328</v>
      </c>
      <c r="AF143" s="17" t="s">
        <v>1328</v>
      </c>
      <c r="AG143" s="17" t="s">
        <v>1336</v>
      </c>
      <c r="AH143" s="17" t="s">
        <v>1336</v>
      </c>
      <c r="AI143" s="17" t="s">
        <v>1336</v>
      </c>
      <c r="AJ143" s="17" t="s">
        <v>1336</v>
      </c>
      <c r="AK143" s="17" t="s">
        <v>1350</v>
      </c>
      <c r="AL143" s="17" t="s">
        <v>1351</v>
      </c>
      <c r="AM143" s="17" t="s">
        <v>1339</v>
      </c>
      <c r="AN143" s="17" t="s">
        <v>1331</v>
      </c>
      <c r="AO143" s="17" t="s">
        <v>1328</v>
      </c>
      <c r="AP143" s="17" t="str">
        <f t="shared" si="7"/>
        <v>intermediate</v>
      </c>
      <c r="AQ143" s="20"/>
    </row>
    <row r="144" ht="15.75" customHeight="1">
      <c r="A144" s="16" t="s">
        <v>2177</v>
      </c>
      <c r="B144" s="16" t="s">
        <v>2172</v>
      </c>
      <c r="C144" s="16">
        <v>2011.0</v>
      </c>
      <c r="D144" s="16" t="s">
        <v>2178</v>
      </c>
      <c r="E144" s="16" t="s">
        <v>2179</v>
      </c>
      <c r="F144" s="16" t="s">
        <v>2180</v>
      </c>
      <c r="G144" s="16" t="str">
        <f t="shared" si="1"/>
        <v>No</v>
      </c>
      <c r="H144" s="16" t="s">
        <v>1324</v>
      </c>
      <c r="I144" s="16" t="s">
        <v>1324</v>
      </c>
      <c r="J144" s="16">
        <v>88.0</v>
      </c>
      <c r="K144" s="17" t="s">
        <v>2181</v>
      </c>
      <c r="L144" s="18" t="str">
        <f t="shared" si="2"/>
        <v>http://dx.doi.org/10.1007/s12665-011-1046-4</v>
      </c>
      <c r="M144" s="19" t="s">
        <v>1358</v>
      </c>
      <c r="N144" s="17" t="s">
        <v>1436</v>
      </c>
      <c r="O144" s="17" t="s">
        <v>1328</v>
      </c>
      <c r="P144" s="17" t="s">
        <v>1328</v>
      </c>
      <c r="Q144" s="17" t="s">
        <v>1328</v>
      </c>
      <c r="R144" s="17" t="s">
        <v>1328</v>
      </c>
      <c r="S144" s="17" t="s">
        <v>1328</v>
      </c>
      <c r="T144" s="20" t="str">
        <f t="shared" si="3"/>
        <v>Yes</v>
      </c>
      <c r="U144" s="19" t="str">
        <f t="shared" si="4"/>
        <v>CG</v>
      </c>
      <c r="V144" s="17" t="str">
        <f t="shared" si="5"/>
        <v>Yes</v>
      </c>
      <c r="W144" s="17" t="s">
        <v>1329</v>
      </c>
      <c r="X144" s="17" t="s">
        <v>1330</v>
      </c>
      <c r="Y144" s="17" t="s">
        <v>1331</v>
      </c>
      <c r="Z144" s="17" t="s">
        <v>1347</v>
      </c>
      <c r="AA144" s="17" t="s">
        <v>1333</v>
      </c>
      <c r="AB144" s="17" t="s">
        <v>1381</v>
      </c>
      <c r="AC144" s="17" t="s">
        <v>1362</v>
      </c>
      <c r="AD144" s="17">
        <f t="shared" si="6"/>
        <v>2</v>
      </c>
      <c r="AE144" s="17" t="s">
        <v>1328</v>
      </c>
      <c r="AF144" s="17" t="s">
        <v>1328</v>
      </c>
      <c r="AG144" s="17" t="s">
        <v>1336</v>
      </c>
      <c r="AH144" s="17" t="s">
        <v>1336</v>
      </c>
      <c r="AI144" s="17" t="s">
        <v>1336</v>
      </c>
      <c r="AJ144" s="17" t="s">
        <v>1336</v>
      </c>
      <c r="AK144" s="17" t="s">
        <v>1350</v>
      </c>
      <c r="AL144" s="17" t="s">
        <v>1351</v>
      </c>
      <c r="AM144" s="17" t="s">
        <v>1363</v>
      </c>
      <c r="AN144" s="17" t="s">
        <v>1388</v>
      </c>
      <c r="AO144" s="17" t="s">
        <v>1328</v>
      </c>
      <c r="AP144" s="17" t="str">
        <f t="shared" si="7"/>
        <v>intermediate</v>
      </c>
      <c r="AQ144" s="20"/>
    </row>
    <row r="145" ht="15.75" customHeight="1">
      <c r="A145" s="21" t="s">
        <v>2182</v>
      </c>
      <c r="B145" s="21" t="s">
        <v>2183</v>
      </c>
      <c r="C145" s="21">
        <v>2012.0</v>
      </c>
      <c r="D145" s="21" t="s">
        <v>2184</v>
      </c>
      <c r="E145" s="21" t="s">
        <v>2185</v>
      </c>
      <c r="F145" s="21" t="s">
        <v>2186</v>
      </c>
      <c r="G145" s="16" t="str">
        <f t="shared" si="1"/>
        <v>No</v>
      </c>
      <c r="H145" s="16" t="s">
        <v>1324</v>
      </c>
      <c r="I145" s="16" t="s">
        <v>1324</v>
      </c>
      <c r="J145" s="16">
        <v>11.0</v>
      </c>
      <c r="K145" s="17" t="s">
        <v>2187</v>
      </c>
      <c r="L145" s="18" t="str">
        <f t="shared" si="2"/>
        <v>http://dx.doi.org/10.1007/s12237-012-9506-y</v>
      </c>
      <c r="M145" s="19" t="s">
        <v>1346</v>
      </c>
      <c r="N145" s="17" t="s">
        <v>1387</v>
      </c>
      <c r="O145" s="17" t="s">
        <v>1328</v>
      </c>
      <c r="P145" s="17" t="s">
        <v>1328</v>
      </c>
      <c r="Q145" s="17" t="s">
        <v>1328</v>
      </c>
      <c r="R145" s="17" t="s">
        <v>1328</v>
      </c>
      <c r="S145" s="17" t="s">
        <v>1328</v>
      </c>
      <c r="T145" s="20" t="str">
        <f t="shared" si="3"/>
        <v>Yes</v>
      </c>
      <c r="U145" s="19" t="str">
        <f t="shared" si="4"/>
        <v>MW</v>
      </c>
      <c r="V145" s="17" t="str">
        <f t="shared" si="5"/>
        <v>Yes</v>
      </c>
      <c r="W145" s="17" t="s">
        <v>1329</v>
      </c>
      <c r="X145" s="17" t="s">
        <v>1330</v>
      </c>
      <c r="Y145" s="17" t="s">
        <v>1331</v>
      </c>
      <c r="Z145" s="17" t="s">
        <v>1347</v>
      </c>
      <c r="AA145" s="17" t="s">
        <v>1333</v>
      </c>
      <c r="AB145" s="17" t="s">
        <v>1361</v>
      </c>
      <c r="AC145" s="17" t="s">
        <v>1530</v>
      </c>
      <c r="AD145" s="22">
        <f t="shared" si="6"/>
        <v>3</v>
      </c>
      <c r="AE145" s="17" t="s">
        <v>1328</v>
      </c>
      <c r="AF145" s="17" t="s">
        <v>1328</v>
      </c>
      <c r="AG145" s="17" t="s">
        <v>1336</v>
      </c>
      <c r="AH145" s="17" t="s">
        <v>1336</v>
      </c>
      <c r="AI145" s="17" t="s">
        <v>1336</v>
      </c>
      <c r="AJ145" s="17" t="s">
        <v>1328</v>
      </c>
      <c r="AK145" s="17" t="s">
        <v>1350</v>
      </c>
      <c r="AL145" s="17" t="s">
        <v>1351</v>
      </c>
      <c r="AM145" s="17" t="s">
        <v>1363</v>
      </c>
      <c r="AN145" s="17" t="s">
        <v>1374</v>
      </c>
      <c r="AO145" s="17" t="s">
        <v>1328</v>
      </c>
      <c r="AP145" s="17" t="str">
        <f t="shared" si="7"/>
        <v>intermediate</v>
      </c>
      <c r="AQ145" s="20"/>
    </row>
    <row r="146" ht="15.75" customHeight="1">
      <c r="A146" s="16" t="s">
        <v>2188</v>
      </c>
      <c r="B146" s="16" t="s">
        <v>2189</v>
      </c>
      <c r="C146" s="16">
        <v>2013.0</v>
      </c>
      <c r="D146" s="16" t="s">
        <v>2190</v>
      </c>
      <c r="E146" s="16" t="s">
        <v>2191</v>
      </c>
      <c r="F146" s="16" t="s">
        <v>2192</v>
      </c>
      <c r="G146" s="16" t="str">
        <f t="shared" si="1"/>
        <v>No</v>
      </c>
      <c r="H146" s="16" t="s">
        <v>1324</v>
      </c>
      <c r="I146" s="16" t="s">
        <v>1324</v>
      </c>
      <c r="J146" s="16">
        <v>38.0</v>
      </c>
      <c r="K146" s="17" t="s">
        <v>2193</v>
      </c>
      <c r="L146" s="18" t="str">
        <f t="shared" si="2"/>
        <v>http://dx.doi.org/10.1007/s11707-012-0335-x</v>
      </c>
      <c r="M146" s="19" t="s">
        <v>1358</v>
      </c>
      <c r="N146" s="17" t="s">
        <v>1417</v>
      </c>
      <c r="O146" s="17" t="s">
        <v>1328</v>
      </c>
      <c r="P146" s="17" t="s">
        <v>1328</v>
      </c>
      <c r="Q146" s="17" t="s">
        <v>1328</v>
      </c>
      <c r="R146" s="17" t="s">
        <v>1328</v>
      </c>
      <c r="S146" s="17" t="s">
        <v>1328</v>
      </c>
      <c r="T146" s="20" t="str">
        <f t="shared" si="3"/>
        <v>Yes</v>
      </c>
      <c r="U146" s="19" t="str">
        <f t="shared" si="4"/>
        <v>NT</v>
      </c>
      <c r="V146" s="17" t="str">
        <f t="shared" si="5"/>
        <v>Yes</v>
      </c>
      <c r="W146" s="17" t="s">
        <v>1329</v>
      </c>
      <c r="X146" s="17" t="s">
        <v>1330</v>
      </c>
      <c r="Y146" s="17" t="s">
        <v>1372</v>
      </c>
      <c r="Z146" s="17" t="s">
        <v>1347</v>
      </c>
      <c r="AA146" s="17" t="s">
        <v>1360</v>
      </c>
      <c r="AB146" s="17" t="s">
        <v>1381</v>
      </c>
      <c r="AC146" s="17" t="s">
        <v>1362</v>
      </c>
      <c r="AD146" s="17">
        <f t="shared" si="6"/>
        <v>2</v>
      </c>
      <c r="AE146" s="17" t="s">
        <v>1328</v>
      </c>
      <c r="AF146" s="17" t="s">
        <v>1328</v>
      </c>
      <c r="AG146" s="17" t="s">
        <v>1336</v>
      </c>
      <c r="AH146" s="17" t="s">
        <v>1336</v>
      </c>
      <c r="AI146" s="17" t="s">
        <v>1336</v>
      </c>
      <c r="AJ146" s="17" t="s">
        <v>1336</v>
      </c>
      <c r="AK146" s="17" t="s">
        <v>1350</v>
      </c>
      <c r="AL146" s="17" t="s">
        <v>1351</v>
      </c>
      <c r="AM146" s="17" t="s">
        <v>1363</v>
      </c>
      <c r="AN146" s="17" t="s">
        <v>1331</v>
      </c>
      <c r="AO146" s="17" t="s">
        <v>1328</v>
      </c>
      <c r="AP146" s="17" t="str">
        <f t="shared" si="7"/>
        <v>high</v>
      </c>
      <c r="AQ146" s="20"/>
    </row>
    <row r="147" ht="15.75" customHeight="1">
      <c r="A147" s="16" t="s">
        <v>2194</v>
      </c>
      <c r="B147" s="16" t="s">
        <v>468</v>
      </c>
      <c r="C147" s="16">
        <v>2014.0</v>
      </c>
      <c r="D147" s="16" t="s">
        <v>2195</v>
      </c>
      <c r="E147" s="16" t="s">
        <v>2196</v>
      </c>
      <c r="F147" s="16" t="s">
        <v>2197</v>
      </c>
      <c r="G147" s="16" t="str">
        <f t="shared" si="1"/>
        <v>No</v>
      </c>
      <c r="H147" s="16" t="s">
        <v>1324</v>
      </c>
      <c r="I147" s="16" t="s">
        <v>1324</v>
      </c>
      <c r="J147" s="16">
        <v>68.0</v>
      </c>
      <c r="K147" s="17" t="s">
        <v>2198</v>
      </c>
      <c r="L147" s="18" t="str">
        <f t="shared" si="2"/>
        <v>http://dx.doi.org/10.1007/s11270-014-1925-x</v>
      </c>
      <c r="M147" s="19" t="s">
        <v>1358</v>
      </c>
      <c r="N147" s="17" t="s">
        <v>1359</v>
      </c>
      <c r="O147" s="17" t="s">
        <v>1328</v>
      </c>
      <c r="P147" s="17" t="s">
        <v>1328</v>
      </c>
      <c r="Q147" s="17" t="s">
        <v>1328</v>
      </c>
      <c r="R147" s="17" t="s">
        <v>1328</v>
      </c>
      <c r="S147" s="17" t="s">
        <v>1328</v>
      </c>
      <c r="T147" s="20" t="str">
        <f t="shared" si="3"/>
        <v>Yes</v>
      </c>
      <c r="U147" s="19" t="str">
        <f t="shared" si="4"/>
        <v>YT</v>
      </c>
      <c r="V147" s="17" t="str">
        <f t="shared" si="5"/>
        <v>Yes</v>
      </c>
      <c r="W147" s="17" t="s">
        <v>1329</v>
      </c>
      <c r="X147" s="17" t="s">
        <v>1331</v>
      </c>
      <c r="Y147" s="17" t="s">
        <v>1372</v>
      </c>
      <c r="Z147" s="17" t="s">
        <v>1347</v>
      </c>
      <c r="AA147" s="17" t="s">
        <v>1333</v>
      </c>
      <c r="AB147" s="17" t="s">
        <v>1348</v>
      </c>
      <c r="AC147" s="17" t="s">
        <v>1362</v>
      </c>
      <c r="AD147" s="17">
        <f t="shared" si="6"/>
        <v>2</v>
      </c>
      <c r="AE147" s="17" t="s">
        <v>1336</v>
      </c>
      <c r="AF147" s="17" t="s">
        <v>1328</v>
      </c>
      <c r="AG147" s="17" t="s">
        <v>1328</v>
      </c>
      <c r="AH147" s="17" t="s">
        <v>1336</v>
      </c>
      <c r="AI147" s="17" t="s">
        <v>1336</v>
      </c>
      <c r="AJ147" s="17" t="s">
        <v>1336</v>
      </c>
      <c r="AK147" s="17" t="s">
        <v>1395</v>
      </c>
      <c r="AL147" s="17" t="s">
        <v>1351</v>
      </c>
      <c r="AM147" s="17" t="s">
        <v>1339</v>
      </c>
      <c r="AN147" s="17" t="s">
        <v>1331</v>
      </c>
      <c r="AO147" s="17" t="s">
        <v>1328</v>
      </c>
      <c r="AP147" s="17" t="str">
        <f t="shared" si="7"/>
        <v>intermediate</v>
      </c>
      <c r="AQ147" s="20"/>
    </row>
    <row r="148" ht="15.75" customHeight="1">
      <c r="A148" s="16" t="s">
        <v>2199</v>
      </c>
      <c r="B148" s="16" t="s">
        <v>2200</v>
      </c>
      <c r="C148" s="16">
        <v>2015.0</v>
      </c>
      <c r="D148" s="16" t="s">
        <v>2201</v>
      </c>
      <c r="E148" s="16" t="s">
        <v>2202</v>
      </c>
      <c r="F148" s="16" t="s">
        <v>2203</v>
      </c>
      <c r="G148" s="16" t="str">
        <f t="shared" si="1"/>
        <v>No</v>
      </c>
      <c r="H148" s="16" t="s">
        <v>1324</v>
      </c>
      <c r="I148" s="16" t="s">
        <v>1324</v>
      </c>
      <c r="J148" s="16">
        <v>32.0</v>
      </c>
      <c r="K148" s="17" t="s">
        <v>2204</v>
      </c>
      <c r="L148" s="18" t="str">
        <f t="shared" si="2"/>
        <v>http://dx.doi.org/10.1007/s10584-015-1448-5</v>
      </c>
      <c r="M148" s="19" t="s">
        <v>1358</v>
      </c>
      <c r="N148" s="17" t="s">
        <v>1359</v>
      </c>
      <c r="O148" s="17" t="s">
        <v>1328</v>
      </c>
      <c r="P148" s="17" t="s">
        <v>1328</v>
      </c>
      <c r="Q148" s="17" t="s">
        <v>1328</v>
      </c>
      <c r="R148" s="17" t="s">
        <v>1328</v>
      </c>
      <c r="S148" s="17" t="s">
        <v>1328</v>
      </c>
      <c r="T148" s="20" t="str">
        <f t="shared" si="3"/>
        <v>Yes</v>
      </c>
      <c r="U148" s="19" t="str">
        <f t="shared" si="4"/>
        <v>YT</v>
      </c>
      <c r="V148" s="17" t="str">
        <f t="shared" si="5"/>
        <v>Yes</v>
      </c>
      <c r="W148" s="17" t="s">
        <v>1329</v>
      </c>
      <c r="X148" s="17" t="s">
        <v>1330</v>
      </c>
      <c r="Y148" s="17" t="s">
        <v>1331</v>
      </c>
      <c r="Z148" s="17" t="s">
        <v>1347</v>
      </c>
      <c r="AA148" s="17" t="s">
        <v>1333</v>
      </c>
      <c r="AB148" s="17" t="s">
        <v>1381</v>
      </c>
      <c r="AC148" s="17" t="s">
        <v>1362</v>
      </c>
      <c r="AD148" s="17">
        <f t="shared" si="6"/>
        <v>3</v>
      </c>
      <c r="AE148" s="17" t="s">
        <v>1328</v>
      </c>
      <c r="AF148" s="17" t="s">
        <v>1328</v>
      </c>
      <c r="AG148" s="17" t="s">
        <v>1336</v>
      </c>
      <c r="AH148" s="17" t="s">
        <v>1336</v>
      </c>
      <c r="AI148" s="17" t="s">
        <v>1328</v>
      </c>
      <c r="AJ148" s="17" t="s">
        <v>1336</v>
      </c>
      <c r="AK148" s="17" t="s">
        <v>1350</v>
      </c>
      <c r="AL148" s="17" t="s">
        <v>1351</v>
      </c>
      <c r="AM148" s="17" t="s">
        <v>1339</v>
      </c>
      <c r="AN148" s="17" t="s">
        <v>1331</v>
      </c>
      <c r="AO148" s="17" t="s">
        <v>1328</v>
      </c>
      <c r="AP148" s="17" t="str">
        <f t="shared" si="7"/>
        <v>intermediate</v>
      </c>
      <c r="AQ148" s="20"/>
    </row>
    <row r="149" ht="15.75" customHeight="1">
      <c r="A149" s="16" t="s">
        <v>2205</v>
      </c>
      <c r="B149" s="16" t="s">
        <v>1824</v>
      </c>
      <c r="C149" s="16">
        <v>2016.0</v>
      </c>
      <c r="D149" s="16" t="s">
        <v>2206</v>
      </c>
      <c r="E149" s="16" t="s">
        <v>2207</v>
      </c>
      <c r="F149" s="16" t="s">
        <v>2208</v>
      </c>
      <c r="G149" s="16" t="str">
        <f t="shared" si="1"/>
        <v>No</v>
      </c>
      <c r="H149" s="16" t="s">
        <v>1324</v>
      </c>
      <c r="I149" s="16" t="s">
        <v>1324</v>
      </c>
      <c r="J149" s="16">
        <v>88.0</v>
      </c>
      <c r="K149" s="17" t="s">
        <v>2209</v>
      </c>
      <c r="L149" s="18" t="str">
        <f t="shared" si="2"/>
        <v>http://dx.doi.org/10.1007/s10531-016-1172-0</v>
      </c>
      <c r="M149" s="19" t="s">
        <v>1482</v>
      </c>
      <c r="N149" s="17" t="s">
        <v>1327</v>
      </c>
      <c r="O149" s="17" t="s">
        <v>1328</v>
      </c>
      <c r="P149" s="17" t="s">
        <v>1328</v>
      </c>
      <c r="Q149" s="17" t="s">
        <v>1328</v>
      </c>
      <c r="R149" s="17" t="s">
        <v>1328</v>
      </c>
      <c r="S149" s="17" t="s">
        <v>1328</v>
      </c>
      <c r="T149" s="20" t="str">
        <f t="shared" si="3"/>
        <v>Yes</v>
      </c>
      <c r="U149" s="19" t="str">
        <f t="shared" si="4"/>
        <v>PJ</v>
      </c>
      <c r="V149" s="17" t="str">
        <f t="shared" si="5"/>
        <v>Yes</v>
      </c>
      <c r="W149" s="17" t="s">
        <v>1443</v>
      </c>
      <c r="X149" s="17" t="s">
        <v>1330</v>
      </c>
      <c r="Y149" s="17" t="s">
        <v>1523</v>
      </c>
      <c r="Z149" s="17" t="s">
        <v>1332</v>
      </c>
      <c r="AA149" s="17" t="s">
        <v>1360</v>
      </c>
      <c r="AB149" s="17" t="s">
        <v>1361</v>
      </c>
      <c r="AC149" s="17" t="s">
        <v>1362</v>
      </c>
      <c r="AD149" s="17">
        <f t="shared" si="6"/>
        <v>3</v>
      </c>
      <c r="AE149" s="17" t="s">
        <v>1328</v>
      </c>
      <c r="AF149" s="17" t="s">
        <v>1328</v>
      </c>
      <c r="AG149" s="17" t="s">
        <v>1328</v>
      </c>
      <c r="AH149" s="17" t="s">
        <v>1336</v>
      </c>
      <c r="AI149" s="17" t="s">
        <v>1336</v>
      </c>
      <c r="AJ149" s="17" t="s">
        <v>1336</v>
      </c>
      <c r="AK149" s="17" t="s">
        <v>1395</v>
      </c>
      <c r="AL149" s="17" t="s">
        <v>1351</v>
      </c>
      <c r="AM149" s="17" t="s">
        <v>1339</v>
      </c>
      <c r="AN149" s="17" t="s">
        <v>1331</v>
      </c>
      <c r="AO149" s="17" t="s">
        <v>1328</v>
      </c>
      <c r="AP149" s="17" t="str">
        <f t="shared" si="7"/>
        <v>high</v>
      </c>
      <c r="AQ149" s="20"/>
    </row>
    <row r="150" ht="15.75" customHeight="1">
      <c r="A150" s="21" t="s">
        <v>2210</v>
      </c>
      <c r="B150" s="21" t="s">
        <v>1824</v>
      </c>
      <c r="C150" s="21">
        <v>2016.0</v>
      </c>
      <c r="D150" s="21" t="s">
        <v>2211</v>
      </c>
      <c r="E150" s="21" t="s">
        <v>2212</v>
      </c>
      <c r="F150" s="21" t="s">
        <v>2213</v>
      </c>
      <c r="G150" s="16" t="str">
        <f t="shared" si="1"/>
        <v>No</v>
      </c>
      <c r="H150" s="16" t="s">
        <v>1324</v>
      </c>
      <c r="I150" s="16" t="s">
        <v>1324</v>
      </c>
      <c r="J150" s="16">
        <v>2.0</v>
      </c>
      <c r="K150" s="17" t="s">
        <v>2214</v>
      </c>
      <c r="L150" s="18" t="str">
        <f t="shared" si="2"/>
        <v>http://dx.doi.org/10.1007/s10531-016-1141-7</v>
      </c>
      <c r="M150" s="19" t="s">
        <v>1346</v>
      </c>
      <c r="N150" s="17" t="s">
        <v>1387</v>
      </c>
      <c r="O150" s="17" t="s">
        <v>1328</v>
      </c>
      <c r="P150" s="17" t="s">
        <v>1328</v>
      </c>
      <c r="Q150" s="17" t="s">
        <v>1328</v>
      </c>
      <c r="R150" s="17" t="s">
        <v>1328</v>
      </c>
      <c r="S150" s="17" t="s">
        <v>1328</v>
      </c>
      <c r="T150" s="20" t="str">
        <f t="shared" si="3"/>
        <v>Yes</v>
      </c>
      <c r="U150" s="19" t="str">
        <f t="shared" si="4"/>
        <v>MW</v>
      </c>
      <c r="V150" s="17" t="str">
        <f t="shared" si="5"/>
        <v>Yes</v>
      </c>
      <c r="W150" s="17" t="s">
        <v>1329</v>
      </c>
      <c r="X150" s="17" t="s">
        <v>1372</v>
      </c>
      <c r="Y150" s="17" t="s">
        <v>1331</v>
      </c>
      <c r="Z150" s="17" t="s">
        <v>1537</v>
      </c>
      <c r="AA150" s="17" t="s">
        <v>1660</v>
      </c>
      <c r="AB150" s="17" t="s">
        <v>1361</v>
      </c>
      <c r="AC150" s="17" t="s">
        <v>1349</v>
      </c>
      <c r="AD150" s="22">
        <f t="shared" si="6"/>
        <v>6</v>
      </c>
      <c r="AE150" s="17" t="s">
        <v>1328</v>
      </c>
      <c r="AF150" s="17" t="s">
        <v>1328</v>
      </c>
      <c r="AG150" s="17" t="s">
        <v>1328</v>
      </c>
      <c r="AH150" s="17" t="s">
        <v>1328</v>
      </c>
      <c r="AI150" s="17" t="s">
        <v>1328</v>
      </c>
      <c r="AJ150" s="17" t="s">
        <v>1328</v>
      </c>
      <c r="AK150" s="17" t="s">
        <v>1395</v>
      </c>
      <c r="AL150" s="17" t="s">
        <v>1338</v>
      </c>
      <c r="AM150" s="17" t="s">
        <v>1339</v>
      </c>
      <c r="AN150" s="17" t="s">
        <v>1331</v>
      </c>
      <c r="AO150" s="17" t="s">
        <v>1328</v>
      </c>
      <c r="AP150" s="17" t="str">
        <f t="shared" si="7"/>
        <v>high</v>
      </c>
      <c r="AQ150" s="20"/>
    </row>
    <row r="151" ht="15.75" customHeight="1">
      <c r="A151" s="16" t="s">
        <v>2215</v>
      </c>
      <c r="B151" s="16" t="s">
        <v>1824</v>
      </c>
      <c r="C151" s="16">
        <v>2016.0</v>
      </c>
      <c r="D151" s="16" t="s">
        <v>2216</v>
      </c>
      <c r="E151" s="16" t="s">
        <v>2217</v>
      </c>
      <c r="F151" s="16" t="s">
        <v>2218</v>
      </c>
      <c r="G151" s="16" t="str">
        <f t="shared" si="1"/>
        <v>Yes</v>
      </c>
      <c r="H151" s="16" t="s">
        <v>1324</v>
      </c>
      <c r="I151" s="16" t="s">
        <v>1328</v>
      </c>
      <c r="J151" s="16">
        <v>48.0</v>
      </c>
      <c r="K151" s="17" t="s">
        <v>2219</v>
      </c>
      <c r="L151" s="18" t="str">
        <f t="shared" si="2"/>
        <v>http://dx.doi.org/10.1007/s10531-015-1036-z</v>
      </c>
      <c r="M151" s="19" t="s">
        <v>1442</v>
      </c>
      <c r="N151" s="17" t="s">
        <v>1327</v>
      </c>
      <c r="O151" s="17" t="s">
        <v>1328</v>
      </c>
      <c r="P151" s="17" t="s">
        <v>1328</v>
      </c>
      <c r="Q151" s="17" t="s">
        <v>1328</v>
      </c>
      <c r="R151" s="17" t="s">
        <v>1328</v>
      </c>
      <c r="S151" s="17" t="s">
        <v>1328</v>
      </c>
      <c r="T151" s="20" t="str">
        <f t="shared" si="3"/>
        <v>Yes</v>
      </c>
      <c r="U151" s="19" t="str">
        <f t="shared" si="4"/>
        <v>PJ</v>
      </c>
      <c r="V151" s="17" t="str">
        <f t="shared" si="5"/>
        <v>Yes</v>
      </c>
      <c r="W151" s="17" t="s">
        <v>1443</v>
      </c>
      <c r="X151" s="17" t="s">
        <v>1330</v>
      </c>
      <c r="Y151" s="17" t="s">
        <v>1331</v>
      </c>
      <c r="Z151" s="17" t="s">
        <v>1347</v>
      </c>
      <c r="AA151" s="17" t="s">
        <v>1444</v>
      </c>
      <c r="AB151" s="17" t="s">
        <v>1445</v>
      </c>
      <c r="AC151" s="17" t="s">
        <v>1446</v>
      </c>
      <c r="AD151" s="17">
        <f t="shared" si="6"/>
        <v>6</v>
      </c>
      <c r="AE151" s="17" t="s">
        <v>1328</v>
      </c>
      <c r="AF151" s="17" t="s">
        <v>1328</v>
      </c>
      <c r="AG151" s="17" t="s">
        <v>1328</v>
      </c>
      <c r="AH151" s="17" t="s">
        <v>1328</v>
      </c>
      <c r="AI151" s="17" t="s">
        <v>1328</v>
      </c>
      <c r="AJ151" s="17" t="s">
        <v>1328</v>
      </c>
      <c r="AK151" s="17" t="s">
        <v>1395</v>
      </c>
      <c r="AL151" s="17" t="s">
        <v>1351</v>
      </c>
      <c r="AM151" s="17" t="s">
        <v>1363</v>
      </c>
      <c r="AN151" s="17" t="s">
        <v>1331</v>
      </c>
      <c r="AO151" s="17" t="s">
        <v>1328</v>
      </c>
      <c r="AP151" s="17" t="str">
        <f t="shared" si="7"/>
        <v>high</v>
      </c>
      <c r="AQ151" s="20"/>
    </row>
    <row r="152" ht="15.75" customHeight="1">
      <c r="A152" s="16" t="s">
        <v>2220</v>
      </c>
      <c r="B152" s="16" t="s">
        <v>2221</v>
      </c>
      <c r="C152" s="16">
        <v>2008.0</v>
      </c>
      <c r="D152" s="16" t="s">
        <v>2222</v>
      </c>
      <c r="E152" s="16" t="s">
        <v>2223</v>
      </c>
      <c r="F152" s="16" t="s">
        <v>2224</v>
      </c>
      <c r="G152" s="16" t="str">
        <f t="shared" si="1"/>
        <v>No</v>
      </c>
      <c r="H152" s="16" t="s">
        <v>1324</v>
      </c>
      <c r="I152" s="16" t="s">
        <v>1324</v>
      </c>
      <c r="J152" s="16">
        <v>166.0</v>
      </c>
      <c r="K152" s="17" t="s">
        <v>2225</v>
      </c>
      <c r="L152" s="18" t="str">
        <f t="shared" si="2"/>
        <v>http://dx.doi.org/10.1007/s10530-007-9138-5</v>
      </c>
      <c r="M152" s="19" t="s">
        <v>1482</v>
      </c>
      <c r="N152" s="17" t="s">
        <v>1371</v>
      </c>
      <c r="O152" s="17" t="s">
        <v>1328</v>
      </c>
      <c r="P152" s="17" t="s">
        <v>1328</v>
      </c>
      <c r="Q152" s="17" t="s">
        <v>1328</v>
      </c>
      <c r="R152" s="17" t="s">
        <v>1328</v>
      </c>
      <c r="S152" s="17" t="s">
        <v>1328</v>
      </c>
      <c r="T152" s="20" t="str">
        <f t="shared" si="3"/>
        <v>Yes</v>
      </c>
      <c r="U152" s="19" t="str">
        <f t="shared" si="4"/>
        <v>LC</v>
      </c>
      <c r="V152" s="17" t="str">
        <f t="shared" si="5"/>
        <v>Yes</v>
      </c>
      <c r="W152" s="17" t="s">
        <v>1329</v>
      </c>
      <c r="X152" s="17" t="s">
        <v>1330</v>
      </c>
      <c r="Y152" s="17" t="s">
        <v>1330</v>
      </c>
      <c r="Z152" s="17" t="s">
        <v>1332</v>
      </c>
      <c r="AA152" s="17" t="s">
        <v>1444</v>
      </c>
      <c r="AB152" s="17" t="s">
        <v>1445</v>
      </c>
      <c r="AC152" s="17" t="s">
        <v>1446</v>
      </c>
      <c r="AD152" s="17">
        <f t="shared" si="6"/>
        <v>2</v>
      </c>
      <c r="AE152" s="17" t="s">
        <v>1336</v>
      </c>
      <c r="AF152" s="17" t="s">
        <v>1328</v>
      </c>
      <c r="AG152" s="17" t="s">
        <v>1336</v>
      </c>
      <c r="AH152" s="17" t="s">
        <v>1328</v>
      </c>
      <c r="AI152" s="17" t="s">
        <v>1336</v>
      </c>
      <c r="AJ152" s="17" t="s">
        <v>1336</v>
      </c>
      <c r="AK152" s="17" t="s">
        <v>1350</v>
      </c>
      <c r="AL152" s="17" t="s">
        <v>1351</v>
      </c>
      <c r="AM152" s="17" t="s">
        <v>1363</v>
      </c>
      <c r="AN152" s="17" t="s">
        <v>1388</v>
      </c>
      <c r="AO152" s="17" t="s">
        <v>1328</v>
      </c>
      <c r="AP152" s="17" t="str">
        <f t="shared" si="7"/>
        <v>high</v>
      </c>
      <c r="AQ152" s="20"/>
    </row>
    <row r="153" ht="15.75" customHeight="1">
      <c r="A153" s="16" t="s">
        <v>2226</v>
      </c>
      <c r="B153" s="16" t="s">
        <v>2227</v>
      </c>
      <c r="C153" s="16">
        <v>2007.0</v>
      </c>
      <c r="D153" s="16" t="s">
        <v>2228</v>
      </c>
      <c r="E153" s="16" t="s">
        <v>2229</v>
      </c>
      <c r="F153" s="16" t="s">
        <v>2230</v>
      </c>
      <c r="G153" s="16" t="str">
        <f t="shared" si="1"/>
        <v>No</v>
      </c>
      <c r="H153" s="16" t="s">
        <v>1324</v>
      </c>
      <c r="I153" s="16" t="s">
        <v>1324</v>
      </c>
      <c r="J153" s="16">
        <v>77.0</v>
      </c>
      <c r="K153" s="17" t="s">
        <v>2231</v>
      </c>
      <c r="L153" s="18" t="str">
        <f t="shared" si="2"/>
        <v>http://dx.doi.org/10.1007/s00442-006-0655-1</v>
      </c>
      <c r="M153" s="19" t="s">
        <v>1495</v>
      </c>
      <c r="N153" s="17" t="s">
        <v>1436</v>
      </c>
      <c r="O153" s="17" t="s">
        <v>1328</v>
      </c>
      <c r="P153" s="17" t="s">
        <v>1328</v>
      </c>
      <c r="Q153" s="17" t="s">
        <v>1328</v>
      </c>
      <c r="R153" s="17" t="s">
        <v>1328</v>
      </c>
      <c r="S153" s="17" t="s">
        <v>1328</v>
      </c>
      <c r="T153" s="20" t="str">
        <f t="shared" si="3"/>
        <v>Yes</v>
      </c>
      <c r="U153" s="19" t="str">
        <f t="shared" si="4"/>
        <v>CG</v>
      </c>
      <c r="V153" s="17" t="str">
        <f t="shared" si="5"/>
        <v>Yes</v>
      </c>
      <c r="W153" s="17" t="s">
        <v>1329</v>
      </c>
      <c r="X153" s="17" t="s">
        <v>1372</v>
      </c>
      <c r="Y153" s="17" t="s">
        <v>1331</v>
      </c>
      <c r="Z153" s="17" t="s">
        <v>1347</v>
      </c>
      <c r="AA153" s="17" t="s">
        <v>1333</v>
      </c>
      <c r="AB153" s="17" t="s">
        <v>1361</v>
      </c>
      <c r="AC153" s="17" t="s">
        <v>1530</v>
      </c>
      <c r="AD153" s="17">
        <f t="shared" si="6"/>
        <v>2</v>
      </c>
      <c r="AE153" s="17" t="s">
        <v>1328</v>
      </c>
      <c r="AF153" s="17" t="s">
        <v>1336</v>
      </c>
      <c r="AG153" s="17" t="s">
        <v>1336</v>
      </c>
      <c r="AH153" s="17" t="s">
        <v>1336</v>
      </c>
      <c r="AI153" s="17" t="s">
        <v>1328</v>
      </c>
      <c r="AJ153" s="17" t="s">
        <v>1336</v>
      </c>
      <c r="AK153" s="17" t="s">
        <v>1350</v>
      </c>
      <c r="AL153" s="17" t="s">
        <v>1351</v>
      </c>
      <c r="AM153" s="17" t="s">
        <v>1339</v>
      </c>
      <c r="AN153" s="17" t="s">
        <v>1388</v>
      </c>
      <c r="AO153" s="17" t="s">
        <v>1328</v>
      </c>
      <c r="AP153" s="17" t="str">
        <f t="shared" si="7"/>
        <v>intermediate</v>
      </c>
      <c r="AQ153" s="20"/>
    </row>
    <row r="154" ht="15.75" customHeight="1">
      <c r="A154" s="16" t="s">
        <v>2232</v>
      </c>
      <c r="B154" s="16" t="s">
        <v>2233</v>
      </c>
      <c r="C154" s="16">
        <v>2013.0</v>
      </c>
      <c r="D154" s="16" t="s">
        <v>2234</v>
      </c>
      <c r="E154" s="16" t="s">
        <v>2235</v>
      </c>
      <c r="F154" s="16" t="s">
        <v>2236</v>
      </c>
      <c r="G154" s="16" t="str">
        <f t="shared" si="1"/>
        <v>No</v>
      </c>
      <c r="H154" s="16" t="s">
        <v>1324</v>
      </c>
      <c r="I154" s="16" t="s">
        <v>1324</v>
      </c>
      <c r="J154" s="16">
        <v>144.0</v>
      </c>
      <c r="K154" s="17" t="s">
        <v>2237</v>
      </c>
      <c r="L154" s="18" t="str">
        <f t="shared" si="2"/>
        <v>http://dx.doi.org/10.1002/wene.41</v>
      </c>
      <c r="M154" s="19" t="s">
        <v>1358</v>
      </c>
      <c r="N154" s="17" t="s">
        <v>1371</v>
      </c>
      <c r="O154" s="17" t="s">
        <v>1328</v>
      </c>
      <c r="P154" s="17" t="s">
        <v>1328</v>
      </c>
      <c r="Q154" s="17" t="s">
        <v>1328</v>
      </c>
      <c r="R154" s="17" t="s">
        <v>1328</v>
      </c>
      <c r="S154" s="17" t="s">
        <v>1328</v>
      </c>
      <c r="T154" s="20" t="str">
        <f t="shared" si="3"/>
        <v>Yes</v>
      </c>
      <c r="U154" s="19" t="str">
        <f t="shared" si="4"/>
        <v>LC</v>
      </c>
      <c r="V154" s="17" t="str">
        <f t="shared" si="5"/>
        <v>Yes</v>
      </c>
      <c r="W154" s="17" t="s">
        <v>1443</v>
      </c>
      <c r="X154" s="17" t="s">
        <v>1330</v>
      </c>
      <c r="Y154" s="17" t="s">
        <v>1330</v>
      </c>
      <c r="Z154" s="17" t="s">
        <v>1347</v>
      </c>
      <c r="AA154" s="17" t="s">
        <v>1444</v>
      </c>
      <c r="AB154" s="17" t="s">
        <v>1445</v>
      </c>
      <c r="AC154" s="17" t="s">
        <v>1362</v>
      </c>
      <c r="AD154" s="17">
        <f t="shared" si="6"/>
        <v>2</v>
      </c>
      <c r="AE154" s="17" t="s">
        <v>1328</v>
      </c>
      <c r="AF154" s="17" t="s">
        <v>1328</v>
      </c>
      <c r="AG154" s="17" t="s">
        <v>1336</v>
      </c>
      <c r="AH154" s="17" t="s">
        <v>1336</v>
      </c>
      <c r="AI154" s="17" t="s">
        <v>1336</v>
      </c>
      <c r="AJ154" s="17" t="s">
        <v>1336</v>
      </c>
      <c r="AK154" s="17" t="s">
        <v>1350</v>
      </c>
      <c r="AL154" s="17" t="s">
        <v>1351</v>
      </c>
      <c r="AM154" s="17" t="s">
        <v>1363</v>
      </c>
      <c r="AN154" s="17" t="s">
        <v>1388</v>
      </c>
      <c r="AO154" s="17" t="s">
        <v>1328</v>
      </c>
      <c r="AP154" s="17" t="str">
        <f t="shared" si="7"/>
        <v>high</v>
      </c>
      <c r="AQ154" s="20"/>
    </row>
    <row r="155" ht="15.75" customHeight="1">
      <c r="A155" s="16" t="s">
        <v>2238</v>
      </c>
      <c r="B155" s="16" t="s">
        <v>1419</v>
      </c>
      <c r="C155" s="16">
        <v>2018.0</v>
      </c>
      <c r="D155" s="16" t="s">
        <v>2239</v>
      </c>
      <c r="E155" s="16" t="s">
        <v>2240</v>
      </c>
      <c r="F155" s="16" t="s">
        <v>2241</v>
      </c>
      <c r="G155" s="16" t="str">
        <f t="shared" si="1"/>
        <v>No</v>
      </c>
      <c r="H155" s="16" t="s">
        <v>1324</v>
      </c>
      <c r="I155" s="16" t="s">
        <v>1324</v>
      </c>
      <c r="J155" s="16">
        <v>110.0</v>
      </c>
      <c r="K155" s="17" t="s">
        <v>2242</v>
      </c>
      <c r="L155" s="18" t="str">
        <f t="shared" si="2"/>
        <v>http://dx.doi.org/10.1002/eap.1755</v>
      </c>
      <c r="M155" s="19" t="s">
        <v>1358</v>
      </c>
      <c r="N155" s="17" t="s">
        <v>1417</v>
      </c>
      <c r="O155" s="17" t="s">
        <v>1328</v>
      </c>
      <c r="P155" s="17" t="s">
        <v>1328</v>
      </c>
      <c r="Q155" s="17" t="s">
        <v>1328</v>
      </c>
      <c r="R155" s="17" t="s">
        <v>1328</v>
      </c>
      <c r="S155" s="17" t="s">
        <v>1328</v>
      </c>
      <c r="T155" s="20" t="str">
        <f t="shared" si="3"/>
        <v>Yes</v>
      </c>
      <c r="U155" s="19" t="str">
        <f t="shared" si="4"/>
        <v>NT</v>
      </c>
      <c r="V155" s="17" t="str">
        <f t="shared" si="5"/>
        <v>Yes</v>
      </c>
      <c r="W155" s="17" t="s">
        <v>1329</v>
      </c>
      <c r="X155" s="17" t="s">
        <v>1330</v>
      </c>
      <c r="Y155" s="17" t="s">
        <v>1330</v>
      </c>
      <c r="Z155" s="17" t="s">
        <v>1347</v>
      </c>
      <c r="AA155" s="17" t="s">
        <v>1360</v>
      </c>
      <c r="AB155" s="17" t="s">
        <v>1348</v>
      </c>
      <c r="AC155" s="17" t="s">
        <v>1362</v>
      </c>
      <c r="AD155" s="17">
        <f t="shared" si="6"/>
        <v>4</v>
      </c>
      <c r="AE155" s="17" t="s">
        <v>1328</v>
      </c>
      <c r="AF155" s="17" t="s">
        <v>1328</v>
      </c>
      <c r="AG155" s="17" t="s">
        <v>1336</v>
      </c>
      <c r="AH155" s="17" t="s">
        <v>1336</v>
      </c>
      <c r="AI155" s="17" t="s">
        <v>1328</v>
      </c>
      <c r="AJ155" s="17" t="s">
        <v>1328</v>
      </c>
      <c r="AK155" s="17" t="s">
        <v>1350</v>
      </c>
      <c r="AL155" s="17" t="s">
        <v>1351</v>
      </c>
      <c r="AM155" s="17" t="s">
        <v>1363</v>
      </c>
      <c r="AN155" s="17" t="s">
        <v>1331</v>
      </c>
      <c r="AO155" s="17" t="s">
        <v>1328</v>
      </c>
      <c r="AP155" s="17" t="str">
        <f t="shared" si="7"/>
        <v>high</v>
      </c>
      <c r="AQ155" s="20"/>
    </row>
    <row r="156" ht="15.75" customHeight="1">
      <c r="A156" s="16" t="s">
        <v>2243</v>
      </c>
      <c r="B156" s="16" t="s">
        <v>2244</v>
      </c>
      <c r="C156" s="16">
        <v>2018.0</v>
      </c>
      <c r="D156" s="16" t="s">
        <v>2245</v>
      </c>
      <c r="E156" s="16" t="s">
        <v>2246</v>
      </c>
      <c r="F156" s="16" t="s">
        <v>2247</v>
      </c>
      <c r="G156" s="16" t="str">
        <f t="shared" si="1"/>
        <v>No</v>
      </c>
      <c r="H156" s="16" t="s">
        <v>1324</v>
      </c>
      <c r="I156" s="16" t="s">
        <v>1324</v>
      </c>
      <c r="J156" s="16">
        <v>5.0</v>
      </c>
      <c r="K156" s="17" t="s">
        <v>2248</v>
      </c>
      <c r="L156" s="18" t="str">
        <f t="shared" si="2"/>
        <v>http://dx.doi.org/10.1002/aqc.2850</v>
      </c>
      <c r="M156" s="19" t="s">
        <v>1326</v>
      </c>
      <c r="N156" s="17" t="s">
        <v>1327</v>
      </c>
      <c r="O156" s="17" t="s">
        <v>1328</v>
      </c>
      <c r="P156" s="17" t="s">
        <v>1328</v>
      </c>
      <c r="Q156" s="17" t="s">
        <v>1328</v>
      </c>
      <c r="R156" s="17" t="s">
        <v>1328</v>
      </c>
      <c r="S156" s="17" t="s">
        <v>1328</v>
      </c>
      <c r="T156" s="20" t="str">
        <f t="shared" si="3"/>
        <v>Yes</v>
      </c>
      <c r="U156" s="19" t="str">
        <f t="shared" si="4"/>
        <v>PJ</v>
      </c>
      <c r="V156" s="17" t="str">
        <f t="shared" si="5"/>
        <v>Yes</v>
      </c>
      <c r="W156" s="17" t="s">
        <v>1443</v>
      </c>
      <c r="X156" s="17" t="s">
        <v>1330</v>
      </c>
      <c r="Y156" s="17" t="s">
        <v>1331</v>
      </c>
      <c r="Z156" s="17" t="s">
        <v>1337</v>
      </c>
      <c r="AA156" s="17" t="s">
        <v>1333</v>
      </c>
      <c r="AB156" s="17" t="s">
        <v>1334</v>
      </c>
      <c r="AC156" s="17" t="s">
        <v>1530</v>
      </c>
      <c r="AD156" s="17">
        <f t="shared" si="6"/>
        <v>6</v>
      </c>
      <c r="AE156" s="17" t="s">
        <v>1328</v>
      </c>
      <c r="AF156" s="17" t="s">
        <v>1328</v>
      </c>
      <c r="AG156" s="17" t="s">
        <v>1328</v>
      </c>
      <c r="AH156" s="17" t="s">
        <v>1328</v>
      </c>
      <c r="AI156" s="17" t="s">
        <v>1328</v>
      </c>
      <c r="AJ156" s="17" t="s">
        <v>1328</v>
      </c>
      <c r="AK156" s="17" t="s">
        <v>1395</v>
      </c>
      <c r="AL156" s="17" t="s">
        <v>1351</v>
      </c>
      <c r="AM156" s="17" t="s">
        <v>1363</v>
      </c>
      <c r="AN156" s="17" t="s">
        <v>1331</v>
      </c>
      <c r="AO156" s="17" t="s">
        <v>1328</v>
      </c>
      <c r="AP156" s="17" t="str">
        <f t="shared" si="7"/>
        <v>intermediate</v>
      </c>
      <c r="AQ156" s="20"/>
    </row>
    <row r="157" ht="15.75" customHeight="1">
      <c r="A157" s="16" t="s">
        <v>2249</v>
      </c>
      <c r="B157" s="16" t="s">
        <v>2244</v>
      </c>
      <c r="C157" s="16">
        <v>2016.0</v>
      </c>
      <c r="D157" s="16" t="s">
        <v>2250</v>
      </c>
      <c r="E157" s="16" t="s">
        <v>2251</v>
      </c>
      <c r="F157" s="16" t="s">
        <v>2252</v>
      </c>
      <c r="G157" s="16" t="str">
        <f t="shared" si="1"/>
        <v>No</v>
      </c>
      <c r="H157" s="16" t="s">
        <v>1324</v>
      </c>
      <c r="I157" s="16" t="s">
        <v>1324</v>
      </c>
      <c r="J157" s="16">
        <v>9.0</v>
      </c>
      <c r="K157" s="17" t="s">
        <v>2253</v>
      </c>
      <c r="L157" s="18" t="str">
        <f t="shared" si="2"/>
        <v>http://dx.doi.org/10.1002/aqc.2710</v>
      </c>
      <c r="M157" s="19" t="s">
        <v>1326</v>
      </c>
      <c r="N157" s="17" t="s">
        <v>1327</v>
      </c>
      <c r="O157" s="17" t="s">
        <v>1328</v>
      </c>
      <c r="P157" s="17" t="s">
        <v>1328</v>
      </c>
      <c r="Q157" s="17" t="s">
        <v>1328</v>
      </c>
      <c r="R157" s="17" t="s">
        <v>1328</v>
      </c>
      <c r="S157" s="17" t="s">
        <v>1328</v>
      </c>
      <c r="T157" s="20" t="str">
        <f t="shared" si="3"/>
        <v>Yes</v>
      </c>
      <c r="U157" s="19" t="str">
        <f t="shared" si="4"/>
        <v>PJ</v>
      </c>
      <c r="V157" s="17" t="str">
        <f t="shared" si="5"/>
        <v>Yes</v>
      </c>
      <c r="W157" s="17" t="s">
        <v>1443</v>
      </c>
      <c r="X157" s="17" t="s">
        <v>1330</v>
      </c>
      <c r="Y157" s="17" t="s">
        <v>1331</v>
      </c>
      <c r="Z157" s="17" t="s">
        <v>1347</v>
      </c>
      <c r="AA157" s="17" t="s">
        <v>1444</v>
      </c>
      <c r="AB157" s="17" t="s">
        <v>1445</v>
      </c>
      <c r="AC157" s="17" t="s">
        <v>1335</v>
      </c>
      <c r="AD157" s="17">
        <f t="shared" si="6"/>
        <v>5</v>
      </c>
      <c r="AE157" s="17" t="s">
        <v>1328</v>
      </c>
      <c r="AF157" s="17" t="s">
        <v>1328</v>
      </c>
      <c r="AG157" s="17" t="s">
        <v>1328</v>
      </c>
      <c r="AH157" s="17" t="s">
        <v>1328</v>
      </c>
      <c r="AI157" s="17" t="s">
        <v>1328</v>
      </c>
      <c r="AJ157" s="17" t="s">
        <v>1336</v>
      </c>
      <c r="AK157" s="17" t="s">
        <v>1395</v>
      </c>
      <c r="AL157" s="17" t="s">
        <v>1351</v>
      </c>
      <c r="AM157" s="17" t="s">
        <v>1363</v>
      </c>
      <c r="AN157" s="17" t="s">
        <v>1331</v>
      </c>
      <c r="AO157" s="17" t="s">
        <v>1328</v>
      </c>
      <c r="AP157" s="17" t="str">
        <f t="shared" si="7"/>
        <v>high</v>
      </c>
      <c r="AQ157" s="20"/>
    </row>
    <row r="158" ht="15.75" customHeight="1">
      <c r="A158" s="16" t="s">
        <v>2254</v>
      </c>
      <c r="B158" s="16" t="s">
        <v>2244</v>
      </c>
      <c r="C158" s="16">
        <v>2013.0</v>
      </c>
      <c r="D158" s="16" t="s">
        <v>2255</v>
      </c>
      <c r="E158" s="16" t="s">
        <v>2256</v>
      </c>
      <c r="F158" s="16" t="s">
        <v>2257</v>
      </c>
      <c r="G158" s="16" t="str">
        <f t="shared" si="1"/>
        <v>No</v>
      </c>
      <c r="H158" s="16" t="s">
        <v>1324</v>
      </c>
      <c r="I158" s="16" t="s">
        <v>1324</v>
      </c>
      <c r="J158" s="16">
        <v>70.0</v>
      </c>
      <c r="K158" s="17" t="s">
        <v>2258</v>
      </c>
      <c r="L158" s="18" t="str">
        <f t="shared" si="2"/>
        <v>http://dx.doi.org/10.1002/aqc.2345</v>
      </c>
      <c r="M158" s="19" t="s">
        <v>1346</v>
      </c>
      <c r="N158" s="17" t="s">
        <v>1470</v>
      </c>
      <c r="O158" s="17" t="s">
        <v>1328</v>
      </c>
      <c r="P158" s="17" t="s">
        <v>1328</v>
      </c>
      <c r="Q158" s="17" t="s">
        <v>1328</v>
      </c>
      <c r="R158" s="17" t="s">
        <v>1328</v>
      </c>
      <c r="S158" s="17" t="s">
        <v>1328</v>
      </c>
      <c r="T158" s="20" t="str">
        <f t="shared" si="3"/>
        <v>Yes</v>
      </c>
      <c r="U158" s="19" t="str">
        <f t="shared" si="4"/>
        <v>AG</v>
      </c>
      <c r="V158" s="17" t="str">
        <f t="shared" si="5"/>
        <v>Yes</v>
      </c>
      <c r="W158" s="17" t="s">
        <v>1329</v>
      </c>
      <c r="X158" s="17" t="s">
        <v>1372</v>
      </c>
      <c r="Y158" s="17" t="s">
        <v>1331</v>
      </c>
      <c r="Z158" s="17" t="s">
        <v>1347</v>
      </c>
      <c r="AA158" s="17" t="s">
        <v>1333</v>
      </c>
      <c r="AB158" s="17" t="s">
        <v>1361</v>
      </c>
      <c r="AC158" s="17" t="s">
        <v>1530</v>
      </c>
      <c r="AD158" s="17">
        <f t="shared" si="6"/>
        <v>2</v>
      </c>
      <c r="AE158" s="17" t="s">
        <v>1336</v>
      </c>
      <c r="AF158" s="17" t="s">
        <v>1336</v>
      </c>
      <c r="AG158" s="17" t="s">
        <v>1336</v>
      </c>
      <c r="AH158" s="17" t="s">
        <v>1328</v>
      </c>
      <c r="AI158" s="17" t="s">
        <v>1328</v>
      </c>
      <c r="AJ158" s="17" t="s">
        <v>1336</v>
      </c>
      <c r="AK158" s="17" t="s">
        <v>1350</v>
      </c>
      <c r="AL158" s="17" t="s">
        <v>1351</v>
      </c>
      <c r="AM158" s="17" t="s">
        <v>1339</v>
      </c>
      <c r="AN158" s="17" t="s">
        <v>1331</v>
      </c>
      <c r="AO158" s="17" t="s">
        <v>1328</v>
      </c>
      <c r="AP158" s="17" t="str">
        <f t="shared" si="7"/>
        <v>intermediate</v>
      </c>
      <c r="AQ158" s="20"/>
    </row>
    <row r="159" ht="15.75" customHeight="1">
      <c r="A159" s="16" t="s">
        <v>2259</v>
      </c>
      <c r="B159" s="16" t="s">
        <v>2244</v>
      </c>
      <c r="C159" s="16">
        <v>2010.0</v>
      </c>
      <c r="D159" s="16" t="s">
        <v>2260</v>
      </c>
      <c r="E159" s="16" t="s">
        <v>2261</v>
      </c>
      <c r="F159" s="16" t="s">
        <v>2262</v>
      </c>
      <c r="G159" s="16" t="str">
        <f t="shared" si="1"/>
        <v>No</v>
      </c>
      <c r="H159" s="16" t="s">
        <v>1324</v>
      </c>
      <c r="I159" s="16" t="s">
        <v>1324</v>
      </c>
      <c r="J159" s="16">
        <v>10.0</v>
      </c>
      <c r="K159" s="17" t="s">
        <v>2263</v>
      </c>
      <c r="L159" s="18" t="str">
        <f t="shared" si="2"/>
        <v>http://dx.doi.org/10.1002/aqc.1079</v>
      </c>
      <c r="M159" s="19" t="s">
        <v>1835</v>
      </c>
      <c r="N159" s="17" t="s">
        <v>1403</v>
      </c>
      <c r="O159" s="17" t="s">
        <v>1328</v>
      </c>
      <c r="P159" s="17" t="s">
        <v>1328</v>
      </c>
      <c r="Q159" s="17" t="s">
        <v>1328</v>
      </c>
      <c r="R159" s="17" t="s">
        <v>1328</v>
      </c>
      <c r="S159" s="17" t="s">
        <v>1328</v>
      </c>
      <c r="T159" s="20" t="str">
        <f t="shared" si="3"/>
        <v>Yes</v>
      </c>
      <c r="U159" s="19" t="str">
        <f t="shared" si="4"/>
        <v>DB</v>
      </c>
      <c r="V159" s="17" t="str">
        <f t="shared" si="5"/>
        <v>Yes</v>
      </c>
      <c r="W159" s="17" t="s">
        <v>1443</v>
      </c>
      <c r="X159" s="17" t="s">
        <v>1331</v>
      </c>
      <c r="Y159" s="17" t="s">
        <v>1330</v>
      </c>
      <c r="Z159" s="17" t="s">
        <v>1337</v>
      </c>
      <c r="AA159" s="17" t="s">
        <v>1333</v>
      </c>
      <c r="AB159" s="17" t="s">
        <v>1381</v>
      </c>
      <c r="AC159" s="17" t="s">
        <v>1349</v>
      </c>
      <c r="AD159" s="17">
        <f t="shared" si="6"/>
        <v>6</v>
      </c>
      <c r="AE159" s="17" t="s">
        <v>1328</v>
      </c>
      <c r="AF159" s="17" t="s">
        <v>1328</v>
      </c>
      <c r="AG159" s="17" t="s">
        <v>1328</v>
      </c>
      <c r="AH159" s="17" t="s">
        <v>1328</v>
      </c>
      <c r="AI159" s="17" t="s">
        <v>1328</v>
      </c>
      <c r="AJ159" s="17" t="s">
        <v>1328</v>
      </c>
      <c r="AK159" s="17" t="s">
        <v>1395</v>
      </c>
      <c r="AL159" s="17" t="s">
        <v>1351</v>
      </c>
      <c r="AM159" s="17" t="s">
        <v>1339</v>
      </c>
      <c r="AN159" s="17" t="s">
        <v>1331</v>
      </c>
      <c r="AO159" s="17" t="s">
        <v>1328</v>
      </c>
      <c r="AP159" s="17" t="str">
        <f t="shared" si="7"/>
        <v>intermediate</v>
      </c>
      <c r="AQ159" s="20"/>
    </row>
    <row r="160" ht="15.75" customHeight="1">
      <c r="A160" s="16" t="s">
        <v>2264</v>
      </c>
      <c r="B160" s="16" t="s">
        <v>2265</v>
      </c>
      <c r="C160" s="16">
        <v>2014.0</v>
      </c>
      <c r="D160" s="16" t="s">
        <v>2266</v>
      </c>
      <c r="E160" s="16" t="s">
        <v>1324</v>
      </c>
      <c r="F160" s="23" t="s">
        <v>1324</v>
      </c>
      <c r="G160" s="16" t="str">
        <f t="shared" si="1"/>
        <v>No</v>
      </c>
      <c r="H160" s="16" t="s">
        <v>1324</v>
      </c>
      <c r="I160" s="16" t="s">
        <v>1324</v>
      </c>
      <c r="J160" s="16">
        <v>72.0</v>
      </c>
      <c r="K160" s="17" t="s">
        <v>2267</v>
      </c>
      <c r="L160" s="18" t="str">
        <f t="shared" si="2"/>
        <v/>
      </c>
      <c r="M160" s="19" t="s">
        <v>1522</v>
      </c>
      <c r="N160" s="17" t="s">
        <v>1371</v>
      </c>
      <c r="O160" s="17" t="s">
        <v>1328</v>
      </c>
      <c r="P160" s="17" t="s">
        <v>1328</v>
      </c>
      <c r="Q160" s="17" t="s">
        <v>1328</v>
      </c>
      <c r="R160" s="17" t="s">
        <v>1328</v>
      </c>
      <c r="S160" s="17" t="s">
        <v>1328</v>
      </c>
      <c r="T160" s="20" t="str">
        <f t="shared" si="3"/>
        <v>Yes</v>
      </c>
      <c r="U160" s="19" t="str">
        <f t="shared" si="4"/>
        <v>LC</v>
      </c>
      <c r="V160" s="17" t="str">
        <f t="shared" si="5"/>
        <v>Yes</v>
      </c>
      <c r="W160" s="17" t="s">
        <v>1329</v>
      </c>
      <c r="X160" s="17" t="s">
        <v>1330</v>
      </c>
      <c r="Y160" s="17" t="s">
        <v>1372</v>
      </c>
      <c r="Z160" s="17" t="s">
        <v>1347</v>
      </c>
      <c r="AA160" s="17" t="s">
        <v>1444</v>
      </c>
      <c r="AB160" s="17" t="s">
        <v>1445</v>
      </c>
      <c r="AC160" s="17" t="s">
        <v>1335</v>
      </c>
      <c r="AD160" s="17">
        <f t="shared" si="6"/>
        <v>3</v>
      </c>
      <c r="AE160" s="17" t="s">
        <v>1328</v>
      </c>
      <c r="AF160" s="17" t="s">
        <v>1328</v>
      </c>
      <c r="AG160" s="17" t="s">
        <v>1328</v>
      </c>
      <c r="AH160" s="17" t="s">
        <v>1336</v>
      </c>
      <c r="AI160" s="17" t="s">
        <v>1336</v>
      </c>
      <c r="AJ160" s="17" t="s">
        <v>1336</v>
      </c>
      <c r="AK160" s="17" t="s">
        <v>1350</v>
      </c>
      <c r="AL160" s="17" t="s">
        <v>1351</v>
      </c>
      <c r="AM160" s="17" t="s">
        <v>1363</v>
      </c>
      <c r="AN160" s="17" t="s">
        <v>1388</v>
      </c>
      <c r="AO160" s="17" t="s">
        <v>1328</v>
      </c>
      <c r="AP160" s="17" t="str">
        <f t="shared" si="7"/>
        <v>high</v>
      </c>
      <c r="AQ160" s="20"/>
    </row>
    <row r="161" ht="15.75" customHeight="1">
      <c r="A161" s="16" t="s">
        <v>2268</v>
      </c>
      <c r="B161" s="16" t="s">
        <v>2269</v>
      </c>
      <c r="C161" s="16">
        <v>2014.0</v>
      </c>
      <c r="D161" s="16" t="s">
        <v>2270</v>
      </c>
      <c r="E161" s="16" t="s">
        <v>2271</v>
      </c>
      <c r="F161" s="23" t="s">
        <v>1324</v>
      </c>
      <c r="G161" s="16" t="str">
        <f t="shared" si="1"/>
        <v>No</v>
      </c>
      <c r="H161" s="16" t="s">
        <v>1324</v>
      </c>
      <c r="I161" s="16" t="s">
        <v>1324</v>
      </c>
      <c r="J161" s="16">
        <v>22.0</v>
      </c>
      <c r="K161" s="17" t="s">
        <v>2272</v>
      </c>
      <c r="L161" s="18" t="str">
        <f t="shared" si="2"/>
        <v/>
      </c>
      <c r="M161" s="19" t="s">
        <v>1462</v>
      </c>
      <c r="N161" s="17" t="s">
        <v>1371</v>
      </c>
      <c r="O161" s="17" t="s">
        <v>1328</v>
      </c>
      <c r="P161" s="17" t="s">
        <v>1328</v>
      </c>
      <c r="Q161" s="17" t="s">
        <v>1328</v>
      </c>
      <c r="R161" s="17" t="s">
        <v>1328</v>
      </c>
      <c r="S161" s="17" t="s">
        <v>1328</v>
      </c>
      <c r="T161" s="20" t="str">
        <f t="shared" si="3"/>
        <v>Yes</v>
      </c>
      <c r="U161" s="19" t="str">
        <f t="shared" si="4"/>
        <v>LC</v>
      </c>
      <c r="V161" s="17" t="str">
        <f t="shared" si="5"/>
        <v>Yes</v>
      </c>
      <c r="W161" s="17" t="s">
        <v>1329</v>
      </c>
      <c r="X161" s="17" t="s">
        <v>1330</v>
      </c>
      <c r="Y161" s="17" t="s">
        <v>1331</v>
      </c>
      <c r="Z161" s="17" t="s">
        <v>1347</v>
      </c>
      <c r="AA161" s="17" t="s">
        <v>1444</v>
      </c>
      <c r="AB161" s="17" t="s">
        <v>1445</v>
      </c>
      <c r="AC161" s="17" t="s">
        <v>1362</v>
      </c>
      <c r="AD161" s="17">
        <f t="shared" si="6"/>
        <v>2</v>
      </c>
      <c r="AE161" s="17" t="s">
        <v>1328</v>
      </c>
      <c r="AF161" s="17" t="s">
        <v>1328</v>
      </c>
      <c r="AG161" s="17" t="s">
        <v>1336</v>
      </c>
      <c r="AH161" s="17" t="s">
        <v>1336</v>
      </c>
      <c r="AI161" s="17" t="s">
        <v>1336</v>
      </c>
      <c r="AJ161" s="17" t="s">
        <v>1336</v>
      </c>
      <c r="AK161" s="17" t="s">
        <v>1350</v>
      </c>
      <c r="AL161" s="17" t="s">
        <v>1351</v>
      </c>
      <c r="AM161" s="17" t="s">
        <v>1363</v>
      </c>
      <c r="AN161" s="17" t="s">
        <v>1388</v>
      </c>
      <c r="AO161" s="17" t="s">
        <v>1328</v>
      </c>
      <c r="AP161" s="17" t="str">
        <f t="shared" si="7"/>
        <v>high</v>
      </c>
      <c r="AQ161" s="20"/>
    </row>
    <row r="162" ht="15.75" customHeight="1">
      <c r="A162" s="16" t="s">
        <v>2273</v>
      </c>
      <c r="B162" s="16" t="s">
        <v>2274</v>
      </c>
      <c r="C162" s="16">
        <v>2017.0</v>
      </c>
      <c r="D162" s="16" t="s">
        <v>2275</v>
      </c>
      <c r="E162" s="16" t="s">
        <v>2276</v>
      </c>
      <c r="F162" s="23" t="s">
        <v>1324</v>
      </c>
      <c r="G162" s="16" t="str">
        <f t="shared" si="1"/>
        <v>No</v>
      </c>
      <c r="H162" s="16" t="s">
        <v>1324</v>
      </c>
      <c r="I162" s="16" t="s">
        <v>1324</v>
      </c>
      <c r="J162" s="16">
        <v>4.0</v>
      </c>
      <c r="K162" s="17" t="s">
        <v>2277</v>
      </c>
      <c r="L162" s="18" t="str">
        <f t="shared" si="2"/>
        <v/>
      </c>
      <c r="M162" s="19" t="s">
        <v>1326</v>
      </c>
      <c r="N162" s="17" t="s">
        <v>1327</v>
      </c>
      <c r="O162" s="17" t="s">
        <v>1328</v>
      </c>
      <c r="P162" s="17" t="s">
        <v>1328</v>
      </c>
      <c r="Q162" s="17" t="s">
        <v>1328</v>
      </c>
      <c r="R162" s="17" t="s">
        <v>1328</v>
      </c>
      <c r="S162" s="17" t="s">
        <v>1328</v>
      </c>
      <c r="T162" s="20" t="str">
        <f t="shared" si="3"/>
        <v>Yes</v>
      </c>
      <c r="U162" s="19" t="str">
        <f t="shared" si="4"/>
        <v>PJ</v>
      </c>
      <c r="V162" s="17" t="str">
        <f t="shared" si="5"/>
        <v>Yes</v>
      </c>
      <c r="W162" s="17" t="s">
        <v>1443</v>
      </c>
      <c r="X162" s="17" t="s">
        <v>1330</v>
      </c>
      <c r="Y162" s="17" t="s">
        <v>1330</v>
      </c>
      <c r="Z162" s="17" t="s">
        <v>1337</v>
      </c>
      <c r="AA162" s="17" t="s">
        <v>1444</v>
      </c>
      <c r="AB162" s="17" t="s">
        <v>1445</v>
      </c>
      <c r="AC162" s="17" t="s">
        <v>1446</v>
      </c>
      <c r="AD162" s="17">
        <f t="shared" si="6"/>
        <v>4</v>
      </c>
      <c r="AE162" s="17" t="s">
        <v>1328</v>
      </c>
      <c r="AF162" s="17" t="s">
        <v>1328</v>
      </c>
      <c r="AG162" s="17" t="s">
        <v>1328</v>
      </c>
      <c r="AH162" s="17" t="s">
        <v>1328</v>
      </c>
      <c r="AI162" s="17" t="s">
        <v>1336</v>
      </c>
      <c r="AJ162" s="17" t="s">
        <v>1336</v>
      </c>
      <c r="AK162" s="17" t="s">
        <v>1395</v>
      </c>
      <c r="AL162" s="17" t="s">
        <v>1351</v>
      </c>
      <c r="AM162" s="17" t="s">
        <v>1363</v>
      </c>
      <c r="AN162" s="17" t="s">
        <v>1331</v>
      </c>
      <c r="AO162" s="17" t="s">
        <v>1328</v>
      </c>
      <c r="AP162" s="17" t="str">
        <f t="shared" si="7"/>
        <v>high</v>
      </c>
      <c r="AQ162" s="20"/>
    </row>
    <row r="163" ht="15.75" customHeight="1">
      <c r="A163" s="16" t="s">
        <v>2278</v>
      </c>
      <c r="B163" s="16" t="s">
        <v>2279</v>
      </c>
      <c r="C163" s="16">
        <v>2009.0</v>
      </c>
      <c r="D163" s="16" t="s">
        <v>2280</v>
      </c>
      <c r="E163" s="16" t="s">
        <v>2281</v>
      </c>
      <c r="F163" s="23" t="s">
        <v>1324</v>
      </c>
      <c r="G163" s="16" t="str">
        <f t="shared" si="1"/>
        <v>No</v>
      </c>
      <c r="H163" s="16" t="s">
        <v>1324</v>
      </c>
      <c r="I163" s="16" t="s">
        <v>1324</v>
      </c>
      <c r="J163" s="16">
        <v>18.0</v>
      </c>
      <c r="K163" s="17" t="s">
        <v>2282</v>
      </c>
      <c r="L163" s="18" t="str">
        <f t="shared" si="2"/>
        <v/>
      </c>
      <c r="M163" s="19" t="s">
        <v>1462</v>
      </c>
      <c r="N163" s="17" t="s">
        <v>1359</v>
      </c>
      <c r="O163" s="17" t="s">
        <v>1328</v>
      </c>
      <c r="P163" s="17" t="s">
        <v>1328</v>
      </c>
      <c r="Q163" s="17" t="s">
        <v>1328</v>
      </c>
      <c r="R163" s="17" t="s">
        <v>1328</v>
      </c>
      <c r="S163" s="17" t="s">
        <v>1328</v>
      </c>
      <c r="T163" s="20" t="str">
        <f t="shared" si="3"/>
        <v>Yes</v>
      </c>
      <c r="U163" s="19" t="str">
        <f t="shared" si="4"/>
        <v>YT</v>
      </c>
      <c r="V163" s="17" t="str">
        <f t="shared" si="5"/>
        <v>Yes</v>
      </c>
      <c r="W163" s="17" t="s">
        <v>1463</v>
      </c>
      <c r="X163" s="17" t="s">
        <v>1330</v>
      </c>
      <c r="Y163" s="17" t="s">
        <v>1331</v>
      </c>
      <c r="Z163" s="17" t="s">
        <v>1347</v>
      </c>
      <c r="AA163" s="17" t="s">
        <v>1360</v>
      </c>
      <c r="AB163" s="17" t="s">
        <v>1381</v>
      </c>
      <c r="AC163" s="17" t="s">
        <v>1362</v>
      </c>
      <c r="AD163" s="17">
        <f t="shared" si="6"/>
        <v>3</v>
      </c>
      <c r="AE163" s="17" t="s">
        <v>1328</v>
      </c>
      <c r="AF163" s="17" t="s">
        <v>1328</v>
      </c>
      <c r="AG163" s="17" t="s">
        <v>1336</v>
      </c>
      <c r="AH163" s="17" t="s">
        <v>1336</v>
      </c>
      <c r="AI163" s="17" t="s">
        <v>1328</v>
      </c>
      <c r="AJ163" s="17" t="s">
        <v>1336</v>
      </c>
      <c r="AK163" s="17" t="s">
        <v>1350</v>
      </c>
      <c r="AL163" s="17" t="s">
        <v>1351</v>
      </c>
      <c r="AM163" s="17" t="s">
        <v>1363</v>
      </c>
      <c r="AN163" s="17" t="s">
        <v>1331</v>
      </c>
      <c r="AO163" s="17" t="s">
        <v>1328</v>
      </c>
      <c r="AP163" s="17" t="str">
        <f t="shared" si="7"/>
        <v>high</v>
      </c>
      <c r="AQ163" s="20" t="s">
        <v>2283</v>
      </c>
    </row>
    <row r="164" ht="15.75" customHeight="1">
      <c r="A164" s="16" t="s">
        <v>2284</v>
      </c>
      <c r="B164" s="16" t="s">
        <v>2285</v>
      </c>
      <c r="C164" s="16">
        <v>2011.0</v>
      </c>
      <c r="D164" s="16" t="s">
        <v>2286</v>
      </c>
      <c r="E164" s="16" t="s">
        <v>1479</v>
      </c>
      <c r="F164" s="23" t="s">
        <v>1324</v>
      </c>
      <c r="G164" s="16" t="str">
        <f t="shared" si="1"/>
        <v>No</v>
      </c>
      <c r="H164" s="16" t="s">
        <v>1324</v>
      </c>
      <c r="I164" s="16" t="s">
        <v>1324</v>
      </c>
      <c r="J164" s="16">
        <v>139.0</v>
      </c>
      <c r="K164" s="17" t="s">
        <v>2287</v>
      </c>
      <c r="L164" s="18" t="str">
        <f t="shared" si="2"/>
        <v/>
      </c>
      <c r="M164" s="19" t="s">
        <v>1482</v>
      </c>
      <c r="N164" s="17" t="s">
        <v>1371</v>
      </c>
      <c r="O164" s="17" t="s">
        <v>1328</v>
      </c>
      <c r="P164" s="17" t="s">
        <v>1328</v>
      </c>
      <c r="Q164" s="17" t="s">
        <v>1328</v>
      </c>
      <c r="R164" s="17" t="s">
        <v>1328</v>
      </c>
      <c r="S164" s="17" t="s">
        <v>1328</v>
      </c>
      <c r="T164" s="20" t="str">
        <f t="shared" si="3"/>
        <v>Yes</v>
      </c>
      <c r="U164" s="19" t="str">
        <f t="shared" si="4"/>
        <v>LC</v>
      </c>
      <c r="V164" s="17" t="str">
        <f t="shared" si="5"/>
        <v>Yes</v>
      </c>
      <c r="W164" s="17" t="s">
        <v>1329</v>
      </c>
      <c r="X164" s="17" t="s">
        <v>1372</v>
      </c>
      <c r="Y164" s="17" t="s">
        <v>1331</v>
      </c>
      <c r="Z164" s="17" t="s">
        <v>1332</v>
      </c>
      <c r="AA164" s="17" t="s">
        <v>1333</v>
      </c>
      <c r="AB164" s="17" t="s">
        <v>1334</v>
      </c>
      <c r="AC164" s="17" t="s">
        <v>1362</v>
      </c>
      <c r="AD164" s="17">
        <f t="shared" si="6"/>
        <v>2</v>
      </c>
      <c r="AE164" s="17" t="s">
        <v>1336</v>
      </c>
      <c r="AF164" s="17" t="s">
        <v>1328</v>
      </c>
      <c r="AG164" s="17" t="s">
        <v>1328</v>
      </c>
      <c r="AH164" s="17" t="s">
        <v>1336</v>
      </c>
      <c r="AI164" s="17" t="s">
        <v>1336</v>
      </c>
      <c r="AJ164" s="17" t="s">
        <v>1336</v>
      </c>
      <c r="AK164" s="17" t="s">
        <v>1350</v>
      </c>
      <c r="AL164" s="17" t="s">
        <v>1351</v>
      </c>
      <c r="AM164" s="17" t="s">
        <v>1363</v>
      </c>
      <c r="AN164" s="17" t="s">
        <v>1388</v>
      </c>
      <c r="AO164" s="17" t="s">
        <v>1328</v>
      </c>
      <c r="AP164" s="17" t="str">
        <f t="shared" si="7"/>
        <v>intermediate</v>
      </c>
      <c r="AQ164" s="20"/>
    </row>
    <row r="165" ht="15.75" customHeight="1">
      <c r="A165" s="16" t="s">
        <v>2288</v>
      </c>
      <c r="B165" s="16" t="s">
        <v>2289</v>
      </c>
      <c r="C165" s="16">
        <v>2006.0</v>
      </c>
      <c r="D165" s="16" t="s">
        <v>2290</v>
      </c>
      <c r="E165" s="16" t="s">
        <v>2291</v>
      </c>
      <c r="F165" s="23" t="s">
        <v>1324</v>
      </c>
      <c r="G165" s="16" t="str">
        <f t="shared" si="1"/>
        <v>No</v>
      </c>
      <c r="H165" s="16" t="s">
        <v>1324</v>
      </c>
      <c r="I165" s="16" t="s">
        <v>1324</v>
      </c>
      <c r="J165" s="16">
        <v>145.0</v>
      </c>
      <c r="K165" s="17" t="s">
        <v>2292</v>
      </c>
      <c r="L165" s="18" t="str">
        <f t="shared" si="2"/>
        <v/>
      </c>
      <c r="M165" s="19" t="s">
        <v>1370</v>
      </c>
      <c r="N165" s="17" t="s">
        <v>1371</v>
      </c>
      <c r="O165" s="17" t="s">
        <v>1328</v>
      </c>
      <c r="P165" s="17" t="s">
        <v>1328</v>
      </c>
      <c r="Q165" s="17" t="s">
        <v>1328</v>
      </c>
      <c r="R165" s="17" t="s">
        <v>1328</v>
      </c>
      <c r="S165" s="17" t="s">
        <v>1328</v>
      </c>
      <c r="T165" s="20" t="str">
        <f t="shared" si="3"/>
        <v>Yes</v>
      </c>
      <c r="U165" s="19" t="str">
        <f t="shared" si="4"/>
        <v>LC</v>
      </c>
      <c r="V165" s="17" t="str">
        <f t="shared" si="5"/>
        <v>Yes</v>
      </c>
      <c r="W165" s="17" t="s">
        <v>1329</v>
      </c>
      <c r="X165" s="17" t="s">
        <v>1372</v>
      </c>
      <c r="Y165" s="17" t="s">
        <v>1331</v>
      </c>
      <c r="Z165" s="17" t="s">
        <v>1347</v>
      </c>
      <c r="AA165" s="17" t="s">
        <v>1333</v>
      </c>
      <c r="AB165" s="17" t="s">
        <v>1381</v>
      </c>
      <c r="AC165" s="17" t="s">
        <v>1373</v>
      </c>
      <c r="AD165" s="17">
        <f t="shared" si="6"/>
        <v>3</v>
      </c>
      <c r="AE165" s="17" t="s">
        <v>1336</v>
      </c>
      <c r="AF165" s="17" t="s">
        <v>1328</v>
      </c>
      <c r="AG165" s="17" t="s">
        <v>1328</v>
      </c>
      <c r="AH165" s="17" t="s">
        <v>1336</v>
      </c>
      <c r="AI165" s="17" t="s">
        <v>1328</v>
      </c>
      <c r="AJ165" s="17" t="s">
        <v>1336</v>
      </c>
      <c r="AK165" s="17" t="s">
        <v>1395</v>
      </c>
      <c r="AL165" s="17" t="s">
        <v>1338</v>
      </c>
      <c r="AM165" s="17" t="s">
        <v>1363</v>
      </c>
      <c r="AN165" s="17" t="s">
        <v>1374</v>
      </c>
      <c r="AO165" s="17" t="s">
        <v>1328</v>
      </c>
      <c r="AP165" s="17" t="str">
        <f t="shared" si="7"/>
        <v>intermediate</v>
      </c>
      <c r="AQ165" s="20"/>
    </row>
    <row r="166" ht="15.75" customHeight="1">
      <c r="A166" s="16" t="s">
        <v>2293</v>
      </c>
      <c r="B166" s="16" t="s">
        <v>2294</v>
      </c>
      <c r="C166" s="16">
        <v>2015.0</v>
      </c>
      <c r="D166" s="16" t="s">
        <v>2295</v>
      </c>
      <c r="E166" s="16" t="s">
        <v>2296</v>
      </c>
      <c r="F166" s="23" t="s">
        <v>1324</v>
      </c>
      <c r="G166" s="16" t="str">
        <f t="shared" si="1"/>
        <v>No</v>
      </c>
      <c r="H166" s="16" t="s">
        <v>1324</v>
      </c>
      <c r="I166" s="16" t="s">
        <v>1324</v>
      </c>
      <c r="J166" s="16">
        <v>15.0</v>
      </c>
      <c r="K166" s="17" t="s">
        <v>2297</v>
      </c>
      <c r="L166" s="18" t="str">
        <f t="shared" si="2"/>
        <v/>
      </c>
      <c r="M166" s="19" t="s">
        <v>1326</v>
      </c>
      <c r="N166" s="17" t="s">
        <v>1327</v>
      </c>
      <c r="O166" s="17" t="s">
        <v>1328</v>
      </c>
      <c r="P166" s="17" t="s">
        <v>1328</v>
      </c>
      <c r="Q166" s="17" t="s">
        <v>1328</v>
      </c>
      <c r="R166" s="17" t="s">
        <v>1328</v>
      </c>
      <c r="S166" s="17" t="s">
        <v>1328</v>
      </c>
      <c r="T166" s="20" t="str">
        <f t="shared" si="3"/>
        <v>Yes</v>
      </c>
      <c r="U166" s="19" t="str">
        <f t="shared" si="4"/>
        <v>PJ</v>
      </c>
      <c r="V166" s="17" t="str">
        <f t="shared" si="5"/>
        <v>Yes</v>
      </c>
      <c r="W166" s="17" t="s">
        <v>1329</v>
      </c>
      <c r="X166" s="17" t="s">
        <v>1330</v>
      </c>
      <c r="Y166" s="17" t="s">
        <v>1331</v>
      </c>
      <c r="Z166" s="17" t="s">
        <v>1347</v>
      </c>
      <c r="AA166" s="17" t="s">
        <v>1333</v>
      </c>
      <c r="AB166" s="17" t="s">
        <v>1334</v>
      </c>
      <c r="AC166" s="17" t="s">
        <v>1362</v>
      </c>
      <c r="AD166" s="17">
        <f t="shared" si="6"/>
        <v>5</v>
      </c>
      <c r="AE166" s="17" t="s">
        <v>1328</v>
      </c>
      <c r="AF166" s="17" t="s">
        <v>1328</v>
      </c>
      <c r="AG166" s="17" t="s">
        <v>1328</v>
      </c>
      <c r="AH166" s="17" t="s">
        <v>1328</v>
      </c>
      <c r="AI166" s="17" t="s">
        <v>1328</v>
      </c>
      <c r="AJ166" s="17" t="s">
        <v>1336</v>
      </c>
      <c r="AK166" s="17" t="s">
        <v>1395</v>
      </c>
      <c r="AL166" s="17" t="s">
        <v>1351</v>
      </c>
      <c r="AM166" s="17" t="s">
        <v>1363</v>
      </c>
      <c r="AN166" s="17" t="s">
        <v>1331</v>
      </c>
      <c r="AO166" s="17" t="s">
        <v>1328</v>
      </c>
      <c r="AP166" s="17" t="str">
        <f t="shared" si="7"/>
        <v>intermediate</v>
      </c>
      <c r="AQ166" s="20"/>
    </row>
    <row r="167" ht="15.75" customHeight="1">
      <c r="A167" s="16" t="s">
        <v>2298</v>
      </c>
      <c r="B167" s="16" t="s">
        <v>2299</v>
      </c>
      <c r="C167" s="16">
        <v>2010.0</v>
      </c>
      <c r="D167" s="16" t="s">
        <v>2300</v>
      </c>
      <c r="E167" s="16" t="s">
        <v>2301</v>
      </c>
      <c r="F167" s="23" t="s">
        <v>1324</v>
      </c>
      <c r="G167" s="16" t="str">
        <f t="shared" si="1"/>
        <v>No</v>
      </c>
      <c r="H167" s="16" t="s">
        <v>1324</v>
      </c>
      <c r="I167" s="16" t="s">
        <v>1324</v>
      </c>
      <c r="J167" s="16">
        <v>130.0</v>
      </c>
      <c r="K167" s="17" t="s">
        <v>2302</v>
      </c>
      <c r="L167" s="18" t="str">
        <f t="shared" si="2"/>
        <v/>
      </c>
      <c r="M167" s="19" t="s">
        <v>1370</v>
      </c>
      <c r="N167" s="17" t="s">
        <v>1327</v>
      </c>
      <c r="O167" s="17" t="s">
        <v>1328</v>
      </c>
      <c r="P167" s="17" t="s">
        <v>1328</v>
      </c>
      <c r="Q167" s="17" t="s">
        <v>1328</v>
      </c>
      <c r="R167" s="17" t="s">
        <v>1328</v>
      </c>
      <c r="S167" s="17" t="s">
        <v>1328</v>
      </c>
      <c r="T167" s="20" t="str">
        <f t="shared" si="3"/>
        <v>Yes</v>
      </c>
      <c r="U167" s="19" t="str">
        <f t="shared" si="4"/>
        <v>PJ</v>
      </c>
      <c r="V167" s="17" t="str">
        <f t="shared" si="5"/>
        <v>Yes</v>
      </c>
      <c r="W167" s="17" t="s">
        <v>1329</v>
      </c>
      <c r="X167" s="17" t="s">
        <v>1330</v>
      </c>
      <c r="Y167" s="17" t="s">
        <v>1331</v>
      </c>
      <c r="Z167" s="17" t="s">
        <v>1347</v>
      </c>
      <c r="AA167" s="17" t="s">
        <v>1333</v>
      </c>
      <c r="AB167" s="17" t="s">
        <v>1381</v>
      </c>
      <c r="AC167" s="17" t="s">
        <v>1335</v>
      </c>
      <c r="AD167" s="17">
        <f t="shared" si="6"/>
        <v>5</v>
      </c>
      <c r="AE167" s="17" t="s">
        <v>1328</v>
      </c>
      <c r="AF167" s="17" t="s">
        <v>1328</v>
      </c>
      <c r="AG167" s="17" t="s">
        <v>1328</v>
      </c>
      <c r="AH167" s="17" t="s">
        <v>1336</v>
      </c>
      <c r="AI167" s="17" t="s">
        <v>1328</v>
      </c>
      <c r="AJ167" s="17" t="s">
        <v>1328</v>
      </c>
      <c r="AK167" s="17" t="s">
        <v>1337</v>
      </c>
      <c r="AL167" s="17" t="s">
        <v>1338</v>
      </c>
      <c r="AM167" s="17" t="s">
        <v>1339</v>
      </c>
      <c r="AN167" s="17" t="s">
        <v>1331</v>
      </c>
      <c r="AO167" s="17" t="s">
        <v>1328</v>
      </c>
      <c r="AP167" s="17" t="str">
        <f t="shared" si="7"/>
        <v>intermediate</v>
      </c>
      <c r="AQ167" s="20"/>
    </row>
    <row r="168" ht="15.75" customHeight="1">
      <c r="A168" s="16"/>
      <c r="B168" s="16"/>
      <c r="C168" s="16"/>
      <c r="D168" s="16"/>
      <c r="E168" s="16"/>
      <c r="F168" s="16"/>
      <c r="G168" s="16"/>
      <c r="H168" s="16"/>
      <c r="I168" s="16"/>
      <c r="J168" s="16"/>
      <c r="K168" s="17"/>
      <c r="L168" s="18"/>
      <c r="M168" s="19"/>
      <c r="N168" s="17"/>
      <c r="O168" s="17"/>
      <c r="P168" s="17"/>
      <c r="Q168" s="17"/>
      <c r="R168" s="17"/>
      <c r="S168" s="17"/>
      <c r="T168" s="20"/>
      <c r="U168" s="19"/>
      <c r="V168" s="17"/>
      <c r="W168" s="17"/>
      <c r="X168" s="17"/>
      <c r="Y168" s="17"/>
      <c r="Z168" s="17"/>
      <c r="AA168" s="17"/>
      <c r="AB168" s="17"/>
      <c r="AC168" s="17"/>
      <c r="AD168" s="17"/>
      <c r="AE168" s="17"/>
      <c r="AF168" s="17"/>
      <c r="AG168" s="17"/>
      <c r="AH168" s="17"/>
      <c r="AI168" s="17"/>
      <c r="AJ168" s="17"/>
      <c r="AK168" s="17"/>
      <c r="AL168" s="17"/>
      <c r="AM168" s="17"/>
      <c r="AN168" s="17"/>
      <c r="AO168" s="17"/>
      <c r="AP168" s="17"/>
      <c r="AQ168" s="20"/>
    </row>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Q$167">
    <sortState ref="A1:AQ167">
      <sortCondition ref="AP1:AP167"/>
      <sortCondition ref="N1:N167"/>
      <sortCondition ref="M1:M167"/>
      <sortCondition ref="J1:J167"/>
      <sortCondition descending="1" ref="F1:F167"/>
    </sortState>
  </autoFilter>
  <conditionalFormatting sqref="A2:L168">
    <cfRule type="expression" dxfId="0" priority="1">
      <formula>$G2="Yes"</formula>
    </cfRule>
  </conditionalFormatting>
  <conditionalFormatting sqref="M2:T168">
    <cfRule type="expression" dxfId="1" priority="2">
      <formula>$T2="incomplete"</formula>
    </cfRule>
  </conditionalFormatting>
  <conditionalFormatting sqref="M2:T168">
    <cfRule type="expression" dxfId="0" priority="3">
      <formula>$T2="No"</formula>
    </cfRule>
  </conditionalFormatting>
  <conditionalFormatting sqref="M2:T168">
    <cfRule type="expression" dxfId="2" priority="4">
      <formula>$T2="Yes"</formula>
    </cfRule>
  </conditionalFormatting>
  <conditionalFormatting sqref="U2:U58 U59:AQ168 W2:AQ58">
    <cfRule type="expression" dxfId="1" priority="5">
      <formula>$AP2="incomplete"</formula>
    </cfRule>
  </conditionalFormatting>
  <conditionalFormatting sqref="U2:AQ168">
    <cfRule type="expression" dxfId="0" priority="6">
      <formula>$AP2="not suitable"</formula>
    </cfRule>
  </conditionalFormatting>
  <conditionalFormatting sqref="U2:AQ168">
    <cfRule type="expression" dxfId="3" priority="7">
      <formula>$AP2="intermediate"</formula>
    </cfRule>
  </conditionalFormatting>
  <conditionalFormatting sqref="U2:AQ168">
    <cfRule type="expression" dxfId="0" priority="8">
      <formula>$AP2="low"</formula>
    </cfRule>
  </conditionalFormatting>
  <conditionalFormatting sqref="U2:AQ168">
    <cfRule type="expression" dxfId="2" priority="9">
      <formula>$AP2="high"</formula>
    </cfRule>
  </conditionalFormatting>
  <conditionalFormatting sqref="V2:V58">
    <cfRule type="expression" dxfId="1" priority="10">
      <formula>$AP2="incomplete"</formula>
    </cfRule>
  </conditionalFormatting>
  <dataValidations>
    <dataValidation type="list" allowBlank="1" showInputMessage="1" showErrorMessage="1" prompt="Additional information - This column is autopopulated based on the previous step of the procedure. However, you have the opportunity to modify it if, based on the scan of the full text, it appears that the study is finally not suitable for the analysis." sqref="V1">
      <formula1>"Yes,No"</formula1>
    </dataValidation>
    <dataValidation type="list" allowBlank="1" showInputMessage="1" showErrorMessage="1" promptTitle="Additional information" prompt="N.A.: not directly based on empirical data (e.g. reviews)_x000d_None: not reporting on observed changes in indicators_x000d_Indirect: reporting implicitly on temporal changes _x000d_Direct (qualitative): direction of changes_x000d_Direct (quantitative): m" sqref="Z1">
      <formula1>"n.a.,none,indirect,direct (qualitative),direct (quantitative)"</formula1>
    </dataValidation>
    <dataValidation type="list" allowBlank="1" showErrorMessage="1" sqref="AN2:AN168">
      <formula1>"none,qualitative,quantitative"</formula1>
    </dataValidation>
    <dataValidation type="list" allowBlank="1" showInputMessage="1" showErrorMessage="1" prompt="Additional information - Does the study analyse the impact of invasive alien species on the selected indicator(s)?" sqref="AH1">
      <formula1>"Yes,No"</formula1>
    </dataValidation>
    <dataValidation type="list" allowBlank="1" showInputMessage="1" showErrorMessage="1" prompt="Additional information - None: impact of driver(s) not assessed_x000d_Qualitative: direction of impact of driver(s) assessed_x000d_Quantitative: magnitude of impact of driver(s) assessed in quantitative terms" sqref="AL1">
      <formula1>"none,qualitative (direction),quantitative (magnitude)"</formula1>
    </dataValidation>
    <dataValidation type="list" allowBlank="1" showErrorMessage="1" sqref="O2:S168 V2:V168 AE2:AJ168 AO2:AO168">
      <formula1>"Yes,No"</formula1>
    </dataValidation>
    <dataValidation type="list" allowBlank="1" showErrorMessage="1" sqref="W2:W168">
      <formula1>"empirical data,review,meta-analysis,other"</formula1>
    </dataValidation>
    <dataValidation type="list" allowBlank="1" showErrorMessage="1" sqref="X2:Y168">
      <formula1>"none,one of the indicators,more than one of the indicators,unclear"</formula1>
    </dataValidation>
    <dataValidation type="list" allowBlank="1" showInputMessage="1" showErrorMessage="1" prompt="Additional information - Studies reporting on the predicted/expected/projected/modelled future impacts of IPBES direct drivers are NOT suitable for the analysis." sqref="Q1">
      <formula1>"Yes,No"</formula1>
    </dataValidation>
    <dataValidation type="list" allowBlank="1" showInputMessage="1" showErrorMessage="1" promptTitle="Additional information" prompt="N.A.: e.g. for reviews_x000d_Local: typically smaller than a country_x000d_Regional: typically between a single country and several countries_x000d_Continental: covering all (or a representative set of) countries of a continent_x000d_Global: worldwide" sqref="AA1">
      <formula1>"local,regional,continental,global"</formula1>
    </dataValidation>
    <dataValidation type="list" allowBlank="1" showInputMessage="1" showErrorMessage="1" promptTitle="Additional information" prompt="None: relative importance not assessed_x000d_Nominal scale: important of drivers mentioned but not compared_x000d_Ordinal scale: drivers ranked/ordered by importance of impact_x000d_Ratio scale: relative importance of impact of each driver quantified" sqref="AM1">
      <formula1>"none,nominal scale,ordinal scale,ratio scale"</formula1>
    </dataValidation>
    <dataValidation type="list" allowBlank="1" showErrorMessage="1" sqref="AA2:AA168">
      <formula1>"local,regional,continental,global"</formula1>
    </dataValidation>
    <dataValidation type="list" allowBlank="1" showInputMessage="1" showErrorMessage="1" prompt="Additional information - Some studies use indicators that only include an implicit consideration of the temporal dimension (e.g. IUCN Red List of Threatened Species) but are suitable for the analysis." sqref="O1">
      <formula1>"Yes,No"</formula1>
    </dataValidation>
    <dataValidation type="list" allowBlank="1" showInputMessage="1" showErrorMessage="1" prompt="Additional information - Only studies reporting on the impact of IPBES direct drivers on at least one of the selected indicators (see spreadsheet 'Indicators') are suitable for the analysis." sqref="R1">
      <formula1>"Yes,No"</formula1>
    </dataValidation>
    <dataValidation type="list" allowBlank="1" showInputMessage="1" showErrorMessage="1" prompt="Additional information - Does the study analyse the impact of other driver(s) (e.g. human disturbance, fire) on the selected indicator(s)?" sqref="AJ1">
      <formula1>"Yes,No"</formula1>
    </dataValidation>
    <dataValidation type="list" allowBlank="1" showInputMessage="1" showErrorMessage="1" prompt="Additional information - Does the study analyse the impact of resource extraction on the selected indicator(s)?" sqref="AG1">
      <formula1>"Yes,No"</formula1>
    </dataValidation>
    <dataValidation type="list" allowBlank="1" showInputMessage="1" showErrorMessage="1" promptTitle="Additional information" prompt="None: interactions not assessed (or only mentioned/discussed)_x000d_Qualitative: qualitative evidence for interactions_x000d_Quantitative: quantitative estimates of interactions_x000d__x000d_If the &quot;Number of drivers&quot; = 0 or 1, you should select &quot;none&quot;" sqref="AN1">
      <formula1>"none,qualitative,quantitative"</formula1>
    </dataValidation>
    <dataValidation type="list" allowBlank="1" showErrorMessage="1" sqref="AL2:AL168">
      <formula1>"none,qualitative (direction),quantitative (magnitude)"</formula1>
    </dataValidation>
    <dataValidation type="list" allowBlank="1" showInputMessage="1" showErrorMessage="1" prompt="Is your suitability check done? - Please indicate &quot;Yes&quot; once you have checked the suitability of this study and the suitability (next column) will be calculated automatically." sqref="S1">
      <formula1>"Yes,No"</formula1>
    </dataValidation>
    <dataValidation type="list" allowBlank="1" showInputMessage="1" showErrorMessage="1" prompt="Additional information - Does the study analyse the impact of climate change on the selected indicator(s)?" sqref="AE1">
      <formula1>"Yes,No"</formula1>
    </dataValidation>
    <dataValidation type="list" allowBlank="1" showInputMessage="1" showErrorMessage="1" promptTitle="Additional information" prompt="Does the study focus indirectly on one of the selected indicators (see spreadsheet 'Indicators')?_x000d_Ex: a study on wilderness areas may provide useful information for the indicator 'Extent of Remaining Primary Vegetation' without reporting explicitly " sqref="Y1">
      <formula1>"none,one of the indicators,more than one of the indicators,unclear"</formula1>
    </dataValidation>
    <dataValidation type="list" allowBlank="1" showInputMessage="1" showErrorMessage="1" prompt="Additional information - Does the study analyse the impact of pollution on the selected indicator(s)?" sqref="AI1">
      <formula1>"Yes,No"</formula1>
    </dataValidation>
    <dataValidation type="list" allowBlank="1" showInputMessage="1" showErrorMessage="1" prompt="Additional information - Does the study focus explicitly and directly on (more than) one of the selected indicators (see spreadsheet 'Indicators')?" sqref="X1">
      <formula1>"none,one of the indicators,more than one of the indicators,unclear"</formula1>
    </dataValidation>
    <dataValidation type="list" allowBlank="1" showInputMessage="1" showErrorMessage="1" promptTitle="Additional information" prompt="Empirical data: using any sort of data, even if from an existing database_x000d_Review: qualitative/descriptive synthesis of the existing literature_x000d_Meta-analysis: quantitative synthesis of the literature or analysis of multiple datasets_x000d_Other" sqref="W1">
      <formula1>"empirical data,review,meta-analysis,other"</formula1>
    </dataValidation>
    <dataValidation type="list" allowBlank="1" showErrorMessage="1" sqref="AM2:AM168">
      <formula1>"none,nominal scale,ordinal scale,ratio scale"</formula1>
    </dataValidation>
    <dataValidation type="list" allowBlank="1" showErrorMessage="1" sqref="Z2:Z168">
      <formula1>"n.a.,none,indirect,direct (qualitative),direct (quantitative)"</formula1>
    </dataValidation>
    <dataValidation type="list" allowBlank="1" showInputMessage="1" showErrorMessage="1" prompt="Additional information - Does the study analyse the impact of land/sea use change on the selected indicator(s)?" sqref="AF1">
      <formula1>"Yes,No"</formula1>
    </dataValidation>
    <dataValidation type="list" allowBlank="1" showInputMessage="1" showErrorMessage="1" promptTitle="Additional information" prompt="Prevalence-based: prevalence of different drivers identified as threat among a list of species_x000d_Effect-based: relating temporal/spatial changes in driver(s) to changes in indicator(s)_x000d_Trait-based: impact of driver(s) assumed from changes in tra" sqref="AK1">
      <formula1>"n.a.,none,prevalence-based,effect-based,trait-based"</formula1>
    </dataValidation>
    <dataValidation type="list" allowBlank="1" showInputMessage="1" showErrorMessage="1" prompt="Additional information - Only studies assessing the impacts of at least two IPBES direct drivers (see spreadsheet 'Drivers') are suitable for the analysis." sqref="P1">
      <formula1>"Yes,No"</formula1>
    </dataValidation>
    <dataValidation type="list" allowBlank="1" showErrorMessage="1" sqref="AK2:AK168">
      <formula1>"n.a.,none,prevalence-based,effect-based,trait-based"</formula1>
    </dataValidation>
    <dataValidation type="list" allowBlank="1" showInputMessage="1" showErrorMessage="1" prompt="Is your assessment completed? - Please indicate &quot;Yes&quot; once you have completed the assessment of this item and the priority level (next column) will be calculated automatically." sqref="AO1">
      <formula1>"Yes,No"</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6" width="8.0"/>
    <col customWidth="1" min="57" max="57" width="22.88"/>
    <col customWidth="1" min="58" max="72" width="8.0"/>
  </cols>
  <sheetData>
    <row r="1" ht="12.75" customHeight="1">
      <c r="A1" s="3" t="s">
        <v>14</v>
      </c>
      <c r="B1" s="3" t="s">
        <v>15</v>
      </c>
      <c r="C1" s="3" t="s">
        <v>2303</v>
      </c>
      <c r="D1" s="3" t="s">
        <v>2304</v>
      </c>
      <c r="E1" s="3" t="s">
        <v>2305</v>
      </c>
      <c r="F1" s="3" t="s">
        <v>2306</v>
      </c>
      <c r="G1" s="3" t="s">
        <v>2307</v>
      </c>
      <c r="H1" s="3" t="s">
        <v>2308</v>
      </c>
      <c r="I1" s="3" t="s">
        <v>16</v>
      </c>
      <c r="J1" s="3" t="s">
        <v>17</v>
      </c>
      <c r="K1" s="3" t="s">
        <v>2309</v>
      </c>
      <c r="L1" s="3" t="s">
        <v>2310</v>
      </c>
      <c r="M1" s="3" t="s">
        <v>2311</v>
      </c>
      <c r="N1" s="3" t="s">
        <v>18</v>
      </c>
      <c r="O1" s="3" t="s">
        <v>2312</v>
      </c>
      <c r="P1" s="3" t="s">
        <v>2313</v>
      </c>
      <c r="Q1" s="3" t="s">
        <v>2314</v>
      </c>
      <c r="R1" s="3" t="s">
        <v>2315</v>
      </c>
      <c r="S1" s="3" t="s">
        <v>2316</v>
      </c>
      <c r="T1" s="3" t="s">
        <v>2317</v>
      </c>
      <c r="U1" s="3" t="s">
        <v>2318</v>
      </c>
      <c r="V1" s="3" t="s">
        <v>19</v>
      </c>
      <c r="W1" s="3" t="s">
        <v>2319</v>
      </c>
      <c r="X1" s="3" t="s">
        <v>2320</v>
      </c>
      <c r="Y1" s="3" t="s">
        <v>2321</v>
      </c>
      <c r="Z1" s="3" t="s">
        <v>2322</v>
      </c>
      <c r="AA1" s="3" t="s">
        <v>2323</v>
      </c>
      <c r="AB1" s="3" t="s">
        <v>2324</v>
      </c>
      <c r="AC1" s="3" t="s">
        <v>2325</v>
      </c>
      <c r="AD1" s="3" t="s">
        <v>2326</v>
      </c>
      <c r="AE1" s="3" t="s">
        <v>2327</v>
      </c>
      <c r="AF1" s="3" t="s">
        <v>2328</v>
      </c>
      <c r="AG1" s="3" t="s">
        <v>2329</v>
      </c>
      <c r="AH1" s="3" t="s">
        <v>2330</v>
      </c>
      <c r="AI1" s="3" t="s">
        <v>2331</v>
      </c>
      <c r="AJ1" s="3" t="s">
        <v>2332</v>
      </c>
      <c r="AK1" s="3" t="s">
        <v>2333</v>
      </c>
      <c r="AL1" s="3" t="s">
        <v>2334</v>
      </c>
      <c r="AM1" s="3" t="s">
        <v>2335</v>
      </c>
      <c r="AN1" s="3" t="s">
        <v>2336</v>
      </c>
      <c r="AO1" s="3" t="s">
        <v>2337</v>
      </c>
      <c r="AP1" s="3" t="s">
        <v>2338</v>
      </c>
      <c r="AQ1" s="3" t="s">
        <v>2339</v>
      </c>
      <c r="AR1" s="3" t="s">
        <v>2340</v>
      </c>
      <c r="AS1" s="3" t="s">
        <v>2341</v>
      </c>
      <c r="AT1" s="3" t="s">
        <v>2342</v>
      </c>
      <c r="AU1" s="3" t="s">
        <v>2343</v>
      </c>
      <c r="AV1" s="3" t="s">
        <v>2344</v>
      </c>
      <c r="AW1" s="3" t="s">
        <v>2345</v>
      </c>
      <c r="AX1" s="3" t="s">
        <v>2346</v>
      </c>
      <c r="AY1" s="3" t="s">
        <v>2347</v>
      </c>
      <c r="AZ1" s="3" t="s">
        <v>2348</v>
      </c>
      <c r="BA1" s="3" t="s">
        <v>2349</v>
      </c>
      <c r="BB1" s="3" t="s">
        <v>2350</v>
      </c>
      <c r="BC1" s="3" t="s">
        <v>2351</v>
      </c>
      <c r="BD1" s="3" t="s">
        <v>2352</v>
      </c>
      <c r="BE1" s="24" t="s">
        <v>20</v>
      </c>
      <c r="BF1" s="3" t="s">
        <v>21</v>
      </c>
      <c r="BG1" s="3" t="s">
        <v>2353</v>
      </c>
      <c r="BH1" s="3" t="s">
        <v>2354</v>
      </c>
      <c r="BI1" s="3" t="s">
        <v>2355</v>
      </c>
      <c r="BJ1" s="3" t="s">
        <v>22</v>
      </c>
      <c r="BK1" s="3" t="s">
        <v>2356</v>
      </c>
      <c r="BL1" s="3" t="s">
        <v>2357</v>
      </c>
      <c r="BM1" s="3" t="s">
        <v>2358</v>
      </c>
      <c r="BN1" s="3" t="s">
        <v>2359</v>
      </c>
      <c r="BO1" s="3" t="s">
        <v>2360</v>
      </c>
      <c r="BP1" s="3" t="s">
        <v>2361</v>
      </c>
      <c r="BQ1" s="3" t="s">
        <v>2362</v>
      </c>
      <c r="BR1" s="3" t="s">
        <v>23</v>
      </c>
      <c r="BS1" s="3" t="s">
        <v>24</v>
      </c>
      <c r="BT1" s="3" t="s">
        <v>25</v>
      </c>
    </row>
    <row r="2" ht="12.75" customHeight="1">
      <c r="A2" s="3" t="s">
        <v>26</v>
      </c>
      <c r="B2" s="3" t="s">
        <v>2363</v>
      </c>
      <c r="C2" s="3" t="s">
        <v>1324</v>
      </c>
      <c r="D2" s="3" t="s">
        <v>1324</v>
      </c>
      <c r="E2" s="3" t="s">
        <v>1324</v>
      </c>
      <c r="F2" s="3" t="s">
        <v>2293</v>
      </c>
      <c r="G2" s="3" t="s">
        <v>1324</v>
      </c>
      <c r="H2" s="3" t="s">
        <v>1324</v>
      </c>
      <c r="I2" s="3" t="s">
        <v>2295</v>
      </c>
      <c r="J2" s="3" t="s">
        <v>2294</v>
      </c>
      <c r="K2" s="3" t="s">
        <v>1324</v>
      </c>
      <c r="L2" s="3" t="s">
        <v>1324</v>
      </c>
      <c r="M2" s="3" t="s">
        <v>2364</v>
      </c>
      <c r="N2" s="3" t="s">
        <v>38</v>
      </c>
      <c r="O2" s="3" t="s">
        <v>1324</v>
      </c>
      <c r="P2" s="3" t="s">
        <v>1324</v>
      </c>
      <c r="Q2" s="3" t="s">
        <v>1324</v>
      </c>
      <c r="R2" s="3" t="s">
        <v>1324</v>
      </c>
      <c r="S2" s="3" t="s">
        <v>1324</v>
      </c>
      <c r="T2" s="3" t="s">
        <v>2365</v>
      </c>
      <c r="U2" s="3" t="s">
        <v>1324</v>
      </c>
      <c r="V2" s="3" t="s">
        <v>2296</v>
      </c>
      <c r="W2" s="3" t="s">
        <v>2366</v>
      </c>
      <c r="X2" s="3" t="s">
        <v>2367</v>
      </c>
      <c r="Y2" s="3" t="s">
        <v>2368</v>
      </c>
      <c r="Z2" s="3" t="s">
        <v>2369</v>
      </c>
      <c r="AA2" s="3" t="s">
        <v>2370</v>
      </c>
      <c r="AB2" s="3" t="s">
        <v>2371</v>
      </c>
      <c r="AC2" s="3" t="s">
        <v>1324</v>
      </c>
      <c r="AD2" s="3" t="s">
        <v>1324</v>
      </c>
      <c r="AE2" s="3" t="s">
        <v>1324</v>
      </c>
      <c r="AF2" s="3" t="s">
        <v>1324</v>
      </c>
      <c r="AG2" s="3">
        <v>15.0</v>
      </c>
      <c r="AH2" s="3">
        <v>3.0</v>
      </c>
      <c r="AI2" s="3">
        <v>3.0</v>
      </c>
      <c r="AJ2" s="3">
        <v>0.0</v>
      </c>
      <c r="AK2" s="3">
        <v>10.0</v>
      </c>
      <c r="AL2" s="3" t="s">
        <v>2372</v>
      </c>
      <c r="AM2" s="3" t="s">
        <v>2373</v>
      </c>
      <c r="AN2" s="3" t="s">
        <v>2374</v>
      </c>
      <c r="AO2" s="3" t="s">
        <v>2375</v>
      </c>
      <c r="AP2" s="3" t="s">
        <v>2376</v>
      </c>
      <c r="AQ2" s="3" t="s">
        <v>1324</v>
      </c>
      <c r="AR2" s="3" t="s">
        <v>2377</v>
      </c>
      <c r="AS2" s="3" t="s">
        <v>2378</v>
      </c>
      <c r="AT2" s="3" t="s">
        <v>2379</v>
      </c>
      <c r="AU2" s="3">
        <v>2015.0</v>
      </c>
      <c r="AV2" s="3">
        <v>6.0</v>
      </c>
      <c r="AW2" s="3">
        <v>4.0</v>
      </c>
      <c r="AX2" s="3" t="s">
        <v>1324</v>
      </c>
      <c r="AY2" s="3" t="s">
        <v>1324</v>
      </c>
      <c r="AZ2" s="3" t="s">
        <v>1324</v>
      </c>
      <c r="BA2" s="3" t="s">
        <v>1324</v>
      </c>
      <c r="BB2" s="3">
        <v>697.0</v>
      </c>
      <c r="BC2" s="3">
        <v>706.0</v>
      </c>
      <c r="BD2" s="3" t="s">
        <v>1324</v>
      </c>
      <c r="BE2" s="3" t="s">
        <v>1324</v>
      </c>
      <c r="BF2" s="3" t="s">
        <v>1324</v>
      </c>
      <c r="BG2" s="3" t="s">
        <v>1324</v>
      </c>
      <c r="BH2" s="3" t="s">
        <v>1324</v>
      </c>
      <c r="BI2" s="3">
        <v>10.0</v>
      </c>
      <c r="BJ2" s="3" t="s">
        <v>2380</v>
      </c>
      <c r="BK2" s="3" t="s">
        <v>2381</v>
      </c>
      <c r="BL2" s="3" t="s">
        <v>2380</v>
      </c>
      <c r="BM2" s="3" t="s">
        <v>2382</v>
      </c>
      <c r="BN2" s="3" t="s">
        <v>1324</v>
      </c>
      <c r="BO2" s="3" t="s">
        <v>1324</v>
      </c>
      <c r="BP2" s="3" t="s">
        <v>1324</v>
      </c>
      <c r="BQ2" s="3" t="s">
        <v>1324</v>
      </c>
      <c r="BR2" s="3" t="s">
        <v>2383</v>
      </c>
      <c r="BS2" s="3" t="s">
        <v>2384</v>
      </c>
      <c r="BT2" s="3" t="str">
        <f>HYPERLINK("https%3A%2F%2Fwww.webofscience.com%2Fwos%2Fwoscc%2Ffull-record%2FWOS:000366349700011","View Full Record in Web of Science")</f>
        <v>View Full Record in Web of Science</v>
      </c>
    </row>
    <row r="3" ht="12.75" customHeight="1">
      <c r="A3" s="3" t="s">
        <v>26</v>
      </c>
      <c r="B3" s="3" t="s">
        <v>2385</v>
      </c>
      <c r="C3" s="3" t="s">
        <v>1324</v>
      </c>
      <c r="D3" s="3" t="s">
        <v>1324</v>
      </c>
      <c r="E3" s="3" t="s">
        <v>1324</v>
      </c>
      <c r="F3" s="3" t="s">
        <v>2386</v>
      </c>
      <c r="G3" s="3" t="s">
        <v>1324</v>
      </c>
      <c r="H3" s="3" t="s">
        <v>1324</v>
      </c>
      <c r="I3" s="3" t="s">
        <v>2387</v>
      </c>
      <c r="J3" s="3" t="s">
        <v>2388</v>
      </c>
      <c r="K3" s="3" t="s">
        <v>1324</v>
      </c>
      <c r="L3" s="3" t="s">
        <v>1324</v>
      </c>
      <c r="M3" s="3" t="s">
        <v>2364</v>
      </c>
      <c r="N3" s="3" t="s">
        <v>38</v>
      </c>
      <c r="O3" s="3" t="s">
        <v>1324</v>
      </c>
      <c r="P3" s="3" t="s">
        <v>1324</v>
      </c>
      <c r="Q3" s="3" t="s">
        <v>1324</v>
      </c>
      <c r="R3" s="3" t="s">
        <v>1324</v>
      </c>
      <c r="S3" s="3" t="s">
        <v>1324</v>
      </c>
      <c r="T3" s="3" t="s">
        <v>1324</v>
      </c>
      <c r="U3" s="3" t="s">
        <v>2389</v>
      </c>
      <c r="V3" s="3" t="s">
        <v>2291</v>
      </c>
      <c r="W3" s="3" t="s">
        <v>2390</v>
      </c>
      <c r="X3" s="3" t="s">
        <v>2391</v>
      </c>
      <c r="Y3" s="3" t="s">
        <v>2392</v>
      </c>
      <c r="Z3" s="3" t="s">
        <v>2393</v>
      </c>
      <c r="AA3" s="3" t="s">
        <v>2394</v>
      </c>
      <c r="AB3" s="3" t="s">
        <v>2395</v>
      </c>
      <c r="AC3" s="3" t="s">
        <v>2396</v>
      </c>
      <c r="AD3" s="3" t="s">
        <v>2397</v>
      </c>
      <c r="AE3" s="3" t="s">
        <v>2398</v>
      </c>
      <c r="AF3" s="3" t="s">
        <v>1324</v>
      </c>
      <c r="AG3" s="3">
        <v>82.0</v>
      </c>
      <c r="AH3" s="3">
        <v>60.0</v>
      </c>
      <c r="AI3" s="3">
        <v>72.0</v>
      </c>
      <c r="AJ3" s="3">
        <v>0.0</v>
      </c>
      <c r="AK3" s="3">
        <v>26.0</v>
      </c>
      <c r="AL3" s="3" t="s">
        <v>2399</v>
      </c>
      <c r="AM3" s="3" t="s">
        <v>2400</v>
      </c>
      <c r="AN3" s="3" t="s">
        <v>2401</v>
      </c>
      <c r="AO3" s="3" t="s">
        <v>1324</v>
      </c>
      <c r="AP3" s="3" t="s">
        <v>2402</v>
      </c>
      <c r="AQ3" s="3" t="s">
        <v>1324</v>
      </c>
      <c r="AR3" s="3" t="s">
        <v>2403</v>
      </c>
      <c r="AS3" s="3" t="s">
        <v>2404</v>
      </c>
      <c r="AT3" s="3" t="s">
        <v>1324</v>
      </c>
      <c r="AU3" s="3">
        <v>2006.0</v>
      </c>
      <c r="AV3" s="3">
        <v>2.0</v>
      </c>
      <c r="AW3" s="3" t="s">
        <v>1324</v>
      </c>
      <c r="AX3" s="3" t="s">
        <v>1324</v>
      </c>
      <c r="AY3" s="3" t="s">
        <v>1324</v>
      </c>
      <c r="AZ3" s="3" t="s">
        <v>1324</v>
      </c>
      <c r="BA3" s="3" t="s">
        <v>1324</v>
      </c>
      <c r="BB3" s="3" t="s">
        <v>1324</v>
      </c>
      <c r="BC3" s="3" t="s">
        <v>1324</v>
      </c>
      <c r="BD3" s="3">
        <v>24.0</v>
      </c>
      <c r="BE3" s="3" t="s">
        <v>2405</v>
      </c>
      <c r="BF3" s="25" t="str">
        <f>HYPERLINK("http://dx.doi.org/10.1186/1746-4269-2-24","http://dx.doi.org/10.1186/1746-4269-2-24")</f>
        <v>http://dx.doi.org/10.1186/1746-4269-2-24</v>
      </c>
      <c r="BG3" s="3" t="s">
        <v>1324</v>
      </c>
      <c r="BH3" s="3" t="s">
        <v>1324</v>
      </c>
      <c r="BI3" s="3">
        <v>22.0</v>
      </c>
      <c r="BJ3" s="3" t="s">
        <v>2406</v>
      </c>
      <c r="BK3" s="3" t="s">
        <v>2407</v>
      </c>
      <c r="BL3" s="3" t="s">
        <v>2408</v>
      </c>
      <c r="BM3" s="3" t="s">
        <v>2409</v>
      </c>
      <c r="BN3" s="3">
        <v>1.6681845E7</v>
      </c>
      <c r="BO3" s="3" t="s">
        <v>2410</v>
      </c>
      <c r="BP3" s="3" t="s">
        <v>1324</v>
      </c>
      <c r="BQ3" s="3" t="s">
        <v>1324</v>
      </c>
      <c r="BR3" s="3" t="s">
        <v>2383</v>
      </c>
      <c r="BS3" s="3" t="s">
        <v>2411</v>
      </c>
      <c r="BT3" s="3" t="str">
        <f>HYPERLINK("https%3A%2F%2Fwww.webofscience.com%2Fwos%2Fwoscc%2Ffull-record%2FWOS:000209091500024","View Full Record in Web of Science")</f>
        <v>View Full Record in Web of Science</v>
      </c>
    </row>
    <row r="4" ht="12.75" customHeight="1">
      <c r="A4" s="3" t="s">
        <v>26</v>
      </c>
      <c r="B4" s="3" t="s">
        <v>2412</v>
      </c>
      <c r="C4" s="3" t="s">
        <v>1324</v>
      </c>
      <c r="D4" s="3" t="s">
        <v>1324</v>
      </c>
      <c r="E4" s="3" t="s">
        <v>1324</v>
      </c>
      <c r="F4" s="3" t="s">
        <v>1477</v>
      </c>
      <c r="G4" s="3" t="s">
        <v>1324</v>
      </c>
      <c r="H4" s="3" t="s">
        <v>1324</v>
      </c>
      <c r="I4" s="3" t="s">
        <v>1478</v>
      </c>
      <c r="J4" s="3" t="s">
        <v>365</v>
      </c>
      <c r="K4" s="3" t="s">
        <v>1324</v>
      </c>
      <c r="L4" s="3" t="s">
        <v>1324</v>
      </c>
      <c r="M4" s="3" t="s">
        <v>2364</v>
      </c>
      <c r="N4" s="3" t="s">
        <v>38</v>
      </c>
      <c r="O4" s="3" t="s">
        <v>1324</v>
      </c>
      <c r="P4" s="3" t="s">
        <v>1324</v>
      </c>
      <c r="Q4" s="3" t="s">
        <v>1324</v>
      </c>
      <c r="R4" s="3" t="s">
        <v>1324</v>
      </c>
      <c r="S4" s="3" t="s">
        <v>1324</v>
      </c>
      <c r="T4" s="3" t="s">
        <v>1324</v>
      </c>
      <c r="U4" s="3" t="s">
        <v>2413</v>
      </c>
      <c r="V4" s="3" t="s">
        <v>1479</v>
      </c>
      <c r="W4" s="3" t="s">
        <v>2414</v>
      </c>
      <c r="X4" s="3" t="s">
        <v>2415</v>
      </c>
      <c r="Y4" s="3" t="s">
        <v>2416</v>
      </c>
      <c r="Z4" s="3" t="s">
        <v>2417</v>
      </c>
      <c r="AA4" s="3" t="s">
        <v>2418</v>
      </c>
      <c r="AB4" s="3" t="s">
        <v>2419</v>
      </c>
      <c r="AC4" s="3" t="s">
        <v>2420</v>
      </c>
      <c r="AD4" s="3" t="s">
        <v>2421</v>
      </c>
      <c r="AE4" s="3" t="s">
        <v>2422</v>
      </c>
      <c r="AF4" s="3" t="s">
        <v>1324</v>
      </c>
      <c r="AG4" s="3">
        <v>69.0</v>
      </c>
      <c r="AH4" s="3">
        <v>64.0</v>
      </c>
      <c r="AI4" s="3">
        <v>79.0</v>
      </c>
      <c r="AJ4" s="3">
        <v>2.0</v>
      </c>
      <c r="AK4" s="3">
        <v>181.0</v>
      </c>
      <c r="AL4" s="3" t="s">
        <v>2423</v>
      </c>
      <c r="AM4" s="3" t="s">
        <v>2424</v>
      </c>
      <c r="AN4" s="3" t="s">
        <v>2425</v>
      </c>
      <c r="AO4" s="3" t="s">
        <v>2426</v>
      </c>
      <c r="AP4" s="3" t="s">
        <v>1324</v>
      </c>
      <c r="AQ4" s="3" t="s">
        <v>1324</v>
      </c>
      <c r="AR4" s="3" t="s">
        <v>365</v>
      </c>
      <c r="AS4" s="3" t="s">
        <v>2427</v>
      </c>
      <c r="AT4" s="3" t="s">
        <v>2428</v>
      </c>
      <c r="AU4" s="3">
        <v>2011.0</v>
      </c>
      <c r="AV4" s="3">
        <v>6.0</v>
      </c>
      <c r="AW4" s="3">
        <v>11.0</v>
      </c>
      <c r="AX4" s="3" t="s">
        <v>1324</v>
      </c>
      <c r="AY4" s="3" t="s">
        <v>1324</v>
      </c>
      <c r="AZ4" s="3" t="s">
        <v>1324</v>
      </c>
      <c r="BA4" s="3" t="s">
        <v>1324</v>
      </c>
      <c r="BB4" s="3" t="s">
        <v>1324</v>
      </c>
      <c r="BC4" s="3" t="s">
        <v>1324</v>
      </c>
      <c r="BD4" s="3" t="s">
        <v>2429</v>
      </c>
      <c r="BE4" s="3" t="s">
        <v>1480</v>
      </c>
      <c r="BF4" s="25" t="str">
        <f>HYPERLINK("http://dx.doi.org/10.1371/journal.pone.0027785","http://dx.doi.org/10.1371/journal.pone.0027785")</f>
        <v>http://dx.doi.org/10.1371/journal.pone.0027785</v>
      </c>
      <c r="BG4" s="3" t="s">
        <v>1324</v>
      </c>
      <c r="BH4" s="3" t="s">
        <v>1324</v>
      </c>
      <c r="BI4" s="3">
        <v>12.0</v>
      </c>
      <c r="BJ4" s="3" t="s">
        <v>42</v>
      </c>
      <c r="BK4" s="3" t="s">
        <v>2407</v>
      </c>
      <c r="BL4" s="3" t="s">
        <v>2430</v>
      </c>
      <c r="BM4" s="3" t="s">
        <v>2431</v>
      </c>
      <c r="BN4" s="3">
        <v>2.2114695E7</v>
      </c>
      <c r="BO4" s="3" t="s">
        <v>2410</v>
      </c>
      <c r="BP4" s="3" t="s">
        <v>1324</v>
      </c>
      <c r="BQ4" s="3" t="s">
        <v>1324</v>
      </c>
      <c r="BR4" s="3" t="s">
        <v>2383</v>
      </c>
      <c r="BS4" s="3" t="s">
        <v>2432</v>
      </c>
      <c r="BT4" s="3" t="str">
        <f>HYPERLINK("https%3A%2F%2Fwww.webofscience.com%2Fwos%2Fwoscc%2Ffull-record%2FWOS:000297555400114","View Full Record in Web of Science")</f>
        <v>View Full Record in Web of Science</v>
      </c>
    </row>
    <row r="5" ht="12.75" customHeight="1">
      <c r="A5" s="3" t="s">
        <v>2433</v>
      </c>
      <c r="B5" s="3" t="s">
        <v>2434</v>
      </c>
      <c r="C5" s="3" t="s">
        <v>1324</v>
      </c>
      <c r="D5" s="3" t="s">
        <v>2435</v>
      </c>
      <c r="E5" s="3" t="s">
        <v>1324</v>
      </c>
      <c r="F5" s="3" t="s">
        <v>2264</v>
      </c>
      <c r="G5" s="3" t="s">
        <v>1324</v>
      </c>
      <c r="H5" s="3" t="s">
        <v>1324</v>
      </c>
      <c r="I5" s="3" t="s">
        <v>2266</v>
      </c>
      <c r="J5" s="3" t="s">
        <v>2265</v>
      </c>
      <c r="K5" s="3" t="s">
        <v>2436</v>
      </c>
      <c r="L5" s="3" t="s">
        <v>1324</v>
      </c>
      <c r="M5" s="3" t="s">
        <v>2364</v>
      </c>
      <c r="N5" s="3" t="s">
        <v>2437</v>
      </c>
      <c r="O5" s="3" t="s">
        <v>1324</v>
      </c>
      <c r="P5" s="3" t="s">
        <v>1324</v>
      </c>
      <c r="Q5" s="3" t="s">
        <v>1324</v>
      </c>
      <c r="R5" s="3" t="s">
        <v>1324</v>
      </c>
      <c r="S5" s="3" t="s">
        <v>1324</v>
      </c>
      <c r="T5" s="3" t="s">
        <v>1324</v>
      </c>
      <c r="U5" s="3" t="s">
        <v>2438</v>
      </c>
      <c r="V5" s="3" t="s">
        <v>1324</v>
      </c>
      <c r="W5" s="3" t="s">
        <v>2439</v>
      </c>
      <c r="X5" s="3" t="s">
        <v>2440</v>
      </c>
      <c r="Y5" s="3" t="s">
        <v>2441</v>
      </c>
      <c r="Z5" s="3" t="s">
        <v>1324</v>
      </c>
      <c r="AA5" s="3" t="s">
        <v>1324</v>
      </c>
      <c r="AB5" s="3" t="s">
        <v>1324</v>
      </c>
      <c r="AC5" s="3" t="s">
        <v>1324</v>
      </c>
      <c r="AD5" s="3" t="s">
        <v>1324</v>
      </c>
      <c r="AE5" s="3" t="s">
        <v>1324</v>
      </c>
      <c r="AF5" s="3" t="s">
        <v>1324</v>
      </c>
      <c r="AG5" s="3">
        <v>192.0</v>
      </c>
      <c r="AH5" s="3">
        <v>2.0</v>
      </c>
      <c r="AI5" s="3">
        <v>2.0</v>
      </c>
      <c r="AJ5" s="3">
        <v>1.0</v>
      </c>
      <c r="AK5" s="3">
        <v>5.0</v>
      </c>
      <c r="AL5" s="3" t="s">
        <v>2442</v>
      </c>
      <c r="AM5" s="3" t="s">
        <v>2400</v>
      </c>
      <c r="AN5" s="3" t="s">
        <v>2443</v>
      </c>
      <c r="AO5" s="3" t="s">
        <v>1324</v>
      </c>
      <c r="AP5" s="3" t="s">
        <v>1324</v>
      </c>
      <c r="AQ5" s="3" t="s">
        <v>2444</v>
      </c>
      <c r="AR5" s="3" t="s">
        <v>2445</v>
      </c>
      <c r="AS5" s="3" t="s">
        <v>1324</v>
      </c>
      <c r="AT5" s="3" t="s">
        <v>1324</v>
      </c>
      <c r="AU5" s="3">
        <v>2014.0</v>
      </c>
      <c r="AV5" s="3" t="s">
        <v>1324</v>
      </c>
      <c r="AW5" s="3" t="s">
        <v>1324</v>
      </c>
      <c r="AX5" s="3" t="s">
        <v>1324</v>
      </c>
      <c r="AY5" s="3" t="s">
        <v>1324</v>
      </c>
      <c r="AZ5" s="3" t="s">
        <v>1324</v>
      </c>
      <c r="BA5" s="3" t="s">
        <v>1324</v>
      </c>
      <c r="BB5" s="3">
        <v>113.0</v>
      </c>
      <c r="BC5" s="3">
        <v>212.0</v>
      </c>
      <c r="BD5" s="3" t="s">
        <v>1324</v>
      </c>
      <c r="BE5" s="3" t="s">
        <v>1324</v>
      </c>
      <c r="BF5" s="3" t="s">
        <v>1324</v>
      </c>
      <c r="BG5" s="3" t="s">
        <v>2446</v>
      </c>
      <c r="BH5" s="3" t="s">
        <v>1324</v>
      </c>
      <c r="BI5" s="3">
        <v>100.0</v>
      </c>
      <c r="BJ5" s="3" t="s">
        <v>2447</v>
      </c>
      <c r="BK5" s="3" t="s">
        <v>2448</v>
      </c>
      <c r="BL5" s="3" t="s">
        <v>2449</v>
      </c>
      <c r="BM5" s="3" t="s">
        <v>2450</v>
      </c>
      <c r="BN5" s="3" t="s">
        <v>1324</v>
      </c>
      <c r="BO5" s="3" t="s">
        <v>1324</v>
      </c>
      <c r="BP5" s="3" t="s">
        <v>1324</v>
      </c>
      <c r="BQ5" s="3" t="s">
        <v>1324</v>
      </c>
      <c r="BR5" s="3" t="s">
        <v>2383</v>
      </c>
      <c r="BS5" s="3" t="s">
        <v>2451</v>
      </c>
      <c r="BT5" s="3" t="str">
        <f>HYPERLINK("https%3A%2F%2Fwww.webofscience.com%2Fwos%2Fwoscc%2Ffull-record%2FWOS:000364520200005","View Full Record in Web of Science")</f>
        <v>View Full Record in Web of Science</v>
      </c>
    </row>
    <row r="6" ht="12.75" customHeight="1">
      <c r="A6" s="3" t="s">
        <v>26</v>
      </c>
      <c r="B6" s="3" t="s">
        <v>2452</v>
      </c>
      <c r="C6" s="3" t="s">
        <v>1324</v>
      </c>
      <c r="D6" s="3" t="s">
        <v>1324</v>
      </c>
      <c r="E6" s="3" t="s">
        <v>1324</v>
      </c>
      <c r="F6" s="3" t="s">
        <v>2238</v>
      </c>
      <c r="G6" s="3" t="s">
        <v>1324</v>
      </c>
      <c r="H6" s="3" t="s">
        <v>1324</v>
      </c>
      <c r="I6" s="3" t="s">
        <v>2239</v>
      </c>
      <c r="J6" s="3" t="s">
        <v>1419</v>
      </c>
      <c r="K6" s="3" t="s">
        <v>1324</v>
      </c>
      <c r="L6" s="3" t="s">
        <v>1324</v>
      </c>
      <c r="M6" s="3" t="s">
        <v>2364</v>
      </c>
      <c r="N6" s="3" t="s">
        <v>38</v>
      </c>
      <c r="O6" s="3" t="s">
        <v>1324</v>
      </c>
      <c r="P6" s="3" t="s">
        <v>1324</v>
      </c>
      <c r="Q6" s="3" t="s">
        <v>1324</v>
      </c>
      <c r="R6" s="3" t="s">
        <v>1324</v>
      </c>
      <c r="S6" s="3" t="s">
        <v>1324</v>
      </c>
      <c r="T6" s="3" t="s">
        <v>2453</v>
      </c>
      <c r="U6" s="3" t="s">
        <v>2454</v>
      </c>
      <c r="V6" s="3" t="s">
        <v>2240</v>
      </c>
      <c r="W6" s="3" t="s">
        <v>2455</v>
      </c>
      <c r="X6" s="3" t="s">
        <v>2456</v>
      </c>
      <c r="Y6" s="3" t="s">
        <v>2457</v>
      </c>
      <c r="Z6" s="3" t="s">
        <v>2458</v>
      </c>
      <c r="AA6" s="3" t="s">
        <v>2459</v>
      </c>
      <c r="AB6" s="3" t="s">
        <v>2460</v>
      </c>
      <c r="AC6" s="3" t="s">
        <v>2461</v>
      </c>
      <c r="AD6" s="3" t="s">
        <v>2462</v>
      </c>
      <c r="AE6" s="3" t="s">
        <v>2463</v>
      </c>
      <c r="AF6" s="3" t="s">
        <v>1324</v>
      </c>
      <c r="AG6" s="3">
        <v>127.0</v>
      </c>
      <c r="AH6" s="3">
        <v>12.0</v>
      </c>
      <c r="AI6" s="3">
        <v>14.0</v>
      </c>
      <c r="AJ6" s="3">
        <v>4.0</v>
      </c>
      <c r="AK6" s="3">
        <v>109.0</v>
      </c>
      <c r="AL6" s="3" t="s">
        <v>2464</v>
      </c>
      <c r="AM6" s="3" t="s">
        <v>2465</v>
      </c>
      <c r="AN6" s="3" t="s">
        <v>2466</v>
      </c>
      <c r="AO6" s="3" t="s">
        <v>2467</v>
      </c>
      <c r="AP6" s="3" t="s">
        <v>2468</v>
      </c>
      <c r="AQ6" s="3" t="s">
        <v>1324</v>
      </c>
      <c r="AR6" s="3" t="s">
        <v>2469</v>
      </c>
      <c r="AS6" s="3" t="s">
        <v>2470</v>
      </c>
      <c r="AT6" s="3" t="s">
        <v>2471</v>
      </c>
      <c r="AU6" s="3">
        <v>2018.0</v>
      </c>
      <c r="AV6" s="3">
        <v>28.0</v>
      </c>
      <c r="AW6" s="3">
        <v>6.0</v>
      </c>
      <c r="AX6" s="3" t="s">
        <v>1324</v>
      </c>
      <c r="AY6" s="3" t="s">
        <v>1324</v>
      </c>
      <c r="AZ6" s="3" t="s">
        <v>1324</v>
      </c>
      <c r="BA6" s="3" t="s">
        <v>1324</v>
      </c>
      <c r="BB6" s="3">
        <v>1377.0</v>
      </c>
      <c r="BC6" s="3">
        <v>1395.0</v>
      </c>
      <c r="BD6" s="3" t="s">
        <v>1324</v>
      </c>
      <c r="BE6" s="3" t="s">
        <v>2241</v>
      </c>
      <c r="BF6" s="25" t="str">
        <f>HYPERLINK("http://dx.doi.org/10.1002/eap.1755","http://dx.doi.org/10.1002/eap.1755")</f>
        <v>http://dx.doi.org/10.1002/eap.1755</v>
      </c>
      <c r="BG6" s="3" t="s">
        <v>1324</v>
      </c>
      <c r="BH6" s="3" t="s">
        <v>1324</v>
      </c>
      <c r="BI6" s="3">
        <v>19.0</v>
      </c>
      <c r="BJ6" s="3" t="s">
        <v>698</v>
      </c>
      <c r="BK6" s="3" t="s">
        <v>2407</v>
      </c>
      <c r="BL6" s="3" t="s">
        <v>2472</v>
      </c>
      <c r="BM6" s="3" t="s">
        <v>2473</v>
      </c>
      <c r="BN6" s="3">
        <v>2.9808543E7</v>
      </c>
      <c r="BO6" s="3" t="s">
        <v>2474</v>
      </c>
      <c r="BP6" s="3" t="s">
        <v>1324</v>
      </c>
      <c r="BQ6" s="3" t="s">
        <v>1324</v>
      </c>
      <c r="BR6" s="3" t="s">
        <v>2383</v>
      </c>
      <c r="BS6" s="3" t="s">
        <v>2475</v>
      </c>
      <c r="BT6" s="3" t="str">
        <f>HYPERLINK("https%3A%2F%2Fwww.webofscience.com%2Fwos%2Fwoscc%2Ffull-record%2FWOS:000443555100001","View Full Record in Web of Science")</f>
        <v>View Full Record in Web of Science</v>
      </c>
    </row>
    <row r="7" ht="12.75" customHeight="1">
      <c r="A7" s="3" t="s">
        <v>26</v>
      </c>
      <c r="B7" s="3" t="s">
        <v>2476</v>
      </c>
      <c r="C7" s="3" t="s">
        <v>1324</v>
      </c>
      <c r="D7" s="3" t="s">
        <v>1324</v>
      </c>
      <c r="E7" s="3" t="s">
        <v>1324</v>
      </c>
      <c r="F7" s="3" t="s">
        <v>2007</v>
      </c>
      <c r="G7" s="3" t="s">
        <v>1324</v>
      </c>
      <c r="H7" s="3" t="s">
        <v>1324</v>
      </c>
      <c r="I7" s="3" t="s">
        <v>2009</v>
      </c>
      <c r="J7" s="3" t="s">
        <v>2008</v>
      </c>
      <c r="K7" s="3" t="s">
        <v>1324</v>
      </c>
      <c r="L7" s="3" t="s">
        <v>1324</v>
      </c>
      <c r="M7" s="3" t="s">
        <v>2364</v>
      </c>
      <c r="N7" s="3" t="s">
        <v>38</v>
      </c>
      <c r="O7" s="3" t="s">
        <v>1324</v>
      </c>
      <c r="P7" s="3" t="s">
        <v>1324</v>
      </c>
      <c r="Q7" s="3" t="s">
        <v>1324</v>
      </c>
      <c r="R7" s="3" t="s">
        <v>1324</v>
      </c>
      <c r="S7" s="3" t="s">
        <v>1324</v>
      </c>
      <c r="T7" s="3" t="s">
        <v>2477</v>
      </c>
      <c r="U7" s="3" t="s">
        <v>2478</v>
      </c>
      <c r="V7" s="3" t="s">
        <v>2010</v>
      </c>
      <c r="W7" s="3" t="s">
        <v>2479</v>
      </c>
      <c r="X7" s="3" t="s">
        <v>2480</v>
      </c>
      <c r="Y7" s="3" t="s">
        <v>2481</v>
      </c>
      <c r="Z7" s="3" t="s">
        <v>2482</v>
      </c>
      <c r="AA7" s="3" t="s">
        <v>1324</v>
      </c>
      <c r="AB7" s="3" t="s">
        <v>2483</v>
      </c>
      <c r="AC7" s="3" t="s">
        <v>2484</v>
      </c>
      <c r="AD7" s="3" t="s">
        <v>2484</v>
      </c>
      <c r="AE7" s="3" t="s">
        <v>2485</v>
      </c>
      <c r="AF7" s="3" t="s">
        <v>1324</v>
      </c>
      <c r="AG7" s="3">
        <v>63.0</v>
      </c>
      <c r="AH7" s="3">
        <v>14.0</v>
      </c>
      <c r="AI7" s="3">
        <v>18.0</v>
      </c>
      <c r="AJ7" s="3">
        <v>0.0</v>
      </c>
      <c r="AK7" s="3">
        <v>35.0</v>
      </c>
      <c r="AL7" s="3" t="s">
        <v>2486</v>
      </c>
      <c r="AM7" s="3" t="s">
        <v>2487</v>
      </c>
      <c r="AN7" s="3" t="s">
        <v>2488</v>
      </c>
      <c r="AO7" s="3" t="s">
        <v>2489</v>
      </c>
      <c r="AP7" s="3" t="s">
        <v>2490</v>
      </c>
      <c r="AQ7" s="3" t="s">
        <v>1324</v>
      </c>
      <c r="AR7" s="3" t="s">
        <v>2491</v>
      </c>
      <c r="AS7" s="3" t="s">
        <v>2492</v>
      </c>
      <c r="AT7" s="3" t="s">
        <v>2493</v>
      </c>
      <c r="AU7" s="3">
        <v>2018.0</v>
      </c>
      <c r="AV7" s="3">
        <v>422.0</v>
      </c>
      <c r="AW7" s="3" t="s">
        <v>1324</v>
      </c>
      <c r="AX7" s="3" t="s">
        <v>1324</v>
      </c>
      <c r="AY7" s="3" t="s">
        <v>1324</v>
      </c>
      <c r="AZ7" s="3" t="s">
        <v>1324</v>
      </c>
      <c r="BA7" s="3" t="s">
        <v>1324</v>
      </c>
      <c r="BB7" s="3">
        <v>137.0</v>
      </c>
      <c r="BC7" s="3">
        <v>146.0</v>
      </c>
      <c r="BD7" s="3" t="s">
        <v>1324</v>
      </c>
      <c r="BE7" s="3" t="s">
        <v>2011</v>
      </c>
      <c r="BF7" s="25" t="str">
        <f>HYPERLINK("http://dx.doi.org/10.1016/j.foreco.2018.04.012","http://dx.doi.org/10.1016/j.foreco.2018.04.012")</f>
        <v>http://dx.doi.org/10.1016/j.foreco.2018.04.012</v>
      </c>
      <c r="BG7" s="3" t="s">
        <v>1324</v>
      </c>
      <c r="BH7" s="3" t="s">
        <v>1324</v>
      </c>
      <c r="BI7" s="3">
        <v>10.0</v>
      </c>
      <c r="BJ7" s="3" t="s">
        <v>2494</v>
      </c>
      <c r="BK7" s="3" t="s">
        <v>2407</v>
      </c>
      <c r="BL7" s="3" t="s">
        <v>2494</v>
      </c>
      <c r="BM7" s="3" t="s">
        <v>2495</v>
      </c>
      <c r="BN7" s="3" t="s">
        <v>1324</v>
      </c>
      <c r="BO7" s="3" t="s">
        <v>2496</v>
      </c>
      <c r="BP7" s="3" t="s">
        <v>1324</v>
      </c>
      <c r="BQ7" s="3" t="s">
        <v>1324</v>
      </c>
      <c r="BR7" s="3" t="s">
        <v>2383</v>
      </c>
      <c r="BS7" s="3" t="s">
        <v>2497</v>
      </c>
      <c r="BT7" s="3" t="str">
        <f>HYPERLINK("https%3A%2F%2Fwww.webofscience.com%2Fwos%2Fwoscc%2Ffull-record%2FWOS:000433653900015","View Full Record in Web of Science")</f>
        <v>View Full Record in Web of Science</v>
      </c>
    </row>
    <row r="8" ht="12.75" customHeight="1">
      <c r="A8" s="3" t="s">
        <v>26</v>
      </c>
      <c r="B8" s="3" t="s">
        <v>2498</v>
      </c>
      <c r="C8" s="3" t="s">
        <v>1324</v>
      </c>
      <c r="D8" s="3" t="s">
        <v>1324</v>
      </c>
      <c r="E8" s="3" t="s">
        <v>1324</v>
      </c>
      <c r="F8" s="3" t="s">
        <v>1954</v>
      </c>
      <c r="G8" s="3" t="s">
        <v>1324</v>
      </c>
      <c r="H8" s="3" t="s">
        <v>1324</v>
      </c>
      <c r="I8" s="3" t="s">
        <v>1955</v>
      </c>
      <c r="J8" s="3" t="s">
        <v>260</v>
      </c>
      <c r="K8" s="3" t="s">
        <v>1324</v>
      </c>
      <c r="L8" s="3" t="s">
        <v>1324</v>
      </c>
      <c r="M8" s="3" t="s">
        <v>2364</v>
      </c>
      <c r="N8" s="3" t="s">
        <v>38</v>
      </c>
      <c r="O8" s="3" t="s">
        <v>1324</v>
      </c>
      <c r="P8" s="3" t="s">
        <v>1324</v>
      </c>
      <c r="Q8" s="3" t="s">
        <v>1324</v>
      </c>
      <c r="R8" s="3" t="s">
        <v>1324</v>
      </c>
      <c r="S8" s="3" t="s">
        <v>1324</v>
      </c>
      <c r="T8" s="3" t="s">
        <v>2499</v>
      </c>
      <c r="U8" s="3" t="s">
        <v>2500</v>
      </c>
      <c r="V8" s="3" t="s">
        <v>1956</v>
      </c>
      <c r="W8" s="3" t="s">
        <v>2501</v>
      </c>
      <c r="X8" s="3" t="s">
        <v>2502</v>
      </c>
      <c r="Y8" s="3" t="s">
        <v>2503</v>
      </c>
      <c r="Z8" s="3" t="s">
        <v>2504</v>
      </c>
      <c r="AA8" s="3" t="s">
        <v>1324</v>
      </c>
      <c r="AB8" s="3" t="s">
        <v>1324</v>
      </c>
      <c r="AC8" s="3" t="s">
        <v>2505</v>
      </c>
      <c r="AD8" s="3" t="s">
        <v>2506</v>
      </c>
      <c r="AE8" s="3" t="s">
        <v>2507</v>
      </c>
      <c r="AF8" s="3" t="s">
        <v>1324</v>
      </c>
      <c r="AG8" s="3">
        <v>60.0</v>
      </c>
      <c r="AH8" s="3">
        <v>17.0</v>
      </c>
      <c r="AI8" s="3">
        <v>22.0</v>
      </c>
      <c r="AJ8" s="3">
        <v>0.0</v>
      </c>
      <c r="AK8" s="3">
        <v>70.0</v>
      </c>
      <c r="AL8" s="3" t="s">
        <v>2508</v>
      </c>
      <c r="AM8" s="3" t="s">
        <v>2509</v>
      </c>
      <c r="AN8" s="3" t="s">
        <v>2510</v>
      </c>
      <c r="AO8" s="3" t="s">
        <v>2511</v>
      </c>
      <c r="AP8" s="3" t="s">
        <v>2512</v>
      </c>
      <c r="AQ8" s="3" t="s">
        <v>1324</v>
      </c>
      <c r="AR8" s="3" t="s">
        <v>2513</v>
      </c>
      <c r="AS8" s="3" t="s">
        <v>2514</v>
      </c>
      <c r="AT8" s="3" t="s">
        <v>2515</v>
      </c>
      <c r="AU8" s="3">
        <v>2018.0</v>
      </c>
      <c r="AV8" s="3">
        <v>133.0</v>
      </c>
      <c r="AW8" s="3" t="s">
        <v>1324</v>
      </c>
      <c r="AX8" s="3" t="s">
        <v>1324</v>
      </c>
      <c r="AY8" s="3" t="s">
        <v>1324</v>
      </c>
      <c r="AZ8" s="3" t="s">
        <v>1324</v>
      </c>
      <c r="BA8" s="3" t="s">
        <v>1324</v>
      </c>
      <c r="BB8" s="3">
        <v>956.0</v>
      </c>
      <c r="BC8" s="3">
        <v>969.0</v>
      </c>
      <c r="BD8" s="3" t="s">
        <v>1324</v>
      </c>
      <c r="BE8" s="3" t="s">
        <v>1957</v>
      </c>
      <c r="BF8" s="25" t="str">
        <f>HYPERLINK("http://dx.doi.org/10.1016/j.marpolbul.2018.04.065","http://dx.doi.org/10.1016/j.marpolbul.2018.04.065")</f>
        <v>http://dx.doi.org/10.1016/j.marpolbul.2018.04.065</v>
      </c>
      <c r="BG8" s="3" t="s">
        <v>1324</v>
      </c>
      <c r="BH8" s="3" t="s">
        <v>1324</v>
      </c>
      <c r="BI8" s="3">
        <v>14.0</v>
      </c>
      <c r="BJ8" s="3" t="s">
        <v>148</v>
      </c>
      <c r="BK8" s="3" t="s">
        <v>2407</v>
      </c>
      <c r="BL8" s="3" t="s">
        <v>2516</v>
      </c>
      <c r="BM8" s="3" t="s">
        <v>2517</v>
      </c>
      <c r="BN8" s="3">
        <v>2.9778407E7</v>
      </c>
      <c r="BO8" s="3" t="s">
        <v>1324</v>
      </c>
      <c r="BP8" s="3" t="s">
        <v>1324</v>
      </c>
      <c r="BQ8" s="3" t="s">
        <v>1324</v>
      </c>
      <c r="BR8" s="3" t="s">
        <v>2383</v>
      </c>
      <c r="BS8" s="3" t="s">
        <v>2518</v>
      </c>
      <c r="BT8" s="3" t="str">
        <f>HYPERLINK("https%3A%2F%2Fwww.webofscience.com%2Fwos%2Fwoscc%2Ffull-record%2FWOS:000441853600107","View Full Record in Web of Science")</f>
        <v>View Full Record in Web of Science</v>
      </c>
    </row>
    <row r="9" ht="12.75" customHeight="1">
      <c r="A9" s="3" t="s">
        <v>26</v>
      </c>
      <c r="B9" s="3" t="s">
        <v>2519</v>
      </c>
      <c r="C9" s="3" t="s">
        <v>1324</v>
      </c>
      <c r="D9" s="3" t="s">
        <v>1324</v>
      </c>
      <c r="E9" s="3" t="s">
        <v>1324</v>
      </c>
      <c r="F9" s="3" t="s">
        <v>1964</v>
      </c>
      <c r="G9" s="3" t="s">
        <v>1324</v>
      </c>
      <c r="H9" s="3" t="s">
        <v>1324</v>
      </c>
      <c r="I9" s="3" t="s">
        <v>1966</v>
      </c>
      <c r="J9" s="3" t="s">
        <v>1965</v>
      </c>
      <c r="K9" s="3" t="s">
        <v>1324</v>
      </c>
      <c r="L9" s="3" t="s">
        <v>1324</v>
      </c>
      <c r="M9" s="3" t="s">
        <v>2364</v>
      </c>
      <c r="N9" s="3" t="s">
        <v>38</v>
      </c>
      <c r="O9" s="3" t="s">
        <v>1324</v>
      </c>
      <c r="P9" s="3" t="s">
        <v>1324</v>
      </c>
      <c r="Q9" s="3" t="s">
        <v>1324</v>
      </c>
      <c r="R9" s="3" t="s">
        <v>1324</v>
      </c>
      <c r="S9" s="3" t="s">
        <v>1324</v>
      </c>
      <c r="T9" s="3" t="s">
        <v>2520</v>
      </c>
      <c r="U9" s="3" t="s">
        <v>2521</v>
      </c>
      <c r="V9" s="3" t="s">
        <v>1967</v>
      </c>
      <c r="W9" s="3" t="s">
        <v>2522</v>
      </c>
      <c r="X9" s="3" t="s">
        <v>2523</v>
      </c>
      <c r="Y9" s="3" t="s">
        <v>2524</v>
      </c>
      <c r="Z9" s="3" t="s">
        <v>2525</v>
      </c>
      <c r="AA9" s="3" t="s">
        <v>1324</v>
      </c>
      <c r="AB9" s="3" t="s">
        <v>2526</v>
      </c>
      <c r="AC9" s="3" t="s">
        <v>2527</v>
      </c>
      <c r="AD9" s="3" t="s">
        <v>2528</v>
      </c>
      <c r="AE9" s="3" t="s">
        <v>2529</v>
      </c>
      <c r="AF9" s="3" t="s">
        <v>1324</v>
      </c>
      <c r="AG9" s="3">
        <v>93.0</v>
      </c>
      <c r="AH9" s="3">
        <v>2.0</v>
      </c>
      <c r="AI9" s="3">
        <v>3.0</v>
      </c>
      <c r="AJ9" s="3">
        <v>0.0</v>
      </c>
      <c r="AK9" s="3">
        <v>29.0</v>
      </c>
      <c r="AL9" s="3" t="s">
        <v>2530</v>
      </c>
      <c r="AM9" s="3" t="s">
        <v>2531</v>
      </c>
      <c r="AN9" s="3" t="s">
        <v>2532</v>
      </c>
      <c r="AO9" s="3" t="s">
        <v>2533</v>
      </c>
      <c r="AP9" s="3" t="s">
        <v>2534</v>
      </c>
      <c r="AQ9" s="3" t="s">
        <v>1324</v>
      </c>
      <c r="AR9" s="3" t="s">
        <v>2535</v>
      </c>
      <c r="AS9" s="3" t="s">
        <v>2536</v>
      </c>
      <c r="AT9" s="3" t="s">
        <v>2515</v>
      </c>
      <c r="AU9" s="3">
        <v>2018.0</v>
      </c>
      <c r="AV9" s="3">
        <v>139.0</v>
      </c>
      <c r="AW9" s="3" t="s">
        <v>1324</v>
      </c>
      <c r="AX9" s="3" t="s">
        <v>1324</v>
      </c>
      <c r="AY9" s="3" t="s">
        <v>1324</v>
      </c>
      <c r="AZ9" s="3" t="s">
        <v>1324</v>
      </c>
      <c r="BA9" s="3" t="s">
        <v>1324</v>
      </c>
      <c r="BB9" s="3">
        <v>79.0</v>
      </c>
      <c r="BC9" s="3">
        <v>86.0</v>
      </c>
      <c r="BD9" s="3" t="s">
        <v>1324</v>
      </c>
      <c r="BE9" s="3" t="s">
        <v>1968</v>
      </c>
      <c r="BF9" s="25" t="str">
        <f>HYPERLINK("http://dx.doi.org/10.1016/j.marenvres.2018.05.008","http://dx.doi.org/10.1016/j.marenvres.2018.05.008")</f>
        <v>http://dx.doi.org/10.1016/j.marenvres.2018.05.008</v>
      </c>
      <c r="BG9" s="3" t="s">
        <v>1324</v>
      </c>
      <c r="BH9" s="3" t="s">
        <v>1324</v>
      </c>
      <c r="BI9" s="3">
        <v>8.0</v>
      </c>
      <c r="BJ9" s="3" t="s">
        <v>2537</v>
      </c>
      <c r="BK9" s="3" t="s">
        <v>2407</v>
      </c>
      <c r="BL9" s="3" t="s">
        <v>2538</v>
      </c>
      <c r="BM9" s="3" t="s">
        <v>2539</v>
      </c>
      <c r="BN9" s="3">
        <v>2.9773316E7</v>
      </c>
      <c r="BO9" s="3" t="s">
        <v>1324</v>
      </c>
      <c r="BP9" s="3" t="s">
        <v>1324</v>
      </c>
      <c r="BQ9" s="3" t="s">
        <v>1324</v>
      </c>
      <c r="BR9" s="3" t="s">
        <v>2383</v>
      </c>
      <c r="BS9" s="3" t="s">
        <v>2540</v>
      </c>
      <c r="BT9" s="3" t="str">
        <f>HYPERLINK("https%3A%2F%2Fwww.webofscience.com%2Fwos%2Fwoscc%2Ffull-record%2FWOS:000436911600009","View Full Record in Web of Science")</f>
        <v>View Full Record in Web of Science</v>
      </c>
    </row>
    <row r="10" ht="12.75" customHeight="1">
      <c r="A10" s="3" t="s">
        <v>26</v>
      </c>
      <c r="B10" s="3" t="s">
        <v>2541</v>
      </c>
      <c r="C10" s="3" t="s">
        <v>1324</v>
      </c>
      <c r="D10" s="3" t="s">
        <v>1324</v>
      </c>
      <c r="E10" s="3" t="s">
        <v>1324</v>
      </c>
      <c r="F10" s="3" t="s">
        <v>1935</v>
      </c>
      <c r="G10" s="3" t="s">
        <v>1324</v>
      </c>
      <c r="H10" s="3" t="s">
        <v>1324</v>
      </c>
      <c r="I10" s="3" t="s">
        <v>1937</v>
      </c>
      <c r="J10" s="3" t="s">
        <v>1936</v>
      </c>
      <c r="K10" s="3" t="s">
        <v>1324</v>
      </c>
      <c r="L10" s="3" t="s">
        <v>1324</v>
      </c>
      <c r="M10" s="3" t="s">
        <v>2364</v>
      </c>
      <c r="N10" s="3" t="s">
        <v>38</v>
      </c>
      <c r="O10" s="3" t="s">
        <v>1324</v>
      </c>
      <c r="P10" s="3" t="s">
        <v>1324</v>
      </c>
      <c r="Q10" s="3" t="s">
        <v>1324</v>
      </c>
      <c r="R10" s="3" t="s">
        <v>1324</v>
      </c>
      <c r="S10" s="3" t="s">
        <v>1324</v>
      </c>
      <c r="T10" s="3" t="s">
        <v>2542</v>
      </c>
      <c r="U10" s="3" t="s">
        <v>2543</v>
      </c>
      <c r="V10" s="3" t="s">
        <v>1938</v>
      </c>
      <c r="W10" s="3" t="s">
        <v>2544</v>
      </c>
      <c r="X10" s="3" t="s">
        <v>2545</v>
      </c>
      <c r="Y10" s="3" t="s">
        <v>2546</v>
      </c>
      <c r="Z10" s="3" t="s">
        <v>2547</v>
      </c>
      <c r="AA10" s="3" t="s">
        <v>1324</v>
      </c>
      <c r="AB10" s="3" t="s">
        <v>1324</v>
      </c>
      <c r="AC10" s="3" t="s">
        <v>2548</v>
      </c>
      <c r="AD10" s="3" t="s">
        <v>2548</v>
      </c>
      <c r="AE10" s="3" t="s">
        <v>2549</v>
      </c>
      <c r="AF10" s="3" t="s">
        <v>1324</v>
      </c>
      <c r="AG10" s="3">
        <v>82.0</v>
      </c>
      <c r="AH10" s="3">
        <v>6.0</v>
      </c>
      <c r="AI10" s="3">
        <v>7.0</v>
      </c>
      <c r="AJ10" s="3">
        <v>0.0</v>
      </c>
      <c r="AK10" s="3">
        <v>24.0</v>
      </c>
      <c r="AL10" s="3" t="s">
        <v>2550</v>
      </c>
      <c r="AM10" s="3" t="s">
        <v>2551</v>
      </c>
      <c r="AN10" s="3" t="s">
        <v>2552</v>
      </c>
      <c r="AO10" s="3" t="s">
        <v>2553</v>
      </c>
      <c r="AP10" s="3" t="s">
        <v>2554</v>
      </c>
      <c r="AQ10" s="3" t="s">
        <v>1324</v>
      </c>
      <c r="AR10" s="3" t="s">
        <v>2555</v>
      </c>
      <c r="AS10" s="3" t="s">
        <v>2556</v>
      </c>
      <c r="AT10" s="3" t="s">
        <v>2557</v>
      </c>
      <c r="AU10" s="3">
        <v>2018.0</v>
      </c>
      <c r="AV10" s="3">
        <v>71.0</v>
      </c>
      <c r="AW10" s="3">
        <v>4.0</v>
      </c>
      <c r="AX10" s="3" t="s">
        <v>1324</v>
      </c>
      <c r="AY10" s="3" t="s">
        <v>1324</v>
      </c>
      <c r="AZ10" s="3" t="s">
        <v>1324</v>
      </c>
      <c r="BA10" s="3" t="s">
        <v>1324</v>
      </c>
      <c r="BB10" s="3">
        <v>458.0</v>
      </c>
      <c r="BC10" s="3">
        <v>469.0</v>
      </c>
      <c r="BD10" s="3" t="s">
        <v>1324</v>
      </c>
      <c r="BE10" s="3" t="s">
        <v>1939</v>
      </c>
      <c r="BF10" s="25" t="str">
        <f>HYPERLINK("http://dx.doi.org/10.1016/j.rama.2018.02.008","http://dx.doi.org/10.1016/j.rama.2018.02.008")</f>
        <v>http://dx.doi.org/10.1016/j.rama.2018.02.008</v>
      </c>
      <c r="BG10" s="3" t="s">
        <v>1324</v>
      </c>
      <c r="BH10" s="3" t="s">
        <v>1324</v>
      </c>
      <c r="BI10" s="3">
        <v>12.0</v>
      </c>
      <c r="BJ10" s="3" t="s">
        <v>698</v>
      </c>
      <c r="BK10" s="3" t="s">
        <v>2407</v>
      </c>
      <c r="BL10" s="3" t="s">
        <v>2472</v>
      </c>
      <c r="BM10" s="3" t="s">
        <v>2558</v>
      </c>
      <c r="BN10" s="3" t="s">
        <v>1324</v>
      </c>
      <c r="BO10" s="3" t="s">
        <v>1324</v>
      </c>
      <c r="BP10" s="3" t="s">
        <v>1324</v>
      </c>
      <c r="BQ10" s="3" t="s">
        <v>1324</v>
      </c>
      <c r="BR10" s="3" t="s">
        <v>2383</v>
      </c>
      <c r="BS10" s="3" t="s">
        <v>2559</v>
      </c>
      <c r="BT10" s="3" t="str">
        <f>HYPERLINK("https%3A%2F%2Fwww.webofscience.com%2Fwos%2Fwoscc%2Ffull-record%2FWOS:000435480900008","View Full Record in Web of Science")</f>
        <v>View Full Record in Web of Science</v>
      </c>
    </row>
    <row r="11" ht="12.75" customHeight="1">
      <c r="A11" s="3" t="s">
        <v>26</v>
      </c>
      <c r="B11" s="3" t="s">
        <v>2560</v>
      </c>
      <c r="C11" s="3" t="s">
        <v>1324</v>
      </c>
      <c r="D11" s="3" t="s">
        <v>1324</v>
      </c>
      <c r="E11" s="3" t="s">
        <v>1324</v>
      </c>
      <c r="F11" s="3" t="s">
        <v>1709</v>
      </c>
      <c r="G11" s="3" t="s">
        <v>1324</v>
      </c>
      <c r="H11" s="3" t="s">
        <v>1324</v>
      </c>
      <c r="I11" s="3" t="s">
        <v>1710</v>
      </c>
      <c r="J11" s="3" t="s">
        <v>1151</v>
      </c>
      <c r="K11" s="3" t="s">
        <v>1324</v>
      </c>
      <c r="L11" s="3" t="s">
        <v>1324</v>
      </c>
      <c r="M11" s="3" t="s">
        <v>2364</v>
      </c>
      <c r="N11" s="3" t="s">
        <v>38</v>
      </c>
      <c r="O11" s="3" t="s">
        <v>1324</v>
      </c>
      <c r="P11" s="3" t="s">
        <v>1324</v>
      </c>
      <c r="Q11" s="3" t="s">
        <v>1324</v>
      </c>
      <c r="R11" s="3" t="s">
        <v>1324</v>
      </c>
      <c r="S11" s="3" t="s">
        <v>1324</v>
      </c>
      <c r="T11" s="3" t="s">
        <v>2561</v>
      </c>
      <c r="U11" s="3" t="s">
        <v>2562</v>
      </c>
      <c r="V11" s="3" t="s">
        <v>2563</v>
      </c>
      <c r="W11" s="3" t="s">
        <v>2564</v>
      </c>
      <c r="X11" s="3" t="s">
        <v>2565</v>
      </c>
      <c r="Y11" s="3" t="s">
        <v>2566</v>
      </c>
      <c r="Z11" s="3" t="s">
        <v>2567</v>
      </c>
      <c r="AA11" s="3" t="s">
        <v>2568</v>
      </c>
      <c r="AB11" s="3" t="s">
        <v>2569</v>
      </c>
      <c r="AC11" s="3" t="s">
        <v>2570</v>
      </c>
      <c r="AD11" s="3" t="s">
        <v>2571</v>
      </c>
      <c r="AE11" s="3" t="s">
        <v>2572</v>
      </c>
      <c r="AF11" s="3" t="s">
        <v>1324</v>
      </c>
      <c r="AG11" s="3">
        <v>62.0</v>
      </c>
      <c r="AH11" s="3">
        <v>29.0</v>
      </c>
      <c r="AI11" s="3">
        <v>32.0</v>
      </c>
      <c r="AJ11" s="3">
        <v>1.0</v>
      </c>
      <c r="AK11" s="3">
        <v>49.0</v>
      </c>
      <c r="AL11" s="3" t="s">
        <v>2464</v>
      </c>
      <c r="AM11" s="3" t="s">
        <v>2465</v>
      </c>
      <c r="AN11" s="3" t="s">
        <v>2466</v>
      </c>
      <c r="AO11" s="3" t="s">
        <v>2573</v>
      </c>
      <c r="AP11" s="3" t="s">
        <v>2574</v>
      </c>
      <c r="AQ11" s="3" t="s">
        <v>1324</v>
      </c>
      <c r="AR11" s="3" t="s">
        <v>2575</v>
      </c>
      <c r="AS11" s="3" t="s">
        <v>2576</v>
      </c>
      <c r="AT11" s="3" t="s">
        <v>2557</v>
      </c>
      <c r="AU11" s="3">
        <v>2018.0</v>
      </c>
      <c r="AV11" s="3">
        <v>55.0</v>
      </c>
      <c r="AW11" s="3">
        <v>4.0</v>
      </c>
      <c r="AX11" s="3" t="s">
        <v>1324</v>
      </c>
      <c r="AY11" s="3" t="s">
        <v>1324</v>
      </c>
      <c r="AZ11" s="3" t="s">
        <v>1324</v>
      </c>
      <c r="BA11" s="3" t="s">
        <v>1324</v>
      </c>
      <c r="BB11" s="3">
        <v>1626.0</v>
      </c>
      <c r="BC11" s="3">
        <v>1636.0</v>
      </c>
      <c r="BD11" s="3" t="s">
        <v>1324</v>
      </c>
      <c r="BE11" s="3" t="s">
        <v>1712</v>
      </c>
      <c r="BF11" s="25" t="str">
        <f>HYPERLINK("http://dx.doi.org/10.1111/1365-2664.13137","http://dx.doi.org/10.1111/1365-2664.13137")</f>
        <v>http://dx.doi.org/10.1111/1365-2664.13137</v>
      </c>
      <c r="BG11" s="3" t="s">
        <v>1324</v>
      </c>
      <c r="BH11" s="3" t="s">
        <v>1324</v>
      </c>
      <c r="BI11" s="3">
        <v>11.0</v>
      </c>
      <c r="BJ11" s="3" t="s">
        <v>1124</v>
      </c>
      <c r="BK11" s="3" t="s">
        <v>2407</v>
      </c>
      <c r="BL11" s="3" t="s">
        <v>2577</v>
      </c>
      <c r="BM11" s="3" t="s">
        <v>2578</v>
      </c>
      <c r="BN11" s="3" t="s">
        <v>1324</v>
      </c>
      <c r="BO11" s="3" t="s">
        <v>2579</v>
      </c>
      <c r="BP11" s="3" t="s">
        <v>1324</v>
      </c>
      <c r="BQ11" s="3" t="s">
        <v>1324</v>
      </c>
      <c r="BR11" s="3" t="s">
        <v>2383</v>
      </c>
      <c r="BS11" s="3" t="s">
        <v>2580</v>
      </c>
      <c r="BT11" s="3" t="str">
        <f>HYPERLINK("https%3A%2F%2Fwww.webofscience.com%2Fwos%2Fwoscc%2Ffull-record%2FWOS:000434970200007","View Full Record in Web of Science")</f>
        <v>View Full Record in Web of Science</v>
      </c>
    </row>
    <row r="12" ht="12.75" customHeight="1">
      <c r="A12" s="3" t="s">
        <v>26</v>
      </c>
      <c r="B12" s="3" t="s">
        <v>2581</v>
      </c>
      <c r="C12" s="3" t="s">
        <v>1324</v>
      </c>
      <c r="D12" s="3" t="s">
        <v>1324</v>
      </c>
      <c r="E12" s="3" t="s">
        <v>1324</v>
      </c>
      <c r="F12" s="3" t="s">
        <v>1747</v>
      </c>
      <c r="G12" s="3" t="s">
        <v>1324</v>
      </c>
      <c r="H12" s="3" t="s">
        <v>1324</v>
      </c>
      <c r="I12" s="3" t="s">
        <v>1748</v>
      </c>
      <c r="J12" s="3" t="s">
        <v>318</v>
      </c>
      <c r="K12" s="3" t="s">
        <v>1324</v>
      </c>
      <c r="L12" s="3" t="s">
        <v>1324</v>
      </c>
      <c r="M12" s="3" t="s">
        <v>2364</v>
      </c>
      <c r="N12" s="3" t="s">
        <v>38</v>
      </c>
      <c r="O12" s="3" t="s">
        <v>1324</v>
      </c>
      <c r="P12" s="3" t="s">
        <v>1324</v>
      </c>
      <c r="Q12" s="3" t="s">
        <v>1324</v>
      </c>
      <c r="R12" s="3" t="s">
        <v>1324</v>
      </c>
      <c r="S12" s="3" t="s">
        <v>1324</v>
      </c>
      <c r="T12" s="3" t="s">
        <v>2582</v>
      </c>
      <c r="U12" s="3" t="s">
        <v>2583</v>
      </c>
      <c r="V12" s="3" t="s">
        <v>1749</v>
      </c>
      <c r="W12" s="3" t="s">
        <v>2584</v>
      </c>
      <c r="X12" s="3" t="s">
        <v>2585</v>
      </c>
      <c r="Y12" s="3" t="s">
        <v>2586</v>
      </c>
      <c r="Z12" s="3" t="s">
        <v>2587</v>
      </c>
      <c r="AA12" s="3" t="s">
        <v>2588</v>
      </c>
      <c r="AB12" s="3" t="s">
        <v>2589</v>
      </c>
      <c r="AC12" s="3" t="s">
        <v>1324</v>
      </c>
      <c r="AD12" s="3" t="s">
        <v>1324</v>
      </c>
      <c r="AE12" s="3" t="s">
        <v>1324</v>
      </c>
      <c r="AF12" s="3" t="s">
        <v>1324</v>
      </c>
      <c r="AG12" s="3">
        <v>49.0</v>
      </c>
      <c r="AH12" s="3">
        <v>184.0</v>
      </c>
      <c r="AI12" s="3">
        <v>220.0</v>
      </c>
      <c r="AJ12" s="3">
        <v>0.0</v>
      </c>
      <c r="AK12" s="3">
        <v>71.0</v>
      </c>
      <c r="AL12" s="3" t="s">
        <v>2590</v>
      </c>
      <c r="AM12" s="3" t="s">
        <v>2591</v>
      </c>
      <c r="AN12" s="3" t="s">
        <v>2592</v>
      </c>
      <c r="AO12" s="3" t="s">
        <v>2593</v>
      </c>
      <c r="AP12" s="3" t="s">
        <v>1324</v>
      </c>
      <c r="AQ12" s="3" t="s">
        <v>1324</v>
      </c>
      <c r="AR12" s="3" t="s">
        <v>2594</v>
      </c>
      <c r="AS12" s="3" t="s">
        <v>2595</v>
      </c>
      <c r="AT12" s="3" t="s">
        <v>2557</v>
      </c>
      <c r="AU12" s="3">
        <v>2018.0</v>
      </c>
      <c r="AV12" s="3">
        <v>13.0</v>
      </c>
      <c r="AW12" s="3">
        <v>7.0</v>
      </c>
      <c r="AX12" s="3" t="s">
        <v>1324</v>
      </c>
      <c r="AY12" s="3" t="s">
        <v>1324</v>
      </c>
      <c r="AZ12" s="3" t="s">
        <v>1324</v>
      </c>
      <c r="BA12" s="3" t="s">
        <v>1324</v>
      </c>
      <c r="BB12" s="3" t="s">
        <v>1324</v>
      </c>
      <c r="BC12" s="3" t="s">
        <v>1324</v>
      </c>
      <c r="BD12" s="3">
        <v>74028.0</v>
      </c>
      <c r="BE12" s="3" t="s">
        <v>1750</v>
      </c>
      <c r="BF12" s="25" t="str">
        <f>HYPERLINK("http://dx.doi.org/10.1088/1748-9326/aacd1c","http://dx.doi.org/10.1088/1748-9326/aacd1c")</f>
        <v>http://dx.doi.org/10.1088/1748-9326/aacd1c</v>
      </c>
      <c r="BG12" s="3" t="s">
        <v>1324</v>
      </c>
      <c r="BH12" s="3" t="s">
        <v>1324</v>
      </c>
      <c r="BI12" s="3">
        <v>15.0</v>
      </c>
      <c r="BJ12" s="3" t="s">
        <v>322</v>
      </c>
      <c r="BK12" s="3" t="s">
        <v>2407</v>
      </c>
      <c r="BL12" s="3" t="s">
        <v>2596</v>
      </c>
      <c r="BM12" s="3" t="s">
        <v>2597</v>
      </c>
      <c r="BN12" s="3" t="s">
        <v>1324</v>
      </c>
      <c r="BO12" s="3" t="s">
        <v>2598</v>
      </c>
      <c r="BP12" s="3" t="s">
        <v>1324</v>
      </c>
      <c r="BQ12" s="3" t="s">
        <v>1324</v>
      </c>
      <c r="BR12" s="3" t="s">
        <v>2383</v>
      </c>
      <c r="BS12" s="3" t="s">
        <v>2599</v>
      </c>
      <c r="BT12" s="3" t="str">
        <f>HYPERLINK("https%3A%2F%2Fwww.webofscience.com%2Fwos%2Fwoscc%2Ffull-record%2FWOS:000438666900001","View Full Record in Web of Science")</f>
        <v>View Full Record in Web of Science</v>
      </c>
    </row>
    <row r="13" ht="12.75" customHeight="1">
      <c r="A13" s="3" t="s">
        <v>26</v>
      </c>
      <c r="B13" s="3" t="s">
        <v>2600</v>
      </c>
      <c r="C13" s="3" t="s">
        <v>1324</v>
      </c>
      <c r="D13" s="3" t="s">
        <v>1324</v>
      </c>
      <c r="E13" s="3" t="s">
        <v>1324</v>
      </c>
      <c r="F13" s="3" t="s">
        <v>2601</v>
      </c>
      <c r="G13" s="3" t="s">
        <v>1324</v>
      </c>
      <c r="H13" s="3" t="s">
        <v>1324</v>
      </c>
      <c r="I13" s="3" t="s">
        <v>2602</v>
      </c>
      <c r="J13" s="3" t="s">
        <v>703</v>
      </c>
      <c r="K13" s="3" t="s">
        <v>1324</v>
      </c>
      <c r="L13" s="3" t="s">
        <v>1324</v>
      </c>
      <c r="M13" s="3" t="s">
        <v>2364</v>
      </c>
      <c r="N13" s="3" t="s">
        <v>38</v>
      </c>
      <c r="O13" s="3" t="s">
        <v>1324</v>
      </c>
      <c r="P13" s="3" t="s">
        <v>1324</v>
      </c>
      <c r="Q13" s="3" t="s">
        <v>1324</v>
      </c>
      <c r="R13" s="3" t="s">
        <v>1324</v>
      </c>
      <c r="S13" s="3" t="s">
        <v>1324</v>
      </c>
      <c r="T13" s="3" t="s">
        <v>2603</v>
      </c>
      <c r="U13" s="3" t="s">
        <v>2604</v>
      </c>
      <c r="V13" s="3" t="s">
        <v>2605</v>
      </c>
      <c r="W13" s="3" t="s">
        <v>2606</v>
      </c>
      <c r="X13" s="3" t="s">
        <v>2607</v>
      </c>
      <c r="Y13" s="3" t="s">
        <v>2608</v>
      </c>
      <c r="Z13" s="3" t="s">
        <v>2609</v>
      </c>
      <c r="AA13" s="3" t="s">
        <v>1324</v>
      </c>
      <c r="AB13" s="3" t="s">
        <v>2610</v>
      </c>
      <c r="AC13" s="3" t="s">
        <v>2611</v>
      </c>
      <c r="AD13" s="3" t="s">
        <v>2612</v>
      </c>
      <c r="AE13" s="3" t="s">
        <v>2613</v>
      </c>
      <c r="AF13" s="3" t="s">
        <v>1324</v>
      </c>
      <c r="AG13" s="3">
        <v>79.0</v>
      </c>
      <c r="AH13" s="3">
        <v>63.0</v>
      </c>
      <c r="AI13" s="3">
        <v>71.0</v>
      </c>
      <c r="AJ13" s="3">
        <v>4.0</v>
      </c>
      <c r="AK13" s="3">
        <v>131.0</v>
      </c>
      <c r="AL13" s="3" t="s">
        <v>2486</v>
      </c>
      <c r="AM13" s="3" t="s">
        <v>2487</v>
      </c>
      <c r="AN13" s="3" t="s">
        <v>2488</v>
      </c>
      <c r="AO13" s="3" t="s">
        <v>2614</v>
      </c>
      <c r="AP13" s="3" t="s">
        <v>2615</v>
      </c>
      <c r="AQ13" s="3" t="s">
        <v>1324</v>
      </c>
      <c r="AR13" s="3" t="s">
        <v>2616</v>
      </c>
      <c r="AS13" s="3" t="s">
        <v>2617</v>
      </c>
      <c r="AT13" s="3" t="s">
        <v>2557</v>
      </c>
      <c r="AU13" s="3">
        <v>2018.0</v>
      </c>
      <c r="AV13" s="3">
        <v>90.0</v>
      </c>
      <c r="AW13" s="3" t="s">
        <v>1324</v>
      </c>
      <c r="AX13" s="3" t="s">
        <v>1324</v>
      </c>
      <c r="AY13" s="3" t="s">
        <v>1324</v>
      </c>
      <c r="AZ13" s="3" t="s">
        <v>1324</v>
      </c>
      <c r="BA13" s="3" t="s">
        <v>1324</v>
      </c>
      <c r="BB13" s="3">
        <v>261.0</v>
      </c>
      <c r="BC13" s="3">
        <v>279.0</v>
      </c>
      <c r="BD13" s="3" t="s">
        <v>1324</v>
      </c>
      <c r="BE13" s="3" t="s">
        <v>2074</v>
      </c>
      <c r="BF13" s="25" t="str">
        <f>HYPERLINK("http://dx.doi.org/10.1016/j.ecolind.2018.03.004","http://dx.doi.org/10.1016/j.ecolind.2018.03.004")</f>
        <v>http://dx.doi.org/10.1016/j.ecolind.2018.03.004</v>
      </c>
      <c r="BG13" s="3" t="s">
        <v>1324</v>
      </c>
      <c r="BH13" s="3" t="s">
        <v>1324</v>
      </c>
      <c r="BI13" s="3">
        <v>19.0</v>
      </c>
      <c r="BJ13" s="3" t="s">
        <v>707</v>
      </c>
      <c r="BK13" s="3" t="s">
        <v>2407</v>
      </c>
      <c r="BL13" s="3" t="s">
        <v>2577</v>
      </c>
      <c r="BM13" s="3" t="s">
        <v>2618</v>
      </c>
      <c r="BN13" s="3" t="s">
        <v>1324</v>
      </c>
      <c r="BO13" s="3" t="s">
        <v>1324</v>
      </c>
      <c r="BP13" s="3" t="s">
        <v>1324</v>
      </c>
      <c r="BQ13" s="3" t="s">
        <v>1324</v>
      </c>
      <c r="BR13" s="3" t="s">
        <v>2383</v>
      </c>
      <c r="BS13" s="3" t="s">
        <v>2619</v>
      </c>
      <c r="BT13" s="3" t="str">
        <f>HYPERLINK("https%3A%2F%2Fwww.webofscience.com%2Fwos%2Fwoscc%2Ffull-record%2FWOS:000440266100029","View Full Record in Web of Science")</f>
        <v>View Full Record in Web of Science</v>
      </c>
    </row>
    <row r="14" ht="12.75" customHeight="1">
      <c r="A14" s="3" t="s">
        <v>26</v>
      </c>
      <c r="B14" s="3" t="s">
        <v>2620</v>
      </c>
      <c r="C14" s="3" t="s">
        <v>1324</v>
      </c>
      <c r="D14" s="3" t="s">
        <v>1324</v>
      </c>
      <c r="E14" s="3" t="s">
        <v>1324</v>
      </c>
      <c r="F14" s="3" t="s">
        <v>1752</v>
      </c>
      <c r="G14" s="3" t="s">
        <v>1324</v>
      </c>
      <c r="H14" s="3" t="s">
        <v>1324</v>
      </c>
      <c r="I14" s="3" t="s">
        <v>1753</v>
      </c>
      <c r="J14" s="3" t="s">
        <v>318</v>
      </c>
      <c r="K14" s="3" t="s">
        <v>1324</v>
      </c>
      <c r="L14" s="3" t="s">
        <v>1324</v>
      </c>
      <c r="M14" s="3" t="s">
        <v>2364</v>
      </c>
      <c r="N14" s="3" t="s">
        <v>38</v>
      </c>
      <c r="O14" s="3" t="s">
        <v>1324</v>
      </c>
      <c r="P14" s="3" t="s">
        <v>1324</v>
      </c>
      <c r="Q14" s="3" t="s">
        <v>1324</v>
      </c>
      <c r="R14" s="3" t="s">
        <v>1324</v>
      </c>
      <c r="S14" s="3" t="s">
        <v>1324</v>
      </c>
      <c r="T14" s="3" t="s">
        <v>2621</v>
      </c>
      <c r="U14" s="3" t="s">
        <v>2622</v>
      </c>
      <c r="V14" s="3" t="s">
        <v>1754</v>
      </c>
      <c r="W14" s="3" t="s">
        <v>2623</v>
      </c>
      <c r="X14" s="3" t="s">
        <v>2624</v>
      </c>
      <c r="Y14" s="3" t="s">
        <v>2625</v>
      </c>
      <c r="Z14" s="3" t="s">
        <v>2626</v>
      </c>
      <c r="AA14" s="3" t="s">
        <v>2627</v>
      </c>
      <c r="AB14" s="3" t="s">
        <v>2628</v>
      </c>
      <c r="AC14" s="3" t="s">
        <v>2629</v>
      </c>
      <c r="AD14" s="3" t="s">
        <v>2630</v>
      </c>
      <c r="AE14" s="3" t="s">
        <v>2631</v>
      </c>
      <c r="AF14" s="3" t="s">
        <v>1324</v>
      </c>
      <c r="AG14" s="3">
        <v>59.0</v>
      </c>
      <c r="AH14" s="3">
        <v>93.0</v>
      </c>
      <c r="AI14" s="3">
        <v>103.0</v>
      </c>
      <c r="AJ14" s="3">
        <v>1.0</v>
      </c>
      <c r="AK14" s="3">
        <v>76.0</v>
      </c>
      <c r="AL14" s="3" t="s">
        <v>2590</v>
      </c>
      <c r="AM14" s="3" t="s">
        <v>2591</v>
      </c>
      <c r="AN14" s="3" t="s">
        <v>2592</v>
      </c>
      <c r="AO14" s="3" t="s">
        <v>2593</v>
      </c>
      <c r="AP14" s="3" t="s">
        <v>1324</v>
      </c>
      <c r="AQ14" s="3" t="s">
        <v>1324</v>
      </c>
      <c r="AR14" s="3" t="s">
        <v>2594</v>
      </c>
      <c r="AS14" s="3" t="s">
        <v>2595</v>
      </c>
      <c r="AT14" s="3" t="s">
        <v>2632</v>
      </c>
      <c r="AU14" s="3">
        <v>2018.0</v>
      </c>
      <c r="AV14" s="3">
        <v>13.0</v>
      </c>
      <c r="AW14" s="3">
        <v>6.0</v>
      </c>
      <c r="AX14" s="3" t="s">
        <v>1324</v>
      </c>
      <c r="AY14" s="3" t="s">
        <v>1324</v>
      </c>
      <c r="AZ14" s="3" t="s">
        <v>1324</v>
      </c>
      <c r="BA14" s="3" t="s">
        <v>1324</v>
      </c>
      <c r="BB14" s="3" t="s">
        <v>1324</v>
      </c>
      <c r="BC14" s="3" t="s">
        <v>1324</v>
      </c>
      <c r="BD14" s="3">
        <v>65013.0</v>
      </c>
      <c r="BE14" s="3" t="s">
        <v>1755</v>
      </c>
      <c r="BF14" s="25" t="str">
        <f>HYPERLINK("http://dx.doi.org/10.1088/1748-9326/aac331","http://dx.doi.org/10.1088/1748-9326/aac331")</f>
        <v>http://dx.doi.org/10.1088/1748-9326/aac331</v>
      </c>
      <c r="BG14" s="3" t="s">
        <v>1324</v>
      </c>
      <c r="BH14" s="3" t="s">
        <v>1324</v>
      </c>
      <c r="BI14" s="3">
        <v>12.0</v>
      </c>
      <c r="BJ14" s="3" t="s">
        <v>322</v>
      </c>
      <c r="BK14" s="3" t="s">
        <v>2407</v>
      </c>
      <c r="BL14" s="3" t="s">
        <v>2596</v>
      </c>
      <c r="BM14" s="3" t="s">
        <v>2633</v>
      </c>
      <c r="BN14" s="3" t="s">
        <v>1324</v>
      </c>
      <c r="BO14" s="3" t="s">
        <v>2598</v>
      </c>
      <c r="BP14" s="3" t="s">
        <v>1324</v>
      </c>
      <c r="BQ14" s="3" t="s">
        <v>1324</v>
      </c>
      <c r="BR14" s="3" t="s">
        <v>2383</v>
      </c>
      <c r="BS14" s="3" t="s">
        <v>2634</v>
      </c>
      <c r="BT14" s="3" t="str">
        <f>HYPERLINK("https%3A%2F%2Fwww.webofscience.com%2Fwos%2Fwoscc%2Ffull-record%2FWOS:000434818600001","View Full Record in Web of Science")</f>
        <v>View Full Record in Web of Science</v>
      </c>
    </row>
    <row r="15" ht="12.75" customHeight="1">
      <c r="A15" s="3" t="s">
        <v>26</v>
      </c>
      <c r="B15" s="3" t="s">
        <v>2635</v>
      </c>
      <c r="C15" s="3" t="s">
        <v>1324</v>
      </c>
      <c r="D15" s="3" t="s">
        <v>1324</v>
      </c>
      <c r="E15" s="3" t="s">
        <v>1324</v>
      </c>
      <c r="F15" s="3" t="s">
        <v>2125</v>
      </c>
      <c r="G15" s="3" t="s">
        <v>1324</v>
      </c>
      <c r="H15" s="3" t="s">
        <v>1324</v>
      </c>
      <c r="I15" s="3" t="s">
        <v>2126</v>
      </c>
      <c r="J15" s="3" t="s">
        <v>949</v>
      </c>
      <c r="K15" s="3" t="s">
        <v>1324</v>
      </c>
      <c r="L15" s="3" t="s">
        <v>1324</v>
      </c>
      <c r="M15" s="3" t="s">
        <v>2364</v>
      </c>
      <c r="N15" s="3" t="s">
        <v>38</v>
      </c>
      <c r="O15" s="3" t="s">
        <v>1324</v>
      </c>
      <c r="P15" s="3" t="s">
        <v>1324</v>
      </c>
      <c r="Q15" s="3" t="s">
        <v>1324</v>
      </c>
      <c r="R15" s="3" t="s">
        <v>1324</v>
      </c>
      <c r="S15" s="3" t="s">
        <v>1324</v>
      </c>
      <c r="T15" s="3" t="s">
        <v>2636</v>
      </c>
      <c r="U15" s="3" t="s">
        <v>2637</v>
      </c>
      <c r="V15" s="3" t="s">
        <v>2127</v>
      </c>
      <c r="W15" s="3" t="s">
        <v>2638</v>
      </c>
      <c r="X15" s="3" t="s">
        <v>2639</v>
      </c>
      <c r="Y15" s="3" t="s">
        <v>2640</v>
      </c>
      <c r="Z15" s="3" t="s">
        <v>2641</v>
      </c>
      <c r="AA15" s="3" t="s">
        <v>2642</v>
      </c>
      <c r="AB15" s="3" t="s">
        <v>2643</v>
      </c>
      <c r="AC15" s="3" t="s">
        <v>2644</v>
      </c>
      <c r="AD15" s="3" t="s">
        <v>2644</v>
      </c>
      <c r="AE15" s="3" t="s">
        <v>2645</v>
      </c>
      <c r="AF15" s="3" t="s">
        <v>1324</v>
      </c>
      <c r="AG15" s="3">
        <v>62.0</v>
      </c>
      <c r="AH15" s="3">
        <v>40.0</v>
      </c>
      <c r="AI15" s="3">
        <v>44.0</v>
      </c>
      <c r="AJ15" s="3">
        <v>0.0</v>
      </c>
      <c r="AK15" s="3">
        <v>89.0</v>
      </c>
      <c r="AL15" s="3" t="s">
        <v>2530</v>
      </c>
      <c r="AM15" s="3" t="s">
        <v>2509</v>
      </c>
      <c r="AN15" s="3" t="s">
        <v>2646</v>
      </c>
      <c r="AO15" s="3" t="s">
        <v>2647</v>
      </c>
      <c r="AP15" s="3" t="s">
        <v>2648</v>
      </c>
      <c r="AQ15" s="3" t="s">
        <v>1324</v>
      </c>
      <c r="AR15" s="3" t="s">
        <v>2649</v>
      </c>
      <c r="AS15" s="3" t="s">
        <v>2650</v>
      </c>
      <c r="AT15" s="3" t="s">
        <v>2651</v>
      </c>
      <c r="AU15" s="3">
        <v>2018.0</v>
      </c>
      <c r="AV15" s="3">
        <v>94.0</v>
      </c>
      <c r="AW15" s="3" t="s">
        <v>1324</v>
      </c>
      <c r="AX15" s="3" t="s">
        <v>1324</v>
      </c>
      <c r="AY15" s="3" t="s">
        <v>1324</v>
      </c>
      <c r="AZ15" s="3" t="s">
        <v>1324</v>
      </c>
      <c r="BA15" s="3" t="s">
        <v>1324</v>
      </c>
      <c r="BB15" s="3">
        <v>71.0</v>
      </c>
      <c r="BC15" s="3">
        <v>83.0</v>
      </c>
      <c r="BD15" s="3" t="s">
        <v>1324</v>
      </c>
      <c r="BE15" s="3" t="s">
        <v>2128</v>
      </c>
      <c r="BF15" s="25" t="str">
        <f>HYPERLINK("http://dx.doi.org/10.1016/j.apgeog.2018.03.006","http://dx.doi.org/10.1016/j.apgeog.2018.03.006")</f>
        <v>http://dx.doi.org/10.1016/j.apgeog.2018.03.006</v>
      </c>
      <c r="BG15" s="3" t="s">
        <v>1324</v>
      </c>
      <c r="BH15" s="3" t="s">
        <v>1324</v>
      </c>
      <c r="BI15" s="3">
        <v>13.0</v>
      </c>
      <c r="BJ15" s="3" t="s">
        <v>953</v>
      </c>
      <c r="BK15" s="3" t="s">
        <v>2652</v>
      </c>
      <c r="BL15" s="3" t="s">
        <v>953</v>
      </c>
      <c r="BM15" s="3" t="s">
        <v>2653</v>
      </c>
      <c r="BN15" s="3" t="s">
        <v>1324</v>
      </c>
      <c r="BO15" s="3" t="s">
        <v>2474</v>
      </c>
      <c r="BP15" s="3" t="s">
        <v>1324</v>
      </c>
      <c r="BQ15" s="3" t="s">
        <v>1324</v>
      </c>
      <c r="BR15" s="3" t="s">
        <v>2383</v>
      </c>
      <c r="BS15" s="3" t="s">
        <v>2654</v>
      </c>
      <c r="BT15" s="3" t="str">
        <f>HYPERLINK("https%3A%2F%2Fwww.webofscience.com%2Fwos%2Fwoscc%2Ffull-record%2FWOS:000432233800006","View Full Record in Web of Science")</f>
        <v>View Full Record in Web of Science</v>
      </c>
    </row>
    <row r="16" ht="12.75" customHeight="1">
      <c r="A16" s="3" t="s">
        <v>26</v>
      </c>
      <c r="B16" s="3" t="s">
        <v>2655</v>
      </c>
      <c r="C16" s="3" t="s">
        <v>1324</v>
      </c>
      <c r="D16" s="3" t="s">
        <v>1324</v>
      </c>
      <c r="E16" s="3" t="s">
        <v>1324</v>
      </c>
      <c r="F16" s="3" t="s">
        <v>1687</v>
      </c>
      <c r="G16" s="3" t="s">
        <v>1324</v>
      </c>
      <c r="H16" s="3" t="s">
        <v>1324</v>
      </c>
      <c r="I16" s="3" t="s">
        <v>1689</v>
      </c>
      <c r="J16" s="3" t="s">
        <v>1688</v>
      </c>
      <c r="K16" s="3" t="s">
        <v>1324</v>
      </c>
      <c r="L16" s="3" t="s">
        <v>1324</v>
      </c>
      <c r="M16" s="3" t="s">
        <v>2364</v>
      </c>
      <c r="N16" s="3" t="s">
        <v>38</v>
      </c>
      <c r="O16" s="3" t="s">
        <v>1324</v>
      </c>
      <c r="P16" s="3" t="s">
        <v>1324</v>
      </c>
      <c r="Q16" s="3" t="s">
        <v>1324</v>
      </c>
      <c r="R16" s="3" t="s">
        <v>1324</v>
      </c>
      <c r="S16" s="3" t="s">
        <v>1324</v>
      </c>
      <c r="T16" s="3" t="s">
        <v>2656</v>
      </c>
      <c r="U16" s="3" t="s">
        <v>2657</v>
      </c>
      <c r="V16" s="3" t="s">
        <v>1690</v>
      </c>
      <c r="W16" s="3" t="s">
        <v>2658</v>
      </c>
      <c r="X16" s="3" t="s">
        <v>2659</v>
      </c>
      <c r="Y16" s="3" t="s">
        <v>2660</v>
      </c>
      <c r="Z16" s="3" t="s">
        <v>2661</v>
      </c>
      <c r="AA16" s="3" t="s">
        <v>2662</v>
      </c>
      <c r="AB16" s="3" t="s">
        <v>2663</v>
      </c>
      <c r="AC16" s="3" t="s">
        <v>2664</v>
      </c>
      <c r="AD16" s="3" t="s">
        <v>2665</v>
      </c>
      <c r="AE16" s="3" t="s">
        <v>2666</v>
      </c>
      <c r="AF16" s="3" t="s">
        <v>1324</v>
      </c>
      <c r="AG16" s="3">
        <v>66.0</v>
      </c>
      <c r="AH16" s="3">
        <v>34.0</v>
      </c>
      <c r="AI16" s="3">
        <v>34.0</v>
      </c>
      <c r="AJ16" s="3">
        <v>1.0</v>
      </c>
      <c r="AK16" s="3">
        <v>45.0</v>
      </c>
      <c r="AL16" s="3" t="s">
        <v>2464</v>
      </c>
      <c r="AM16" s="3" t="s">
        <v>2465</v>
      </c>
      <c r="AN16" s="3" t="s">
        <v>2466</v>
      </c>
      <c r="AO16" s="3" t="s">
        <v>2667</v>
      </c>
      <c r="AP16" s="3" t="s">
        <v>2668</v>
      </c>
      <c r="AQ16" s="3" t="s">
        <v>1324</v>
      </c>
      <c r="AR16" s="3" t="s">
        <v>2669</v>
      </c>
      <c r="AS16" s="3" t="s">
        <v>2670</v>
      </c>
      <c r="AT16" s="3" t="s">
        <v>2651</v>
      </c>
      <c r="AU16" s="3">
        <v>2018.0</v>
      </c>
      <c r="AV16" s="3">
        <v>27.0</v>
      </c>
      <c r="AW16" s="3">
        <v>3.0</v>
      </c>
      <c r="AX16" s="3" t="s">
        <v>1324</v>
      </c>
      <c r="AY16" s="3" t="s">
        <v>1324</v>
      </c>
      <c r="AZ16" s="3" t="s">
        <v>1324</v>
      </c>
      <c r="BA16" s="3" t="s">
        <v>1324</v>
      </c>
      <c r="BB16" s="3">
        <v>212.0</v>
      </c>
      <c r="BC16" s="3">
        <v>221.0</v>
      </c>
      <c r="BD16" s="3" t="s">
        <v>1324</v>
      </c>
      <c r="BE16" s="3" t="s">
        <v>1691</v>
      </c>
      <c r="BF16" s="25" t="str">
        <f>HYPERLINK("http://dx.doi.org/10.1111/fog.12246","http://dx.doi.org/10.1111/fog.12246")</f>
        <v>http://dx.doi.org/10.1111/fog.12246</v>
      </c>
      <c r="BG16" s="3" t="s">
        <v>1324</v>
      </c>
      <c r="BH16" s="3" t="s">
        <v>1324</v>
      </c>
      <c r="BI16" s="3">
        <v>10.0</v>
      </c>
      <c r="BJ16" s="3" t="s">
        <v>2671</v>
      </c>
      <c r="BK16" s="3" t="s">
        <v>2407</v>
      </c>
      <c r="BL16" s="3" t="s">
        <v>2671</v>
      </c>
      <c r="BM16" s="3" t="s">
        <v>2672</v>
      </c>
      <c r="BN16" s="3" t="s">
        <v>1324</v>
      </c>
      <c r="BO16" s="3" t="s">
        <v>1324</v>
      </c>
      <c r="BP16" s="3" t="s">
        <v>1324</v>
      </c>
      <c r="BQ16" s="3" t="s">
        <v>1324</v>
      </c>
      <c r="BR16" s="3" t="s">
        <v>2383</v>
      </c>
      <c r="BS16" s="3" t="s">
        <v>2673</v>
      </c>
      <c r="BT16" s="3" t="str">
        <f>HYPERLINK("https%3A%2F%2Fwww.webofscience.com%2Fwos%2Fwoscc%2Ffull-record%2FWOS:000428400500003","View Full Record in Web of Science")</f>
        <v>View Full Record in Web of Science</v>
      </c>
    </row>
    <row r="17" ht="12.75" customHeight="1">
      <c r="A17" s="3" t="s">
        <v>26</v>
      </c>
      <c r="B17" s="3" t="s">
        <v>2674</v>
      </c>
      <c r="C17" s="3" t="s">
        <v>1324</v>
      </c>
      <c r="D17" s="3" t="s">
        <v>1324</v>
      </c>
      <c r="E17" s="3" t="s">
        <v>1324</v>
      </c>
      <c r="F17" s="3" t="s">
        <v>1504</v>
      </c>
      <c r="G17" s="3" t="s">
        <v>1324</v>
      </c>
      <c r="H17" s="3" t="s">
        <v>1324</v>
      </c>
      <c r="I17" s="3" t="s">
        <v>1506</v>
      </c>
      <c r="J17" s="3" t="s">
        <v>1505</v>
      </c>
      <c r="K17" s="3" t="s">
        <v>1324</v>
      </c>
      <c r="L17" s="3" t="s">
        <v>1324</v>
      </c>
      <c r="M17" s="3" t="s">
        <v>2364</v>
      </c>
      <c r="N17" s="3" t="s">
        <v>30</v>
      </c>
      <c r="O17" s="3" t="s">
        <v>1324</v>
      </c>
      <c r="P17" s="3" t="s">
        <v>1324</v>
      </c>
      <c r="Q17" s="3" t="s">
        <v>1324</v>
      </c>
      <c r="R17" s="3" t="s">
        <v>1324</v>
      </c>
      <c r="S17" s="3" t="s">
        <v>1324</v>
      </c>
      <c r="T17" s="3" t="s">
        <v>2675</v>
      </c>
      <c r="U17" s="3" t="s">
        <v>2676</v>
      </c>
      <c r="V17" s="3" t="s">
        <v>2677</v>
      </c>
      <c r="W17" s="3" t="s">
        <v>2678</v>
      </c>
      <c r="X17" s="3" t="s">
        <v>2679</v>
      </c>
      <c r="Y17" s="3" t="s">
        <v>2680</v>
      </c>
      <c r="Z17" s="3" t="s">
        <v>2681</v>
      </c>
      <c r="AA17" s="3" t="s">
        <v>2682</v>
      </c>
      <c r="AB17" s="3" t="s">
        <v>2683</v>
      </c>
      <c r="AC17" s="3" t="s">
        <v>2684</v>
      </c>
      <c r="AD17" s="3" t="s">
        <v>2685</v>
      </c>
      <c r="AE17" s="3" t="s">
        <v>2686</v>
      </c>
      <c r="AF17" s="3" t="s">
        <v>1324</v>
      </c>
      <c r="AG17" s="3">
        <v>69.0</v>
      </c>
      <c r="AH17" s="3">
        <v>87.0</v>
      </c>
      <c r="AI17" s="3">
        <v>119.0</v>
      </c>
      <c r="AJ17" s="3">
        <v>5.0</v>
      </c>
      <c r="AK17" s="3">
        <v>97.0</v>
      </c>
      <c r="AL17" s="3" t="s">
        <v>2399</v>
      </c>
      <c r="AM17" s="3" t="s">
        <v>2400</v>
      </c>
      <c r="AN17" s="3" t="s">
        <v>2401</v>
      </c>
      <c r="AO17" s="3" t="s">
        <v>2687</v>
      </c>
      <c r="AP17" s="3" t="s">
        <v>1324</v>
      </c>
      <c r="AQ17" s="3" t="s">
        <v>1324</v>
      </c>
      <c r="AR17" s="3" t="s">
        <v>2688</v>
      </c>
      <c r="AS17" s="3" t="s">
        <v>2689</v>
      </c>
      <c r="AT17" s="3" t="s">
        <v>2690</v>
      </c>
      <c r="AU17" s="3">
        <v>2018.0</v>
      </c>
      <c r="AV17" s="3">
        <v>9.0</v>
      </c>
      <c r="AW17" s="3" t="s">
        <v>1324</v>
      </c>
      <c r="AX17" s="3" t="s">
        <v>1324</v>
      </c>
      <c r="AY17" s="3" t="s">
        <v>1324</v>
      </c>
      <c r="AZ17" s="3" t="s">
        <v>1324</v>
      </c>
      <c r="BA17" s="3" t="s">
        <v>1324</v>
      </c>
      <c r="BB17" s="3" t="s">
        <v>1324</v>
      </c>
      <c r="BC17" s="3" t="s">
        <v>1324</v>
      </c>
      <c r="BD17" s="3">
        <v>14.0</v>
      </c>
      <c r="BE17" s="3" t="s">
        <v>1508</v>
      </c>
      <c r="BF17" s="25" t="str">
        <f>HYPERLINK("http://dx.doi.org/10.1186/s40657-018-0106-9","http://dx.doi.org/10.1186/s40657-018-0106-9")</f>
        <v>http://dx.doi.org/10.1186/s40657-018-0106-9</v>
      </c>
      <c r="BG17" s="3" t="s">
        <v>1324</v>
      </c>
      <c r="BH17" s="3" t="s">
        <v>1324</v>
      </c>
      <c r="BI17" s="3">
        <v>13.0</v>
      </c>
      <c r="BJ17" s="3" t="s">
        <v>273</v>
      </c>
      <c r="BK17" s="3" t="s">
        <v>2407</v>
      </c>
      <c r="BL17" s="3" t="s">
        <v>2691</v>
      </c>
      <c r="BM17" s="3" t="s">
        <v>2692</v>
      </c>
      <c r="BN17" s="3" t="s">
        <v>1324</v>
      </c>
      <c r="BO17" s="3" t="s">
        <v>2598</v>
      </c>
      <c r="BP17" s="3" t="s">
        <v>1324</v>
      </c>
      <c r="BQ17" s="3" t="s">
        <v>1324</v>
      </c>
      <c r="BR17" s="3" t="s">
        <v>2383</v>
      </c>
      <c r="BS17" s="3" t="s">
        <v>2693</v>
      </c>
      <c r="BT17" s="3" t="str">
        <f>HYPERLINK("https%3A%2F%2Fwww.webofscience.com%2Fwos%2Fwoscc%2Ffull-record%2FWOS:000431108200001","View Full Record in Web of Science")</f>
        <v>View Full Record in Web of Science</v>
      </c>
    </row>
    <row r="18" ht="12.75" customHeight="1">
      <c r="A18" s="3" t="s">
        <v>26</v>
      </c>
      <c r="B18" s="3" t="s">
        <v>2694</v>
      </c>
      <c r="C18" s="3" t="s">
        <v>1324</v>
      </c>
      <c r="D18" s="3" t="s">
        <v>1324</v>
      </c>
      <c r="E18" s="3" t="s">
        <v>1324</v>
      </c>
      <c r="F18" s="3" t="s">
        <v>1510</v>
      </c>
      <c r="G18" s="3" t="s">
        <v>1324</v>
      </c>
      <c r="H18" s="3" t="s">
        <v>1324</v>
      </c>
      <c r="I18" s="3" t="s">
        <v>1512</v>
      </c>
      <c r="J18" s="3" t="s">
        <v>1511</v>
      </c>
      <c r="K18" s="3" t="s">
        <v>1324</v>
      </c>
      <c r="L18" s="3" t="s">
        <v>1324</v>
      </c>
      <c r="M18" s="3" t="s">
        <v>2364</v>
      </c>
      <c r="N18" s="3" t="s">
        <v>38</v>
      </c>
      <c r="O18" s="3" t="s">
        <v>1324</v>
      </c>
      <c r="P18" s="3" t="s">
        <v>1324</v>
      </c>
      <c r="Q18" s="3" t="s">
        <v>1324</v>
      </c>
      <c r="R18" s="3" t="s">
        <v>1324</v>
      </c>
      <c r="S18" s="3" t="s">
        <v>1324</v>
      </c>
      <c r="T18" s="3" t="s">
        <v>2695</v>
      </c>
      <c r="U18" s="3" t="s">
        <v>2696</v>
      </c>
      <c r="V18" s="3" t="s">
        <v>1513</v>
      </c>
      <c r="W18" s="3" t="s">
        <v>2697</v>
      </c>
      <c r="X18" s="3" t="s">
        <v>2698</v>
      </c>
      <c r="Y18" s="3" t="s">
        <v>2699</v>
      </c>
      <c r="Z18" s="3" t="s">
        <v>2700</v>
      </c>
      <c r="AA18" s="3" t="s">
        <v>2701</v>
      </c>
      <c r="AB18" s="3" t="s">
        <v>1324</v>
      </c>
      <c r="AC18" s="3" t="s">
        <v>2702</v>
      </c>
      <c r="AD18" s="3" t="s">
        <v>2703</v>
      </c>
      <c r="AE18" s="3" t="s">
        <v>2704</v>
      </c>
      <c r="AF18" s="3" t="s">
        <v>1324</v>
      </c>
      <c r="AG18" s="3">
        <v>33.0</v>
      </c>
      <c r="AH18" s="3">
        <v>6.0</v>
      </c>
      <c r="AI18" s="3">
        <v>7.0</v>
      </c>
      <c r="AJ18" s="3">
        <v>1.0</v>
      </c>
      <c r="AK18" s="3">
        <v>28.0</v>
      </c>
      <c r="AL18" s="3" t="s">
        <v>2705</v>
      </c>
      <c r="AM18" s="3" t="s">
        <v>2706</v>
      </c>
      <c r="AN18" s="3" t="s">
        <v>2707</v>
      </c>
      <c r="AO18" s="3" t="s">
        <v>2708</v>
      </c>
      <c r="AP18" s="3" t="s">
        <v>1324</v>
      </c>
      <c r="AQ18" s="3" t="s">
        <v>1324</v>
      </c>
      <c r="AR18" s="3" t="s">
        <v>2709</v>
      </c>
      <c r="AS18" s="3" t="s">
        <v>2710</v>
      </c>
      <c r="AT18" s="3" t="s">
        <v>2711</v>
      </c>
      <c r="AU18" s="3">
        <v>2018.0</v>
      </c>
      <c r="AV18" s="3">
        <v>11.0</v>
      </c>
      <c r="AW18" s="3" t="s">
        <v>1324</v>
      </c>
      <c r="AX18" s="3" t="s">
        <v>1324</v>
      </c>
      <c r="AY18" s="3" t="s">
        <v>1324</v>
      </c>
      <c r="AZ18" s="3" t="s">
        <v>1324</v>
      </c>
      <c r="BA18" s="3" t="s">
        <v>1324</v>
      </c>
      <c r="BB18" s="3" t="s">
        <v>1324</v>
      </c>
      <c r="BC18" s="3" t="s">
        <v>1324</v>
      </c>
      <c r="BD18" s="3" t="s">
        <v>1324</v>
      </c>
      <c r="BE18" s="3" t="s">
        <v>1514</v>
      </c>
      <c r="BF18" s="25" t="str">
        <f>HYPERLINK("http://dx.doi.org/10.1177/1940082918769460","http://dx.doi.org/10.1177/1940082918769460")</f>
        <v>http://dx.doi.org/10.1177/1940082918769460</v>
      </c>
      <c r="BG18" s="3" t="s">
        <v>1324</v>
      </c>
      <c r="BH18" s="3" t="s">
        <v>1324</v>
      </c>
      <c r="BI18" s="3">
        <v>8.0</v>
      </c>
      <c r="BJ18" s="3" t="s">
        <v>2712</v>
      </c>
      <c r="BK18" s="3" t="s">
        <v>2407</v>
      </c>
      <c r="BL18" s="3" t="s">
        <v>2713</v>
      </c>
      <c r="BM18" s="3" t="s">
        <v>2714</v>
      </c>
      <c r="BN18" s="3" t="s">
        <v>1324</v>
      </c>
      <c r="BO18" s="3" t="s">
        <v>2715</v>
      </c>
      <c r="BP18" s="3" t="s">
        <v>1324</v>
      </c>
      <c r="BQ18" s="3" t="s">
        <v>1324</v>
      </c>
      <c r="BR18" s="3" t="s">
        <v>2383</v>
      </c>
      <c r="BS18" s="3" t="s">
        <v>2716</v>
      </c>
      <c r="BT18" s="3" t="str">
        <f>HYPERLINK("https%3A%2F%2Fwww.webofscience.com%2Fwos%2Fwoscc%2Ffull-record%2FWOS:000437507600001","View Full Record in Web of Science")</f>
        <v>View Full Record in Web of Science</v>
      </c>
    </row>
    <row r="19" ht="12.75" customHeight="1">
      <c r="A19" s="3" t="s">
        <v>26</v>
      </c>
      <c r="B19" s="3" t="s">
        <v>2717</v>
      </c>
      <c r="C19" s="3" t="s">
        <v>1324</v>
      </c>
      <c r="D19" s="3" t="s">
        <v>1324</v>
      </c>
      <c r="E19" s="3" t="s">
        <v>1324</v>
      </c>
      <c r="F19" s="3" t="s">
        <v>1340</v>
      </c>
      <c r="G19" s="3" t="s">
        <v>1324</v>
      </c>
      <c r="H19" s="3" t="s">
        <v>1324</v>
      </c>
      <c r="I19" s="3" t="s">
        <v>1342</v>
      </c>
      <c r="J19" s="3" t="s">
        <v>1341</v>
      </c>
      <c r="K19" s="3" t="s">
        <v>1324</v>
      </c>
      <c r="L19" s="3" t="s">
        <v>1324</v>
      </c>
      <c r="M19" s="3" t="s">
        <v>2364</v>
      </c>
      <c r="N19" s="3" t="s">
        <v>38</v>
      </c>
      <c r="O19" s="3" t="s">
        <v>1324</v>
      </c>
      <c r="P19" s="3" t="s">
        <v>1324</v>
      </c>
      <c r="Q19" s="3" t="s">
        <v>1324</v>
      </c>
      <c r="R19" s="3" t="s">
        <v>1324</v>
      </c>
      <c r="S19" s="3" t="s">
        <v>1324</v>
      </c>
      <c r="T19" s="3" t="s">
        <v>1324</v>
      </c>
      <c r="U19" s="3" t="s">
        <v>2718</v>
      </c>
      <c r="V19" s="3" t="s">
        <v>1343</v>
      </c>
      <c r="W19" s="3" t="s">
        <v>2719</v>
      </c>
      <c r="X19" s="3" t="s">
        <v>2720</v>
      </c>
      <c r="Y19" s="3" t="s">
        <v>2721</v>
      </c>
      <c r="Z19" s="3" t="s">
        <v>2722</v>
      </c>
      <c r="AA19" s="3" t="s">
        <v>2723</v>
      </c>
      <c r="AB19" s="3" t="s">
        <v>2724</v>
      </c>
      <c r="AC19" s="3" t="s">
        <v>2725</v>
      </c>
      <c r="AD19" s="3" t="s">
        <v>2725</v>
      </c>
      <c r="AE19" s="3" t="s">
        <v>2726</v>
      </c>
      <c r="AF19" s="3" t="s">
        <v>1324</v>
      </c>
      <c r="AG19" s="3">
        <v>65.0</v>
      </c>
      <c r="AH19" s="3">
        <v>29.0</v>
      </c>
      <c r="AI19" s="3">
        <v>34.0</v>
      </c>
      <c r="AJ19" s="3">
        <v>0.0</v>
      </c>
      <c r="AK19" s="3">
        <v>96.0</v>
      </c>
      <c r="AL19" s="3" t="s">
        <v>2727</v>
      </c>
      <c r="AM19" s="3" t="s">
        <v>2728</v>
      </c>
      <c r="AN19" s="3" t="s">
        <v>2729</v>
      </c>
      <c r="AO19" s="3" t="s">
        <v>2730</v>
      </c>
      <c r="AP19" s="3" t="s">
        <v>2731</v>
      </c>
      <c r="AQ19" s="3" t="s">
        <v>1324</v>
      </c>
      <c r="AR19" s="3" t="s">
        <v>2732</v>
      </c>
      <c r="AS19" s="3" t="s">
        <v>2733</v>
      </c>
      <c r="AT19" s="3" t="s">
        <v>2734</v>
      </c>
      <c r="AU19" s="3">
        <v>2018.0</v>
      </c>
      <c r="AV19" s="3">
        <v>94.0</v>
      </c>
      <c r="AW19" s="3">
        <v>2.0</v>
      </c>
      <c r="AX19" s="3" t="s">
        <v>1324</v>
      </c>
      <c r="AY19" s="3" t="s">
        <v>1324</v>
      </c>
      <c r="AZ19" s="3" t="s">
        <v>1324</v>
      </c>
      <c r="BA19" s="3" t="s">
        <v>1324</v>
      </c>
      <c r="BB19" s="3">
        <v>213.0</v>
      </c>
      <c r="BC19" s="3">
        <v>228.0</v>
      </c>
      <c r="BD19" s="3" t="s">
        <v>1324</v>
      </c>
      <c r="BE19" s="3" t="s">
        <v>1344</v>
      </c>
      <c r="BF19" s="25" t="str">
        <f>HYPERLINK("http://dx.doi.org/10.5343/bms.2017.1061","http://dx.doi.org/10.5343/bms.2017.1061")</f>
        <v>http://dx.doi.org/10.5343/bms.2017.1061</v>
      </c>
      <c r="BG19" s="3" t="s">
        <v>1324</v>
      </c>
      <c r="BH19" s="3" t="s">
        <v>1324</v>
      </c>
      <c r="BI19" s="3">
        <v>16.0</v>
      </c>
      <c r="BJ19" s="3" t="s">
        <v>231</v>
      </c>
      <c r="BK19" s="3" t="s">
        <v>2407</v>
      </c>
      <c r="BL19" s="3" t="s">
        <v>231</v>
      </c>
      <c r="BM19" s="3" t="s">
        <v>2735</v>
      </c>
      <c r="BN19" s="3" t="s">
        <v>1324</v>
      </c>
      <c r="BO19" s="3" t="s">
        <v>2736</v>
      </c>
      <c r="BP19" s="3" t="s">
        <v>1324</v>
      </c>
      <c r="BQ19" s="3" t="s">
        <v>1324</v>
      </c>
      <c r="BR19" s="3" t="s">
        <v>2383</v>
      </c>
      <c r="BS19" s="3" t="s">
        <v>2737</v>
      </c>
      <c r="BT19" s="3" t="str">
        <f>HYPERLINK("https%3A%2F%2Fwww.webofscience.com%2Fwos%2Fwoscc%2Ffull-record%2FWOS:000439017000005","View Full Record in Web of Science")</f>
        <v>View Full Record in Web of Science</v>
      </c>
    </row>
    <row r="20" ht="12.75" customHeight="1">
      <c r="A20" s="3" t="s">
        <v>26</v>
      </c>
      <c r="B20" s="3" t="s">
        <v>2738</v>
      </c>
      <c r="C20" s="3" t="s">
        <v>1324</v>
      </c>
      <c r="D20" s="3" t="s">
        <v>1324</v>
      </c>
      <c r="E20" s="3" t="s">
        <v>1324</v>
      </c>
      <c r="F20" s="3" t="s">
        <v>1693</v>
      </c>
      <c r="G20" s="3" t="s">
        <v>1324</v>
      </c>
      <c r="H20" s="3" t="s">
        <v>1324</v>
      </c>
      <c r="I20" s="3" t="s">
        <v>1694</v>
      </c>
      <c r="J20" s="3" t="s">
        <v>1593</v>
      </c>
      <c r="K20" s="3" t="s">
        <v>1324</v>
      </c>
      <c r="L20" s="3" t="s">
        <v>1324</v>
      </c>
      <c r="M20" s="3" t="s">
        <v>2364</v>
      </c>
      <c r="N20" s="3" t="s">
        <v>38</v>
      </c>
      <c r="O20" s="3" t="s">
        <v>1324</v>
      </c>
      <c r="P20" s="3" t="s">
        <v>1324</v>
      </c>
      <c r="Q20" s="3" t="s">
        <v>1324</v>
      </c>
      <c r="R20" s="3" t="s">
        <v>1324</v>
      </c>
      <c r="S20" s="3" t="s">
        <v>1324</v>
      </c>
      <c r="T20" s="3" t="s">
        <v>2739</v>
      </c>
      <c r="U20" s="3" t="s">
        <v>2740</v>
      </c>
      <c r="V20" s="3" t="s">
        <v>2741</v>
      </c>
      <c r="W20" s="3" t="s">
        <v>2742</v>
      </c>
      <c r="X20" s="3" t="s">
        <v>2743</v>
      </c>
      <c r="Y20" s="3" t="s">
        <v>2744</v>
      </c>
      <c r="Z20" s="3" t="s">
        <v>2745</v>
      </c>
      <c r="AA20" s="3" t="s">
        <v>2746</v>
      </c>
      <c r="AB20" s="3" t="s">
        <v>2747</v>
      </c>
      <c r="AC20" s="3" t="s">
        <v>2748</v>
      </c>
      <c r="AD20" s="3" t="s">
        <v>2749</v>
      </c>
      <c r="AE20" s="3" t="s">
        <v>2750</v>
      </c>
      <c r="AF20" s="3" t="s">
        <v>1324</v>
      </c>
      <c r="AG20" s="3">
        <v>86.0</v>
      </c>
      <c r="AH20" s="3">
        <v>28.0</v>
      </c>
      <c r="AI20" s="3">
        <v>42.0</v>
      </c>
      <c r="AJ20" s="3">
        <v>0.0</v>
      </c>
      <c r="AK20" s="3">
        <v>180.0</v>
      </c>
      <c r="AL20" s="3" t="s">
        <v>2464</v>
      </c>
      <c r="AM20" s="3" t="s">
        <v>2465</v>
      </c>
      <c r="AN20" s="3" t="s">
        <v>2466</v>
      </c>
      <c r="AO20" s="3" t="s">
        <v>2751</v>
      </c>
      <c r="AP20" s="3" t="s">
        <v>2752</v>
      </c>
      <c r="AQ20" s="3" t="s">
        <v>1324</v>
      </c>
      <c r="AR20" s="3" t="s">
        <v>2753</v>
      </c>
      <c r="AS20" s="3" t="s">
        <v>2754</v>
      </c>
      <c r="AT20" s="3" t="s">
        <v>2734</v>
      </c>
      <c r="AU20" s="3">
        <v>2018.0</v>
      </c>
      <c r="AV20" s="3">
        <v>24.0</v>
      </c>
      <c r="AW20" s="3">
        <v>4.0</v>
      </c>
      <c r="AX20" s="3" t="s">
        <v>1324</v>
      </c>
      <c r="AY20" s="3" t="s">
        <v>1324</v>
      </c>
      <c r="AZ20" s="3" t="s">
        <v>1324</v>
      </c>
      <c r="BA20" s="3" t="s">
        <v>1324</v>
      </c>
      <c r="BB20" s="3">
        <v>497.0</v>
      </c>
      <c r="BC20" s="3">
        <v>508.0</v>
      </c>
      <c r="BD20" s="3" t="s">
        <v>1324</v>
      </c>
      <c r="BE20" s="3" t="s">
        <v>1696</v>
      </c>
      <c r="BF20" s="25" t="str">
        <f>HYPERLINK("http://dx.doi.org/10.1111/ddi.12693","http://dx.doi.org/10.1111/ddi.12693")</f>
        <v>http://dx.doi.org/10.1111/ddi.12693</v>
      </c>
      <c r="BG20" s="3" t="s">
        <v>1324</v>
      </c>
      <c r="BH20" s="3" t="s">
        <v>1324</v>
      </c>
      <c r="BI20" s="3">
        <v>12.0</v>
      </c>
      <c r="BJ20" s="3" t="s">
        <v>1124</v>
      </c>
      <c r="BK20" s="3" t="s">
        <v>2407</v>
      </c>
      <c r="BL20" s="3" t="s">
        <v>2577</v>
      </c>
      <c r="BM20" s="3" t="s">
        <v>2755</v>
      </c>
      <c r="BN20" s="3" t="s">
        <v>1324</v>
      </c>
      <c r="BO20" s="3" t="s">
        <v>2736</v>
      </c>
      <c r="BP20" s="3" t="s">
        <v>1324</v>
      </c>
      <c r="BQ20" s="3" t="s">
        <v>1324</v>
      </c>
      <c r="BR20" s="3" t="s">
        <v>2383</v>
      </c>
      <c r="BS20" s="3" t="s">
        <v>2756</v>
      </c>
      <c r="BT20" s="3" t="str">
        <f>HYPERLINK("https%3A%2F%2Fwww.webofscience.com%2Fwos%2Fwoscc%2Ffull-record%2FWOS:000427246300007","View Full Record in Web of Science")</f>
        <v>View Full Record in Web of Science</v>
      </c>
    </row>
    <row r="21" ht="12.75" customHeight="1">
      <c r="A21" s="3" t="s">
        <v>26</v>
      </c>
      <c r="B21" s="3" t="s">
        <v>2757</v>
      </c>
      <c r="C21" s="3" t="s">
        <v>1324</v>
      </c>
      <c r="D21" s="3" t="s">
        <v>1324</v>
      </c>
      <c r="E21" s="3" t="s">
        <v>1324</v>
      </c>
      <c r="F21" s="3" t="s">
        <v>1396</v>
      </c>
      <c r="G21" s="3" t="s">
        <v>1324</v>
      </c>
      <c r="H21" s="3" t="s">
        <v>1324</v>
      </c>
      <c r="I21" s="3" t="s">
        <v>1398</v>
      </c>
      <c r="J21" s="3" t="s">
        <v>1397</v>
      </c>
      <c r="K21" s="3" t="s">
        <v>1324</v>
      </c>
      <c r="L21" s="3" t="s">
        <v>1324</v>
      </c>
      <c r="M21" s="3" t="s">
        <v>2364</v>
      </c>
      <c r="N21" s="3" t="s">
        <v>38</v>
      </c>
      <c r="O21" s="3" t="s">
        <v>1324</v>
      </c>
      <c r="P21" s="3" t="s">
        <v>1324</v>
      </c>
      <c r="Q21" s="3" t="s">
        <v>1324</v>
      </c>
      <c r="R21" s="3" t="s">
        <v>1324</v>
      </c>
      <c r="S21" s="3" t="s">
        <v>1324</v>
      </c>
      <c r="T21" s="3" t="s">
        <v>2758</v>
      </c>
      <c r="U21" s="3" t="s">
        <v>2759</v>
      </c>
      <c r="V21" s="3" t="s">
        <v>1399</v>
      </c>
      <c r="W21" s="3" t="s">
        <v>2760</v>
      </c>
      <c r="X21" s="3" t="s">
        <v>2761</v>
      </c>
      <c r="Y21" s="3" t="s">
        <v>2762</v>
      </c>
      <c r="Z21" s="3" t="s">
        <v>2763</v>
      </c>
      <c r="AA21" s="3" t="s">
        <v>2764</v>
      </c>
      <c r="AB21" s="3" t="s">
        <v>2765</v>
      </c>
      <c r="AC21" s="3" t="s">
        <v>2766</v>
      </c>
      <c r="AD21" s="3" t="s">
        <v>2767</v>
      </c>
      <c r="AE21" s="3" t="s">
        <v>2768</v>
      </c>
      <c r="AF21" s="3" t="s">
        <v>1324</v>
      </c>
      <c r="AG21" s="3">
        <v>64.0</v>
      </c>
      <c r="AH21" s="3">
        <v>17.0</v>
      </c>
      <c r="AI21" s="3">
        <v>20.0</v>
      </c>
      <c r="AJ21" s="3">
        <v>1.0</v>
      </c>
      <c r="AK21" s="3">
        <v>55.0</v>
      </c>
      <c r="AL21" s="3" t="s">
        <v>2769</v>
      </c>
      <c r="AM21" s="3" t="s">
        <v>2770</v>
      </c>
      <c r="AN21" s="3" t="s">
        <v>2771</v>
      </c>
      <c r="AO21" s="3" t="s">
        <v>2772</v>
      </c>
      <c r="AP21" s="3" t="s">
        <v>2773</v>
      </c>
      <c r="AQ21" s="3" t="s">
        <v>1324</v>
      </c>
      <c r="AR21" s="3" t="s">
        <v>2774</v>
      </c>
      <c r="AS21" s="3" t="s">
        <v>2775</v>
      </c>
      <c r="AT21" s="3" t="s">
        <v>2776</v>
      </c>
      <c r="AU21" s="3">
        <v>2018.0</v>
      </c>
      <c r="AV21" s="3">
        <v>590.0</v>
      </c>
      <c r="AW21" s="3" t="s">
        <v>1324</v>
      </c>
      <c r="AX21" s="3" t="s">
        <v>1324</v>
      </c>
      <c r="AY21" s="3" t="s">
        <v>1324</v>
      </c>
      <c r="AZ21" s="3" t="s">
        <v>1324</v>
      </c>
      <c r="BA21" s="3" t="s">
        <v>1324</v>
      </c>
      <c r="BB21" s="3">
        <v>201.0</v>
      </c>
      <c r="BC21" s="3">
        <v>209.0</v>
      </c>
      <c r="BD21" s="3" t="s">
        <v>1324</v>
      </c>
      <c r="BE21" s="3" t="s">
        <v>1400</v>
      </c>
      <c r="BF21" s="25" t="str">
        <f>HYPERLINK("http://dx.doi.org/10.3354/meps12462","http://dx.doi.org/10.3354/meps12462")</f>
        <v>http://dx.doi.org/10.3354/meps12462</v>
      </c>
      <c r="BG21" s="3" t="s">
        <v>1324</v>
      </c>
      <c r="BH21" s="3" t="s">
        <v>1324</v>
      </c>
      <c r="BI21" s="3">
        <v>9.0</v>
      </c>
      <c r="BJ21" s="3" t="s">
        <v>2447</v>
      </c>
      <c r="BK21" s="3" t="s">
        <v>2407</v>
      </c>
      <c r="BL21" s="3" t="s">
        <v>2449</v>
      </c>
      <c r="BM21" s="3" t="s">
        <v>2777</v>
      </c>
      <c r="BN21" s="3" t="s">
        <v>1324</v>
      </c>
      <c r="BO21" s="3" t="s">
        <v>1324</v>
      </c>
      <c r="BP21" s="3" t="s">
        <v>1324</v>
      </c>
      <c r="BQ21" s="3" t="s">
        <v>1324</v>
      </c>
      <c r="BR21" s="3" t="s">
        <v>2383</v>
      </c>
      <c r="BS21" s="3" t="s">
        <v>2778</v>
      </c>
      <c r="BT21" s="3" t="str">
        <f>HYPERLINK("https%3A%2F%2Fwww.webofscience.com%2Fwos%2Fwoscc%2Ffull-record%2FWOS:000428817200014","View Full Record in Web of Science")</f>
        <v>View Full Record in Web of Science</v>
      </c>
    </row>
    <row r="22" ht="12.75" customHeight="1">
      <c r="A22" s="3" t="s">
        <v>26</v>
      </c>
      <c r="B22" s="3" t="s">
        <v>2779</v>
      </c>
      <c r="C22" s="3" t="s">
        <v>1324</v>
      </c>
      <c r="D22" s="3" t="s">
        <v>1324</v>
      </c>
      <c r="E22" s="3" t="s">
        <v>1324</v>
      </c>
      <c r="F22" s="3" t="s">
        <v>1774</v>
      </c>
      <c r="G22" s="3" t="s">
        <v>1324</v>
      </c>
      <c r="H22" s="3" t="s">
        <v>1324</v>
      </c>
      <c r="I22" s="3" t="s">
        <v>1775</v>
      </c>
      <c r="J22" s="3" t="s">
        <v>37</v>
      </c>
      <c r="K22" s="3" t="s">
        <v>1324</v>
      </c>
      <c r="L22" s="3" t="s">
        <v>1324</v>
      </c>
      <c r="M22" s="3" t="s">
        <v>2364</v>
      </c>
      <c r="N22" s="3" t="s">
        <v>38</v>
      </c>
      <c r="O22" s="3" t="s">
        <v>1324</v>
      </c>
      <c r="P22" s="3" t="s">
        <v>1324</v>
      </c>
      <c r="Q22" s="3" t="s">
        <v>1324</v>
      </c>
      <c r="R22" s="3" t="s">
        <v>1324</v>
      </c>
      <c r="S22" s="3" t="s">
        <v>1324</v>
      </c>
      <c r="T22" s="3" t="s">
        <v>2780</v>
      </c>
      <c r="U22" s="3" t="s">
        <v>2781</v>
      </c>
      <c r="V22" s="3" t="s">
        <v>1776</v>
      </c>
      <c r="W22" s="3" t="s">
        <v>2782</v>
      </c>
      <c r="X22" s="3" t="s">
        <v>2783</v>
      </c>
      <c r="Y22" s="3" t="s">
        <v>2784</v>
      </c>
      <c r="Z22" s="3" t="s">
        <v>2785</v>
      </c>
      <c r="AA22" s="3" t="s">
        <v>2786</v>
      </c>
      <c r="AB22" s="3" t="s">
        <v>2787</v>
      </c>
      <c r="AC22" s="3" t="s">
        <v>2788</v>
      </c>
      <c r="AD22" s="3" t="s">
        <v>2789</v>
      </c>
      <c r="AE22" s="3" t="s">
        <v>2790</v>
      </c>
      <c r="AF22" s="3" t="s">
        <v>1324</v>
      </c>
      <c r="AG22" s="3">
        <v>45.0</v>
      </c>
      <c r="AH22" s="3">
        <v>162.0</v>
      </c>
      <c r="AI22" s="3">
        <v>183.0</v>
      </c>
      <c r="AJ22" s="3">
        <v>4.0</v>
      </c>
      <c r="AK22" s="3">
        <v>141.0</v>
      </c>
      <c r="AL22" s="3" t="s">
        <v>2791</v>
      </c>
      <c r="AM22" s="3" t="s">
        <v>2792</v>
      </c>
      <c r="AN22" s="3" t="s">
        <v>2793</v>
      </c>
      <c r="AO22" s="3" t="s">
        <v>2794</v>
      </c>
      <c r="AP22" s="3" t="s">
        <v>2795</v>
      </c>
      <c r="AQ22" s="3" t="s">
        <v>1324</v>
      </c>
      <c r="AR22" s="3" t="s">
        <v>2796</v>
      </c>
      <c r="AS22" s="3" t="s">
        <v>2797</v>
      </c>
      <c r="AT22" s="3" t="s">
        <v>2798</v>
      </c>
      <c r="AU22" s="3">
        <v>2018.0</v>
      </c>
      <c r="AV22" s="3">
        <v>115.0</v>
      </c>
      <c r="AW22" s="3">
        <v>8.0</v>
      </c>
      <c r="AX22" s="3" t="s">
        <v>1324</v>
      </c>
      <c r="AY22" s="3" t="s">
        <v>1324</v>
      </c>
      <c r="AZ22" s="3" t="s">
        <v>1324</v>
      </c>
      <c r="BA22" s="3" t="s">
        <v>1324</v>
      </c>
      <c r="BB22" s="3">
        <v>1831.0</v>
      </c>
      <c r="BC22" s="3">
        <v>1836.0</v>
      </c>
      <c r="BD22" s="3" t="s">
        <v>1324</v>
      </c>
      <c r="BE22" s="3" t="s">
        <v>1777</v>
      </c>
      <c r="BF22" s="25" t="str">
        <f>HYPERLINK("http://dx.doi.org/10.1073/pnas.1711122115","http://dx.doi.org/10.1073/pnas.1711122115")</f>
        <v>http://dx.doi.org/10.1073/pnas.1711122115</v>
      </c>
      <c r="BG22" s="3" t="s">
        <v>1324</v>
      </c>
      <c r="BH22" s="3" t="s">
        <v>1324</v>
      </c>
      <c r="BI22" s="3">
        <v>6.0</v>
      </c>
      <c r="BJ22" s="3" t="s">
        <v>42</v>
      </c>
      <c r="BK22" s="3" t="s">
        <v>2407</v>
      </c>
      <c r="BL22" s="3" t="s">
        <v>2430</v>
      </c>
      <c r="BM22" s="3" t="s">
        <v>2799</v>
      </c>
      <c r="BN22" s="3">
        <v>2.9358389E7</v>
      </c>
      <c r="BO22" s="3" t="s">
        <v>2715</v>
      </c>
      <c r="BP22" s="3" t="s">
        <v>1324</v>
      </c>
      <c r="BQ22" s="3" t="s">
        <v>1324</v>
      </c>
      <c r="BR22" s="3" t="s">
        <v>2383</v>
      </c>
      <c r="BS22" s="3" t="s">
        <v>2800</v>
      </c>
      <c r="BT22" s="3" t="str">
        <f>HYPERLINK("https%3A%2F%2Fwww.webofscience.com%2Fwos%2Fwoscc%2Ffull-record%2FWOS:000425495000061","View Full Record in Web of Science")</f>
        <v>View Full Record in Web of Science</v>
      </c>
    </row>
    <row r="23" ht="12.75" customHeight="1">
      <c r="A23" s="3" t="s">
        <v>26</v>
      </c>
      <c r="B23" s="3" t="s">
        <v>2801</v>
      </c>
      <c r="C23" s="3" t="s">
        <v>1324</v>
      </c>
      <c r="D23" s="3" t="s">
        <v>1324</v>
      </c>
      <c r="E23" s="3" t="s">
        <v>1324</v>
      </c>
      <c r="F23" s="3" t="s">
        <v>2243</v>
      </c>
      <c r="G23" s="3" t="s">
        <v>1324</v>
      </c>
      <c r="H23" s="3" t="s">
        <v>1324</v>
      </c>
      <c r="I23" s="3" t="s">
        <v>2245</v>
      </c>
      <c r="J23" s="3" t="s">
        <v>2244</v>
      </c>
      <c r="K23" s="3" t="s">
        <v>1324</v>
      </c>
      <c r="L23" s="3" t="s">
        <v>1324</v>
      </c>
      <c r="M23" s="3" t="s">
        <v>2364</v>
      </c>
      <c r="N23" s="3" t="s">
        <v>38</v>
      </c>
      <c r="O23" s="3" t="s">
        <v>1324</v>
      </c>
      <c r="P23" s="3" t="s">
        <v>1324</v>
      </c>
      <c r="Q23" s="3" t="s">
        <v>1324</v>
      </c>
      <c r="R23" s="3" t="s">
        <v>1324</v>
      </c>
      <c r="S23" s="3" t="s">
        <v>1324</v>
      </c>
      <c r="T23" s="3" t="s">
        <v>2802</v>
      </c>
      <c r="U23" s="3" t="s">
        <v>2803</v>
      </c>
      <c r="V23" s="3" t="s">
        <v>2804</v>
      </c>
      <c r="W23" s="3" t="s">
        <v>2805</v>
      </c>
      <c r="X23" s="3" t="s">
        <v>2806</v>
      </c>
      <c r="Y23" s="3" t="s">
        <v>2807</v>
      </c>
      <c r="Z23" s="3" t="s">
        <v>2808</v>
      </c>
      <c r="AA23" s="3" t="s">
        <v>2809</v>
      </c>
      <c r="AB23" s="3" t="s">
        <v>2810</v>
      </c>
      <c r="AC23" s="3" t="s">
        <v>2811</v>
      </c>
      <c r="AD23" s="3" t="s">
        <v>2812</v>
      </c>
      <c r="AE23" s="3" t="s">
        <v>2813</v>
      </c>
      <c r="AF23" s="3" t="s">
        <v>1324</v>
      </c>
      <c r="AG23" s="3">
        <v>76.0</v>
      </c>
      <c r="AH23" s="3">
        <v>11.0</v>
      </c>
      <c r="AI23" s="3">
        <v>11.0</v>
      </c>
      <c r="AJ23" s="3">
        <v>0.0</v>
      </c>
      <c r="AK23" s="3">
        <v>16.0</v>
      </c>
      <c r="AL23" s="3" t="s">
        <v>2464</v>
      </c>
      <c r="AM23" s="3" t="s">
        <v>2465</v>
      </c>
      <c r="AN23" s="3" t="s">
        <v>2466</v>
      </c>
      <c r="AO23" s="3" t="s">
        <v>2814</v>
      </c>
      <c r="AP23" s="3" t="s">
        <v>2815</v>
      </c>
      <c r="AQ23" s="3" t="s">
        <v>1324</v>
      </c>
      <c r="AR23" s="3" t="s">
        <v>2816</v>
      </c>
      <c r="AS23" s="3" t="s">
        <v>2817</v>
      </c>
      <c r="AT23" s="3" t="s">
        <v>2818</v>
      </c>
      <c r="AU23" s="3">
        <v>2018.0</v>
      </c>
      <c r="AV23" s="3">
        <v>28.0</v>
      </c>
      <c r="AW23" s="3">
        <v>1.0</v>
      </c>
      <c r="AX23" s="3" t="s">
        <v>1324</v>
      </c>
      <c r="AY23" s="3" t="s">
        <v>1324</v>
      </c>
      <c r="AZ23" s="3" t="s">
        <v>1324</v>
      </c>
      <c r="BA23" s="3" t="s">
        <v>1324</v>
      </c>
      <c r="BB23" s="3">
        <v>55.0</v>
      </c>
      <c r="BC23" s="3">
        <v>67.0</v>
      </c>
      <c r="BD23" s="3" t="s">
        <v>1324</v>
      </c>
      <c r="BE23" s="3" t="s">
        <v>2247</v>
      </c>
      <c r="BF23" s="25" t="str">
        <f>HYPERLINK("http://dx.doi.org/10.1002/aqc.2850","http://dx.doi.org/10.1002/aqc.2850")</f>
        <v>http://dx.doi.org/10.1002/aqc.2850</v>
      </c>
      <c r="BG23" s="3" t="s">
        <v>1324</v>
      </c>
      <c r="BH23" s="3" t="s">
        <v>1324</v>
      </c>
      <c r="BI23" s="3">
        <v>13.0</v>
      </c>
      <c r="BJ23" s="3" t="s">
        <v>2819</v>
      </c>
      <c r="BK23" s="3" t="s">
        <v>2407</v>
      </c>
      <c r="BL23" s="3" t="s">
        <v>2820</v>
      </c>
      <c r="BM23" s="3" t="s">
        <v>2821</v>
      </c>
      <c r="BN23" s="3" t="s">
        <v>1324</v>
      </c>
      <c r="BO23" s="3" t="s">
        <v>1324</v>
      </c>
      <c r="BP23" s="3" t="s">
        <v>1324</v>
      </c>
      <c r="BQ23" s="3" t="s">
        <v>1324</v>
      </c>
      <c r="BR23" s="3" t="s">
        <v>2383</v>
      </c>
      <c r="BS23" s="3" t="s">
        <v>2822</v>
      </c>
      <c r="BT23" s="3" t="str">
        <f>HYPERLINK("https%3A%2F%2Fwww.webofscience.com%2Fwos%2Fwoscc%2Ffull-record%2FWOS:000425121900007","View Full Record in Web of Science")</f>
        <v>View Full Record in Web of Science</v>
      </c>
    </row>
    <row r="24" ht="12.75" customHeight="1">
      <c r="A24" s="3" t="s">
        <v>26</v>
      </c>
      <c r="B24" s="3" t="s">
        <v>2823</v>
      </c>
      <c r="C24" s="3" t="s">
        <v>1324</v>
      </c>
      <c r="D24" s="3" t="s">
        <v>1324</v>
      </c>
      <c r="E24" s="3" t="s">
        <v>1324</v>
      </c>
      <c r="F24" s="3" t="s">
        <v>1640</v>
      </c>
      <c r="G24" s="3" t="s">
        <v>1324</v>
      </c>
      <c r="H24" s="3" t="s">
        <v>1324</v>
      </c>
      <c r="I24" s="3" t="s">
        <v>1641</v>
      </c>
      <c r="J24" s="3" t="s">
        <v>1253</v>
      </c>
      <c r="K24" s="3" t="s">
        <v>1324</v>
      </c>
      <c r="L24" s="3" t="s">
        <v>1324</v>
      </c>
      <c r="M24" s="3" t="s">
        <v>2364</v>
      </c>
      <c r="N24" s="3" t="s">
        <v>38</v>
      </c>
      <c r="O24" s="3" t="s">
        <v>1324</v>
      </c>
      <c r="P24" s="3" t="s">
        <v>1324</v>
      </c>
      <c r="Q24" s="3" t="s">
        <v>1324</v>
      </c>
      <c r="R24" s="3" t="s">
        <v>1324</v>
      </c>
      <c r="S24" s="3" t="s">
        <v>1324</v>
      </c>
      <c r="T24" s="3" t="s">
        <v>2824</v>
      </c>
      <c r="U24" s="3" t="s">
        <v>2825</v>
      </c>
      <c r="V24" s="3" t="s">
        <v>2826</v>
      </c>
      <c r="W24" s="3" t="s">
        <v>2827</v>
      </c>
      <c r="X24" s="3" t="s">
        <v>2828</v>
      </c>
      <c r="Y24" s="3" t="s">
        <v>2829</v>
      </c>
      <c r="Z24" s="3" t="s">
        <v>2830</v>
      </c>
      <c r="AA24" s="3" t="s">
        <v>2831</v>
      </c>
      <c r="AB24" s="3" t="s">
        <v>2832</v>
      </c>
      <c r="AC24" s="3" t="s">
        <v>2833</v>
      </c>
      <c r="AD24" s="3" t="s">
        <v>2834</v>
      </c>
      <c r="AE24" s="3" t="s">
        <v>2835</v>
      </c>
      <c r="AF24" s="3" t="s">
        <v>1324</v>
      </c>
      <c r="AG24" s="3">
        <v>58.0</v>
      </c>
      <c r="AH24" s="3">
        <v>63.0</v>
      </c>
      <c r="AI24" s="3">
        <v>70.0</v>
      </c>
      <c r="AJ24" s="3">
        <v>2.0</v>
      </c>
      <c r="AK24" s="3">
        <v>96.0</v>
      </c>
      <c r="AL24" s="3" t="s">
        <v>2464</v>
      </c>
      <c r="AM24" s="3" t="s">
        <v>2465</v>
      </c>
      <c r="AN24" s="3" t="s">
        <v>2466</v>
      </c>
      <c r="AO24" s="3" t="s">
        <v>2836</v>
      </c>
      <c r="AP24" s="3" t="s">
        <v>2837</v>
      </c>
      <c r="AQ24" s="3" t="s">
        <v>1324</v>
      </c>
      <c r="AR24" s="3" t="s">
        <v>2838</v>
      </c>
      <c r="AS24" s="3" t="s">
        <v>2839</v>
      </c>
      <c r="AT24" s="3" t="s">
        <v>2818</v>
      </c>
      <c r="AU24" s="3">
        <v>2018.0</v>
      </c>
      <c r="AV24" s="3">
        <v>27.0</v>
      </c>
      <c r="AW24" s="3">
        <v>2.0</v>
      </c>
      <c r="AX24" s="3" t="s">
        <v>1324</v>
      </c>
      <c r="AY24" s="3" t="s">
        <v>1324</v>
      </c>
      <c r="AZ24" s="3" t="s">
        <v>1324</v>
      </c>
      <c r="BA24" s="3" t="s">
        <v>1324</v>
      </c>
      <c r="BB24" s="3">
        <v>213.0</v>
      </c>
      <c r="BC24" s="3">
        <v>222.0</v>
      </c>
      <c r="BD24" s="3" t="s">
        <v>1324</v>
      </c>
      <c r="BE24" s="3" t="s">
        <v>1643</v>
      </c>
      <c r="BF24" s="25" t="str">
        <f>HYPERLINK("http://dx.doi.org/10.1111/geb.12690","http://dx.doi.org/10.1111/geb.12690")</f>
        <v>http://dx.doi.org/10.1111/geb.12690</v>
      </c>
      <c r="BG24" s="3" t="s">
        <v>1324</v>
      </c>
      <c r="BH24" s="3" t="s">
        <v>1324</v>
      </c>
      <c r="BI24" s="3">
        <v>10.0</v>
      </c>
      <c r="BJ24" s="3" t="s">
        <v>1257</v>
      </c>
      <c r="BK24" s="3" t="s">
        <v>2407</v>
      </c>
      <c r="BL24" s="3" t="s">
        <v>2840</v>
      </c>
      <c r="BM24" s="3" t="s">
        <v>2841</v>
      </c>
      <c r="BN24" s="3" t="s">
        <v>1324</v>
      </c>
      <c r="BO24" s="3" t="s">
        <v>1324</v>
      </c>
      <c r="BP24" s="3" t="s">
        <v>1324</v>
      </c>
      <c r="BQ24" s="3" t="s">
        <v>1324</v>
      </c>
      <c r="BR24" s="3" t="s">
        <v>2383</v>
      </c>
      <c r="BS24" s="3" t="s">
        <v>2842</v>
      </c>
      <c r="BT24" s="3" t="str">
        <f>HYPERLINK("https%3A%2F%2Fwww.webofscience.com%2Fwos%2Fwoscc%2Ffull-record%2FWOS:000422750700005","View Full Record in Web of Science")</f>
        <v>View Full Record in Web of Science</v>
      </c>
    </row>
    <row r="25" ht="12.75" customHeight="1">
      <c r="A25" s="3" t="s">
        <v>26</v>
      </c>
      <c r="B25" s="3" t="s">
        <v>2843</v>
      </c>
      <c r="C25" s="3" t="s">
        <v>1324</v>
      </c>
      <c r="D25" s="3" t="s">
        <v>1324</v>
      </c>
      <c r="E25" s="3" t="s">
        <v>1324</v>
      </c>
      <c r="F25" s="3" t="s">
        <v>2029</v>
      </c>
      <c r="G25" s="3" t="s">
        <v>1324</v>
      </c>
      <c r="H25" s="3" t="s">
        <v>1324</v>
      </c>
      <c r="I25" s="3" t="s">
        <v>2031</v>
      </c>
      <c r="J25" s="3" t="s">
        <v>2030</v>
      </c>
      <c r="K25" s="3" t="s">
        <v>1324</v>
      </c>
      <c r="L25" s="3" t="s">
        <v>1324</v>
      </c>
      <c r="M25" s="3" t="s">
        <v>2364</v>
      </c>
      <c r="N25" s="3" t="s">
        <v>38</v>
      </c>
      <c r="O25" s="3" t="s">
        <v>1324</v>
      </c>
      <c r="P25" s="3" t="s">
        <v>1324</v>
      </c>
      <c r="Q25" s="3" t="s">
        <v>1324</v>
      </c>
      <c r="R25" s="3" t="s">
        <v>1324</v>
      </c>
      <c r="S25" s="3" t="s">
        <v>1324</v>
      </c>
      <c r="T25" s="3" t="s">
        <v>2844</v>
      </c>
      <c r="U25" s="3" t="s">
        <v>2845</v>
      </c>
      <c r="V25" s="3" t="s">
        <v>2032</v>
      </c>
      <c r="W25" s="3" t="s">
        <v>2846</v>
      </c>
      <c r="X25" s="3" t="s">
        <v>2847</v>
      </c>
      <c r="Y25" s="3" t="s">
        <v>2848</v>
      </c>
      <c r="Z25" s="3" t="s">
        <v>2849</v>
      </c>
      <c r="AA25" s="3" t="s">
        <v>2850</v>
      </c>
      <c r="AB25" s="3" t="s">
        <v>2851</v>
      </c>
      <c r="AC25" s="3" t="s">
        <v>2852</v>
      </c>
      <c r="AD25" s="3" t="s">
        <v>2853</v>
      </c>
      <c r="AE25" s="3" t="s">
        <v>2854</v>
      </c>
      <c r="AF25" s="3" t="s">
        <v>1324</v>
      </c>
      <c r="AG25" s="3">
        <v>87.0</v>
      </c>
      <c r="AH25" s="3">
        <v>58.0</v>
      </c>
      <c r="AI25" s="3">
        <v>67.0</v>
      </c>
      <c r="AJ25" s="3">
        <v>3.0</v>
      </c>
      <c r="AK25" s="3">
        <v>131.0</v>
      </c>
      <c r="AL25" s="3" t="s">
        <v>2486</v>
      </c>
      <c r="AM25" s="3" t="s">
        <v>2487</v>
      </c>
      <c r="AN25" s="3" t="s">
        <v>2488</v>
      </c>
      <c r="AO25" s="3" t="s">
        <v>2855</v>
      </c>
      <c r="AP25" s="3" t="s">
        <v>2856</v>
      </c>
      <c r="AQ25" s="3" t="s">
        <v>1324</v>
      </c>
      <c r="AR25" s="3" t="s">
        <v>2857</v>
      </c>
      <c r="AS25" s="3" t="s">
        <v>2858</v>
      </c>
      <c r="AT25" s="3" t="s">
        <v>2818</v>
      </c>
      <c r="AU25" s="3">
        <v>2018.0</v>
      </c>
      <c r="AV25" s="3">
        <v>198.0</v>
      </c>
      <c r="AW25" s="3" t="s">
        <v>1324</v>
      </c>
      <c r="AX25" s="3" t="s">
        <v>1324</v>
      </c>
      <c r="AY25" s="3" t="s">
        <v>1324</v>
      </c>
      <c r="AZ25" s="3" t="s">
        <v>1324</v>
      </c>
      <c r="BA25" s="3" t="s">
        <v>1324</v>
      </c>
      <c r="BB25" s="3">
        <v>78.0</v>
      </c>
      <c r="BC25" s="3">
        <v>85.0</v>
      </c>
      <c r="BD25" s="3" t="s">
        <v>1324</v>
      </c>
      <c r="BE25" s="3" t="s">
        <v>2033</v>
      </c>
      <c r="BF25" s="25" t="str">
        <f>HYPERLINK("http://dx.doi.org/10.1016/j.fishres.2017.10.012","http://dx.doi.org/10.1016/j.fishres.2017.10.012")</f>
        <v>http://dx.doi.org/10.1016/j.fishres.2017.10.012</v>
      </c>
      <c r="BG25" s="3" t="s">
        <v>1324</v>
      </c>
      <c r="BH25" s="3" t="s">
        <v>1324</v>
      </c>
      <c r="BI25" s="3">
        <v>8.0</v>
      </c>
      <c r="BJ25" s="3" t="s">
        <v>2859</v>
      </c>
      <c r="BK25" s="3" t="s">
        <v>2407</v>
      </c>
      <c r="BL25" s="3" t="s">
        <v>2859</v>
      </c>
      <c r="BM25" s="3" t="s">
        <v>2860</v>
      </c>
      <c r="BN25" s="3" t="s">
        <v>1324</v>
      </c>
      <c r="BO25" s="3" t="s">
        <v>1324</v>
      </c>
      <c r="BP25" s="3" t="s">
        <v>1324</v>
      </c>
      <c r="BQ25" s="3" t="s">
        <v>1324</v>
      </c>
      <c r="BR25" s="3" t="s">
        <v>2383</v>
      </c>
      <c r="BS25" s="3" t="s">
        <v>2861</v>
      </c>
      <c r="BT25" s="3" t="str">
        <f>HYPERLINK("https%3A%2F%2Fwww.webofscience.com%2Fwos%2Fwoscc%2Ffull-record%2FWOS:000416194200009","View Full Record in Web of Science")</f>
        <v>View Full Record in Web of Science</v>
      </c>
    </row>
    <row r="26" ht="12.75" customHeight="1">
      <c r="A26" s="3" t="s">
        <v>26</v>
      </c>
      <c r="B26" s="3" t="s">
        <v>2862</v>
      </c>
      <c r="C26" s="3" t="s">
        <v>1324</v>
      </c>
      <c r="D26" s="3" t="s">
        <v>1324</v>
      </c>
      <c r="E26" s="3" t="s">
        <v>1324</v>
      </c>
      <c r="F26" s="3" t="s">
        <v>1795</v>
      </c>
      <c r="G26" s="3" t="s">
        <v>1324</v>
      </c>
      <c r="H26" s="3" t="s">
        <v>1324</v>
      </c>
      <c r="I26" s="3" t="s">
        <v>1796</v>
      </c>
      <c r="J26" s="3" t="s">
        <v>278</v>
      </c>
      <c r="K26" s="3" t="s">
        <v>1324</v>
      </c>
      <c r="L26" s="3" t="s">
        <v>1324</v>
      </c>
      <c r="M26" s="3" t="s">
        <v>2364</v>
      </c>
      <c r="N26" s="3" t="s">
        <v>38</v>
      </c>
      <c r="O26" s="3" t="s">
        <v>1324</v>
      </c>
      <c r="P26" s="3" t="s">
        <v>1324</v>
      </c>
      <c r="Q26" s="3" t="s">
        <v>1324</v>
      </c>
      <c r="R26" s="3" t="s">
        <v>1324</v>
      </c>
      <c r="S26" s="3" t="s">
        <v>1324</v>
      </c>
      <c r="T26" s="3" t="s">
        <v>1324</v>
      </c>
      <c r="U26" s="3" t="s">
        <v>2863</v>
      </c>
      <c r="V26" s="3" t="s">
        <v>1797</v>
      </c>
      <c r="W26" s="3" t="s">
        <v>2864</v>
      </c>
      <c r="X26" s="3" t="s">
        <v>2865</v>
      </c>
      <c r="Y26" s="3" t="s">
        <v>2866</v>
      </c>
      <c r="Z26" s="3" t="s">
        <v>2867</v>
      </c>
      <c r="AA26" s="3" t="s">
        <v>2868</v>
      </c>
      <c r="AB26" s="3" t="s">
        <v>2869</v>
      </c>
      <c r="AC26" s="3" t="s">
        <v>1324</v>
      </c>
      <c r="AD26" s="3" t="s">
        <v>1324</v>
      </c>
      <c r="AE26" s="3" t="s">
        <v>1324</v>
      </c>
      <c r="AF26" s="3" t="s">
        <v>1324</v>
      </c>
      <c r="AG26" s="3">
        <v>69.0</v>
      </c>
      <c r="AH26" s="3">
        <v>188.0</v>
      </c>
      <c r="AI26" s="3">
        <v>218.0</v>
      </c>
      <c r="AJ26" s="3">
        <v>13.0</v>
      </c>
      <c r="AK26" s="3">
        <v>224.0</v>
      </c>
      <c r="AL26" s="3" t="s">
        <v>2870</v>
      </c>
      <c r="AM26" s="3" t="s">
        <v>2871</v>
      </c>
      <c r="AN26" s="3" t="s">
        <v>2872</v>
      </c>
      <c r="AO26" s="3" t="s">
        <v>2873</v>
      </c>
      <c r="AP26" s="3" t="s">
        <v>2874</v>
      </c>
      <c r="AQ26" s="3" t="s">
        <v>1324</v>
      </c>
      <c r="AR26" s="3" t="s">
        <v>278</v>
      </c>
      <c r="AS26" s="3" t="s">
        <v>2875</v>
      </c>
      <c r="AT26" s="3" t="s">
        <v>2876</v>
      </c>
      <c r="AU26" s="3">
        <v>2018.0</v>
      </c>
      <c r="AV26" s="3">
        <v>553.0</v>
      </c>
      <c r="AW26" s="3">
        <v>7687.0</v>
      </c>
      <c r="AX26" s="3" t="s">
        <v>1324</v>
      </c>
      <c r="AY26" s="3" t="s">
        <v>1324</v>
      </c>
      <c r="AZ26" s="3" t="s">
        <v>1324</v>
      </c>
      <c r="BA26" s="3" t="s">
        <v>1324</v>
      </c>
      <c r="BB26" s="3">
        <v>199.0</v>
      </c>
      <c r="BC26" s="3" t="s">
        <v>2877</v>
      </c>
      <c r="BD26" s="3" t="s">
        <v>1324</v>
      </c>
      <c r="BE26" s="3" t="s">
        <v>1798</v>
      </c>
      <c r="BF26" s="25" t="str">
        <f>HYPERLINK("http://dx.doi.org/10.1038/nature25139","http://dx.doi.org/10.1038/nature25139")</f>
        <v>http://dx.doi.org/10.1038/nature25139</v>
      </c>
      <c r="BG26" s="3" t="s">
        <v>1324</v>
      </c>
      <c r="BH26" s="3" t="s">
        <v>1324</v>
      </c>
      <c r="BI26" s="3">
        <v>18.0</v>
      </c>
      <c r="BJ26" s="3" t="s">
        <v>42</v>
      </c>
      <c r="BK26" s="3" t="s">
        <v>2878</v>
      </c>
      <c r="BL26" s="3" t="s">
        <v>2430</v>
      </c>
      <c r="BM26" s="3" t="s">
        <v>2879</v>
      </c>
      <c r="BN26" s="3">
        <v>2.9258291E7</v>
      </c>
      <c r="BO26" s="3" t="s">
        <v>1324</v>
      </c>
      <c r="BP26" s="3" t="s">
        <v>1324</v>
      </c>
      <c r="BQ26" s="3" t="s">
        <v>1324</v>
      </c>
      <c r="BR26" s="3" t="s">
        <v>2383</v>
      </c>
      <c r="BS26" s="3" t="s">
        <v>2880</v>
      </c>
      <c r="BT26" s="3" t="str">
        <f>HYPERLINK("https%3A%2F%2Fwww.webofscience.com%2Fwos%2Fwoscc%2Ffull-record%2FWOS:000419794800035","View Full Record in Web of Science")</f>
        <v>View Full Record in Web of Science</v>
      </c>
    </row>
    <row r="27" ht="12.75" customHeight="1">
      <c r="A27" s="3" t="s">
        <v>26</v>
      </c>
      <c r="B27" s="3" t="s">
        <v>2881</v>
      </c>
      <c r="C27" s="3" t="s">
        <v>1324</v>
      </c>
      <c r="D27" s="3" t="s">
        <v>1324</v>
      </c>
      <c r="E27" s="3" t="s">
        <v>1324</v>
      </c>
      <c r="F27" s="3" t="s">
        <v>1790</v>
      </c>
      <c r="G27" s="3" t="s">
        <v>1324</v>
      </c>
      <c r="H27" s="3" t="s">
        <v>1324</v>
      </c>
      <c r="I27" s="3" t="s">
        <v>1791</v>
      </c>
      <c r="J27" s="3" t="s">
        <v>104</v>
      </c>
      <c r="K27" s="3" t="s">
        <v>1324</v>
      </c>
      <c r="L27" s="3" t="s">
        <v>1324</v>
      </c>
      <c r="M27" s="3" t="s">
        <v>2364</v>
      </c>
      <c r="N27" s="3" t="s">
        <v>38</v>
      </c>
      <c r="O27" s="3" t="s">
        <v>1324</v>
      </c>
      <c r="P27" s="3" t="s">
        <v>1324</v>
      </c>
      <c r="Q27" s="3" t="s">
        <v>1324</v>
      </c>
      <c r="R27" s="3" t="s">
        <v>1324</v>
      </c>
      <c r="S27" s="3" t="s">
        <v>1324</v>
      </c>
      <c r="T27" s="3" t="s">
        <v>1324</v>
      </c>
      <c r="U27" s="3" t="s">
        <v>2882</v>
      </c>
      <c r="V27" s="3" t="s">
        <v>1792</v>
      </c>
      <c r="W27" s="3" t="s">
        <v>2883</v>
      </c>
      <c r="X27" s="3" t="s">
        <v>2884</v>
      </c>
      <c r="Y27" s="3" t="s">
        <v>2885</v>
      </c>
      <c r="Z27" s="3" t="s">
        <v>2886</v>
      </c>
      <c r="AA27" s="3" t="s">
        <v>2887</v>
      </c>
      <c r="AB27" s="3" t="s">
        <v>2888</v>
      </c>
      <c r="AC27" s="3" t="s">
        <v>2889</v>
      </c>
      <c r="AD27" s="3" t="s">
        <v>2890</v>
      </c>
      <c r="AE27" s="3" t="s">
        <v>2891</v>
      </c>
      <c r="AF27" s="3" t="s">
        <v>1324</v>
      </c>
      <c r="AG27" s="3">
        <v>82.0</v>
      </c>
      <c r="AH27" s="3">
        <v>138.0</v>
      </c>
      <c r="AI27" s="3">
        <v>155.0</v>
      </c>
      <c r="AJ27" s="3">
        <v>6.0</v>
      </c>
      <c r="AK27" s="3">
        <v>121.0</v>
      </c>
      <c r="AL27" s="3" t="s">
        <v>2870</v>
      </c>
      <c r="AM27" s="3" t="s">
        <v>2871</v>
      </c>
      <c r="AN27" s="3" t="s">
        <v>2872</v>
      </c>
      <c r="AO27" s="3" t="s">
        <v>1324</v>
      </c>
      <c r="AP27" s="3" t="s">
        <v>2892</v>
      </c>
      <c r="AQ27" s="3" t="s">
        <v>1324</v>
      </c>
      <c r="AR27" s="3" t="s">
        <v>2893</v>
      </c>
      <c r="AS27" s="3" t="s">
        <v>2894</v>
      </c>
      <c r="AT27" s="3" t="s">
        <v>2895</v>
      </c>
      <c r="AU27" s="3">
        <v>2017.0</v>
      </c>
      <c r="AV27" s="3">
        <v>8.0</v>
      </c>
      <c r="AW27" s="3" t="s">
        <v>1324</v>
      </c>
      <c r="AX27" s="3" t="s">
        <v>1324</v>
      </c>
      <c r="AY27" s="3" t="s">
        <v>1324</v>
      </c>
      <c r="AZ27" s="3" t="s">
        <v>1324</v>
      </c>
      <c r="BA27" s="3" t="s">
        <v>1324</v>
      </c>
      <c r="BB27" s="3" t="s">
        <v>1324</v>
      </c>
      <c r="BC27" s="3" t="s">
        <v>1324</v>
      </c>
      <c r="BD27" s="3">
        <v>1966.0</v>
      </c>
      <c r="BE27" s="3" t="s">
        <v>1793</v>
      </c>
      <c r="BF27" s="25" t="str">
        <f>HYPERLINK("http://dx.doi.org/10.1038/s41467-017-01997-0","http://dx.doi.org/10.1038/s41467-017-01997-0")</f>
        <v>http://dx.doi.org/10.1038/s41467-017-01997-0</v>
      </c>
      <c r="BG27" s="3" t="s">
        <v>1324</v>
      </c>
      <c r="BH27" s="3" t="s">
        <v>1324</v>
      </c>
      <c r="BI27" s="3">
        <v>11.0</v>
      </c>
      <c r="BJ27" s="3" t="s">
        <v>42</v>
      </c>
      <c r="BK27" s="3" t="s">
        <v>2407</v>
      </c>
      <c r="BL27" s="3" t="s">
        <v>2430</v>
      </c>
      <c r="BM27" s="3" t="s">
        <v>2896</v>
      </c>
      <c r="BN27" s="3">
        <v>2.9259276E7</v>
      </c>
      <c r="BO27" s="3" t="s">
        <v>2897</v>
      </c>
      <c r="BP27" s="3" t="s">
        <v>1324</v>
      </c>
      <c r="BQ27" s="3" t="s">
        <v>1324</v>
      </c>
      <c r="BR27" s="3" t="s">
        <v>2383</v>
      </c>
      <c r="BS27" s="3" t="s">
        <v>2898</v>
      </c>
      <c r="BT27" s="3" t="str">
        <f>HYPERLINK("https%3A%2F%2Fwww.webofscience.com%2Fwos%2Fwoscc%2Ffull-record%2FWOS:000418334200001","View Full Record in Web of Science")</f>
        <v>View Full Record in Web of Science</v>
      </c>
    </row>
    <row r="28" ht="12.75" customHeight="1">
      <c r="A28" s="3" t="s">
        <v>26</v>
      </c>
      <c r="B28" s="3" t="s">
        <v>2899</v>
      </c>
      <c r="C28" s="3" t="s">
        <v>1324</v>
      </c>
      <c r="D28" s="3" t="s">
        <v>1324</v>
      </c>
      <c r="E28" s="3" t="s">
        <v>1324</v>
      </c>
      <c r="F28" s="3" t="s">
        <v>1970</v>
      </c>
      <c r="G28" s="3" t="s">
        <v>1324</v>
      </c>
      <c r="H28" s="3" t="s">
        <v>1324</v>
      </c>
      <c r="I28" s="3" t="s">
        <v>1971</v>
      </c>
      <c r="J28" s="3" t="s">
        <v>168</v>
      </c>
      <c r="K28" s="3" t="s">
        <v>1324</v>
      </c>
      <c r="L28" s="3" t="s">
        <v>1324</v>
      </c>
      <c r="M28" s="3" t="s">
        <v>2364</v>
      </c>
      <c r="N28" s="3" t="s">
        <v>38</v>
      </c>
      <c r="O28" s="3" t="s">
        <v>1324</v>
      </c>
      <c r="P28" s="3" t="s">
        <v>1324</v>
      </c>
      <c r="Q28" s="3" t="s">
        <v>1324</v>
      </c>
      <c r="R28" s="3" t="s">
        <v>1324</v>
      </c>
      <c r="S28" s="3" t="s">
        <v>1324</v>
      </c>
      <c r="T28" s="3" t="s">
        <v>2900</v>
      </c>
      <c r="U28" s="3" t="s">
        <v>2901</v>
      </c>
      <c r="V28" s="3" t="s">
        <v>1972</v>
      </c>
      <c r="W28" s="3" t="s">
        <v>2902</v>
      </c>
      <c r="X28" s="3" t="s">
        <v>1324</v>
      </c>
      <c r="Y28" s="3" t="s">
        <v>2903</v>
      </c>
      <c r="Z28" s="3" t="s">
        <v>2904</v>
      </c>
      <c r="AA28" s="3" t="s">
        <v>1324</v>
      </c>
      <c r="AB28" s="3" t="s">
        <v>1324</v>
      </c>
      <c r="AC28" s="3" t="s">
        <v>1324</v>
      </c>
      <c r="AD28" s="3" t="s">
        <v>1324</v>
      </c>
      <c r="AE28" s="3" t="s">
        <v>1324</v>
      </c>
      <c r="AF28" s="3" t="s">
        <v>1324</v>
      </c>
      <c r="AG28" s="3">
        <v>47.0</v>
      </c>
      <c r="AH28" s="3">
        <v>24.0</v>
      </c>
      <c r="AI28" s="3">
        <v>27.0</v>
      </c>
      <c r="AJ28" s="3">
        <v>0.0</v>
      </c>
      <c r="AK28" s="3">
        <v>62.0</v>
      </c>
      <c r="AL28" s="3" t="s">
        <v>2530</v>
      </c>
      <c r="AM28" s="3" t="s">
        <v>2509</v>
      </c>
      <c r="AN28" s="3" t="s">
        <v>2646</v>
      </c>
      <c r="AO28" s="3" t="s">
        <v>2905</v>
      </c>
      <c r="AP28" s="3" t="s">
        <v>2906</v>
      </c>
      <c r="AQ28" s="3" t="s">
        <v>1324</v>
      </c>
      <c r="AR28" s="3" t="s">
        <v>168</v>
      </c>
      <c r="AS28" s="3" t="s">
        <v>2907</v>
      </c>
      <c r="AT28" s="3" t="s">
        <v>2908</v>
      </c>
      <c r="AU28" s="3">
        <v>2017.0</v>
      </c>
      <c r="AV28" s="3">
        <v>69.0</v>
      </c>
      <c r="AW28" s="3" t="s">
        <v>1324</v>
      </c>
      <c r="AX28" s="3" t="s">
        <v>1324</v>
      </c>
      <c r="AY28" s="3" t="s">
        <v>1324</v>
      </c>
      <c r="AZ28" s="3" t="s">
        <v>1324</v>
      </c>
      <c r="BA28" s="3" t="s">
        <v>1324</v>
      </c>
      <c r="BB28" s="3">
        <v>408.0</v>
      </c>
      <c r="BC28" s="3">
        <v>416.0</v>
      </c>
      <c r="BD28" s="3" t="s">
        <v>1324</v>
      </c>
      <c r="BE28" s="3" t="s">
        <v>1973</v>
      </c>
      <c r="BF28" s="25" t="str">
        <f>HYPERLINK("http://dx.doi.org/10.1016/j.landusepol.2017.09.045","http://dx.doi.org/10.1016/j.landusepol.2017.09.045")</f>
        <v>http://dx.doi.org/10.1016/j.landusepol.2017.09.045</v>
      </c>
      <c r="BG28" s="3" t="s">
        <v>1324</v>
      </c>
      <c r="BH28" s="3" t="s">
        <v>1324</v>
      </c>
      <c r="BI28" s="3">
        <v>9.0</v>
      </c>
      <c r="BJ28" s="3" t="s">
        <v>172</v>
      </c>
      <c r="BK28" s="3" t="s">
        <v>2652</v>
      </c>
      <c r="BL28" s="3" t="s">
        <v>2472</v>
      </c>
      <c r="BM28" s="3" t="s">
        <v>2909</v>
      </c>
      <c r="BN28" s="3" t="s">
        <v>1324</v>
      </c>
      <c r="BO28" s="3" t="s">
        <v>1324</v>
      </c>
      <c r="BP28" s="3" t="s">
        <v>1324</v>
      </c>
      <c r="BQ28" s="3" t="s">
        <v>1324</v>
      </c>
      <c r="BR28" s="3" t="s">
        <v>2383</v>
      </c>
      <c r="BS28" s="3" t="s">
        <v>2910</v>
      </c>
      <c r="BT28" s="3" t="str">
        <f>HYPERLINK("https%3A%2F%2Fwww.webofscience.com%2Fwos%2Fwoscc%2Ffull-record%2FWOS:000414881200040","View Full Record in Web of Science")</f>
        <v>View Full Record in Web of Science</v>
      </c>
    </row>
    <row r="29" ht="12.75" customHeight="1">
      <c r="A29" s="3" t="s">
        <v>26</v>
      </c>
      <c r="B29" s="3" t="s">
        <v>2911</v>
      </c>
      <c r="C29" s="3" t="s">
        <v>1324</v>
      </c>
      <c r="D29" s="3" t="s">
        <v>1324</v>
      </c>
      <c r="E29" s="3" t="s">
        <v>1324</v>
      </c>
      <c r="F29" s="3" t="s">
        <v>1645</v>
      </c>
      <c r="G29" s="3" t="s">
        <v>1324</v>
      </c>
      <c r="H29" s="3" t="s">
        <v>1324</v>
      </c>
      <c r="I29" s="3" t="s">
        <v>1646</v>
      </c>
      <c r="J29" s="3" t="s">
        <v>774</v>
      </c>
      <c r="K29" s="3" t="s">
        <v>1324</v>
      </c>
      <c r="L29" s="3" t="s">
        <v>1324</v>
      </c>
      <c r="M29" s="3" t="s">
        <v>2364</v>
      </c>
      <c r="N29" s="3" t="s">
        <v>38</v>
      </c>
      <c r="O29" s="3" t="s">
        <v>1324</v>
      </c>
      <c r="P29" s="3" t="s">
        <v>1324</v>
      </c>
      <c r="Q29" s="3" t="s">
        <v>1324</v>
      </c>
      <c r="R29" s="3" t="s">
        <v>1324</v>
      </c>
      <c r="S29" s="3" t="s">
        <v>1324</v>
      </c>
      <c r="T29" s="3" t="s">
        <v>2912</v>
      </c>
      <c r="U29" s="3" t="s">
        <v>2913</v>
      </c>
      <c r="V29" s="3" t="s">
        <v>1647</v>
      </c>
      <c r="W29" s="3" t="s">
        <v>2914</v>
      </c>
      <c r="X29" s="3" t="s">
        <v>2915</v>
      </c>
      <c r="Y29" s="3" t="s">
        <v>2916</v>
      </c>
      <c r="Z29" s="3" t="s">
        <v>2917</v>
      </c>
      <c r="AA29" s="3" t="s">
        <v>2918</v>
      </c>
      <c r="AB29" s="3" t="s">
        <v>2919</v>
      </c>
      <c r="AC29" s="3" t="s">
        <v>2920</v>
      </c>
      <c r="AD29" s="3" t="s">
        <v>2921</v>
      </c>
      <c r="AE29" s="3" t="s">
        <v>2922</v>
      </c>
      <c r="AF29" s="3" t="s">
        <v>1324</v>
      </c>
      <c r="AG29" s="3">
        <v>73.0</v>
      </c>
      <c r="AH29" s="3">
        <v>293.0</v>
      </c>
      <c r="AI29" s="3">
        <v>326.0</v>
      </c>
      <c r="AJ29" s="3">
        <v>17.0</v>
      </c>
      <c r="AK29" s="3">
        <v>344.0</v>
      </c>
      <c r="AL29" s="3" t="s">
        <v>2464</v>
      </c>
      <c r="AM29" s="3" t="s">
        <v>2465</v>
      </c>
      <c r="AN29" s="3" t="s">
        <v>2466</v>
      </c>
      <c r="AO29" s="3" t="s">
        <v>2923</v>
      </c>
      <c r="AP29" s="3" t="s">
        <v>2924</v>
      </c>
      <c r="AQ29" s="3" t="s">
        <v>1324</v>
      </c>
      <c r="AR29" s="3" t="s">
        <v>2925</v>
      </c>
      <c r="AS29" s="3" t="s">
        <v>2926</v>
      </c>
      <c r="AT29" s="3" t="s">
        <v>2927</v>
      </c>
      <c r="AU29" s="3">
        <v>2017.0</v>
      </c>
      <c r="AV29" s="3">
        <v>23.0</v>
      </c>
      <c r="AW29" s="3">
        <v>11.0</v>
      </c>
      <c r="AX29" s="3" t="s">
        <v>1324</v>
      </c>
      <c r="AY29" s="3" t="s">
        <v>1324</v>
      </c>
      <c r="AZ29" s="3" t="s">
        <v>1324</v>
      </c>
      <c r="BA29" s="3" t="s">
        <v>1324</v>
      </c>
      <c r="BB29" s="3">
        <v>4946.0</v>
      </c>
      <c r="BC29" s="3">
        <v>4957.0</v>
      </c>
      <c r="BD29" s="3" t="s">
        <v>1324</v>
      </c>
      <c r="BE29" s="3" t="s">
        <v>1648</v>
      </c>
      <c r="BF29" s="25" t="str">
        <f>HYPERLINK("http://dx.doi.org/10.1111/gcb.13714","http://dx.doi.org/10.1111/gcb.13714")</f>
        <v>http://dx.doi.org/10.1111/gcb.13714</v>
      </c>
      <c r="BG29" s="3" t="s">
        <v>1324</v>
      </c>
      <c r="BH29" s="3" t="s">
        <v>1324</v>
      </c>
      <c r="BI29" s="3">
        <v>12.0</v>
      </c>
      <c r="BJ29" s="3" t="s">
        <v>255</v>
      </c>
      <c r="BK29" s="3" t="s">
        <v>2407</v>
      </c>
      <c r="BL29" s="3" t="s">
        <v>2577</v>
      </c>
      <c r="BM29" s="3" t="s">
        <v>2928</v>
      </c>
      <c r="BN29" s="3">
        <v>2.8488295E7</v>
      </c>
      <c r="BO29" s="3" t="s">
        <v>2410</v>
      </c>
      <c r="BP29" s="3" t="s">
        <v>1324</v>
      </c>
      <c r="BQ29" s="3" t="s">
        <v>1324</v>
      </c>
      <c r="BR29" s="3" t="s">
        <v>2383</v>
      </c>
      <c r="BS29" s="3" t="s">
        <v>2929</v>
      </c>
      <c r="BT29" s="3" t="str">
        <f>HYPERLINK("https%3A%2F%2Fwww.webofscience.com%2Fwos%2Fwoscc%2Ffull-record%2FWOS:000412322700041","View Full Record in Web of Science")</f>
        <v>View Full Record in Web of Science</v>
      </c>
    </row>
    <row r="30" ht="12.75" customHeight="1">
      <c r="A30" s="3" t="s">
        <v>26</v>
      </c>
      <c r="B30" s="3" t="s">
        <v>2930</v>
      </c>
      <c r="C30" s="3" t="s">
        <v>1324</v>
      </c>
      <c r="D30" s="3" t="s">
        <v>1324</v>
      </c>
      <c r="E30" s="3" t="s">
        <v>1324</v>
      </c>
      <c r="F30" s="3" t="s">
        <v>2088</v>
      </c>
      <c r="G30" s="3" t="s">
        <v>1324</v>
      </c>
      <c r="H30" s="3" t="s">
        <v>1324</v>
      </c>
      <c r="I30" s="3" t="s">
        <v>2089</v>
      </c>
      <c r="J30" s="3" t="s">
        <v>251</v>
      </c>
      <c r="K30" s="3" t="s">
        <v>1324</v>
      </c>
      <c r="L30" s="3" t="s">
        <v>1324</v>
      </c>
      <c r="M30" s="3" t="s">
        <v>2364</v>
      </c>
      <c r="N30" s="3" t="s">
        <v>38</v>
      </c>
      <c r="O30" s="3" t="s">
        <v>1324</v>
      </c>
      <c r="P30" s="3" t="s">
        <v>1324</v>
      </c>
      <c r="Q30" s="3" t="s">
        <v>1324</v>
      </c>
      <c r="R30" s="3" t="s">
        <v>1324</v>
      </c>
      <c r="S30" s="3" t="s">
        <v>1324</v>
      </c>
      <c r="T30" s="3" t="s">
        <v>2931</v>
      </c>
      <c r="U30" s="3" t="s">
        <v>2932</v>
      </c>
      <c r="V30" s="3" t="s">
        <v>2090</v>
      </c>
      <c r="W30" s="3" t="s">
        <v>2933</v>
      </c>
      <c r="X30" s="3" t="s">
        <v>2934</v>
      </c>
      <c r="Y30" s="3" t="s">
        <v>2935</v>
      </c>
      <c r="Z30" s="3" t="s">
        <v>2936</v>
      </c>
      <c r="AA30" s="3" t="s">
        <v>2937</v>
      </c>
      <c r="AB30" s="3" t="s">
        <v>2938</v>
      </c>
      <c r="AC30" s="3" t="s">
        <v>1324</v>
      </c>
      <c r="AD30" s="3" t="s">
        <v>1324</v>
      </c>
      <c r="AE30" s="3" t="s">
        <v>1324</v>
      </c>
      <c r="AF30" s="3" t="s">
        <v>1324</v>
      </c>
      <c r="AG30" s="3">
        <v>64.0</v>
      </c>
      <c r="AH30" s="3">
        <v>11.0</v>
      </c>
      <c r="AI30" s="3">
        <v>11.0</v>
      </c>
      <c r="AJ30" s="3">
        <v>0.0</v>
      </c>
      <c r="AK30" s="3">
        <v>48.0</v>
      </c>
      <c r="AL30" s="3" t="s">
        <v>2530</v>
      </c>
      <c r="AM30" s="3" t="s">
        <v>2509</v>
      </c>
      <c r="AN30" s="3" t="s">
        <v>2646</v>
      </c>
      <c r="AO30" s="3" t="s">
        <v>2939</v>
      </c>
      <c r="AP30" s="3" t="s">
        <v>2940</v>
      </c>
      <c r="AQ30" s="3" t="s">
        <v>1324</v>
      </c>
      <c r="AR30" s="3" t="s">
        <v>2941</v>
      </c>
      <c r="AS30" s="3" t="s">
        <v>2942</v>
      </c>
      <c r="AT30" s="3" t="s">
        <v>2927</v>
      </c>
      <c r="AU30" s="3">
        <v>2017.0</v>
      </c>
      <c r="AV30" s="3">
        <v>215.0</v>
      </c>
      <c r="AW30" s="3" t="s">
        <v>1324</v>
      </c>
      <c r="AX30" s="3" t="s">
        <v>1324</v>
      </c>
      <c r="AY30" s="3" t="s">
        <v>1324</v>
      </c>
      <c r="AZ30" s="3" t="s">
        <v>1324</v>
      </c>
      <c r="BA30" s="3" t="s">
        <v>1324</v>
      </c>
      <c r="BB30" s="3">
        <v>19.0</v>
      </c>
      <c r="BC30" s="3">
        <v>29.0</v>
      </c>
      <c r="BD30" s="3" t="s">
        <v>1324</v>
      </c>
      <c r="BE30" s="3" t="s">
        <v>2091</v>
      </c>
      <c r="BF30" s="25" t="str">
        <f>HYPERLINK("http://dx.doi.org/10.1016/j.biocon.2017.08.032","http://dx.doi.org/10.1016/j.biocon.2017.08.032")</f>
        <v>http://dx.doi.org/10.1016/j.biocon.2017.08.032</v>
      </c>
      <c r="BG30" s="3" t="s">
        <v>1324</v>
      </c>
      <c r="BH30" s="3" t="s">
        <v>1324</v>
      </c>
      <c r="BI30" s="3">
        <v>11.0</v>
      </c>
      <c r="BJ30" s="3" t="s">
        <v>255</v>
      </c>
      <c r="BK30" s="3" t="s">
        <v>2407</v>
      </c>
      <c r="BL30" s="3" t="s">
        <v>2577</v>
      </c>
      <c r="BM30" s="3" t="s">
        <v>2943</v>
      </c>
      <c r="BN30" s="3" t="s">
        <v>1324</v>
      </c>
      <c r="BO30" s="3" t="s">
        <v>2944</v>
      </c>
      <c r="BP30" s="3" t="s">
        <v>1324</v>
      </c>
      <c r="BQ30" s="3" t="s">
        <v>1324</v>
      </c>
      <c r="BR30" s="3" t="s">
        <v>2383</v>
      </c>
      <c r="BS30" s="3" t="s">
        <v>2945</v>
      </c>
      <c r="BT30" s="3" t="str">
        <f>HYPERLINK("https%3A%2F%2Fwww.webofscience.com%2Fwos%2Fwoscc%2Ffull-record%2FWOS:000414883000003","View Full Record in Web of Science")</f>
        <v>View Full Record in Web of Science</v>
      </c>
    </row>
    <row r="31" ht="12.75" customHeight="1">
      <c r="A31" s="3" t="s">
        <v>26</v>
      </c>
      <c r="B31" s="3" t="s">
        <v>2946</v>
      </c>
      <c r="C31" s="3" t="s">
        <v>1324</v>
      </c>
      <c r="D31" s="3" t="s">
        <v>1324</v>
      </c>
      <c r="E31" s="3" t="s">
        <v>1324</v>
      </c>
      <c r="F31" s="3" t="s">
        <v>1539</v>
      </c>
      <c r="G31" s="3" t="s">
        <v>1324</v>
      </c>
      <c r="H31" s="3" t="s">
        <v>1324</v>
      </c>
      <c r="I31" s="3" t="s">
        <v>1541</v>
      </c>
      <c r="J31" s="3" t="s">
        <v>1540</v>
      </c>
      <c r="K31" s="3" t="s">
        <v>1324</v>
      </c>
      <c r="L31" s="3" t="s">
        <v>1324</v>
      </c>
      <c r="M31" s="3" t="s">
        <v>2364</v>
      </c>
      <c r="N31" s="3" t="s">
        <v>38</v>
      </c>
      <c r="O31" s="3" t="s">
        <v>1324</v>
      </c>
      <c r="P31" s="3" t="s">
        <v>1324</v>
      </c>
      <c r="Q31" s="3" t="s">
        <v>1324</v>
      </c>
      <c r="R31" s="3" t="s">
        <v>1324</v>
      </c>
      <c r="S31" s="3" t="s">
        <v>1324</v>
      </c>
      <c r="T31" s="3" t="s">
        <v>2947</v>
      </c>
      <c r="U31" s="3" t="s">
        <v>2948</v>
      </c>
      <c r="V31" s="3" t="s">
        <v>2949</v>
      </c>
      <c r="W31" s="3" t="s">
        <v>2950</v>
      </c>
      <c r="X31" s="3" t="s">
        <v>2951</v>
      </c>
      <c r="Y31" s="3" t="s">
        <v>2952</v>
      </c>
      <c r="Z31" s="3" t="s">
        <v>2953</v>
      </c>
      <c r="AA31" s="3" t="s">
        <v>2954</v>
      </c>
      <c r="AB31" s="3" t="s">
        <v>2955</v>
      </c>
      <c r="AC31" s="3" t="s">
        <v>2956</v>
      </c>
      <c r="AD31" s="3" t="s">
        <v>2957</v>
      </c>
      <c r="AE31" s="3" t="s">
        <v>2958</v>
      </c>
      <c r="AF31" s="3" t="s">
        <v>1324</v>
      </c>
      <c r="AG31" s="3">
        <v>72.0</v>
      </c>
      <c r="AH31" s="3">
        <v>45.0</v>
      </c>
      <c r="AI31" s="3">
        <v>48.0</v>
      </c>
      <c r="AJ31" s="3">
        <v>5.0</v>
      </c>
      <c r="AK31" s="3">
        <v>113.0</v>
      </c>
      <c r="AL31" s="3" t="s">
        <v>2464</v>
      </c>
      <c r="AM31" s="3" t="s">
        <v>2465</v>
      </c>
      <c r="AN31" s="3" t="s">
        <v>2466</v>
      </c>
      <c r="AO31" s="3" t="s">
        <v>2959</v>
      </c>
      <c r="AP31" s="3" t="s">
        <v>2960</v>
      </c>
      <c r="AQ31" s="3" t="s">
        <v>1324</v>
      </c>
      <c r="AR31" s="3" t="s">
        <v>2961</v>
      </c>
      <c r="AS31" s="3" t="s">
        <v>2962</v>
      </c>
      <c r="AT31" s="3" t="s">
        <v>2927</v>
      </c>
      <c r="AU31" s="3">
        <v>2017.0</v>
      </c>
      <c r="AV31" s="3">
        <v>28.0</v>
      </c>
      <c r="AW31" s="3">
        <v>6.0</v>
      </c>
      <c r="AX31" s="3" t="s">
        <v>1324</v>
      </c>
      <c r="AY31" s="3" t="s">
        <v>1324</v>
      </c>
      <c r="AZ31" s="3" t="s">
        <v>1324</v>
      </c>
      <c r="BA31" s="3" t="s">
        <v>1324</v>
      </c>
      <c r="BB31" s="3">
        <v>1220.0</v>
      </c>
      <c r="BC31" s="3">
        <v>1229.0</v>
      </c>
      <c r="BD31" s="3" t="s">
        <v>1324</v>
      </c>
      <c r="BE31" s="3" t="s">
        <v>1543</v>
      </c>
      <c r="BF31" s="25" t="str">
        <f>HYPERLINK("http://dx.doi.org/10.1111/jvs.12579","http://dx.doi.org/10.1111/jvs.12579")</f>
        <v>http://dx.doi.org/10.1111/jvs.12579</v>
      </c>
      <c r="BG31" s="3" t="s">
        <v>1324</v>
      </c>
      <c r="BH31" s="3" t="s">
        <v>1324</v>
      </c>
      <c r="BI31" s="3">
        <v>10.0</v>
      </c>
      <c r="BJ31" s="3" t="s">
        <v>2963</v>
      </c>
      <c r="BK31" s="3" t="s">
        <v>2407</v>
      </c>
      <c r="BL31" s="3" t="s">
        <v>2964</v>
      </c>
      <c r="BM31" s="3" t="s">
        <v>2965</v>
      </c>
      <c r="BN31" s="3" t="s">
        <v>1324</v>
      </c>
      <c r="BO31" s="3" t="s">
        <v>1324</v>
      </c>
      <c r="BP31" s="3" t="s">
        <v>1324</v>
      </c>
      <c r="BQ31" s="3" t="s">
        <v>1324</v>
      </c>
      <c r="BR31" s="3" t="s">
        <v>2383</v>
      </c>
      <c r="BS31" s="3" t="s">
        <v>2966</v>
      </c>
      <c r="BT31" s="3" t="str">
        <f>HYPERLINK("https%3A%2F%2Fwww.webofscience.com%2Fwos%2Fwoscc%2Ffull-record%2FWOS:000423189400012","View Full Record in Web of Science")</f>
        <v>View Full Record in Web of Science</v>
      </c>
    </row>
    <row r="32" ht="12.75" customHeight="1">
      <c r="A32" s="3" t="s">
        <v>26</v>
      </c>
      <c r="B32" s="3" t="s">
        <v>2967</v>
      </c>
      <c r="C32" s="3" t="s">
        <v>1324</v>
      </c>
      <c r="D32" s="3" t="s">
        <v>1324</v>
      </c>
      <c r="E32" s="3" t="s">
        <v>1324</v>
      </c>
      <c r="F32" s="3" t="s">
        <v>1959</v>
      </c>
      <c r="G32" s="3" t="s">
        <v>1324</v>
      </c>
      <c r="H32" s="3" t="s">
        <v>1324</v>
      </c>
      <c r="I32" s="3" t="s">
        <v>1960</v>
      </c>
      <c r="J32" s="3" t="s">
        <v>260</v>
      </c>
      <c r="K32" s="3" t="s">
        <v>1324</v>
      </c>
      <c r="L32" s="3" t="s">
        <v>1324</v>
      </c>
      <c r="M32" s="3" t="s">
        <v>2364</v>
      </c>
      <c r="N32" s="3" t="s">
        <v>38</v>
      </c>
      <c r="O32" s="3" t="s">
        <v>1324</v>
      </c>
      <c r="P32" s="3" t="s">
        <v>1324</v>
      </c>
      <c r="Q32" s="3" t="s">
        <v>1324</v>
      </c>
      <c r="R32" s="3" t="s">
        <v>1324</v>
      </c>
      <c r="S32" s="3" t="s">
        <v>1324</v>
      </c>
      <c r="T32" s="3" t="s">
        <v>2968</v>
      </c>
      <c r="U32" s="3" t="s">
        <v>2969</v>
      </c>
      <c r="V32" s="3" t="s">
        <v>1961</v>
      </c>
      <c r="W32" s="3" t="s">
        <v>2970</v>
      </c>
      <c r="X32" s="3" t="s">
        <v>2971</v>
      </c>
      <c r="Y32" s="3" t="s">
        <v>2972</v>
      </c>
      <c r="Z32" s="3" t="s">
        <v>2973</v>
      </c>
      <c r="AA32" s="3" t="s">
        <v>2974</v>
      </c>
      <c r="AB32" s="3" t="s">
        <v>2975</v>
      </c>
      <c r="AC32" s="3" t="s">
        <v>2976</v>
      </c>
      <c r="AD32" s="3" t="s">
        <v>2977</v>
      </c>
      <c r="AE32" s="3" t="s">
        <v>2978</v>
      </c>
      <c r="AF32" s="3" t="s">
        <v>1324</v>
      </c>
      <c r="AG32" s="3">
        <v>40.0</v>
      </c>
      <c r="AH32" s="3">
        <v>10.0</v>
      </c>
      <c r="AI32" s="3">
        <v>12.0</v>
      </c>
      <c r="AJ32" s="3">
        <v>0.0</v>
      </c>
      <c r="AK32" s="3">
        <v>36.0</v>
      </c>
      <c r="AL32" s="3" t="s">
        <v>2508</v>
      </c>
      <c r="AM32" s="3" t="s">
        <v>2509</v>
      </c>
      <c r="AN32" s="3" t="s">
        <v>2510</v>
      </c>
      <c r="AO32" s="3" t="s">
        <v>2511</v>
      </c>
      <c r="AP32" s="3" t="s">
        <v>2512</v>
      </c>
      <c r="AQ32" s="3" t="s">
        <v>1324</v>
      </c>
      <c r="AR32" s="3" t="s">
        <v>2513</v>
      </c>
      <c r="AS32" s="3" t="s">
        <v>2514</v>
      </c>
      <c r="AT32" s="3" t="s">
        <v>2979</v>
      </c>
      <c r="AU32" s="3">
        <v>2017.0</v>
      </c>
      <c r="AV32" s="3">
        <v>122.0</v>
      </c>
      <c r="AW32" s="3" t="s">
        <v>2980</v>
      </c>
      <c r="AX32" s="3" t="s">
        <v>1324</v>
      </c>
      <c r="AY32" s="3" t="s">
        <v>1324</v>
      </c>
      <c r="AZ32" s="3" t="s">
        <v>1324</v>
      </c>
      <c r="BA32" s="3" t="s">
        <v>1324</v>
      </c>
      <c r="BB32" s="3">
        <v>259.0</v>
      </c>
      <c r="BC32" s="3">
        <v>262.0</v>
      </c>
      <c r="BD32" s="3" t="s">
        <v>1324</v>
      </c>
      <c r="BE32" s="3" t="s">
        <v>1962</v>
      </c>
      <c r="BF32" s="25" t="str">
        <f>HYPERLINK("http://dx.doi.org/10.1016/j.marpolbul.2017.06.054","http://dx.doi.org/10.1016/j.marpolbul.2017.06.054")</f>
        <v>http://dx.doi.org/10.1016/j.marpolbul.2017.06.054</v>
      </c>
      <c r="BG32" s="3" t="s">
        <v>1324</v>
      </c>
      <c r="BH32" s="3" t="s">
        <v>1324</v>
      </c>
      <c r="BI32" s="3">
        <v>4.0</v>
      </c>
      <c r="BJ32" s="3" t="s">
        <v>148</v>
      </c>
      <c r="BK32" s="3" t="s">
        <v>2407</v>
      </c>
      <c r="BL32" s="3" t="s">
        <v>2516</v>
      </c>
      <c r="BM32" s="3" t="s">
        <v>2981</v>
      </c>
      <c r="BN32" s="3">
        <v>2.8662981E7</v>
      </c>
      <c r="BO32" s="3" t="s">
        <v>1324</v>
      </c>
      <c r="BP32" s="3" t="s">
        <v>1324</v>
      </c>
      <c r="BQ32" s="3" t="s">
        <v>1324</v>
      </c>
      <c r="BR32" s="3" t="s">
        <v>2383</v>
      </c>
      <c r="BS32" s="3" t="s">
        <v>2982</v>
      </c>
      <c r="BT32" s="3" t="str">
        <f>HYPERLINK("https%3A%2F%2Fwww.webofscience.com%2Fwos%2Fwoscc%2Ffull-record%2FWOS:000408076900039","View Full Record in Web of Science")</f>
        <v>View Full Record in Web of Science</v>
      </c>
    </row>
    <row r="33" ht="12.75" customHeight="1">
      <c r="A33" s="3" t="s">
        <v>26</v>
      </c>
      <c r="B33" s="3" t="s">
        <v>2983</v>
      </c>
      <c r="C33" s="3" t="s">
        <v>1324</v>
      </c>
      <c r="D33" s="3" t="s">
        <v>1324</v>
      </c>
      <c r="E33" s="3" t="s">
        <v>1324</v>
      </c>
      <c r="F33" s="3" t="s">
        <v>1551</v>
      </c>
      <c r="G33" s="3" t="s">
        <v>1324</v>
      </c>
      <c r="H33" s="3" t="s">
        <v>1324</v>
      </c>
      <c r="I33" s="3" t="s">
        <v>1553</v>
      </c>
      <c r="J33" s="3" t="s">
        <v>1552</v>
      </c>
      <c r="K33" s="3" t="s">
        <v>1324</v>
      </c>
      <c r="L33" s="3" t="s">
        <v>1324</v>
      </c>
      <c r="M33" s="3" t="s">
        <v>2364</v>
      </c>
      <c r="N33" s="3" t="s">
        <v>38</v>
      </c>
      <c r="O33" s="3" t="s">
        <v>1324</v>
      </c>
      <c r="P33" s="3" t="s">
        <v>1324</v>
      </c>
      <c r="Q33" s="3" t="s">
        <v>1324</v>
      </c>
      <c r="R33" s="3" t="s">
        <v>1324</v>
      </c>
      <c r="S33" s="3" t="s">
        <v>1324</v>
      </c>
      <c r="T33" s="3" t="s">
        <v>2984</v>
      </c>
      <c r="U33" s="3" t="s">
        <v>2985</v>
      </c>
      <c r="V33" s="3" t="s">
        <v>1554</v>
      </c>
      <c r="W33" s="3" t="s">
        <v>2986</v>
      </c>
      <c r="X33" s="3" t="s">
        <v>2987</v>
      </c>
      <c r="Y33" s="3" t="s">
        <v>2988</v>
      </c>
      <c r="Z33" s="3" t="s">
        <v>2989</v>
      </c>
      <c r="AA33" s="3" t="s">
        <v>1324</v>
      </c>
      <c r="AB33" s="3" t="s">
        <v>1324</v>
      </c>
      <c r="AC33" s="3" t="s">
        <v>2990</v>
      </c>
      <c r="AD33" s="3" t="s">
        <v>2990</v>
      </c>
      <c r="AE33" s="3" t="s">
        <v>2991</v>
      </c>
      <c r="AF33" s="3" t="s">
        <v>1324</v>
      </c>
      <c r="AG33" s="3">
        <v>44.0</v>
      </c>
      <c r="AH33" s="3">
        <v>9.0</v>
      </c>
      <c r="AI33" s="3">
        <v>13.0</v>
      </c>
      <c r="AJ33" s="3">
        <v>2.0</v>
      </c>
      <c r="AK33" s="3">
        <v>44.0</v>
      </c>
      <c r="AL33" s="3" t="s">
        <v>2464</v>
      </c>
      <c r="AM33" s="3" t="s">
        <v>2465</v>
      </c>
      <c r="AN33" s="3" t="s">
        <v>2466</v>
      </c>
      <c r="AO33" s="3" t="s">
        <v>2992</v>
      </c>
      <c r="AP33" s="3" t="s">
        <v>2993</v>
      </c>
      <c r="AQ33" s="3" t="s">
        <v>1324</v>
      </c>
      <c r="AR33" s="3" t="s">
        <v>2994</v>
      </c>
      <c r="AS33" s="3" t="s">
        <v>2995</v>
      </c>
      <c r="AT33" s="3" t="s">
        <v>2471</v>
      </c>
      <c r="AU33" s="3">
        <v>2017.0</v>
      </c>
      <c r="AV33" s="3">
        <v>88.0</v>
      </c>
      <c r="AW33" s="3">
        <v>3.0</v>
      </c>
      <c r="AX33" s="3" t="s">
        <v>1324</v>
      </c>
      <c r="AY33" s="3" t="s">
        <v>1324</v>
      </c>
      <c r="AZ33" s="3" t="s">
        <v>1324</v>
      </c>
      <c r="BA33" s="3" t="s">
        <v>1324</v>
      </c>
      <c r="BB33" s="3">
        <v>211.0</v>
      </c>
      <c r="BC33" s="3">
        <v>228.0</v>
      </c>
      <c r="BD33" s="3" t="s">
        <v>1324</v>
      </c>
      <c r="BE33" s="3" t="s">
        <v>1555</v>
      </c>
      <c r="BF33" s="25" t="str">
        <f>HYPERLINK("http://dx.doi.org/10.1111/jofo.12204","http://dx.doi.org/10.1111/jofo.12204")</f>
        <v>http://dx.doi.org/10.1111/jofo.12204</v>
      </c>
      <c r="BG33" s="3" t="s">
        <v>1324</v>
      </c>
      <c r="BH33" s="3" t="s">
        <v>1324</v>
      </c>
      <c r="BI33" s="3">
        <v>18.0</v>
      </c>
      <c r="BJ33" s="3" t="s">
        <v>273</v>
      </c>
      <c r="BK33" s="3" t="s">
        <v>2407</v>
      </c>
      <c r="BL33" s="3" t="s">
        <v>2691</v>
      </c>
      <c r="BM33" s="3" t="s">
        <v>2996</v>
      </c>
      <c r="BN33" s="3" t="s">
        <v>1324</v>
      </c>
      <c r="BO33" s="3" t="s">
        <v>1324</v>
      </c>
      <c r="BP33" s="3" t="s">
        <v>1324</v>
      </c>
      <c r="BQ33" s="3" t="s">
        <v>1324</v>
      </c>
      <c r="BR33" s="3" t="s">
        <v>2383</v>
      </c>
      <c r="BS33" s="3" t="s">
        <v>2997</v>
      </c>
      <c r="BT33" s="3" t="str">
        <f>HYPERLINK("https%3A%2F%2Fwww.webofscience.com%2Fwos%2Fwoscc%2Ffull-record%2FWOS:000411343300001","View Full Record in Web of Science")</f>
        <v>View Full Record in Web of Science</v>
      </c>
    </row>
    <row r="34" ht="12.75" customHeight="1">
      <c r="A34" s="3" t="s">
        <v>26</v>
      </c>
      <c r="B34" s="3" t="s">
        <v>2998</v>
      </c>
      <c r="C34" s="3" t="s">
        <v>1324</v>
      </c>
      <c r="D34" s="3" t="s">
        <v>1324</v>
      </c>
      <c r="E34" s="3" t="s">
        <v>1324</v>
      </c>
      <c r="F34" s="3" t="s">
        <v>1405</v>
      </c>
      <c r="G34" s="3" t="s">
        <v>1324</v>
      </c>
      <c r="H34" s="3" t="s">
        <v>1324</v>
      </c>
      <c r="I34" s="3" t="s">
        <v>1406</v>
      </c>
      <c r="J34" s="3" t="s">
        <v>1397</v>
      </c>
      <c r="K34" s="3" t="s">
        <v>1324</v>
      </c>
      <c r="L34" s="3" t="s">
        <v>1324</v>
      </c>
      <c r="M34" s="3" t="s">
        <v>2364</v>
      </c>
      <c r="N34" s="3" t="s">
        <v>38</v>
      </c>
      <c r="O34" s="3" t="s">
        <v>1324</v>
      </c>
      <c r="P34" s="3" t="s">
        <v>1324</v>
      </c>
      <c r="Q34" s="3" t="s">
        <v>1324</v>
      </c>
      <c r="R34" s="3" t="s">
        <v>1324</v>
      </c>
      <c r="S34" s="3" t="s">
        <v>1324</v>
      </c>
      <c r="T34" s="3" t="s">
        <v>2999</v>
      </c>
      <c r="U34" s="3" t="s">
        <v>3000</v>
      </c>
      <c r="V34" s="3" t="s">
        <v>1407</v>
      </c>
      <c r="W34" s="3" t="s">
        <v>3001</v>
      </c>
      <c r="X34" s="3" t="s">
        <v>3002</v>
      </c>
      <c r="Y34" s="3" t="s">
        <v>3003</v>
      </c>
      <c r="Z34" s="3" t="s">
        <v>3004</v>
      </c>
      <c r="AA34" s="3" t="s">
        <v>3005</v>
      </c>
      <c r="AB34" s="3" t="s">
        <v>3006</v>
      </c>
      <c r="AC34" s="3" t="s">
        <v>3007</v>
      </c>
      <c r="AD34" s="3" t="s">
        <v>3008</v>
      </c>
      <c r="AE34" s="3" t="s">
        <v>3009</v>
      </c>
      <c r="AF34" s="3" t="s">
        <v>1324</v>
      </c>
      <c r="AG34" s="3">
        <v>77.0</v>
      </c>
      <c r="AH34" s="3">
        <v>30.0</v>
      </c>
      <c r="AI34" s="3">
        <v>32.0</v>
      </c>
      <c r="AJ34" s="3">
        <v>0.0</v>
      </c>
      <c r="AK34" s="3">
        <v>64.0</v>
      </c>
      <c r="AL34" s="3" t="s">
        <v>2769</v>
      </c>
      <c r="AM34" s="3" t="s">
        <v>2770</v>
      </c>
      <c r="AN34" s="3" t="s">
        <v>2771</v>
      </c>
      <c r="AO34" s="3" t="s">
        <v>2772</v>
      </c>
      <c r="AP34" s="3" t="s">
        <v>2773</v>
      </c>
      <c r="AQ34" s="3" t="s">
        <v>1324</v>
      </c>
      <c r="AR34" s="3" t="s">
        <v>2774</v>
      </c>
      <c r="AS34" s="3" t="s">
        <v>2775</v>
      </c>
      <c r="AT34" s="3" t="s">
        <v>3010</v>
      </c>
      <c r="AU34" s="3">
        <v>2017.0</v>
      </c>
      <c r="AV34" s="3">
        <v>576.0</v>
      </c>
      <c r="AW34" s="3" t="s">
        <v>1324</v>
      </c>
      <c r="AX34" s="3" t="s">
        <v>1324</v>
      </c>
      <c r="AY34" s="3" t="s">
        <v>1324</v>
      </c>
      <c r="AZ34" s="3" t="s">
        <v>1324</v>
      </c>
      <c r="BA34" s="3" t="s">
        <v>1324</v>
      </c>
      <c r="BB34" s="3">
        <v>55.0</v>
      </c>
      <c r="BC34" s="3">
        <v>68.0</v>
      </c>
      <c r="BD34" s="3" t="s">
        <v>1324</v>
      </c>
      <c r="BE34" s="3" t="s">
        <v>1408</v>
      </c>
      <c r="BF34" s="25" t="str">
        <f>HYPERLINK("http://dx.doi.org/10.3354/meps12221","http://dx.doi.org/10.3354/meps12221")</f>
        <v>http://dx.doi.org/10.3354/meps12221</v>
      </c>
      <c r="BG34" s="3" t="s">
        <v>1324</v>
      </c>
      <c r="BH34" s="3" t="s">
        <v>1324</v>
      </c>
      <c r="BI34" s="3">
        <v>14.0</v>
      </c>
      <c r="BJ34" s="3" t="s">
        <v>2447</v>
      </c>
      <c r="BK34" s="3" t="s">
        <v>2878</v>
      </c>
      <c r="BL34" s="3" t="s">
        <v>2449</v>
      </c>
      <c r="BM34" s="3" t="s">
        <v>3011</v>
      </c>
      <c r="BN34" s="3" t="s">
        <v>1324</v>
      </c>
      <c r="BO34" s="3" t="s">
        <v>1324</v>
      </c>
      <c r="BP34" s="3" t="s">
        <v>1324</v>
      </c>
      <c r="BQ34" s="3" t="s">
        <v>1324</v>
      </c>
      <c r="BR34" s="3" t="s">
        <v>2383</v>
      </c>
      <c r="BS34" s="3" t="s">
        <v>3012</v>
      </c>
      <c r="BT34" s="3" t="str">
        <f>HYPERLINK("https%3A%2F%2Fwww.webofscience.com%2Fwos%2Fwoscc%2Ffull-record%2FWOS:000407443900005","View Full Record in Web of Science")</f>
        <v>View Full Record in Web of Science</v>
      </c>
    </row>
    <row r="35" ht="12.75" customHeight="1">
      <c r="A35" s="3" t="s">
        <v>26</v>
      </c>
      <c r="B35" s="3" t="s">
        <v>3013</v>
      </c>
      <c r="C35" s="3" t="s">
        <v>1324</v>
      </c>
      <c r="D35" s="3" t="s">
        <v>1324</v>
      </c>
      <c r="E35" s="3" t="s">
        <v>1324</v>
      </c>
      <c r="F35" s="3" t="s">
        <v>1672</v>
      </c>
      <c r="G35" s="3" t="s">
        <v>1324</v>
      </c>
      <c r="H35" s="3" t="s">
        <v>1324</v>
      </c>
      <c r="I35" s="3" t="s">
        <v>1673</v>
      </c>
      <c r="J35" s="3" t="s">
        <v>126</v>
      </c>
      <c r="K35" s="3" t="s">
        <v>1324</v>
      </c>
      <c r="L35" s="3" t="s">
        <v>1324</v>
      </c>
      <c r="M35" s="3" t="s">
        <v>2364</v>
      </c>
      <c r="N35" s="3" t="s">
        <v>38</v>
      </c>
      <c r="O35" s="3" t="s">
        <v>1324</v>
      </c>
      <c r="P35" s="3" t="s">
        <v>1324</v>
      </c>
      <c r="Q35" s="3" t="s">
        <v>1324</v>
      </c>
      <c r="R35" s="3" t="s">
        <v>1324</v>
      </c>
      <c r="S35" s="3" t="s">
        <v>1324</v>
      </c>
      <c r="T35" s="3" t="s">
        <v>3014</v>
      </c>
      <c r="U35" s="3" t="s">
        <v>3015</v>
      </c>
      <c r="V35" s="3" t="s">
        <v>1674</v>
      </c>
      <c r="W35" s="3" t="s">
        <v>3016</v>
      </c>
      <c r="X35" s="3" t="s">
        <v>3017</v>
      </c>
      <c r="Y35" s="3" t="s">
        <v>3018</v>
      </c>
      <c r="Z35" s="3" t="s">
        <v>3019</v>
      </c>
      <c r="AA35" s="3" t="s">
        <v>3020</v>
      </c>
      <c r="AB35" s="3" t="s">
        <v>3021</v>
      </c>
      <c r="AC35" s="3" t="s">
        <v>3022</v>
      </c>
      <c r="AD35" s="3" t="s">
        <v>3023</v>
      </c>
      <c r="AE35" s="3" t="s">
        <v>3024</v>
      </c>
      <c r="AF35" s="3" t="s">
        <v>1324</v>
      </c>
      <c r="AG35" s="3">
        <v>56.0</v>
      </c>
      <c r="AH35" s="3">
        <v>21.0</v>
      </c>
      <c r="AI35" s="3">
        <v>21.0</v>
      </c>
      <c r="AJ35" s="3">
        <v>0.0</v>
      </c>
      <c r="AK35" s="3">
        <v>26.0</v>
      </c>
      <c r="AL35" s="3" t="s">
        <v>2464</v>
      </c>
      <c r="AM35" s="3" t="s">
        <v>2465</v>
      </c>
      <c r="AN35" s="3" t="s">
        <v>2466</v>
      </c>
      <c r="AO35" s="3" t="s">
        <v>3025</v>
      </c>
      <c r="AP35" s="3" t="s">
        <v>3026</v>
      </c>
      <c r="AQ35" s="3" t="s">
        <v>1324</v>
      </c>
      <c r="AR35" s="3" t="s">
        <v>3027</v>
      </c>
      <c r="AS35" s="3" t="s">
        <v>3028</v>
      </c>
      <c r="AT35" s="3" t="s">
        <v>2557</v>
      </c>
      <c r="AU35" s="3">
        <v>2017.0</v>
      </c>
      <c r="AV35" s="3">
        <v>62.0</v>
      </c>
      <c r="AW35" s="3">
        <v>7.0</v>
      </c>
      <c r="AX35" s="3" t="s">
        <v>1324</v>
      </c>
      <c r="AY35" s="3" t="s">
        <v>1324</v>
      </c>
      <c r="AZ35" s="3" t="s">
        <v>1324</v>
      </c>
      <c r="BA35" s="3" t="s">
        <v>1324</v>
      </c>
      <c r="BB35" s="3">
        <v>1117.0</v>
      </c>
      <c r="BC35" s="3">
        <v>1129.0</v>
      </c>
      <c r="BD35" s="3" t="s">
        <v>1324</v>
      </c>
      <c r="BE35" s="3" t="s">
        <v>1675</v>
      </c>
      <c r="BF35" s="25" t="str">
        <f>HYPERLINK("http://dx.doi.org/10.1111/fwb.12929","http://dx.doi.org/10.1111/fwb.12929")</f>
        <v>http://dx.doi.org/10.1111/fwb.12929</v>
      </c>
      <c r="BG35" s="3" t="s">
        <v>1324</v>
      </c>
      <c r="BH35" s="3" t="s">
        <v>1324</v>
      </c>
      <c r="BI35" s="3">
        <v>13.0</v>
      </c>
      <c r="BJ35" s="3" t="s">
        <v>130</v>
      </c>
      <c r="BK35" s="3" t="s">
        <v>2407</v>
      </c>
      <c r="BL35" s="3" t="s">
        <v>2516</v>
      </c>
      <c r="BM35" s="3" t="s">
        <v>3029</v>
      </c>
      <c r="BN35" s="3" t="s">
        <v>1324</v>
      </c>
      <c r="BO35" s="3" t="s">
        <v>1324</v>
      </c>
      <c r="BP35" s="3" t="s">
        <v>1324</v>
      </c>
      <c r="BQ35" s="3" t="s">
        <v>1324</v>
      </c>
      <c r="BR35" s="3" t="s">
        <v>2383</v>
      </c>
      <c r="BS35" s="3" t="s">
        <v>3030</v>
      </c>
      <c r="BT35" s="3" t="str">
        <f>HYPERLINK("https%3A%2F%2Fwww.webofscience.com%2Fwos%2Fwoscc%2Ffull-record%2FWOS:000403021500001","View Full Record in Web of Science")</f>
        <v>View Full Record in Web of Science</v>
      </c>
    </row>
    <row r="36" ht="12.75" customHeight="1">
      <c r="A36" s="3" t="s">
        <v>26</v>
      </c>
      <c r="B36" s="3" t="s">
        <v>3031</v>
      </c>
      <c r="C36" s="3" t="s">
        <v>1324</v>
      </c>
      <c r="D36" s="3" t="s">
        <v>1324</v>
      </c>
      <c r="E36" s="3" t="s">
        <v>1324</v>
      </c>
      <c r="F36" s="3" t="s">
        <v>1909</v>
      </c>
      <c r="G36" s="3" t="s">
        <v>1324</v>
      </c>
      <c r="H36" s="3" t="s">
        <v>1324</v>
      </c>
      <c r="I36" s="3" t="s">
        <v>1910</v>
      </c>
      <c r="J36" s="3" t="s">
        <v>64</v>
      </c>
      <c r="K36" s="3" t="s">
        <v>1324</v>
      </c>
      <c r="L36" s="3" t="s">
        <v>1324</v>
      </c>
      <c r="M36" s="3" t="s">
        <v>2364</v>
      </c>
      <c r="N36" s="3" t="s">
        <v>38</v>
      </c>
      <c r="O36" s="3" t="s">
        <v>1324</v>
      </c>
      <c r="P36" s="3" t="s">
        <v>1324</v>
      </c>
      <c r="Q36" s="3" t="s">
        <v>1324</v>
      </c>
      <c r="R36" s="3" t="s">
        <v>1324</v>
      </c>
      <c r="S36" s="3" t="s">
        <v>1324</v>
      </c>
      <c r="T36" s="3" t="s">
        <v>3032</v>
      </c>
      <c r="U36" s="3" t="s">
        <v>3033</v>
      </c>
      <c r="V36" s="3" t="s">
        <v>1911</v>
      </c>
      <c r="W36" s="3" t="s">
        <v>3034</v>
      </c>
      <c r="X36" s="3" t="s">
        <v>3035</v>
      </c>
      <c r="Y36" s="3" t="s">
        <v>3036</v>
      </c>
      <c r="Z36" s="3" t="s">
        <v>3037</v>
      </c>
      <c r="AA36" s="3" t="s">
        <v>3038</v>
      </c>
      <c r="AB36" s="3" t="s">
        <v>3039</v>
      </c>
      <c r="AC36" s="3" t="s">
        <v>3040</v>
      </c>
      <c r="AD36" s="3" t="s">
        <v>3041</v>
      </c>
      <c r="AE36" s="3" t="s">
        <v>3042</v>
      </c>
      <c r="AF36" s="3" t="s">
        <v>1324</v>
      </c>
      <c r="AG36" s="3">
        <v>60.0</v>
      </c>
      <c r="AH36" s="3">
        <v>34.0</v>
      </c>
      <c r="AI36" s="3">
        <v>38.0</v>
      </c>
      <c r="AJ36" s="3">
        <v>2.0</v>
      </c>
      <c r="AK36" s="3">
        <v>150.0</v>
      </c>
      <c r="AL36" s="3" t="s">
        <v>3043</v>
      </c>
      <c r="AM36" s="3" t="s">
        <v>2487</v>
      </c>
      <c r="AN36" s="3" t="s">
        <v>3044</v>
      </c>
      <c r="AO36" s="3" t="s">
        <v>3045</v>
      </c>
      <c r="AP36" s="3" t="s">
        <v>3046</v>
      </c>
      <c r="AQ36" s="3" t="s">
        <v>1324</v>
      </c>
      <c r="AR36" s="3" t="s">
        <v>3047</v>
      </c>
      <c r="AS36" s="3" t="s">
        <v>3048</v>
      </c>
      <c r="AT36" s="3" t="s">
        <v>3049</v>
      </c>
      <c r="AU36" s="3">
        <v>2017.0</v>
      </c>
      <c r="AV36" s="3">
        <v>589.0</v>
      </c>
      <c r="AW36" s="3" t="s">
        <v>1324</v>
      </c>
      <c r="AX36" s="3" t="s">
        <v>1324</v>
      </c>
      <c r="AY36" s="3" t="s">
        <v>1324</v>
      </c>
      <c r="AZ36" s="3" t="s">
        <v>1324</v>
      </c>
      <c r="BA36" s="3" t="s">
        <v>1324</v>
      </c>
      <c r="BB36" s="3">
        <v>73.0</v>
      </c>
      <c r="BC36" s="3">
        <v>88.0</v>
      </c>
      <c r="BD36" s="3" t="s">
        <v>1324</v>
      </c>
      <c r="BE36" s="3" t="s">
        <v>1912</v>
      </c>
      <c r="BF36" s="25" t="str">
        <f>HYPERLINK("http://dx.doi.org/10.1016/j.scitotenv.2017.02.210","http://dx.doi.org/10.1016/j.scitotenv.2017.02.210")</f>
        <v>http://dx.doi.org/10.1016/j.scitotenv.2017.02.210</v>
      </c>
      <c r="BG36" s="3" t="s">
        <v>1324</v>
      </c>
      <c r="BH36" s="3" t="s">
        <v>1324</v>
      </c>
      <c r="BI36" s="3">
        <v>16.0</v>
      </c>
      <c r="BJ36" s="3" t="s">
        <v>68</v>
      </c>
      <c r="BK36" s="3" t="s">
        <v>2407</v>
      </c>
      <c r="BL36" s="3" t="s">
        <v>2472</v>
      </c>
      <c r="BM36" s="3" t="s">
        <v>3050</v>
      </c>
      <c r="BN36" s="3">
        <v>2.8264774E7</v>
      </c>
      <c r="BO36" s="3" t="s">
        <v>1324</v>
      </c>
      <c r="BP36" s="3" t="s">
        <v>1324</v>
      </c>
      <c r="BQ36" s="3" t="s">
        <v>1324</v>
      </c>
      <c r="BR36" s="3" t="s">
        <v>2383</v>
      </c>
      <c r="BS36" s="3" t="s">
        <v>3051</v>
      </c>
      <c r="BT36" s="3" t="str">
        <f>HYPERLINK("https%3A%2F%2Fwww.webofscience.com%2Fwos%2Fwoscc%2Ffull-record%2FWOS:000399848100008","View Full Record in Web of Science")</f>
        <v>View Full Record in Web of Science</v>
      </c>
    </row>
    <row r="37" ht="12.75" customHeight="1">
      <c r="A37" s="3" t="s">
        <v>26</v>
      </c>
      <c r="B37" s="3" t="s">
        <v>3052</v>
      </c>
      <c r="C37" s="3" t="s">
        <v>1324</v>
      </c>
      <c r="D37" s="3" t="s">
        <v>1324</v>
      </c>
      <c r="E37" s="3" t="s">
        <v>1324</v>
      </c>
      <c r="F37" s="3" t="s">
        <v>1375</v>
      </c>
      <c r="G37" s="3" t="s">
        <v>1324</v>
      </c>
      <c r="H37" s="3" t="s">
        <v>1324</v>
      </c>
      <c r="I37" s="3" t="s">
        <v>1377</v>
      </c>
      <c r="J37" s="3" t="s">
        <v>1376</v>
      </c>
      <c r="K37" s="3" t="s">
        <v>1324</v>
      </c>
      <c r="L37" s="3" t="s">
        <v>1324</v>
      </c>
      <c r="M37" s="3" t="s">
        <v>2364</v>
      </c>
      <c r="N37" s="3" t="s">
        <v>38</v>
      </c>
      <c r="O37" s="3" t="s">
        <v>1324</v>
      </c>
      <c r="P37" s="3" t="s">
        <v>1324</v>
      </c>
      <c r="Q37" s="3" t="s">
        <v>1324</v>
      </c>
      <c r="R37" s="3" t="s">
        <v>1324</v>
      </c>
      <c r="S37" s="3" t="s">
        <v>1324</v>
      </c>
      <c r="T37" s="3" t="s">
        <v>3053</v>
      </c>
      <c r="U37" s="3" t="s">
        <v>3054</v>
      </c>
      <c r="V37" s="3" t="s">
        <v>1378</v>
      </c>
      <c r="W37" s="3" t="s">
        <v>3055</v>
      </c>
      <c r="X37" s="3" t="s">
        <v>3056</v>
      </c>
      <c r="Y37" s="3" t="s">
        <v>3057</v>
      </c>
      <c r="Z37" s="3" t="s">
        <v>3058</v>
      </c>
      <c r="AA37" s="3" t="s">
        <v>1324</v>
      </c>
      <c r="AB37" s="3" t="s">
        <v>3059</v>
      </c>
      <c r="AC37" s="3" t="s">
        <v>3060</v>
      </c>
      <c r="AD37" s="3" t="s">
        <v>3061</v>
      </c>
      <c r="AE37" s="3" t="s">
        <v>3062</v>
      </c>
      <c r="AF37" s="3" t="s">
        <v>1324</v>
      </c>
      <c r="AG37" s="3">
        <v>69.0</v>
      </c>
      <c r="AH37" s="3">
        <v>71.0</v>
      </c>
      <c r="AI37" s="3">
        <v>79.0</v>
      </c>
      <c r="AJ37" s="3">
        <v>4.0</v>
      </c>
      <c r="AK37" s="3">
        <v>34.0</v>
      </c>
      <c r="AL37" s="3" t="s">
        <v>3063</v>
      </c>
      <c r="AM37" s="3" t="s">
        <v>3064</v>
      </c>
      <c r="AN37" s="3" t="s">
        <v>3065</v>
      </c>
      <c r="AO37" s="3" t="s">
        <v>1324</v>
      </c>
      <c r="AP37" s="3" t="s">
        <v>3066</v>
      </c>
      <c r="AQ37" s="3" t="s">
        <v>1324</v>
      </c>
      <c r="AR37" s="3" t="s">
        <v>3067</v>
      </c>
      <c r="AS37" s="3" t="s">
        <v>3068</v>
      </c>
      <c r="AT37" s="3" t="s">
        <v>2632</v>
      </c>
      <c r="AU37" s="3">
        <v>2017.0</v>
      </c>
      <c r="AV37" s="3">
        <v>9.0</v>
      </c>
      <c r="AW37" s="3">
        <v>6.0</v>
      </c>
      <c r="AX37" s="3" t="s">
        <v>1324</v>
      </c>
      <c r="AY37" s="3" t="s">
        <v>1324</v>
      </c>
      <c r="AZ37" s="3" t="s">
        <v>1324</v>
      </c>
      <c r="BA37" s="3" t="s">
        <v>1324</v>
      </c>
      <c r="BB37" s="3" t="s">
        <v>1324</v>
      </c>
      <c r="BC37" s="3" t="s">
        <v>1324</v>
      </c>
      <c r="BD37" s="3">
        <v>525.0</v>
      </c>
      <c r="BE37" s="3" t="s">
        <v>1379</v>
      </c>
      <c r="BF37" s="25" t="str">
        <f>HYPERLINK("http://dx.doi.org/10.3390/rs9060525","http://dx.doi.org/10.3390/rs9060525")</f>
        <v>http://dx.doi.org/10.3390/rs9060525</v>
      </c>
      <c r="BG37" s="3" t="s">
        <v>1324</v>
      </c>
      <c r="BH37" s="3" t="s">
        <v>1324</v>
      </c>
      <c r="BI37" s="3">
        <v>20.0</v>
      </c>
      <c r="BJ37" s="3" t="s">
        <v>3069</v>
      </c>
      <c r="BK37" s="3" t="s">
        <v>2407</v>
      </c>
      <c r="BL37" s="3" t="s">
        <v>3070</v>
      </c>
      <c r="BM37" s="3" t="s">
        <v>3071</v>
      </c>
      <c r="BN37" s="3" t="s">
        <v>1324</v>
      </c>
      <c r="BO37" s="3" t="s">
        <v>2410</v>
      </c>
      <c r="BP37" s="3" t="s">
        <v>1324</v>
      </c>
      <c r="BQ37" s="3" t="s">
        <v>1324</v>
      </c>
      <c r="BR37" s="3" t="s">
        <v>2383</v>
      </c>
      <c r="BS37" s="3" t="s">
        <v>3072</v>
      </c>
      <c r="BT37" s="3" t="str">
        <f>HYPERLINK("https%3A%2F%2Fwww.webofscience.com%2Fwos%2Fwoscc%2Ffull-record%2FWOS:000404623900016","View Full Record in Web of Science")</f>
        <v>View Full Record in Web of Science</v>
      </c>
    </row>
    <row r="38" ht="12.75" customHeight="1">
      <c r="A38" s="3" t="s">
        <v>26</v>
      </c>
      <c r="B38" s="3" t="s">
        <v>3073</v>
      </c>
      <c r="C38" s="3" t="s">
        <v>1324</v>
      </c>
      <c r="D38" s="3" t="s">
        <v>1324</v>
      </c>
      <c r="E38" s="3" t="s">
        <v>1324</v>
      </c>
      <c r="F38" s="3" t="s">
        <v>1531</v>
      </c>
      <c r="G38" s="3" t="s">
        <v>1324</v>
      </c>
      <c r="H38" s="3" t="s">
        <v>1324</v>
      </c>
      <c r="I38" s="3" t="s">
        <v>1533</v>
      </c>
      <c r="J38" s="3" t="s">
        <v>1532</v>
      </c>
      <c r="K38" s="3" t="s">
        <v>1324</v>
      </c>
      <c r="L38" s="3" t="s">
        <v>1324</v>
      </c>
      <c r="M38" s="3" t="s">
        <v>2364</v>
      </c>
      <c r="N38" s="3" t="s">
        <v>30</v>
      </c>
      <c r="O38" s="3" t="s">
        <v>1324</v>
      </c>
      <c r="P38" s="3" t="s">
        <v>1324</v>
      </c>
      <c r="Q38" s="3" t="s">
        <v>1324</v>
      </c>
      <c r="R38" s="3" t="s">
        <v>1324</v>
      </c>
      <c r="S38" s="3" t="s">
        <v>1324</v>
      </c>
      <c r="T38" s="3" t="s">
        <v>3074</v>
      </c>
      <c r="U38" s="3" t="s">
        <v>3075</v>
      </c>
      <c r="V38" s="3" t="s">
        <v>1534</v>
      </c>
      <c r="W38" s="3" t="s">
        <v>3076</v>
      </c>
      <c r="X38" s="3" t="s">
        <v>3077</v>
      </c>
      <c r="Y38" s="3" t="s">
        <v>3078</v>
      </c>
      <c r="Z38" s="3" t="s">
        <v>3079</v>
      </c>
      <c r="AA38" s="3" t="s">
        <v>3080</v>
      </c>
      <c r="AB38" s="3" t="s">
        <v>3081</v>
      </c>
      <c r="AC38" s="3" t="s">
        <v>3082</v>
      </c>
      <c r="AD38" s="3" t="s">
        <v>3083</v>
      </c>
      <c r="AE38" s="3" t="s">
        <v>3084</v>
      </c>
      <c r="AF38" s="3" t="s">
        <v>1324</v>
      </c>
      <c r="AG38" s="3">
        <v>65.0</v>
      </c>
      <c r="AH38" s="3">
        <v>23.0</v>
      </c>
      <c r="AI38" s="3">
        <v>26.0</v>
      </c>
      <c r="AJ38" s="3">
        <v>1.0</v>
      </c>
      <c r="AK38" s="3">
        <v>89.0</v>
      </c>
      <c r="AL38" s="3" t="s">
        <v>3085</v>
      </c>
      <c r="AM38" s="3" t="s">
        <v>3086</v>
      </c>
      <c r="AN38" s="3" t="s">
        <v>3087</v>
      </c>
      <c r="AO38" s="3" t="s">
        <v>3088</v>
      </c>
      <c r="AP38" s="3" t="s">
        <v>3089</v>
      </c>
      <c r="AQ38" s="3" t="s">
        <v>1324</v>
      </c>
      <c r="AR38" s="3" t="s">
        <v>3090</v>
      </c>
      <c r="AS38" s="3" t="s">
        <v>3091</v>
      </c>
      <c r="AT38" s="3" t="s">
        <v>2632</v>
      </c>
      <c r="AU38" s="3">
        <v>2017.0</v>
      </c>
      <c r="AV38" s="3">
        <v>25.0</v>
      </c>
      <c r="AW38" s="3">
        <v>2.0</v>
      </c>
      <c r="AX38" s="3" t="s">
        <v>1324</v>
      </c>
      <c r="AY38" s="3" t="s">
        <v>1324</v>
      </c>
      <c r="AZ38" s="3" t="s">
        <v>1324</v>
      </c>
      <c r="BA38" s="3" t="s">
        <v>1324</v>
      </c>
      <c r="BB38" s="3">
        <v>184.0</v>
      </c>
      <c r="BC38" s="3">
        <v>192.0</v>
      </c>
      <c r="BD38" s="3" t="s">
        <v>1324</v>
      </c>
      <c r="BE38" s="3" t="s">
        <v>1535</v>
      </c>
      <c r="BF38" s="25" t="str">
        <f>HYPERLINK("http://dx.doi.org/10.1139/er-2016-0085","http://dx.doi.org/10.1139/er-2016-0085")</f>
        <v>http://dx.doi.org/10.1139/er-2016-0085</v>
      </c>
      <c r="BG38" s="3" t="s">
        <v>1324</v>
      </c>
      <c r="BH38" s="3" t="s">
        <v>1324</v>
      </c>
      <c r="BI38" s="3">
        <v>9.0</v>
      </c>
      <c r="BJ38" s="3" t="s">
        <v>68</v>
      </c>
      <c r="BK38" s="3" t="s">
        <v>2407</v>
      </c>
      <c r="BL38" s="3" t="s">
        <v>2472</v>
      </c>
      <c r="BM38" s="3" t="s">
        <v>3092</v>
      </c>
      <c r="BN38" s="3" t="s">
        <v>1324</v>
      </c>
      <c r="BO38" s="3" t="s">
        <v>1324</v>
      </c>
      <c r="BP38" s="3" t="s">
        <v>1324</v>
      </c>
      <c r="BQ38" s="3" t="s">
        <v>1324</v>
      </c>
      <c r="BR38" s="3" t="s">
        <v>2383</v>
      </c>
      <c r="BS38" s="3" t="s">
        <v>3093</v>
      </c>
      <c r="BT38" s="3" t="str">
        <f>HYPERLINK("https%3A%2F%2Fwww.webofscience.com%2Fwos%2Fwoscc%2Ffull-record%2FWOS:000402318000004","View Full Record in Web of Science")</f>
        <v>View Full Record in Web of Science</v>
      </c>
    </row>
    <row r="39" ht="12.75" customHeight="1">
      <c r="A39" s="3" t="s">
        <v>26</v>
      </c>
      <c r="B39" s="3" t="s">
        <v>3094</v>
      </c>
      <c r="C39" s="3" t="s">
        <v>1324</v>
      </c>
      <c r="D39" s="3" t="s">
        <v>1324</v>
      </c>
      <c r="E39" s="3" t="s">
        <v>1324</v>
      </c>
      <c r="F39" s="3" t="s">
        <v>1352</v>
      </c>
      <c r="G39" s="3" t="s">
        <v>1324</v>
      </c>
      <c r="H39" s="3" t="s">
        <v>1324</v>
      </c>
      <c r="I39" s="3" t="s">
        <v>1354</v>
      </c>
      <c r="J39" s="3" t="s">
        <v>1353</v>
      </c>
      <c r="K39" s="3" t="s">
        <v>1324</v>
      </c>
      <c r="L39" s="3" t="s">
        <v>1324</v>
      </c>
      <c r="M39" s="3" t="s">
        <v>2364</v>
      </c>
      <c r="N39" s="3" t="s">
        <v>38</v>
      </c>
      <c r="O39" s="3" t="s">
        <v>1324</v>
      </c>
      <c r="P39" s="3" t="s">
        <v>1324</v>
      </c>
      <c r="Q39" s="3" t="s">
        <v>1324</v>
      </c>
      <c r="R39" s="3" t="s">
        <v>1324</v>
      </c>
      <c r="S39" s="3" t="s">
        <v>1324</v>
      </c>
      <c r="T39" s="3" t="s">
        <v>1324</v>
      </c>
      <c r="U39" s="3" t="s">
        <v>3095</v>
      </c>
      <c r="V39" s="3" t="s">
        <v>1355</v>
      </c>
      <c r="W39" s="3" t="s">
        <v>3096</v>
      </c>
      <c r="X39" s="3" t="s">
        <v>3097</v>
      </c>
      <c r="Y39" s="3" t="s">
        <v>3098</v>
      </c>
      <c r="Z39" s="3" t="s">
        <v>3099</v>
      </c>
      <c r="AA39" s="3" t="s">
        <v>3100</v>
      </c>
      <c r="AB39" s="3" t="s">
        <v>3101</v>
      </c>
      <c r="AC39" s="3" t="s">
        <v>3102</v>
      </c>
      <c r="AD39" s="3" t="s">
        <v>3103</v>
      </c>
      <c r="AE39" s="3" t="s">
        <v>3104</v>
      </c>
      <c r="AF39" s="3" t="s">
        <v>1324</v>
      </c>
      <c r="AG39" s="3">
        <v>59.0</v>
      </c>
      <c r="AH39" s="3">
        <v>48.0</v>
      </c>
      <c r="AI39" s="3">
        <v>52.0</v>
      </c>
      <c r="AJ39" s="3">
        <v>1.0</v>
      </c>
      <c r="AK39" s="3">
        <v>62.0</v>
      </c>
      <c r="AL39" s="3" t="s">
        <v>3105</v>
      </c>
      <c r="AM39" s="3" t="s">
        <v>3106</v>
      </c>
      <c r="AN39" s="3" t="s">
        <v>3107</v>
      </c>
      <c r="AO39" s="3" t="s">
        <v>3108</v>
      </c>
      <c r="AP39" s="3" t="s">
        <v>3109</v>
      </c>
      <c r="AQ39" s="3" t="s">
        <v>1324</v>
      </c>
      <c r="AR39" s="3" t="s">
        <v>1353</v>
      </c>
      <c r="AS39" s="3" t="s">
        <v>3110</v>
      </c>
      <c r="AT39" s="3" t="s">
        <v>3111</v>
      </c>
      <c r="AU39" s="3">
        <v>2017.0</v>
      </c>
      <c r="AV39" s="3">
        <v>14.0</v>
      </c>
      <c r="AW39" s="3">
        <v>9.0</v>
      </c>
      <c r="AX39" s="3" t="s">
        <v>1324</v>
      </c>
      <c r="AY39" s="3" t="s">
        <v>1324</v>
      </c>
      <c r="AZ39" s="3" t="s">
        <v>1324</v>
      </c>
      <c r="BA39" s="3" t="s">
        <v>1324</v>
      </c>
      <c r="BB39" s="3">
        <v>2387.0</v>
      </c>
      <c r="BC39" s="3">
        <v>2405.0</v>
      </c>
      <c r="BD39" s="3" t="s">
        <v>1324</v>
      </c>
      <c r="BE39" s="3" t="s">
        <v>1356</v>
      </c>
      <c r="BF39" s="25" t="str">
        <f>HYPERLINK("http://dx.doi.org/10.5194/bg-14-2387-2017","http://dx.doi.org/10.5194/bg-14-2387-2017")</f>
        <v>http://dx.doi.org/10.5194/bg-14-2387-2017</v>
      </c>
      <c r="BG39" s="3" t="s">
        <v>1324</v>
      </c>
      <c r="BH39" s="3" t="s">
        <v>1324</v>
      </c>
      <c r="BI39" s="3">
        <v>19.0</v>
      </c>
      <c r="BJ39" s="3" t="s">
        <v>3112</v>
      </c>
      <c r="BK39" s="3" t="s">
        <v>2407</v>
      </c>
      <c r="BL39" s="3" t="s">
        <v>3113</v>
      </c>
      <c r="BM39" s="3" t="s">
        <v>3114</v>
      </c>
      <c r="BN39" s="3" t="s">
        <v>1324</v>
      </c>
      <c r="BO39" s="3" t="s">
        <v>2598</v>
      </c>
      <c r="BP39" s="3" t="s">
        <v>1324</v>
      </c>
      <c r="BQ39" s="3" t="s">
        <v>1324</v>
      </c>
      <c r="BR39" s="3" t="s">
        <v>2383</v>
      </c>
      <c r="BS39" s="3" t="s">
        <v>3115</v>
      </c>
      <c r="BT39" s="3" t="str">
        <f>HYPERLINK("https%3A%2F%2Fwww.webofscience.com%2Fwos%2Fwoscc%2Ffull-record%2FWOS:000401104900001","View Full Record in Web of Science")</f>
        <v>View Full Record in Web of Science</v>
      </c>
    </row>
    <row r="40" ht="12.75" customHeight="1">
      <c r="A40" s="3" t="s">
        <v>26</v>
      </c>
      <c r="B40" s="3" t="s">
        <v>3116</v>
      </c>
      <c r="C40" s="3" t="s">
        <v>1324</v>
      </c>
      <c r="D40" s="3" t="s">
        <v>1324</v>
      </c>
      <c r="E40" s="3" t="s">
        <v>1324</v>
      </c>
      <c r="F40" s="3" t="s">
        <v>1842</v>
      </c>
      <c r="G40" s="3" t="s">
        <v>1324</v>
      </c>
      <c r="H40" s="3" t="s">
        <v>1324</v>
      </c>
      <c r="I40" s="3" t="s">
        <v>1843</v>
      </c>
      <c r="J40" s="3" t="s">
        <v>507</v>
      </c>
      <c r="K40" s="3" t="s">
        <v>1324</v>
      </c>
      <c r="L40" s="3" t="s">
        <v>1324</v>
      </c>
      <c r="M40" s="3" t="s">
        <v>2364</v>
      </c>
      <c r="N40" s="3" t="s">
        <v>38</v>
      </c>
      <c r="O40" s="3" t="s">
        <v>1324</v>
      </c>
      <c r="P40" s="3" t="s">
        <v>1324</v>
      </c>
      <c r="Q40" s="3" t="s">
        <v>1324</v>
      </c>
      <c r="R40" s="3" t="s">
        <v>1324</v>
      </c>
      <c r="S40" s="3" t="s">
        <v>1324</v>
      </c>
      <c r="T40" s="3" t="s">
        <v>1324</v>
      </c>
      <c r="U40" s="3" t="s">
        <v>3117</v>
      </c>
      <c r="V40" s="3" t="s">
        <v>1844</v>
      </c>
      <c r="W40" s="3" t="s">
        <v>3118</v>
      </c>
      <c r="X40" s="3" t="s">
        <v>3119</v>
      </c>
      <c r="Y40" s="3" t="s">
        <v>3120</v>
      </c>
      <c r="Z40" s="3" t="s">
        <v>3121</v>
      </c>
      <c r="AA40" s="3" t="s">
        <v>3122</v>
      </c>
      <c r="AB40" s="3" t="s">
        <v>3123</v>
      </c>
      <c r="AC40" s="3" t="s">
        <v>1324</v>
      </c>
      <c r="AD40" s="3" t="s">
        <v>1324</v>
      </c>
      <c r="AE40" s="3" t="s">
        <v>1324</v>
      </c>
      <c r="AF40" s="3" t="s">
        <v>1324</v>
      </c>
      <c r="AG40" s="3">
        <v>52.0</v>
      </c>
      <c r="AH40" s="3">
        <v>141.0</v>
      </c>
      <c r="AI40" s="3">
        <v>149.0</v>
      </c>
      <c r="AJ40" s="3">
        <v>7.0</v>
      </c>
      <c r="AK40" s="3">
        <v>196.0</v>
      </c>
      <c r="AL40" s="3" t="s">
        <v>3124</v>
      </c>
      <c r="AM40" s="3" t="s">
        <v>2792</v>
      </c>
      <c r="AN40" s="3" t="s">
        <v>3125</v>
      </c>
      <c r="AO40" s="3" t="s">
        <v>3126</v>
      </c>
      <c r="AP40" s="3" t="s">
        <v>3127</v>
      </c>
      <c r="AQ40" s="3" t="s">
        <v>1324</v>
      </c>
      <c r="AR40" s="3" t="s">
        <v>3128</v>
      </c>
      <c r="AS40" s="3" t="s">
        <v>3129</v>
      </c>
      <c r="AT40" s="3" t="s">
        <v>3130</v>
      </c>
      <c r="AU40" s="3">
        <v>2017.0</v>
      </c>
      <c r="AV40" s="3">
        <v>51.0</v>
      </c>
      <c r="AW40" s="3">
        <v>6.0</v>
      </c>
      <c r="AX40" s="3" t="s">
        <v>1324</v>
      </c>
      <c r="AY40" s="3" t="s">
        <v>1324</v>
      </c>
      <c r="AZ40" s="3" t="s">
        <v>1324</v>
      </c>
      <c r="BA40" s="3" t="s">
        <v>1324</v>
      </c>
      <c r="BB40" s="3">
        <v>3298.0</v>
      </c>
      <c r="BC40" s="3">
        <v>3306.0</v>
      </c>
      <c r="BD40" s="3" t="s">
        <v>1324</v>
      </c>
      <c r="BE40" s="3" t="s">
        <v>1845</v>
      </c>
      <c r="BF40" s="25" t="str">
        <f>HYPERLINK("http://dx.doi.org/10.1021/acs.est.6b05296","http://dx.doi.org/10.1021/acs.est.6b05296")</f>
        <v>http://dx.doi.org/10.1021/acs.est.6b05296</v>
      </c>
      <c r="BG40" s="3" t="s">
        <v>1324</v>
      </c>
      <c r="BH40" s="3" t="s">
        <v>1324</v>
      </c>
      <c r="BI40" s="3">
        <v>9.0</v>
      </c>
      <c r="BJ40" s="3" t="s">
        <v>511</v>
      </c>
      <c r="BK40" s="3" t="s">
        <v>2878</v>
      </c>
      <c r="BL40" s="3" t="s">
        <v>3131</v>
      </c>
      <c r="BM40" s="3" t="s">
        <v>3132</v>
      </c>
      <c r="BN40" s="3">
        <v>2.8072521E7</v>
      </c>
      <c r="BO40" s="3" t="s">
        <v>1324</v>
      </c>
      <c r="BP40" s="3" t="s">
        <v>1324</v>
      </c>
      <c r="BQ40" s="3" t="s">
        <v>1324</v>
      </c>
      <c r="BR40" s="3" t="s">
        <v>2383</v>
      </c>
      <c r="BS40" s="3" t="s">
        <v>3133</v>
      </c>
      <c r="BT40" s="3" t="str">
        <f>HYPERLINK("https%3A%2F%2Fwww.webofscience.com%2Fwos%2Fwoscc%2Ffull-record%2FWOS:000397477900021","View Full Record in Web of Science")</f>
        <v>View Full Record in Web of Science</v>
      </c>
    </row>
    <row r="41" ht="12.75" customHeight="1">
      <c r="A41" s="3" t="s">
        <v>26</v>
      </c>
      <c r="B41" s="3" t="s">
        <v>3134</v>
      </c>
      <c r="C41" s="3" t="s">
        <v>1324</v>
      </c>
      <c r="D41" s="3" t="s">
        <v>1324</v>
      </c>
      <c r="E41" s="3" t="s">
        <v>1324</v>
      </c>
      <c r="F41" s="3" t="s">
        <v>1698</v>
      </c>
      <c r="G41" s="3" t="s">
        <v>1324</v>
      </c>
      <c r="H41" s="3" t="s">
        <v>1324</v>
      </c>
      <c r="I41" s="3" t="s">
        <v>1700</v>
      </c>
      <c r="J41" s="3" t="s">
        <v>1699</v>
      </c>
      <c r="K41" s="3" t="s">
        <v>1324</v>
      </c>
      <c r="L41" s="3" t="s">
        <v>1324</v>
      </c>
      <c r="M41" s="3" t="s">
        <v>2364</v>
      </c>
      <c r="N41" s="3" t="s">
        <v>38</v>
      </c>
      <c r="O41" s="3" t="s">
        <v>1324</v>
      </c>
      <c r="P41" s="3" t="s">
        <v>1324</v>
      </c>
      <c r="Q41" s="3" t="s">
        <v>1324</v>
      </c>
      <c r="R41" s="3" t="s">
        <v>1324</v>
      </c>
      <c r="S41" s="3" t="s">
        <v>1324</v>
      </c>
      <c r="T41" s="3" t="s">
        <v>3135</v>
      </c>
      <c r="U41" s="3" t="s">
        <v>3136</v>
      </c>
      <c r="V41" s="3" t="s">
        <v>1701</v>
      </c>
      <c r="W41" s="3" t="s">
        <v>3137</v>
      </c>
      <c r="X41" s="3" t="s">
        <v>3138</v>
      </c>
      <c r="Y41" s="3" t="s">
        <v>3139</v>
      </c>
      <c r="Z41" s="3" t="s">
        <v>3140</v>
      </c>
      <c r="AA41" s="3" t="s">
        <v>3141</v>
      </c>
      <c r="AB41" s="3" t="s">
        <v>3142</v>
      </c>
      <c r="AC41" s="3" t="s">
        <v>3143</v>
      </c>
      <c r="AD41" s="3" t="s">
        <v>3144</v>
      </c>
      <c r="AE41" s="3" t="s">
        <v>3145</v>
      </c>
      <c r="AF41" s="3" t="s">
        <v>1324</v>
      </c>
      <c r="AG41" s="3">
        <v>25.0</v>
      </c>
      <c r="AH41" s="3">
        <v>67.0</v>
      </c>
      <c r="AI41" s="3">
        <v>79.0</v>
      </c>
      <c r="AJ41" s="3">
        <v>3.0</v>
      </c>
      <c r="AK41" s="3">
        <v>68.0</v>
      </c>
      <c r="AL41" s="3" t="s">
        <v>2464</v>
      </c>
      <c r="AM41" s="3" t="s">
        <v>2465</v>
      </c>
      <c r="AN41" s="3" t="s">
        <v>2466</v>
      </c>
      <c r="AO41" s="3" t="s">
        <v>3146</v>
      </c>
      <c r="AP41" s="3" t="s">
        <v>1324</v>
      </c>
      <c r="AQ41" s="3" t="s">
        <v>1324</v>
      </c>
      <c r="AR41" s="3" t="s">
        <v>3147</v>
      </c>
      <c r="AS41" s="3" t="s">
        <v>3148</v>
      </c>
      <c r="AT41" s="3" t="s">
        <v>3149</v>
      </c>
      <c r="AU41" s="3">
        <v>2017.0</v>
      </c>
      <c r="AV41" s="3">
        <v>10.0</v>
      </c>
      <c r="AW41" s="3">
        <v>2.0</v>
      </c>
      <c r="AX41" s="3" t="s">
        <v>1324</v>
      </c>
      <c r="AY41" s="3" t="s">
        <v>1324</v>
      </c>
      <c r="AZ41" s="3" t="s">
        <v>1324</v>
      </c>
      <c r="BA41" s="3" t="s">
        <v>1324</v>
      </c>
      <c r="BB41" s="3">
        <v>186.0</v>
      </c>
      <c r="BC41" s="3">
        <v>194.0</v>
      </c>
      <c r="BD41" s="3" t="s">
        <v>1324</v>
      </c>
      <c r="BE41" s="3" t="s">
        <v>1702</v>
      </c>
      <c r="BF41" s="25" t="str">
        <f>HYPERLINK("http://dx.doi.org/10.1111/conl.12258","http://dx.doi.org/10.1111/conl.12258")</f>
        <v>http://dx.doi.org/10.1111/conl.12258</v>
      </c>
      <c r="BG41" s="3" t="s">
        <v>1324</v>
      </c>
      <c r="BH41" s="3" t="s">
        <v>1324</v>
      </c>
      <c r="BI41" s="3">
        <v>9.0</v>
      </c>
      <c r="BJ41" s="3" t="s">
        <v>2712</v>
      </c>
      <c r="BK41" s="3" t="s">
        <v>2407</v>
      </c>
      <c r="BL41" s="3" t="s">
        <v>2713</v>
      </c>
      <c r="BM41" s="3" t="s">
        <v>3150</v>
      </c>
      <c r="BN41" s="3" t="s">
        <v>1324</v>
      </c>
      <c r="BO41" s="3" t="s">
        <v>2598</v>
      </c>
      <c r="BP41" s="3" t="s">
        <v>1324</v>
      </c>
      <c r="BQ41" s="3" t="s">
        <v>1324</v>
      </c>
      <c r="BR41" s="3" t="s">
        <v>2383</v>
      </c>
      <c r="BS41" s="3" t="s">
        <v>3151</v>
      </c>
      <c r="BT41" s="3" t="str">
        <f>HYPERLINK("https%3A%2F%2Fwww.webofscience.com%2Fwos%2Fwoscc%2Ffull-record%2FWOS:000398563500003","View Full Record in Web of Science")</f>
        <v>View Full Record in Web of Science</v>
      </c>
    </row>
    <row r="42" ht="12.75" customHeight="1">
      <c r="A42" s="3" t="s">
        <v>26</v>
      </c>
      <c r="B42" s="3" t="s">
        <v>3152</v>
      </c>
      <c r="C42" s="3" t="s">
        <v>1324</v>
      </c>
      <c r="D42" s="3" t="s">
        <v>1324</v>
      </c>
      <c r="E42" s="3" t="s">
        <v>1324</v>
      </c>
      <c r="F42" s="3" t="s">
        <v>2082</v>
      </c>
      <c r="G42" s="3" t="s">
        <v>1324</v>
      </c>
      <c r="H42" s="3" t="s">
        <v>1324</v>
      </c>
      <c r="I42" s="3" t="s">
        <v>2084</v>
      </c>
      <c r="J42" s="3" t="s">
        <v>2083</v>
      </c>
      <c r="K42" s="3" t="s">
        <v>1324</v>
      </c>
      <c r="L42" s="3" t="s">
        <v>1324</v>
      </c>
      <c r="M42" s="3" t="s">
        <v>2364</v>
      </c>
      <c r="N42" s="3" t="s">
        <v>38</v>
      </c>
      <c r="O42" s="3" t="s">
        <v>1324</v>
      </c>
      <c r="P42" s="3" t="s">
        <v>1324</v>
      </c>
      <c r="Q42" s="3" t="s">
        <v>1324</v>
      </c>
      <c r="R42" s="3" t="s">
        <v>1324</v>
      </c>
      <c r="S42" s="3" t="s">
        <v>1324</v>
      </c>
      <c r="T42" s="3" t="s">
        <v>3153</v>
      </c>
      <c r="U42" s="3" t="s">
        <v>3154</v>
      </c>
      <c r="V42" s="3" t="s">
        <v>3155</v>
      </c>
      <c r="W42" s="3" t="s">
        <v>3156</v>
      </c>
      <c r="X42" s="3" t="s">
        <v>3157</v>
      </c>
      <c r="Y42" s="3" t="s">
        <v>3158</v>
      </c>
      <c r="Z42" s="3" t="s">
        <v>3159</v>
      </c>
      <c r="AA42" s="3" t="s">
        <v>3160</v>
      </c>
      <c r="AB42" s="3" t="s">
        <v>3161</v>
      </c>
      <c r="AC42" s="3" t="s">
        <v>3162</v>
      </c>
      <c r="AD42" s="3" t="s">
        <v>3163</v>
      </c>
      <c r="AE42" s="3" t="s">
        <v>3164</v>
      </c>
      <c r="AF42" s="3" t="s">
        <v>1324</v>
      </c>
      <c r="AG42" s="3">
        <v>44.0</v>
      </c>
      <c r="AH42" s="3">
        <v>166.0</v>
      </c>
      <c r="AI42" s="3">
        <v>199.0</v>
      </c>
      <c r="AJ42" s="3">
        <v>13.0</v>
      </c>
      <c r="AK42" s="3">
        <v>337.0</v>
      </c>
      <c r="AL42" s="3" t="s">
        <v>2486</v>
      </c>
      <c r="AM42" s="3" t="s">
        <v>2487</v>
      </c>
      <c r="AN42" s="3" t="s">
        <v>2488</v>
      </c>
      <c r="AO42" s="3" t="s">
        <v>3165</v>
      </c>
      <c r="AP42" s="3" t="s">
        <v>3166</v>
      </c>
      <c r="AQ42" s="3" t="s">
        <v>1324</v>
      </c>
      <c r="AR42" s="3" t="s">
        <v>2083</v>
      </c>
      <c r="AS42" s="3" t="s">
        <v>3167</v>
      </c>
      <c r="AT42" s="3" t="s">
        <v>3168</v>
      </c>
      <c r="AU42" s="3">
        <v>2017.0</v>
      </c>
      <c r="AV42" s="3">
        <v>150.0</v>
      </c>
      <c r="AW42" s="3" t="s">
        <v>1324</v>
      </c>
      <c r="AX42" s="3" t="s">
        <v>1324</v>
      </c>
      <c r="AY42" s="3" t="s">
        <v>1324</v>
      </c>
      <c r="AZ42" s="3" t="s">
        <v>1324</v>
      </c>
      <c r="BA42" s="3" t="s">
        <v>1324</v>
      </c>
      <c r="BB42" s="3">
        <v>100.0</v>
      </c>
      <c r="BC42" s="3">
        <v>107.0</v>
      </c>
      <c r="BD42" s="3" t="s">
        <v>1324</v>
      </c>
      <c r="BE42" s="3" t="s">
        <v>2086</v>
      </c>
      <c r="BF42" s="25" t="str">
        <f>HYPERLINK("http://dx.doi.org/10.1016/j.catena.2016.11.014","http://dx.doi.org/10.1016/j.catena.2016.11.014")</f>
        <v>http://dx.doi.org/10.1016/j.catena.2016.11.014</v>
      </c>
      <c r="BG42" s="3" t="s">
        <v>1324</v>
      </c>
      <c r="BH42" s="3" t="s">
        <v>1324</v>
      </c>
      <c r="BI42" s="3">
        <v>8.0</v>
      </c>
      <c r="BJ42" s="3" t="s">
        <v>3169</v>
      </c>
      <c r="BK42" s="3" t="s">
        <v>2407</v>
      </c>
      <c r="BL42" s="3" t="s">
        <v>3170</v>
      </c>
      <c r="BM42" s="3" t="s">
        <v>3171</v>
      </c>
      <c r="BN42" s="3" t="s">
        <v>1324</v>
      </c>
      <c r="BO42" s="3" t="s">
        <v>2736</v>
      </c>
      <c r="BP42" s="3" t="s">
        <v>1324</v>
      </c>
      <c r="BQ42" s="3" t="s">
        <v>1324</v>
      </c>
      <c r="BR42" s="3" t="s">
        <v>2383</v>
      </c>
      <c r="BS42" s="3" t="s">
        <v>3172</v>
      </c>
      <c r="BT42" s="3" t="str">
        <f>HYPERLINK("https%3A%2F%2Fwww.webofscience.com%2Fwos%2Fwoscc%2Ffull-record%2FWOS:000392686000012","View Full Record in Web of Science")</f>
        <v>View Full Record in Web of Science</v>
      </c>
    </row>
    <row r="43" ht="12.75" customHeight="1">
      <c r="A43" s="3" t="s">
        <v>26</v>
      </c>
      <c r="B43" s="3" t="s">
        <v>3173</v>
      </c>
      <c r="C43" s="3" t="s">
        <v>1324</v>
      </c>
      <c r="D43" s="3" t="s">
        <v>1324</v>
      </c>
      <c r="E43" s="3" t="s">
        <v>1324</v>
      </c>
      <c r="F43" s="3" t="s">
        <v>1768</v>
      </c>
      <c r="G43" s="3" t="s">
        <v>1324</v>
      </c>
      <c r="H43" s="3" t="s">
        <v>1324</v>
      </c>
      <c r="I43" s="3" t="s">
        <v>1770</v>
      </c>
      <c r="J43" s="3" t="s">
        <v>1769</v>
      </c>
      <c r="K43" s="3" t="s">
        <v>1324</v>
      </c>
      <c r="L43" s="3" t="s">
        <v>1324</v>
      </c>
      <c r="M43" s="3" t="s">
        <v>2364</v>
      </c>
      <c r="N43" s="3" t="s">
        <v>38</v>
      </c>
      <c r="O43" s="3" t="s">
        <v>1324</v>
      </c>
      <c r="P43" s="3" t="s">
        <v>1324</v>
      </c>
      <c r="Q43" s="3" t="s">
        <v>1324</v>
      </c>
      <c r="R43" s="3" t="s">
        <v>1324</v>
      </c>
      <c r="S43" s="3" t="s">
        <v>1324</v>
      </c>
      <c r="T43" s="3" t="s">
        <v>3174</v>
      </c>
      <c r="U43" s="3" t="s">
        <v>3175</v>
      </c>
      <c r="V43" s="3" t="s">
        <v>1771</v>
      </c>
      <c r="W43" s="3" t="s">
        <v>3176</v>
      </c>
      <c r="X43" s="3" t="s">
        <v>1324</v>
      </c>
      <c r="Y43" s="3" t="s">
        <v>3177</v>
      </c>
      <c r="Z43" s="3" t="s">
        <v>3178</v>
      </c>
      <c r="AA43" s="3" t="s">
        <v>1324</v>
      </c>
      <c r="AB43" s="3" t="s">
        <v>1324</v>
      </c>
      <c r="AC43" s="3" t="s">
        <v>3179</v>
      </c>
      <c r="AD43" s="3" t="s">
        <v>3179</v>
      </c>
      <c r="AE43" s="3" t="s">
        <v>3180</v>
      </c>
      <c r="AF43" s="3" t="s">
        <v>1324</v>
      </c>
      <c r="AG43" s="3">
        <v>72.0</v>
      </c>
      <c r="AH43" s="3">
        <v>12.0</v>
      </c>
      <c r="AI43" s="3">
        <v>12.0</v>
      </c>
      <c r="AJ43" s="3">
        <v>1.0</v>
      </c>
      <c r="AK43" s="3">
        <v>34.0</v>
      </c>
      <c r="AL43" s="3" t="s">
        <v>3181</v>
      </c>
      <c r="AM43" s="3" t="s">
        <v>3182</v>
      </c>
      <c r="AN43" s="3" t="s">
        <v>3183</v>
      </c>
      <c r="AO43" s="3" t="s">
        <v>3184</v>
      </c>
      <c r="AP43" s="3" t="s">
        <v>3185</v>
      </c>
      <c r="AQ43" s="3" t="s">
        <v>1324</v>
      </c>
      <c r="AR43" s="3" t="s">
        <v>3186</v>
      </c>
      <c r="AS43" s="3" t="s">
        <v>3187</v>
      </c>
      <c r="AT43" s="3" t="s">
        <v>1324</v>
      </c>
      <c r="AU43" s="3">
        <v>2017.0</v>
      </c>
      <c r="AV43" s="3">
        <v>32.0</v>
      </c>
      <c r="AW43" s="3">
        <v>1.0</v>
      </c>
      <c r="AX43" s="3" t="s">
        <v>1324</v>
      </c>
      <c r="AY43" s="3" t="s">
        <v>1324</v>
      </c>
      <c r="AZ43" s="3" t="s">
        <v>1324</v>
      </c>
      <c r="BA43" s="3" t="s">
        <v>1324</v>
      </c>
      <c r="BB43" s="3">
        <v>433.0</v>
      </c>
      <c r="BC43" s="3">
        <v>453.0</v>
      </c>
      <c r="BD43" s="3" t="s">
        <v>1324</v>
      </c>
      <c r="BE43" s="3" t="s">
        <v>1772</v>
      </c>
      <c r="BF43" s="25" t="str">
        <f>HYPERLINK("http://dx.doi.org/10.1080/02705060.2017.1319431","http://dx.doi.org/10.1080/02705060.2017.1319431")</f>
        <v>http://dx.doi.org/10.1080/02705060.2017.1319431</v>
      </c>
      <c r="BG43" s="3" t="s">
        <v>1324</v>
      </c>
      <c r="BH43" s="3" t="s">
        <v>1324</v>
      </c>
      <c r="BI43" s="3">
        <v>21.0</v>
      </c>
      <c r="BJ43" s="3" t="s">
        <v>3188</v>
      </c>
      <c r="BK43" s="3" t="s">
        <v>2407</v>
      </c>
      <c r="BL43" s="3" t="s">
        <v>2516</v>
      </c>
      <c r="BM43" s="3" t="s">
        <v>3189</v>
      </c>
      <c r="BN43" s="3" t="s">
        <v>1324</v>
      </c>
      <c r="BO43" s="3" t="s">
        <v>2598</v>
      </c>
      <c r="BP43" s="3" t="s">
        <v>1324</v>
      </c>
      <c r="BQ43" s="3" t="s">
        <v>1324</v>
      </c>
      <c r="BR43" s="3" t="s">
        <v>2383</v>
      </c>
      <c r="BS43" s="3" t="s">
        <v>3190</v>
      </c>
      <c r="BT43" s="3" t="str">
        <f>HYPERLINK("https%3A%2F%2Fwww.webofscience.com%2Fwos%2Fwoscc%2Ffull-record%2FWOS:000401719600004","View Full Record in Web of Science")</f>
        <v>View Full Record in Web of Science</v>
      </c>
    </row>
    <row r="44" ht="12.75" customHeight="1">
      <c r="A44" s="3" t="s">
        <v>26</v>
      </c>
      <c r="B44" s="3" t="s">
        <v>3191</v>
      </c>
      <c r="C44" s="3" t="s">
        <v>1324</v>
      </c>
      <c r="D44" s="3" t="s">
        <v>1324</v>
      </c>
      <c r="E44" s="3" t="s">
        <v>1324</v>
      </c>
      <c r="F44" s="3" t="s">
        <v>1557</v>
      </c>
      <c r="G44" s="3" t="s">
        <v>1324</v>
      </c>
      <c r="H44" s="3" t="s">
        <v>1324</v>
      </c>
      <c r="I44" s="3" t="s">
        <v>1559</v>
      </c>
      <c r="J44" s="3" t="s">
        <v>1558</v>
      </c>
      <c r="K44" s="3" t="s">
        <v>1324</v>
      </c>
      <c r="L44" s="3" t="s">
        <v>1324</v>
      </c>
      <c r="M44" s="3" t="s">
        <v>2364</v>
      </c>
      <c r="N44" s="3" t="s">
        <v>38</v>
      </c>
      <c r="O44" s="3" t="s">
        <v>1324</v>
      </c>
      <c r="P44" s="3" t="s">
        <v>1324</v>
      </c>
      <c r="Q44" s="3" t="s">
        <v>1324</v>
      </c>
      <c r="R44" s="3" t="s">
        <v>1324</v>
      </c>
      <c r="S44" s="3" t="s">
        <v>1324</v>
      </c>
      <c r="T44" s="3" t="s">
        <v>3192</v>
      </c>
      <c r="U44" s="3" t="s">
        <v>3193</v>
      </c>
      <c r="V44" s="3" t="s">
        <v>3194</v>
      </c>
      <c r="W44" s="3" t="s">
        <v>3195</v>
      </c>
      <c r="X44" s="3" t="s">
        <v>3196</v>
      </c>
      <c r="Y44" s="3" t="s">
        <v>3197</v>
      </c>
      <c r="Z44" s="3" t="s">
        <v>3198</v>
      </c>
      <c r="AA44" s="3" t="s">
        <v>3199</v>
      </c>
      <c r="AB44" s="3" t="s">
        <v>3200</v>
      </c>
      <c r="AC44" s="3" t="s">
        <v>3201</v>
      </c>
      <c r="AD44" s="3" t="s">
        <v>3202</v>
      </c>
      <c r="AE44" s="3" t="s">
        <v>3203</v>
      </c>
      <c r="AF44" s="3" t="s">
        <v>1324</v>
      </c>
      <c r="AG44" s="3">
        <v>67.0</v>
      </c>
      <c r="AH44" s="3">
        <v>36.0</v>
      </c>
      <c r="AI44" s="3">
        <v>39.0</v>
      </c>
      <c r="AJ44" s="3">
        <v>1.0</v>
      </c>
      <c r="AK44" s="3">
        <v>51.0</v>
      </c>
      <c r="AL44" s="3" t="s">
        <v>2464</v>
      </c>
      <c r="AM44" s="3" t="s">
        <v>2465</v>
      </c>
      <c r="AN44" s="3" t="s">
        <v>2466</v>
      </c>
      <c r="AO44" s="3" t="s">
        <v>3204</v>
      </c>
      <c r="AP44" s="3" t="s">
        <v>3205</v>
      </c>
      <c r="AQ44" s="3" t="s">
        <v>1324</v>
      </c>
      <c r="AR44" s="3" t="s">
        <v>3206</v>
      </c>
      <c r="AS44" s="3" t="s">
        <v>3207</v>
      </c>
      <c r="AT44" s="3" t="s">
        <v>3208</v>
      </c>
      <c r="AU44" s="3">
        <v>2017.0</v>
      </c>
      <c r="AV44" s="3">
        <v>44.0</v>
      </c>
      <c r="AW44" s="3">
        <v>1.0</v>
      </c>
      <c r="AX44" s="3" t="s">
        <v>1324</v>
      </c>
      <c r="AY44" s="3" t="s">
        <v>1324</v>
      </c>
      <c r="AZ44" s="3" t="s">
        <v>1324</v>
      </c>
      <c r="BA44" s="3" t="s">
        <v>1324</v>
      </c>
      <c r="BB44" s="3">
        <v>111.0</v>
      </c>
      <c r="BC44" s="3">
        <v>121.0</v>
      </c>
      <c r="BD44" s="3" t="s">
        <v>1324</v>
      </c>
      <c r="BE44" s="3" t="s">
        <v>1561</v>
      </c>
      <c r="BF44" s="25" t="str">
        <f>HYPERLINK("http://dx.doi.org/10.1111/jbi.12808","http://dx.doi.org/10.1111/jbi.12808")</f>
        <v>http://dx.doi.org/10.1111/jbi.12808</v>
      </c>
      <c r="BG44" s="3" t="s">
        <v>1324</v>
      </c>
      <c r="BH44" s="3" t="s">
        <v>1324</v>
      </c>
      <c r="BI44" s="3">
        <v>11.0</v>
      </c>
      <c r="BJ44" s="3" t="s">
        <v>1257</v>
      </c>
      <c r="BK44" s="3" t="s">
        <v>2407</v>
      </c>
      <c r="BL44" s="3" t="s">
        <v>2840</v>
      </c>
      <c r="BM44" s="3" t="s">
        <v>3209</v>
      </c>
      <c r="BN44" s="3" t="s">
        <v>1324</v>
      </c>
      <c r="BO44" s="3" t="s">
        <v>1324</v>
      </c>
      <c r="BP44" s="3" t="s">
        <v>1324</v>
      </c>
      <c r="BQ44" s="3" t="s">
        <v>1324</v>
      </c>
      <c r="BR44" s="3" t="s">
        <v>2383</v>
      </c>
      <c r="BS44" s="3" t="s">
        <v>3210</v>
      </c>
      <c r="BT44" s="3" t="str">
        <f>HYPERLINK("https%3A%2F%2Fwww.webofscience.com%2Fwos%2Fwoscc%2Ffull-record%2FWOS:000391956900011","View Full Record in Web of Science")</f>
        <v>View Full Record in Web of Science</v>
      </c>
    </row>
    <row r="45" ht="12.75" customHeight="1">
      <c r="A45" s="3" t="s">
        <v>26</v>
      </c>
      <c r="B45" s="3" t="s">
        <v>3211</v>
      </c>
      <c r="C45" s="3" t="s">
        <v>1324</v>
      </c>
      <c r="D45" s="3" t="s">
        <v>1324</v>
      </c>
      <c r="E45" s="3" t="s">
        <v>1324</v>
      </c>
      <c r="F45" s="3" t="s">
        <v>1914</v>
      </c>
      <c r="G45" s="3" t="s">
        <v>1324</v>
      </c>
      <c r="H45" s="3" t="s">
        <v>1324</v>
      </c>
      <c r="I45" s="3" t="s">
        <v>1915</v>
      </c>
      <c r="J45" s="3" t="s">
        <v>64</v>
      </c>
      <c r="K45" s="3" t="s">
        <v>1324</v>
      </c>
      <c r="L45" s="3" t="s">
        <v>1324</v>
      </c>
      <c r="M45" s="3" t="s">
        <v>2364</v>
      </c>
      <c r="N45" s="3" t="s">
        <v>38</v>
      </c>
      <c r="O45" s="3" t="s">
        <v>1324</v>
      </c>
      <c r="P45" s="3" t="s">
        <v>1324</v>
      </c>
      <c r="Q45" s="3" t="s">
        <v>1324</v>
      </c>
      <c r="R45" s="3" t="s">
        <v>1324</v>
      </c>
      <c r="S45" s="3" t="s">
        <v>1324</v>
      </c>
      <c r="T45" s="3" t="s">
        <v>3212</v>
      </c>
      <c r="U45" s="3" t="s">
        <v>3213</v>
      </c>
      <c r="V45" s="3" t="s">
        <v>1916</v>
      </c>
      <c r="W45" s="3" t="s">
        <v>3214</v>
      </c>
      <c r="X45" s="3" t="s">
        <v>3215</v>
      </c>
      <c r="Y45" s="3" t="s">
        <v>3216</v>
      </c>
      <c r="Z45" s="3" t="s">
        <v>3217</v>
      </c>
      <c r="AA45" s="3" t="s">
        <v>3218</v>
      </c>
      <c r="AB45" s="3" t="s">
        <v>3219</v>
      </c>
      <c r="AC45" s="3" t="s">
        <v>3220</v>
      </c>
      <c r="AD45" s="3" t="s">
        <v>3221</v>
      </c>
      <c r="AE45" s="3" t="s">
        <v>3222</v>
      </c>
      <c r="AF45" s="3" t="s">
        <v>1324</v>
      </c>
      <c r="AG45" s="3">
        <v>40.0</v>
      </c>
      <c r="AH45" s="3">
        <v>13.0</v>
      </c>
      <c r="AI45" s="3">
        <v>13.0</v>
      </c>
      <c r="AJ45" s="3">
        <v>3.0</v>
      </c>
      <c r="AK45" s="3">
        <v>58.0</v>
      </c>
      <c r="AL45" s="3" t="s">
        <v>2486</v>
      </c>
      <c r="AM45" s="3" t="s">
        <v>2487</v>
      </c>
      <c r="AN45" s="3" t="s">
        <v>2488</v>
      </c>
      <c r="AO45" s="3" t="s">
        <v>3045</v>
      </c>
      <c r="AP45" s="3" t="s">
        <v>3046</v>
      </c>
      <c r="AQ45" s="3" t="s">
        <v>1324</v>
      </c>
      <c r="AR45" s="3" t="s">
        <v>3047</v>
      </c>
      <c r="AS45" s="3" t="s">
        <v>3048</v>
      </c>
      <c r="AT45" s="3" t="s">
        <v>3223</v>
      </c>
      <c r="AU45" s="3">
        <v>2016.0</v>
      </c>
      <c r="AV45" s="3">
        <v>572.0</v>
      </c>
      <c r="AW45" s="3" t="s">
        <v>1324</v>
      </c>
      <c r="AX45" s="3" t="s">
        <v>1324</v>
      </c>
      <c r="AY45" s="3" t="s">
        <v>1324</v>
      </c>
      <c r="AZ45" s="3" t="s">
        <v>1324</v>
      </c>
      <c r="BA45" s="3" t="s">
        <v>1324</v>
      </c>
      <c r="BB45" s="3">
        <v>1485.0</v>
      </c>
      <c r="BC45" s="3">
        <v>1495.0</v>
      </c>
      <c r="BD45" s="3" t="s">
        <v>1324</v>
      </c>
      <c r="BE45" s="3" t="s">
        <v>1917</v>
      </c>
      <c r="BF45" s="25" t="str">
        <f>HYPERLINK("http://dx.doi.org/10.1016/j.scitotenv.2016.03.055","http://dx.doi.org/10.1016/j.scitotenv.2016.03.055")</f>
        <v>http://dx.doi.org/10.1016/j.scitotenv.2016.03.055</v>
      </c>
      <c r="BG45" s="3" t="s">
        <v>1324</v>
      </c>
      <c r="BH45" s="3" t="s">
        <v>1324</v>
      </c>
      <c r="BI45" s="3">
        <v>11.0</v>
      </c>
      <c r="BJ45" s="3" t="s">
        <v>68</v>
      </c>
      <c r="BK45" s="3" t="s">
        <v>2407</v>
      </c>
      <c r="BL45" s="3" t="s">
        <v>2472</v>
      </c>
      <c r="BM45" s="3" t="s">
        <v>3224</v>
      </c>
      <c r="BN45" s="3">
        <v>2.7012185E7</v>
      </c>
      <c r="BO45" s="3" t="s">
        <v>3225</v>
      </c>
      <c r="BP45" s="3" t="s">
        <v>1324</v>
      </c>
      <c r="BQ45" s="3" t="s">
        <v>1324</v>
      </c>
      <c r="BR45" s="3" t="s">
        <v>2383</v>
      </c>
      <c r="BS45" s="3" t="s">
        <v>3226</v>
      </c>
      <c r="BT45" s="3" t="str">
        <f>HYPERLINK("https%3A%2F%2Fwww.webofscience.com%2Fwos%2Fwoscc%2Ffull-record%2FWOS:000387807200143","View Full Record in Web of Science")</f>
        <v>View Full Record in Web of Science</v>
      </c>
    </row>
    <row r="46" ht="12.75" customHeight="1">
      <c r="A46" s="3" t="s">
        <v>26</v>
      </c>
      <c r="B46" s="3" t="s">
        <v>3227</v>
      </c>
      <c r="C46" s="3" t="s">
        <v>1324</v>
      </c>
      <c r="D46" s="3" t="s">
        <v>1324</v>
      </c>
      <c r="E46" s="3" t="s">
        <v>1324</v>
      </c>
      <c r="F46" s="3" t="s">
        <v>1389</v>
      </c>
      <c r="G46" s="3" t="s">
        <v>1324</v>
      </c>
      <c r="H46" s="3" t="s">
        <v>1324</v>
      </c>
      <c r="I46" s="3" t="s">
        <v>1391</v>
      </c>
      <c r="J46" s="3" t="s">
        <v>1390</v>
      </c>
      <c r="K46" s="3" t="s">
        <v>1324</v>
      </c>
      <c r="L46" s="3" t="s">
        <v>1324</v>
      </c>
      <c r="M46" s="3" t="s">
        <v>2364</v>
      </c>
      <c r="N46" s="3" t="s">
        <v>38</v>
      </c>
      <c r="O46" s="3" t="s">
        <v>1324</v>
      </c>
      <c r="P46" s="3" t="s">
        <v>1324</v>
      </c>
      <c r="Q46" s="3" t="s">
        <v>1324</v>
      </c>
      <c r="R46" s="3" t="s">
        <v>1324</v>
      </c>
      <c r="S46" s="3" t="s">
        <v>1324</v>
      </c>
      <c r="T46" s="3" t="s">
        <v>3228</v>
      </c>
      <c r="U46" s="3" t="s">
        <v>3229</v>
      </c>
      <c r="V46" s="3" t="s">
        <v>1392</v>
      </c>
      <c r="W46" s="3" t="s">
        <v>3230</v>
      </c>
      <c r="X46" s="3" t="s">
        <v>3231</v>
      </c>
      <c r="Y46" s="3" t="s">
        <v>3232</v>
      </c>
      <c r="Z46" s="3" t="s">
        <v>3233</v>
      </c>
      <c r="AA46" s="3" t="s">
        <v>3234</v>
      </c>
      <c r="AB46" s="3" t="s">
        <v>3235</v>
      </c>
      <c r="AC46" s="3" t="s">
        <v>1324</v>
      </c>
      <c r="AD46" s="3" t="s">
        <v>1324</v>
      </c>
      <c r="AE46" s="3" t="s">
        <v>1324</v>
      </c>
      <c r="AF46" s="3" t="s">
        <v>1324</v>
      </c>
      <c r="AG46" s="3">
        <v>70.0</v>
      </c>
      <c r="AH46" s="3">
        <v>80.0</v>
      </c>
      <c r="AI46" s="3">
        <v>86.0</v>
      </c>
      <c r="AJ46" s="3">
        <v>4.0</v>
      </c>
      <c r="AK46" s="3">
        <v>106.0</v>
      </c>
      <c r="AL46" s="3" t="s">
        <v>3063</v>
      </c>
      <c r="AM46" s="3" t="s">
        <v>3064</v>
      </c>
      <c r="AN46" s="3" t="s">
        <v>3065</v>
      </c>
      <c r="AO46" s="3" t="s">
        <v>1324</v>
      </c>
      <c r="AP46" s="3" t="s">
        <v>3236</v>
      </c>
      <c r="AQ46" s="3" t="s">
        <v>1324</v>
      </c>
      <c r="AR46" s="3" t="s">
        <v>1390</v>
      </c>
      <c r="AS46" s="3" t="s">
        <v>3237</v>
      </c>
      <c r="AT46" s="3" t="s">
        <v>2908</v>
      </c>
      <c r="AU46" s="3">
        <v>2016.0</v>
      </c>
      <c r="AV46" s="3">
        <v>7.0</v>
      </c>
      <c r="AW46" s="3">
        <v>12.0</v>
      </c>
      <c r="AX46" s="3" t="s">
        <v>1324</v>
      </c>
      <c r="AY46" s="3" t="s">
        <v>1324</v>
      </c>
      <c r="AZ46" s="3" t="s">
        <v>1324</v>
      </c>
      <c r="BA46" s="3" t="s">
        <v>1324</v>
      </c>
      <c r="BB46" s="3" t="s">
        <v>1324</v>
      </c>
      <c r="BC46" s="3" t="s">
        <v>1324</v>
      </c>
      <c r="BD46" s="3">
        <v>305.0</v>
      </c>
      <c r="BE46" s="3" t="s">
        <v>1393</v>
      </c>
      <c r="BF46" s="25" t="str">
        <f>HYPERLINK("http://dx.doi.org/10.3390/f7120305","http://dx.doi.org/10.3390/f7120305")</f>
        <v>http://dx.doi.org/10.3390/f7120305</v>
      </c>
      <c r="BG46" s="3" t="s">
        <v>1324</v>
      </c>
      <c r="BH46" s="3" t="s">
        <v>1324</v>
      </c>
      <c r="BI46" s="3">
        <v>17.0</v>
      </c>
      <c r="BJ46" s="3" t="s">
        <v>2494</v>
      </c>
      <c r="BK46" s="3" t="s">
        <v>2407</v>
      </c>
      <c r="BL46" s="3" t="s">
        <v>2494</v>
      </c>
      <c r="BM46" s="3" t="s">
        <v>3238</v>
      </c>
      <c r="BN46" s="3" t="s">
        <v>1324</v>
      </c>
      <c r="BO46" s="3" t="s">
        <v>2410</v>
      </c>
      <c r="BP46" s="3" t="s">
        <v>1324</v>
      </c>
      <c r="BQ46" s="3" t="s">
        <v>1324</v>
      </c>
      <c r="BR46" s="3" t="s">
        <v>2383</v>
      </c>
      <c r="BS46" s="3" t="s">
        <v>3239</v>
      </c>
      <c r="BT46" s="3" t="str">
        <f>HYPERLINK("https%3A%2F%2Fwww.webofscience.com%2Fwos%2Fwoscc%2Ffull-record%2FWOS:000393327700005","View Full Record in Web of Science")</f>
        <v>View Full Record in Web of Science</v>
      </c>
    </row>
    <row r="47" ht="12.75" customHeight="1">
      <c r="A47" s="3" t="s">
        <v>26</v>
      </c>
      <c r="B47" s="3" t="s">
        <v>3240</v>
      </c>
      <c r="C47" s="3" t="s">
        <v>1324</v>
      </c>
      <c r="D47" s="3" t="s">
        <v>1324</v>
      </c>
      <c r="E47" s="3" t="s">
        <v>1324</v>
      </c>
      <c r="F47" s="3" t="s">
        <v>2205</v>
      </c>
      <c r="G47" s="3" t="s">
        <v>1324</v>
      </c>
      <c r="H47" s="3" t="s">
        <v>1324</v>
      </c>
      <c r="I47" s="3" t="s">
        <v>2206</v>
      </c>
      <c r="J47" s="3" t="s">
        <v>1824</v>
      </c>
      <c r="K47" s="3" t="s">
        <v>1324</v>
      </c>
      <c r="L47" s="3" t="s">
        <v>1324</v>
      </c>
      <c r="M47" s="3" t="s">
        <v>2364</v>
      </c>
      <c r="N47" s="3" t="s">
        <v>38</v>
      </c>
      <c r="O47" s="3" t="s">
        <v>1324</v>
      </c>
      <c r="P47" s="3" t="s">
        <v>1324</v>
      </c>
      <c r="Q47" s="3" t="s">
        <v>1324</v>
      </c>
      <c r="R47" s="3" t="s">
        <v>1324</v>
      </c>
      <c r="S47" s="3" t="s">
        <v>1324</v>
      </c>
      <c r="T47" s="3" t="s">
        <v>3241</v>
      </c>
      <c r="U47" s="3" t="s">
        <v>3242</v>
      </c>
      <c r="V47" s="3" t="s">
        <v>3243</v>
      </c>
      <c r="W47" s="3" t="s">
        <v>3244</v>
      </c>
      <c r="X47" s="3" t="s">
        <v>3245</v>
      </c>
      <c r="Y47" s="3" t="s">
        <v>3246</v>
      </c>
      <c r="Z47" s="3" t="s">
        <v>3247</v>
      </c>
      <c r="AA47" s="3" t="s">
        <v>3248</v>
      </c>
      <c r="AB47" s="3" t="s">
        <v>3249</v>
      </c>
      <c r="AC47" s="3" t="s">
        <v>1324</v>
      </c>
      <c r="AD47" s="3" t="s">
        <v>1324</v>
      </c>
      <c r="AE47" s="3" t="s">
        <v>1324</v>
      </c>
      <c r="AF47" s="3" t="s">
        <v>1324</v>
      </c>
      <c r="AG47" s="3">
        <v>118.0</v>
      </c>
      <c r="AH47" s="3">
        <v>39.0</v>
      </c>
      <c r="AI47" s="3">
        <v>54.0</v>
      </c>
      <c r="AJ47" s="3">
        <v>5.0</v>
      </c>
      <c r="AK47" s="3">
        <v>70.0</v>
      </c>
      <c r="AL47" s="3" t="s">
        <v>3250</v>
      </c>
      <c r="AM47" s="3" t="s">
        <v>3251</v>
      </c>
      <c r="AN47" s="3" t="s">
        <v>3252</v>
      </c>
      <c r="AO47" s="3" t="s">
        <v>3253</v>
      </c>
      <c r="AP47" s="3" t="s">
        <v>3254</v>
      </c>
      <c r="AQ47" s="3" t="s">
        <v>1324</v>
      </c>
      <c r="AR47" s="3" t="s">
        <v>3255</v>
      </c>
      <c r="AS47" s="3" t="s">
        <v>3256</v>
      </c>
      <c r="AT47" s="3" t="s">
        <v>2927</v>
      </c>
      <c r="AU47" s="3">
        <v>2016.0</v>
      </c>
      <c r="AV47" s="3">
        <v>25.0</v>
      </c>
      <c r="AW47" s="3">
        <v>12.0</v>
      </c>
      <c r="AX47" s="3" t="s">
        <v>1324</v>
      </c>
      <c r="AY47" s="3" t="s">
        <v>1324</v>
      </c>
      <c r="AZ47" s="3" t="s">
        <v>3257</v>
      </c>
      <c r="BA47" s="3" t="s">
        <v>1324</v>
      </c>
      <c r="BB47" s="3">
        <v>2491.0</v>
      </c>
      <c r="BC47" s="3">
        <v>2519.0</v>
      </c>
      <c r="BD47" s="3" t="s">
        <v>1324</v>
      </c>
      <c r="BE47" s="3" t="s">
        <v>2208</v>
      </c>
      <c r="BF47" s="25" t="str">
        <f>HYPERLINK("http://dx.doi.org/10.1007/s10531-016-1172-0","http://dx.doi.org/10.1007/s10531-016-1172-0")</f>
        <v>http://dx.doi.org/10.1007/s10531-016-1172-0</v>
      </c>
      <c r="BG47" s="3" t="s">
        <v>1324</v>
      </c>
      <c r="BH47" s="3" t="s">
        <v>1324</v>
      </c>
      <c r="BI47" s="3">
        <v>29.0</v>
      </c>
      <c r="BJ47" s="3" t="s">
        <v>255</v>
      </c>
      <c r="BK47" s="3" t="s">
        <v>2407</v>
      </c>
      <c r="BL47" s="3" t="s">
        <v>2577</v>
      </c>
      <c r="BM47" s="3" t="s">
        <v>3258</v>
      </c>
      <c r="BN47" s="3" t="s">
        <v>1324</v>
      </c>
      <c r="BO47" s="3" t="s">
        <v>2474</v>
      </c>
      <c r="BP47" s="3" t="s">
        <v>1324</v>
      </c>
      <c r="BQ47" s="3" t="s">
        <v>1324</v>
      </c>
      <c r="BR47" s="3" t="s">
        <v>2383</v>
      </c>
      <c r="BS47" s="3" t="s">
        <v>3259</v>
      </c>
      <c r="BT47" s="3" t="str">
        <f>HYPERLINK("https%3A%2F%2Fwww.webofscience.com%2Fwos%2Fwoscc%2Ffull-record%2FWOS:000386500700016","View Full Record in Web of Science")</f>
        <v>View Full Record in Web of Science</v>
      </c>
    </row>
    <row r="48" ht="12.75" customHeight="1">
      <c r="A48" s="3" t="s">
        <v>26</v>
      </c>
      <c r="B48" s="3" t="s">
        <v>3260</v>
      </c>
      <c r="C48" s="3" t="s">
        <v>1324</v>
      </c>
      <c r="D48" s="3" t="s">
        <v>1324</v>
      </c>
      <c r="E48" s="3" t="s">
        <v>1324</v>
      </c>
      <c r="F48" s="3" t="s">
        <v>1924</v>
      </c>
      <c r="G48" s="3" t="s">
        <v>1324</v>
      </c>
      <c r="H48" s="3" t="s">
        <v>1324</v>
      </c>
      <c r="I48" s="3" t="s">
        <v>1926</v>
      </c>
      <c r="J48" s="3" t="s">
        <v>1925</v>
      </c>
      <c r="K48" s="3" t="s">
        <v>1324</v>
      </c>
      <c r="L48" s="3" t="s">
        <v>1324</v>
      </c>
      <c r="M48" s="3" t="s">
        <v>2364</v>
      </c>
      <c r="N48" s="3" t="s">
        <v>38</v>
      </c>
      <c r="O48" s="3" t="s">
        <v>1324</v>
      </c>
      <c r="P48" s="3" t="s">
        <v>1324</v>
      </c>
      <c r="Q48" s="3" t="s">
        <v>1324</v>
      </c>
      <c r="R48" s="3" t="s">
        <v>1324</v>
      </c>
      <c r="S48" s="3" t="s">
        <v>1324</v>
      </c>
      <c r="T48" s="3" t="s">
        <v>3261</v>
      </c>
      <c r="U48" s="3" t="s">
        <v>3262</v>
      </c>
      <c r="V48" s="3" t="s">
        <v>1927</v>
      </c>
      <c r="W48" s="3" t="s">
        <v>3263</v>
      </c>
      <c r="X48" s="3" t="s">
        <v>3264</v>
      </c>
      <c r="Y48" s="3" t="s">
        <v>3265</v>
      </c>
      <c r="Z48" s="3" t="s">
        <v>3266</v>
      </c>
      <c r="AA48" s="3" t="s">
        <v>3267</v>
      </c>
      <c r="AB48" s="3" t="s">
        <v>3268</v>
      </c>
      <c r="AC48" s="3" t="s">
        <v>3269</v>
      </c>
      <c r="AD48" s="3" t="s">
        <v>3270</v>
      </c>
      <c r="AE48" s="3" t="s">
        <v>3271</v>
      </c>
      <c r="AF48" s="3" t="s">
        <v>1324</v>
      </c>
      <c r="AG48" s="3">
        <v>169.0</v>
      </c>
      <c r="AH48" s="3">
        <v>65.0</v>
      </c>
      <c r="AI48" s="3">
        <v>70.0</v>
      </c>
      <c r="AJ48" s="3">
        <v>9.0</v>
      </c>
      <c r="AK48" s="3">
        <v>90.0</v>
      </c>
      <c r="AL48" s="3" t="s">
        <v>3043</v>
      </c>
      <c r="AM48" s="3" t="s">
        <v>2487</v>
      </c>
      <c r="AN48" s="3" t="s">
        <v>3044</v>
      </c>
      <c r="AO48" s="3" t="s">
        <v>3272</v>
      </c>
      <c r="AP48" s="3" t="s">
        <v>1324</v>
      </c>
      <c r="AQ48" s="3" t="s">
        <v>1324</v>
      </c>
      <c r="AR48" s="3" t="s">
        <v>3273</v>
      </c>
      <c r="AS48" s="3" t="s">
        <v>3274</v>
      </c>
      <c r="AT48" s="3" t="s">
        <v>2927</v>
      </c>
      <c r="AU48" s="3">
        <v>2016.0</v>
      </c>
      <c r="AV48" s="3">
        <v>8.0</v>
      </c>
      <c r="AW48" s="3" t="s">
        <v>1324</v>
      </c>
      <c r="AX48" s="3">
        <v>2.0</v>
      </c>
      <c r="AY48" s="3" t="s">
        <v>1324</v>
      </c>
      <c r="AZ48" s="3" t="s">
        <v>1324</v>
      </c>
      <c r="BA48" s="3" t="s">
        <v>1324</v>
      </c>
      <c r="BB48" s="3">
        <v>259.0</v>
      </c>
      <c r="BC48" s="3">
        <v>273.0</v>
      </c>
      <c r="BD48" s="3" t="s">
        <v>1324</v>
      </c>
      <c r="BE48" s="3" t="s">
        <v>1928</v>
      </c>
      <c r="BF48" s="25" t="str">
        <f>HYPERLINK("http://dx.doi.org/10.1016/j.rsma.2016.09.001","http://dx.doi.org/10.1016/j.rsma.2016.09.001")</f>
        <v>http://dx.doi.org/10.1016/j.rsma.2016.09.001</v>
      </c>
      <c r="BG48" s="3" t="s">
        <v>1324</v>
      </c>
      <c r="BH48" s="3" t="s">
        <v>1324</v>
      </c>
      <c r="BI48" s="3">
        <v>15.0</v>
      </c>
      <c r="BJ48" s="3" t="s">
        <v>130</v>
      </c>
      <c r="BK48" s="3" t="s">
        <v>2878</v>
      </c>
      <c r="BL48" s="3" t="s">
        <v>2516</v>
      </c>
      <c r="BM48" s="3" t="s">
        <v>3275</v>
      </c>
      <c r="BN48" s="3" t="s">
        <v>1324</v>
      </c>
      <c r="BO48" s="3" t="s">
        <v>3276</v>
      </c>
      <c r="BP48" s="3" t="s">
        <v>1324</v>
      </c>
      <c r="BQ48" s="3" t="s">
        <v>1324</v>
      </c>
      <c r="BR48" s="3" t="s">
        <v>2383</v>
      </c>
      <c r="BS48" s="3" t="s">
        <v>3277</v>
      </c>
      <c r="BT48" s="3" t="str">
        <f>HYPERLINK("https%3A%2F%2Fwww.webofscience.com%2Fwos%2Fwoscc%2Ffull-record%2FWOS:000414771500005","View Full Record in Web of Science")</f>
        <v>View Full Record in Web of Science</v>
      </c>
    </row>
    <row r="49" ht="12.75" customHeight="1">
      <c r="A49" s="3" t="s">
        <v>26</v>
      </c>
      <c r="B49" s="3" t="s">
        <v>3278</v>
      </c>
      <c r="C49" s="3" t="s">
        <v>1324</v>
      </c>
      <c r="D49" s="3" t="s">
        <v>1324</v>
      </c>
      <c r="E49" s="3" t="s">
        <v>1324</v>
      </c>
      <c r="F49" s="3" t="s">
        <v>1546</v>
      </c>
      <c r="G49" s="3" t="s">
        <v>1324</v>
      </c>
      <c r="H49" s="3" t="s">
        <v>1324</v>
      </c>
      <c r="I49" s="3" t="s">
        <v>1547</v>
      </c>
      <c r="J49" s="3" t="s">
        <v>1540</v>
      </c>
      <c r="K49" s="3" t="s">
        <v>1324</v>
      </c>
      <c r="L49" s="3" t="s">
        <v>1324</v>
      </c>
      <c r="M49" s="3" t="s">
        <v>2364</v>
      </c>
      <c r="N49" s="3" t="s">
        <v>38</v>
      </c>
      <c r="O49" s="3" t="s">
        <v>1324</v>
      </c>
      <c r="P49" s="3" t="s">
        <v>1324</v>
      </c>
      <c r="Q49" s="3" t="s">
        <v>1324</v>
      </c>
      <c r="R49" s="3" t="s">
        <v>1324</v>
      </c>
      <c r="S49" s="3" t="s">
        <v>1324</v>
      </c>
      <c r="T49" s="3" t="s">
        <v>3279</v>
      </c>
      <c r="U49" s="3" t="s">
        <v>3280</v>
      </c>
      <c r="V49" s="3" t="s">
        <v>3281</v>
      </c>
      <c r="W49" s="3" t="s">
        <v>3282</v>
      </c>
      <c r="X49" s="3" t="s">
        <v>3283</v>
      </c>
      <c r="Y49" s="3" t="s">
        <v>3284</v>
      </c>
      <c r="Z49" s="3" t="s">
        <v>3285</v>
      </c>
      <c r="AA49" s="3" t="s">
        <v>3286</v>
      </c>
      <c r="AB49" s="3" t="s">
        <v>3287</v>
      </c>
      <c r="AC49" s="3" t="s">
        <v>1324</v>
      </c>
      <c r="AD49" s="3" t="s">
        <v>1324</v>
      </c>
      <c r="AE49" s="3" t="s">
        <v>1324</v>
      </c>
      <c r="AF49" s="3" t="s">
        <v>1324</v>
      </c>
      <c r="AG49" s="3">
        <v>47.0</v>
      </c>
      <c r="AH49" s="3">
        <v>23.0</v>
      </c>
      <c r="AI49" s="3">
        <v>26.0</v>
      </c>
      <c r="AJ49" s="3">
        <v>3.0</v>
      </c>
      <c r="AK49" s="3">
        <v>41.0</v>
      </c>
      <c r="AL49" s="3" t="s">
        <v>2464</v>
      </c>
      <c r="AM49" s="3" t="s">
        <v>2465</v>
      </c>
      <c r="AN49" s="3" t="s">
        <v>2466</v>
      </c>
      <c r="AO49" s="3" t="s">
        <v>2959</v>
      </c>
      <c r="AP49" s="3" t="s">
        <v>2960</v>
      </c>
      <c r="AQ49" s="3" t="s">
        <v>1324</v>
      </c>
      <c r="AR49" s="3" t="s">
        <v>2961</v>
      </c>
      <c r="AS49" s="3" t="s">
        <v>2962</v>
      </c>
      <c r="AT49" s="3" t="s">
        <v>2471</v>
      </c>
      <c r="AU49" s="3">
        <v>2016.0</v>
      </c>
      <c r="AV49" s="3">
        <v>27.0</v>
      </c>
      <c r="AW49" s="3">
        <v>5.0</v>
      </c>
      <c r="AX49" s="3" t="s">
        <v>1324</v>
      </c>
      <c r="AY49" s="3" t="s">
        <v>1324</v>
      </c>
      <c r="AZ49" s="3" t="s">
        <v>1324</v>
      </c>
      <c r="BA49" s="3" t="s">
        <v>1324</v>
      </c>
      <c r="BB49" s="3">
        <v>948.0</v>
      </c>
      <c r="BC49" s="3">
        <v>957.0</v>
      </c>
      <c r="BD49" s="3" t="s">
        <v>1324</v>
      </c>
      <c r="BE49" s="3" t="s">
        <v>1549</v>
      </c>
      <c r="BF49" s="25" t="str">
        <f>HYPERLINK("http://dx.doi.org/10.1111/jvs.12423","http://dx.doi.org/10.1111/jvs.12423")</f>
        <v>http://dx.doi.org/10.1111/jvs.12423</v>
      </c>
      <c r="BG49" s="3" t="s">
        <v>1324</v>
      </c>
      <c r="BH49" s="3" t="s">
        <v>1324</v>
      </c>
      <c r="BI49" s="3">
        <v>10.0</v>
      </c>
      <c r="BJ49" s="3" t="s">
        <v>2963</v>
      </c>
      <c r="BK49" s="3" t="s">
        <v>2407</v>
      </c>
      <c r="BL49" s="3" t="s">
        <v>2964</v>
      </c>
      <c r="BM49" s="3" t="s">
        <v>3288</v>
      </c>
      <c r="BN49" s="3" t="s">
        <v>1324</v>
      </c>
      <c r="BO49" s="3" t="s">
        <v>2736</v>
      </c>
      <c r="BP49" s="3" t="s">
        <v>1324</v>
      </c>
      <c r="BQ49" s="3" t="s">
        <v>1324</v>
      </c>
      <c r="BR49" s="3" t="s">
        <v>2383</v>
      </c>
      <c r="BS49" s="3" t="s">
        <v>3289</v>
      </c>
      <c r="BT49" s="3" t="str">
        <f>HYPERLINK("https%3A%2F%2Fwww.webofscience.com%2Fwos%2Fwoscc%2Ffull-record%2FWOS:000388439400009","View Full Record in Web of Science")</f>
        <v>View Full Record in Web of Science</v>
      </c>
    </row>
    <row r="50" ht="12.75" customHeight="1">
      <c r="A50" s="3" t="s">
        <v>26</v>
      </c>
      <c r="B50" s="3" t="s">
        <v>3290</v>
      </c>
      <c r="C50" s="3" t="s">
        <v>1324</v>
      </c>
      <c r="D50" s="3" t="s">
        <v>1324</v>
      </c>
      <c r="E50" s="3" t="s">
        <v>1324</v>
      </c>
      <c r="F50" s="3" t="s">
        <v>2249</v>
      </c>
      <c r="G50" s="3" t="s">
        <v>1324</v>
      </c>
      <c r="H50" s="3" t="s">
        <v>1324</v>
      </c>
      <c r="I50" s="3" t="s">
        <v>2250</v>
      </c>
      <c r="J50" s="3" t="s">
        <v>2244</v>
      </c>
      <c r="K50" s="3" t="s">
        <v>1324</v>
      </c>
      <c r="L50" s="3" t="s">
        <v>1324</v>
      </c>
      <c r="M50" s="3" t="s">
        <v>2364</v>
      </c>
      <c r="N50" s="3" t="s">
        <v>30</v>
      </c>
      <c r="O50" s="3" t="s">
        <v>1324</v>
      </c>
      <c r="P50" s="3" t="s">
        <v>1324</v>
      </c>
      <c r="Q50" s="3" t="s">
        <v>1324</v>
      </c>
      <c r="R50" s="3" t="s">
        <v>1324</v>
      </c>
      <c r="S50" s="3" t="s">
        <v>1324</v>
      </c>
      <c r="T50" s="3" t="s">
        <v>3291</v>
      </c>
      <c r="U50" s="3" t="s">
        <v>3292</v>
      </c>
      <c r="V50" s="3" t="s">
        <v>3293</v>
      </c>
      <c r="W50" s="3" t="s">
        <v>3294</v>
      </c>
      <c r="X50" s="3" t="s">
        <v>3295</v>
      </c>
      <c r="Y50" s="3" t="s">
        <v>3296</v>
      </c>
      <c r="Z50" s="3" t="s">
        <v>3297</v>
      </c>
      <c r="AA50" s="3" t="s">
        <v>3298</v>
      </c>
      <c r="AB50" s="3" t="s">
        <v>3299</v>
      </c>
      <c r="AC50" s="3" t="s">
        <v>1324</v>
      </c>
      <c r="AD50" s="3" t="s">
        <v>1324</v>
      </c>
      <c r="AE50" s="3" t="s">
        <v>1324</v>
      </c>
      <c r="AF50" s="3" t="s">
        <v>1324</v>
      </c>
      <c r="AG50" s="3">
        <v>158.0</v>
      </c>
      <c r="AH50" s="3">
        <v>109.0</v>
      </c>
      <c r="AI50" s="3">
        <v>126.0</v>
      </c>
      <c r="AJ50" s="3">
        <v>5.0</v>
      </c>
      <c r="AK50" s="3">
        <v>234.0</v>
      </c>
      <c r="AL50" s="3" t="s">
        <v>2464</v>
      </c>
      <c r="AM50" s="3" t="s">
        <v>2465</v>
      </c>
      <c r="AN50" s="3" t="s">
        <v>2466</v>
      </c>
      <c r="AO50" s="3" t="s">
        <v>2814</v>
      </c>
      <c r="AP50" s="3" t="s">
        <v>2815</v>
      </c>
      <c r="AQ50" s="3" t="s">
        <v>1324</v>
      </c>
      <c r="AR50" s="3" t="s">
        <v>2816</v>
      </c>
      <c r="AS50" s="3" t="s">
        <v>2817</v>
      </c>
      <c r="AT50" s="3" t="s">
        <v>2471</v>
      </c>
      <c r="AU50" s="3">
        <v>2016.0</v>
      </c>
      <c r="AV50" s="3">
        <v>26.0</v>
      </c>
      <c r="AW50" s="3">
        <v>5.0</v>
      </c>
      <c r="AX50" s="3" t="s">
        <v>1324</v>
      </c>
      <c r="AY50" s="3" t="s">
        <v>1324</v>
      </c>
      <c r="AZ50" s="3" t="s">
        <v>1324</v>
      </c>
      <c r="BA50" s="3" t="s">
        <v>1324</v>
      </c>
      <c r="BB50" s="3">
        <v>817.0</v>
      </c>
      <c r="BC50" s="3">
        <v>837.0</v>
      </c>
      <c r="BD50" s="3" t="s">
        <v>1324</v>
      </c>
      <c r="BE50" s="3" t="s">
        <v>2252</v>
      </c>
      <c r="BF50" s="25" t="str">
        <f>HYPERLINK("http://dx.doi.org/10.1002/aqc.2710","http://dx.doi.org/10.1002/aqc.2710")</f>
        <v>http://dx.doi.org/10.1002/aqc.2710</v>
      </c>
      <c r="BG50" s="3" t="s">
        <v>1324</v>
      </c>
      <c r="BH50" s="3" t="s">
        <v>1324</v>
      </c>
      <c r="BI50" s="3">
        <v>21.0</v>
      </c>
      <c r="BJ50" s="3" t="s">
        <v>2819</v>
      </c>
      <c r="BK50" s="3" t="s">
        <v>2407</v>
      </c>
      <c r="BL50" s="3" t="s">
        <v>2820</v>
      </c>
      <c r="BM50" s="3" t="s">
        <v>3300</v>
      </c>
      <c r="BN50" s="3" t="s">
        <v>1324</v>
      </c>
      <c r="BO50" s="3" t="s">
        <v>2715</v>
      </c>
      <c r="BP50" s="3" t="s">
        <v>1324</v>
      </c>
      <c r="BQ50" s="3" t="s">
        <v>1324</v>
      </c>
      <c r="BR50" s="3" t="s">
        <v>2383</v>
      </c>
      <c r="BS50" s="3" t="s">
        <v>3301</v>
      </c>
      <c r="BT50" s="3" t="str">
        <f>HYPERLINK("https%3A%2F%2Fwww.webofscience.com%2Fwos%2Fwoscc%2Ffull-record%2FWOS:000388445200002","View Full Record in Web of Science")</f>
        <v>View Full Record in Web of Science</v>
      </c>
    </row>
    <row r="51" ht="12.75" customHeight="1">
      <c r="A51" s="3" t="s">
        <v>26</v>
      </c>
      <c r="B51" s="3" t="s">
        <v>3302</v>
      </c>
      <c r="C51" s="3" t="s">
        <v>1324</v>
      </c>
      <c r="D51" s="3" t="s">
        <v>1324</v>
      </c>
      <c r="E51" s="3" t="s">
        <v>1324</v>
      </c>
      <c r="F51" s="3" t="s">
        <v>2093</v>
      </c>
      <c r="G51" s="3" t="s">
        <v>1324</v>
      </c>
      <c r="H51" s="3" t="s">
        <v>1324</v>
      </c>
      <c r="I51" s="3" t="s">
        <v>2094</v>
      </c>
      <c r="J51" s="3" t="s">
        <v>251</v>
      </c>
      <c r="K51" s="3" t="s">
        <v>1324</v>
      </c>
      <c r="L51" s="3" t="s">
        <v>1324</v>
      </c>
      <c r="M51" s="3" t="s">
        <v>2364</v>
      </c>
      <c r="N51" s="3" t="s">
        <v>30</v>
      </c>
      <c r="O51" s="3" t="s">
        <v>1324</v>
      </c>
      <c r="P51" s="3" t="s">
        <v>1324</v>
      </c>
      <c r="Q51" s="3" t="s">
        <v>1324</v>
      </c>
      <c r="R51" s="3" t="s">
        <v>1324</v>
      </c>
      <c r="S51" s="3" t="s">
        <v>1324</v>
      </c>
      <c r="T51" s="3" t="s">
        <v>3303</v>
      </c>
      <c r="U51" s="3" t="s">
        <v>3304</v>
      </c>
      <c r="V51" s="3" t="s">
        <v>2095</v>
      </c>
      <c r="W51" s="3" t="s">
        <v>3305</v>
      </c>
      <c r="X51" s="3" t="s">
        <v>3306</v>
      </c>
      <c r="Y51" s="3" t="s">
        <v>3307</v>
      </c>
      <c r="Z51" s="3" t="s">
        <v>3308</v>
      </c>
      <c r="AA51" s="3" t="s">
        <v>3309</v>
      </c>
      <c r="AB51" s="3" t="s">
        <v>3310</v>
      </c>
      <c r="AC51" s="3" t="s">
        <v>3311</v>
      </c>
      <c r="AD51" s="3" t="s">
        <v>3312</v>
      </c>
      <c r="AE51" s="3" t="s">
        <v>1324</v>
      </c>
      <c r="AF51" s="3" t="s">
        <v>1324</v>
      </c>
      <c r="AG51" s="3">
        <v>179.0</v>
      </c>
      <c r="AH51" s="3">
        <v>188.0</v>
      </c>
      <c r="AI51" s="3">
        <v>195.0</v>
      </c>
      <c r="AJ51" s="3">
        <v>1.0</v>
      </c>
      <c r="AK51" s="3">
        <v>134.0</v>
      </c>
      <c r="AL51" s="3" t="s">
        <v>2530</v>
      </c>
      <c r="AM51" s="3" t="s">
        <v>2509</v>
      </c>
      <c r="AN51" s="3" t="s">
        <v>2646</v>
      </c>
      <c r="AO51" s="3" t="s">
        <v>2939</v>
      </c>
      <c r="AP51" s="3" t="s">
        <v>2940</v>
      </c>
      <c r="AQ51" s="3" t="s">
        <v>1324</v>
      </c>
      <c r="AR51" s="3" t="s">
        <v>2941</v>
      </c>
      <c r="AS51" s="3" t="s">
        <v>2942</v>
      </c>
      <c r="AT51" s="3" t="s">
        <v>2471</v>
      </c>
      <c r="AU51" s="3">
        <v>2016.0</v>
      </c>
      <c r="AV51" s="3">
        <v>201.0</v>
      </c>
      <c r="AW51" s="3" t="s">
        <v>1324</v>
      </c>
      <c r="AX51" s="3" t="s">
        <v>1324</v>
      </c>
      <c r="AY51" s="3" t="s">
        <v>1324</v>
      </c>
      <c r="AZ51" s="3" t="s">
        <v>1324</v>
      </c>
      <c r="BA51" s="3" t="s">
        <v>1324</v>
      </c>
      <c r="BB51" s="3">
        <v>169.0</v>
      </c>
      <c r="BC51" s="3">
        <v>183.0</v>
      </c>
      <c r="BD51" s="3" t="s">
        <v>1324</v>
      </c>
      <c r="BE51" s="3" t="s">
        <v>2096</v>
      </c>
      <c r="BF51" s="25" t="str">
        <f>HYPERLINK("http://dx.doi.org/10.1016/j.biocon.2016.06.017","http://dx.doi.org/10.1016/j.biocon.2016.06.017")</f>
        <v>http://dx.doi.org/10.1016/j.biocon.2016.06.017</v>
      </c>
      <c r="BG51" s="3" t="s">
        <v>1324</v>
      </c>
      <c r="BH51" s="3" t="s">
        <v>1324</v>
      </c>
      <c r="BI51" s="3">
        <v>15.0</v>
      </c>
      <c r="BJ51" s="3" t="s">
        <v>255</v>
      </c>
      <c r="BK51" s="3" t="s">
        <v>2407</v>
      </c>
      <c r="BL51" s="3" t="s">
        <v>2577</v>
      </c>
      <c r="BM51" s="3" t="s">
        <v>3313</v>
      </c>
      <c r="BN51" s="3" t="s">
        <v>1324</v>
      </c>
      <c r="BO51" s="3" t="s">
        <v>2715</v>
      </c>
      <c r="BP51" s="3" t="s">
        <v>1324</v>
      </c>
      <c r="BQ51" s="3" t="s">
        <v>1324</v>
      </c>
      <c r="BR51" s="3" t="s">
        <v>2383</v>
      </c>
      <c r="BS51" s="3" t="s">
        <v>3314</v>
      </c>
      <c r="BT51" s="3" t="str">
        <f>HYPERLINK("https%3A%2F%2Fwww.webofscience.com%2Fwos%2Fwoscc%2Ffull-record%2FWOS:000384782800019","View Full Record in Web of Science")</f>
        <v>View Full Record in Web of Science</v>
      </c>
    </row>
    <row r="52" ht="12.75" customHeight="1">
      <c r="A52" s="3" t="s">
        <v>26</v>
      </c>
      <c r="B52" s="3" t="s">
        <v>3315</v>
      </c>
      <c r="C52" s="3" t="s">
        <v>1324</v>
      </c>
      <c r="D52" s="3" t="s">
        <v>1324</v>
      </c>
      <c r="E52" s="3" t="s">
        <v>1324</v>
      </c>
      <c r="F52" s="3" t="s">
        <v>1948</v>
      </c>
      <c r="G52" s="3" t="s">
        <v>1324</v>
      </c>
      <c r="H52" s="3" t="s">
        <v>1324</v>
      </c>
      <c r="I52" s="3" t="s">
        <v>1950</v>
      </c>
      <c r="J52" s="3" t="s">
        <v>1949</v>
      </c>
      <c r="K52" s="3" t="s">
        <v>1324</v>
      </c>
      <c r="L52" s="3" t="s">
        <v>1324</v>
      </c>
      <c r="M52" s="3" t="s">
        <v>2364</v>
      </c>
      <c r="N52" s="3" t="s">
        <v>38</v>
      </c>
      <c r="O52" s="3" t="s">
        <v>1324</v>
      </c>
      <c r="P52" s="3" t="s">
        <v>1324</v>
      </c>
      <c r="Q52" s="3" t="s">
        <v>1324</v>
      </c>
      <c r="R52" s="3" t="s">
        <v>1324</v>
      </c>
      <c r="S52" s="3" t="s">
        <v>1324</v>
      </c>
      <c r="T52" s="3" t="s">
        <v>3316</v>
      </c>
      <c r="U52" s="3" t="s">
        <v>3317</v>
      </c>
      <c r="V52" s="3" t="s">
        <v>1951</v>
      </c>
      <c r="W52" s="3" t="s">
        <v>3318</v>
      </c>
      <c r="X52" s="3" t="s">
        <v>3319</v>
      </c>
      <c r="Y52" s="3" t="s">
        <v>3320</v>
      </c>
      <c r="Z52" s="3" t="s">
        <v>3321</v>
      </c>
      <c r="AA52" s="3" t="s">
        <v>3322</v>
      </c>
      <c r="AB52" s="3" t="s">
        <v>3323</v>
      </c>
      <c r="AC52" s="3" t="s">
        <v>3324</v>
      </c>
      <c r="AD52" s="3" t="s">
        <v>3325</v>
      </c>
      <c r="AE52" s="3" t="s">
        <v>3326</v>
      </c>
      <c r="AF52" s="3" t="s">
        <v>1324</v>
      </c>
      <c r="AG52" s="3">
        <v>52.0</v>
      </c>
      <c r="AH52" s="3">
        <v>46.0</v>
      </c>
      <c r="AI52" s="3">
        <v>54.0</v>
      </c>
      <c r="AJ52" s="3">
        <v>4.0</v>
      </c>
      <c r="AK52" s="3">
        <v>117.0</v>
      </c>
      <c r="AL52" s="3" t="s">
        <v>2508</v>
      </c>
      <c r="AM52" s="3" t="s">
        <v>2509</v>
      </c>
      <c r="AN52" s="3" t="s">
        <v>2510</v>
      </c>
      <c r="AO52" s="3" t="s">
        <v>3327</v>
      </c>
      <c r="AP52" s="3" t="s">
        <v>3328</v>
      </c>
      <c r="AQ52" s="3" t="s">
        <v>1324</v>
      </c>
      <c r="AR52" s="3" t="s">
        <v>3329</v>
      </c>
      <c r="AS52" s="3" t="s">
        <v>3330</v>
      </c>
      <c r="AT52" s="3" t="s">
        <v>2515</v>
      </c>
      <c r="AU52" s="3">
        <v>2016.0</v>
      </c>
      <c r="AV52" s="3">
        <v>98.0</v>
      </c>
      <c r="AW52" s="3" t="s">
        <v>1324</v>
      </c>
      <c r="AX52" s="3" t="s">
        <v>1324</v>
      </c>
      <c r="AY52" s="3" t="s">
        <v>1324</v>
      </c>
      <c r="AZ52" s="3" t="s">
        <v>1324</v>
      </c>
      <c r="BA52" s="3" t="s">
        <v>1324</v>
      </c>
      <c r="BB52" s="3">
        <v>166.0</v>
      </c>
      <c r="BC52" s="3">
        <v>175.0</v>
      </c>
      <c r="BD52" s="3" t="s">
        <v>1324</v>
      </c>
      <c r="BE52" s="3" t="s">
        <v>1952</v>
      </c>
      <c r="BF52" s="25" t="str">
        <f>HYPERLINK("http://dx.doi.org/10.1016/j.orggeochem.2016.06.001","http://dx.doi.org/10.1016/j.orggeochem.2016.06.001")</f>
        <v>http://dx.doi.org/10.1016/j.orggeochem.2016.06.001</v>
      </c>
      <c r="BG52" s="3" t="s">
        <v>1324</v>
      </c>
      <c r="BH52" s="3" t="s">
        <v>1324</v>
      </c>
      <c r="BI52" s="3">
        <v>10.0</v>
      </c>
      <c r="BJ52" s="3" t="s">
        <v>3331</v>
      </c>
      <c r="BK52" s="3" t="s">
        <v>2407</v>
      </c>
      <c r="BL52" s="3" t="s">
        <v>3331</v>
      </c>
      <c r="BM52" s="3" t="s">
        <v>3332</v>
      </c>
      <c r="BN52" s="3" t="s">
        <v>1324</v>
      </c>
      <c r="BO52" s="3" t="s">
        <v>1324</v>
      </c>
      <c r="BP52" s="3" t="s">
        <v>1324</v>
      </c>
      <c r="BQ52" s="3" t="s">
        <v>1324</v>
      </c>
      <c r="BR52" s="3" t="s">
        <v>2383</v>
      </c>
      <c r="BS52" s="3" t="s">
        <v>3333</v>
      </c>
      <c r="BT52" s="3" t="str">
        <f>HYPERLINK("https%3A%2F%2Fwww.webofscience.com%2Fwos%2Fwoscc%2Ffull-record%2FWOS:000379782300014","View Full Record in Web of Science")</f>
        <v>View Full Record in Web of Science</v>
      </c>
    </row>
    <row r="53" ht="12.75" customHeight="1">
      <c r="A53" s="3" t="s">
        <v>26</v>
      </c>
      <c r="B53" s="3" t="s">
        <v>3334</v>
      </c>
      <c r="C53" s="3" t="s">
        <v>1324</v>
      </c>
      <c r="D53" s="3" t="s">
        <v>1324</v>
      </c>
      <c r="E53" s="3" t="s">
        <v>1324</v>
      </c>
      <c r="F53" s="3" t="s">
        <v>2098</v>
      </c>
      <c r="G53" s="3" t="s">
        <v>1324</v>
      </c>
      <c r="H53" s="3" t="s">
        <v>1324</v>
      </c>
      <c r="I53" s="3" t="s">
        <v>2099</v>
      </c>
      <c r="J53" s="3" t="s">
        <v>251</v>
      </c>
      <c r="K53" s="3" t="s">
        <v>1324</v>
      </c>
      <c r="L53" s="3" t="s">
        <v>1324</v>
      </c>
      <c r="M53" s="3" t="s">
        <v>2364</v>
      </c>
      <c r="N53" s="3" t="s">
        <v>38</v>
      </c>
      <c r="O53" s="3" t="s">
        <v>1324</v>
      </c>
      <c r="P53" s="3" t="s">
        <v>1324</v>
      </c>
      <c r="Q53" s="3" t="s">
        <v>1324</v>
      </c>
      <c r="R53" s="3" t="s">
        <v>1324</v>
      </c>
      <c r="S53" s="3" t="s">
        <v>1324</v>
      </c>
      <c r="T53" s="3" t="s">
        <v>3335</v>
      </c>
      <c r="U53" s="3" t="s">
        <v>3336</v>
      </c>
      <c r="V53" s="3" t="s">
        <v>3337</v>
      </c>
      <c r="W53" s="3" t="s">
        <v>3338</v>
      </c>
      <c r="X53" s="3" t="s">
        <v>3339</v>
      </c>
      <c r="Y53" s="3" t="s">
        <v>3340</v>
      </c>
      <c r="Z53" s="3" t="s">
        <v>3341</v>
      </c>
      <c r="AA53" s="3" t="s">
        <v>3342</v>
      </c>
      <c r="AB53" s="3" t="s">
        <v>3343</v>
      </c>
      <c r="AC53" s="3" t="s">
        <v>3344</v>
      </c>
      <c r="AD53" s="3" t="s">
        <v>3344</v>
      </c>
      <c r="AE53" s="3" t="s">
        <v>3345</v>
      </c>
      <c r="AF53" s="3" t="s">
        <v>1324</v>
      </c>
      <c r="AG53" s="3">
        <v>40.0</v>
      </c>
      <c r="AH53" s="3">
        <v>51.0</v>
      </c>
      <c r="AI53" s="3">
        <v>54.0</v>
      </c>
      <c r="AJ53" s="3">
        <v>1.0</v>
      </c>
      <c r="AK53" s="3">
        <v>66.0</v>
      </c>
      <c r="AL53" s="3" t="s">
        <v>2530</v>
      </c>
      <c r="AM53" s="3" t="s">
        <v>2531</v>
      </c>
      <c r="AN53" s="3" t="s">
        <v>2532</v>
      </c>
      <c r="AO53" s="3" t="s">
        <v>2939</v>
      </c>
      <c r="AP53" s="3" t="s">
        <v>2940</v>
      </c>
      <c r="AQ53" s="3" t="s">
        <v>1324</v>
      </c>
      <c r="AR53" s="3" t="s">
        <v>2941</v>
      </c>
      <c r="AS53" s="3" t="s">
        <v>2942</v>
      </c>
      <c r="AT53" s="3" t="s">
        <v>2515</v>
      </c>
      <c r="AU53" s="3">
        <v>2016.0</v>
      </c>
      <c r="AV53" s="3">
        <v>200.0</v>
      </c>
      <c r="AW53" s="3" t="s">
        <v>1324</v>
      </c>
      <c r="AX53" s="3" t="s">
        <v>1324</v>
      </c>
      <c r="AY53" s="3" t="s">
        <v>1324</v>
      </c>
      <c r="AZ53" s="3" t="s">
        <v>1324</v>
      </c>
      <c r="BA53" s="3" t="s">
        <v>1324</v>
      </c>
      <c r="BB53" s="3">
        <v>44.0</v>
      </c>
      <c r="BC53" s="3">
        <v>50.0</v>
      </c>
      <c r="BD53" s="3" t="s">
        <v>1324</v>
      </c>
      <c r="BE53" s="3" t="s">
        <v>2101</v>
      </c>
      <c r="BF53" s="25" t="str">
        <f>HYPERLINK("http://dx.doi.org/10.1016/j.biocon.2016.05.031","http://dx.doi.org/10.1016/j.biocon.2016.05.031")</f>
        <v>http://dx.doi.org/10.1016/j.biocon.2016.05.031</v>
      </c>
      <c r="BG53" s="3" t="s">
        <v>1324</v>
      </c>
      <c r="BH53" s="3" t="s">
        <v>1324</v>
      </c>
      <c r="BI53" s="3">
        <v>7.0</v>
      </c>
      <c r="BJ53" s="3" t="s">
        <v>255</v>
      </c>
      <c r="BK53" s="3" t="s">
        <v>2407</v>
      </c>
      <c r="BL53" s="3" t="s">
        <v>2577</v>
      </c>
      <c r="BM53" s="3" t="s">
        <v>3346</v>
      </c>
      <c r="BN53" s="3" t="s">
        <v>1324</v>
      </c>
      <c r="BO53" s="3" t="s">
        <v>2944</v>
      </c>
      <c r="BP53" s="3" t="s">
        <v>1324</v>
      </c>
      <c r="BQ53" s="3" t="s">
        <v>1324</v>
      </c>
      <c r="BR53" s="3" t="s">
        <v>2383</v>
      </c>
      <c r="BS53" s="3" t="s">
        <v>3347</v>
      </c>
      <c r="BT53" s="3" t="str">
        <f>HYPERLINK("https%3A%2F%2Fwww.webofscience.com%2Fwos%2Fwoscc%2Ffull-record%2FWOS:000381325300006","View Full Record in Web of Science")</f>
        <v>View Full Record in Web of Science</v>
      </c>
    </row>
    <row r="54" ht="12.75" customHeight="1">
      <c r="A54" s="3" t="s">
        <v>26</v>
      </c>
      <c r="B54" s="3" t="s">
        <v>3348</v>
      </c>
      <c r="C54" s="3" t="s">
        <v>1324</v>
      </c>
      <c r="D54" s="3" t="s">
        <v>1324</v>
      </c>
      <c r="E54" s="3" t="s">
        <v>1324</v>
      </c>
      <c r="F54" s="3" t="s">
        <v>2104</v>
      </c>
      <c r="G54" s="3" t="s">
        <v>1324</v>
      </c>
      <c r="H54" s="3" t="s">
        <v>1324</v>
      </c>
      <c r="I54" s="3" t="s">
        <v>2105</v>
      </c>
      <c r="J54" s="3" t="s">
        <v>251</v>
      </c>
      <c r="K54" s="3" t="s">
        <v>1324</v>
      </c>
      <c r="L54" s="3" t="s">
        <v>1324</v>
      </c>
      <c r="M54" s="3" t="s">
        <v>2364</v>
      </c>
      <c r="N54" s="3" t="s">
        <v>38</v>
      </c>
      <c r="O54" s="3" t="s">
        <v>1324</v>
      </c>
      <c r="P54" s="3" t="s">
        <v>1324</v>
      </c>
      <c r="Q54" s="3" t="s">
        <v>1324</v>
      </c>
      <c r="R54" s="3" t="s">
        <v>1324</v>
      </c>
      <c r="S54" s="3" t="s">
        <v>1324</v>
      </c>
      <c r="T54" s="3" t="s">
        <v>3349</v>
      </c>
      <c r="U54" s="3" t="s">
        <v>3350</v>
      </c>
      <c r="V54" s="3" t="s">
        <v>2106</v>
      </c>
      <c r="W54" s="3" t="s">
        <v>3351</v>
      </c>
      <c r="X54" s="3" t="s">
        <v>3352</v>
      </c>
      <c r="Y54" s="3" t="s">
        <v>3353</v>
      </c>
      <c r="Z54" s="3" t="s">
        <v>3354</v>
      </c>
      <c r="AA54" s="3" t="s">
        <v>3355</v>
      </c>
      <c r="AB54" s="3" t="s">
        <v>3356</v>
      </c>
      <c r="AC54" s="3" t="s">
        <v>3357</v>
      </c>
      <c r="AD54" s="3" t="s">
        <v>3357</v>
      </c>
      <c r="AE54" s="3" t="s">
        <v>3358</v>
      </c>
      <c r="AF54" s="3" t="s">
        <v>1324</v>
      </c>
      <c r="AG54" s="3">
        <v>47.0</v>
      </c>
      <c r="AH54" s="3">
        <v>40.0</v>
      </c>
      <c r="AI54" s="3">
        <v>43.0</v>
      </c>
      <c r="AJ54" s="3">
        <v>0.0</v>
      </c>
      <c r="AK54" s="3">
        <v>103.0</v>
      </c>
      <c r="AL54" s="3" t="s">
        <v>2530</v>
      </c>
      <c r="AM54" s="3" t="s">
        <v>2509</v>
      </c>
      <c r="AN54" s="3" t="s">
        <v>2646</v>
      </c>
      <c r="AO54" s="3" t="s">
        <v>2939</v>
      </c>
      <c r="AP54" s="3" t="s">
        <v>2940</v>
      </c>
      <c r="AQ54" s="3" t="s">
        <v>1324</v>
      </c>
      <c r="AR54" s="3" t="s">
        <v>2941</v>
      </c>
      <c r="AS54" s="3" t="s">
        <v>2942</v>
      </c>
      <c r="AT54" s="3" t="s">
        <v>2557</v>
      </c>
      <c r="AU54" s="3">
        <v>2016.0</v>
      </c>
      <c r="AV54" s="3">
        <v>199.0</v>
      </c>
      <c r="AW54" s="3" t="s">
        <v>1324</v>
      </c>
      <c r="AX54" s="3" t="s">
        <v>1324</v>
      </c>
      <c r="AY54" s="3" t="s">
        <v>1324</v>
      </c>
      <c r="AZ54" s="3" t="s">
        <v>1324</v>
      </c>
      <c r="BA54" s="3" t="s">
        <v>1324</v>
      </c>
      <c r="BB54" s="3">
        <v>1.0</v>
      </c>
      <c r="BC54" s="3">
        <v>9.0</v>
      </c>
      <c r="BD54" s="3" t="s">
        <v>1324</v>
      </c>
      <c r="BE54" s="3" t="s">
        <v>2107</v>
      </c>
      <c r="BF54" s="25" t="str">
        <f>HYPERLINK("http://dx.doi.org/10.1016/j.biocon.2016.04.013","http://dx.doi.org/10.1016/j.biocon.2016.04.013")</f>
        <v>http://dx.doi.org/10.1016/j.biocon.2016.04.013</v>
      </c>
      <c r="BG54" s="3" t="s">
        <v>1324</v>
      </c>
      <c r="BH54" s="3" t="s">
        <v>1324</v>
      </c>
      <c r="BI54" s="3">
        <v>9.0</v>
      </c>
      <c r="BJ54" s="3" t="s">
        <v>255</v>
      </c>
      <c r="BK54" s="3" t="s">
        <v>2407</v>
      </c>
      <c r="BL54" s="3" t="s">
        <v>2577</v>
      </c>
      <c r="BM54" s="3" t="s">
        <v>3359</v>
      </c>
      <c r="BN54" s="3" t="s">
        <v>1324</v>
      </c>
      <c r="BO54" s="3" t="s">
        <v>1324</v>
      </c>
      <c r="BP54" s="3" t="s">
        <v>1324</v>
      </c>
      <c r="BQ54" s="3" t="s">
        <v>1324</v>
      </c>
      <c r="BR54" s="3" t="s">
        <v>2383</v>
      </c>
      <c r="BS54" s="3" t="s">
        <v>3360</v>
      </c>
      <c r="BT54" s="3" t="str">
        <f>HYPERLINK("https%3A%2F%2Fwww.webofscience.com%2Fwos%2Fwoscc%2Ffull-record%2FWOS:000379559600001","View Full Record in Web of Science")</f>
        <v>View Full Record in Web of Science</v>
      </c>
    </row>
    <row r="55" ht="12.75" customHeight="1">
      <c r="A55" s="3" t="s">
        <v>26</v>
      </c>
      <c r="B55" s="3" t="s">
        <v>3361</v>
      </c>
      <c r="C55" s="3" t="s">
        <v>1324</v>
      </c>
      <c r="D55" s="3" t="s">
        <v>1324</v>
      </c>
      <c r="E55" s="3" t="s">
        <v>1324</v>
      </c>
      <c r="F55" s="3" t="s">
        <v>2210</v>
      </c>
      <c r="G55" s="3" t="s">
        <v>1324</v>
      </c>
      <c r="H55" s="3" t="s">
        <v>1324</v>
      </c>
      <c r="I55" s="3" t="s">
        <v>2211</v>
      </c>
      <c r="J55" s="3" t="s">
        <v>1824</v>
      </c>
      <c r="K55" s="3" t="s">
        <v>1324</v>
      </c>
      <c r="L55" s="3" t="s">
        <v>1324</v>
      </c>
      <c r="M55" s="3" t="s">
        <v>2364</v>
      </c>
      <c r="N55" s="3" t="s">
        <v>38</v>
      </c>
      <c r="O55" s="3" t="s">
        <v>1324</v>
      </c>
      <c r="P55" s="3" t="s">
        <v>1324</v>
      </c>
      <c r="Q55" s="3" t="s">
        <v>1324</v>
      </c>
      <c r="R55" s="3" t="s">
        <v>1324</v>
      </c>
      <c r="S55" s="3" t="s">
        <v>1324</v>
      </c>
      <c r="T55" s="3" t="s">
        <v>3362</v>
      </c>
      <c r="U55" s="3" t="s">
        <v>3363</v>
      </c>
      <c r="V55" s="3" t="s">
        <v>2212</v>
      </c>
      <c r="W55" s="3" t="s">
        <v>3364</v>
      </c>
      <c r="X55" s="3" t="s">
        <v>3365</v>
      </c>
      <c r="Y55" s="3" t="s">
        <v>3366</v>
      </c>
      <c r="Z55" s="3" t="s">
        <v>3367</v>
      </c>
      <c r="AA55" s="3" t="s">
        <v>3368</v>
      </c>
      <c r="AB55" s="3" t="s">
        <v>3369</v>
      </c>
      <c r="AC55" s="3" t="s">
        <v>3370</v>
      </c>
      <c r="AD55" s="3" t="s">
        <v>3371</v>
      </c>
      <c r="AE55" s="3" t="s">
        <v>3372</v>
      </c>
      <c r="AF55" s="3" t="s">
        <v>1324</v>
      </c>
      <c r="AG55" s="3">
        <v>185.0</v>
      </c>
      <c r="AH55" s="3">
        <v>112.0</v>
      </c>
      <c r="AI55" s="3">
        <v>119.0</v>
      </c>
      <c r="AJ55" s="3">
        <v>0.0</v>
      </c>
      <c r="AK55" s="3">
        <v>151.0</v>
      </c>
      <c r="AL55" s="3" t="s">
        <v>3250</v>
      </c>
      <c r="AM55" s="3" t="s">
        <v>3251</v>
      </c>
      <c r="AN55" s="3" t="s">
        <v>3252</v>
      </c>
      <c r="AO55" s="3" t="s">
        <v>3253</v>
      </c>
      <c r="AP55" s="3" t="s">
        <v>3254</v>
      </c>
      <c r="AQ55" s="3" t="s">
        <v>1324</v>
      </c>
      <c r="AR55" s="3" t="s">
        <v>3255</v>
      </c>
      <c r="AS55" s="3" t="s">
        <v>3256</v>
      </c>
      <c r="AT55" s="3" t="s">
        <v>2632</v>
      </c>
      <c r="AU55" s="3">
        <v>2016.0</v>
      </c>
      <c r="AV55" s="3">
        <v>25.0</v>
      </c>
      <c r="AW55" s="3">
        <v>7.0</v>
      </c>
      <c r="AX55" s="3" t="s">
        <v>1324</v>
      </c>
      <c r="AY55" s="3" t="s">
        <v>1324</v>
      </c>
      <c r="AZ55" s="3" t="s">
        <v>3257</v>
      </c>
      <c r="BA55" s="3" t="s">
        <v>1324</v>
      </c>
      <c r="BB55" s="3">
        <v>1319.0</v>
      </c>
      <c r="BC55" s="3">
        <v>1348.0</v>
      </c>
      <c r="BD55" s="3" t="s">
        <v>1324</v>
      </c>
      <c r="BE55" s="3" t="s">
        <v>2213</v>
      </c>
      <c r="BF55" s="25" t="str">
        <f>HYPERLINK("http://dx.doi.org/10.1007/s10531-016-1141-7","http://dx.doi.org/10.1007/s10531-016-1141-7")</f>
        <v>http://dx.doi.org/10.1007/s10531-016-1141-7</v>
      </c>
      <c r="BG55" s="3" t="s">
        <v>1324</v>
      </c>
      <c r="BH55" s="3" t="s">
        <v>1324</v>
      </c>
      <c r="BI55" s="3">
        <v>30.0</v>
      </c>
      <c r="BJ55" s="3" t="s">
        <v>255</v>
      </c>
      <c r="BK55" s="3" t="s">
        <v>2407</v>
      </c>
      <c r="BL55" s="3" t="s">
        <v>2577</v>
      </c>
      <c r="BM55" s="3" t="s">
        <v>3373</v>
      </c>
      <c r="BN55" s="3" t="s">
        <v>1324</v>
      </c>
      <c r="BO55" s="3" t="s">
        <v>2579</v>
      </c>
      <c r="BP55" s="3" t="s">
        <v>1324</v>
      </c>
      <c r="BQ55" s="3" t="s">
        <v>1324</v>
      </c>
      <c r="BR55" s="3" t="s">
        <v>2383</v>
      </c>
      <c r="BS55" s="3" t="s">
        <v>3374</v>
      </c>
      <c r="BT55" s="3" t="str">
        <f>HYPERLINK("https%3A%2F%2Fwww.webofscience.com%2Fwos%2Fwoscc%2Ffull-record%2FWOS:000379006400008","View Full Record in Web of Science")</f>
        <v>View Full Record in Web of Science</v>
      </c>
    </row>
    <row r="56" ht="12.75" customHeight="1">
      <c r="A56" s="3" t="s">
        <v>26</v>
      </c>
      <c r="B56" s="3" t="s">
        <v>3375</v>
      </c>
      <c r="C56" s="3" t="s">
        <v>1324</v>
      </c>
      <c r="D56" s="3" t="s">
        <v>1324</v>
      </c>
      <c r="E56" s="3" t="s">
        <v>1324</v>
      </c>
      <c r="F56" s="3" t="s">
        <v>2036</v>
      </c>
      <c r="G56" s="3" t="s">
        <v>1324</v>
      </c>
      <c r="H56" s="3" t="s">
        <v>1324</v>
      </c>
      <c r="I56" s="3" t="s">
        <v>2037</v>
      </c>
      <c r="J56" s="3" t="s">
        <v>2030</v>
      </c>
      <c r="K56" s="3" t="s">
        <v>1324</v>
      </c>
      <c r="L56" s="3" t="s">
        <v>1324</v>
      </c>
      <c r="M56" s="3" t="s">
        <v>2364</v>
      </c>
      <c r="N56" s="3" t="s">
        <v>38</v>
      </c>
      <c r="O56" s="3" t="s">
        <v>1324</v>
      </c>
      <c r="P56" s="3" t="s">
        <v>1324</v>
      </c>
      <c r="Q56" s="3" t="s">
        <v>1324</v>
      </c>
      <c r="R56" s="3" t="s">
        <v>1324</v>
      </c>
      <c r="S56" s="3" t="s">
        <v>1324</v>
      </c>
      <c r="T56" s="3" t="s">
        <v>3376</v>
      </c>
      <c r="U56" s="3" t="s">
        <v>3377</v>
      </c>
      <c r="V56" s="3" t="s">
        <v>2038</v>
      </c>
      <c r="W56" s="3" t="s">
        <v>3378</v>
      </c>
      <c r="X56" s="3" t="s">
        <v>3379</v>
      </c>
      <c r="Y56" s="3" t="s">
        <v>3380</v>
      </c>
      <c r="Z56" s="3" t="s">
        <v>3381</v>
      </c>
      <c r="AA56" s="3" t="s">
        <v>3382</v>
      </c>
      <c r="AB56" s="3" t="s">
        <v>3383</v>
      </c>
      <c r="AC56" s="3" t="s">
        <v>3384</v>
      </c>
      <c r="AD56" s="3" t="s">
        <v>3385</v>
      </c>
      <c r="AE56" s="3" t="s">
        <v>3386</v>
      </c>
      <c r="AF56" s="3" t="s">
        <v>1324</v>
      </c>
      <c r="AG56" s="3">
        <v>52.0</v>
      </c>
      <c r="AH56" s="3">
        <v>12.0</v>
      </c>
      <c r="AI56" s="3">
        <v>14.0</v>
      </c>
      <c r="AJ56" s="3">
        <v>0.0</v>
      </c>
      <c r="AK56" s="3">
        <v>16.0</v>
      </c>
      <c r="AL56" s="3" t="s">
        <v>2486</v>
      </c>
      <c r="AM56" s="3" t="s">
        <v>2487</v>
      </c>
      <c r="AN56" s="3" t="s">
        <v>2488</v>
      </c>
      <c r="AO56" s="3" t="s">
        <v>2855</v>
      </c>
      <c r="AP56" s="3" t="s">
        <v>2856</v>
      </c>
      <c r="AQ56" s="3" t="s">
        <v>1324</v>
      </c>
      <c r="AR56" s="3" t="s">
        <v>2857</v>
      </c>
      <c r="AS56" s="3" t="s">
        <v>2858</v>
      </c>
      <c r="AT56" s="3" t="s">
        <v>2651</v>
      </c>
      <c r="AU56" s="3">
        <v>2016.0</v>
      </c>
      <c r="AV56" s="3">
        <v>177.0</v>
      </c>
      <c r="AW56" s="3" t="s">
        <v>1324</v>
      </c>
      <c r="AX56" s="3" t="s">
        <v>1324</v>
      </c>
      <c r="AY56" s="3" t="s">
        <v>1324</v>
      </c>
      <c r="AZ56" s="3" t="s">
        <v>1324</v>
      </c>
      <c r="BA56" s="3" t="s">
        <v>1324</v>
      </c>
      <c r="BB56" s="3">
        <v>71.0</v>
      </c>
      <c r="BC56" s="3">
        <v>81.0</v>
      </c>
      <c r="BD56" s="3" t="s">
        <v>1324</v>
      </c>
      <c r="BE56" s="3" t="s">
        <v>2039</v>
      </c>
      <c r="BF56" s="25" t="str">
        <f>HYPERLINK("http://dx.doi.org/10.1016/j.fishres.2016.01.005","http://dx.doi.org/10.1016/j.fishres.2016.01.005")</f>
        <v>http://dx.doi.org/10.1016/j.fishres.2016.01.005</v>
      </c>
      <c r="BG56" s="3" t="s">
        <v>1324</v>
      </c>
      <c r="BH56" s="3" t="s">
        <v>1324</v>
      </c>
      <c r="BI56" s="3">
        <v>11.0</v>
      </c>
      <c r="BJ56" s="3" t="s">
        <v>2859</v>
      </c>
      <c r="BK56" s="3" t="s">
        <v>2407</v>
      </c>
      <c r="BL56" s="3" t="s">
        <v>2859</v>
      </c>
      <c r="BM56" s="3" t="s">
        <v>3387</v>
      </c>
      <c r="BN56" s="3" t="s">
        <v>1324</v>
      </c>
      <c r="BO56" s="3" t="s">
        <v>3388</v>
      </c>
      <c r="BP56" s="3" t="s">
        <v>1324</v>
      </c>
      <c r="BQ56" s="3" t="s">
        <v>1324</v>
      </c>
      <c r="BR56" s="3" t="s">
        <v>2383</v>
      </c>
      <c r="BS56" s="3" t="s">
        <v>3389</v>
      </c>
      <c r="BT56" s="3" t="str">
        <f>HYPERLINK("https%3A%2F%2Fwww.webofscience.com%2Fwos%2Fwoscc%2Ffull-record%2FWOS:000372378600009","View Full Record in Web of Science")</f>
        <v>View Full Record in Web of Science</v>
      </c>
    </row>
    <row r="57" ht="12.75" customHeight="1">
      <c r="A57" s="3" t="s">
        <v>26</v>
      </c>
      <c r="B57" s="3" t="s">
        <v>3390</v>
      </c>
      <c r="C57" s="3" t="s">
        <v>1324</v>
      </c>
      <c r="D57" s="3" t="s">
        <v>1324</v>
      </c>
      <c r="E57" s="3" t="s">
        <v>1324</v>
      </c>
      <c r="F57" s="3" t="s">
        <v>1975</v>
      </c>
      <c r="G57" s="3" t="s">
        <v>1324</v>
      </c>
      <c r="H57" s="3" t="s">
        <v>1324</v>
      </c>
      <c r="I57" s="3" t="s">
        <v>1977</v>
      </c>
      <c r="J57" s="3" t="s">
        <v>1976</v>
      </c>
      <c r="K57" s="3" t="s">
        <v>1324</v>
      </c>
      <c r="L57" s="3" t="s">
        <v>1324</v>
      </c>
      <c r="M57" s="3" t="s">
        <v>2364</v>
      </c>
      <c r="N57" s="3" t="s">
        <v>38</v>
      </c>
      <c r="O57" s="3" t="s">
        <v>1324</v>
      </c>
      <c r="P57" s="3" t="s">
        <v>1324</v>
      </c>
      <c r="Q57" s="3" t="s">
        <v>1324</v>
      </c>
      <c r="R57" s="3" t="s">
        <v>1324</v>
      </c>
      <c r="S57" s="3" t="s">
        <v>1324</v>
      </c>
      <c r="T57" s="3" t="s">
        <v>3391</v>
      </c>
      <c r="U57" s="3" t="s">
        <v>3392</v>
      </c>
      <c r="V57" s="3" t="s">
        <v>1978</v>
      </c>
      <c r="W57" s="3" t="s">
        <v>3393</v>
      </c>
      <c r="X57" s="3" t="s">
        <v>3394</v>
      </c>
      <c r="Y57" s="3" t="s">
        <v>3395</v>
      </c>
      <c r="Z57" s="3" t="s">
        <v>3396</v>
      </c>
      <c r="AA57" s="3" t="s">
        <v>3397</v>
      </c>
      <c r="AB57" s="3" t="s">
        <v>3398</v>
      </c>
      <c r="AC57" s="3" t="s">
        <v>3399</v>
      </c>
      <c r="AD57" s="3" t="s">
        <v>3400</v>
      </c>
      <c r="AE57" s="3" t="s">
        <v>3401</v>
      </c>
      <c r="AF57" s="3" t="s">
        <v>1324</v>
      </c>
      <c r="AG57" s="3">
        <v>60.0</v>
      </c>
      <c r="AH57" s="3">
        <v>92.0</v>
      </c>
      <c r="AI57" s="3">
        <v>100.0</v>
      </c>
      <c r="AJ57" s="3">
        <v>1.0</v>
      </c>
      <c r="AK57" s="3">
        <v>63.0</v>
      </c>
      <c r="AL57" s="3" t="s">
        <v>2530</v>
      </c>
      <c r="AM57" s="3" t="s">
        <v>2509</v>
      </c>
      <c r="AN57" s="3" t="s">
        <v>2646</v>
      </c>
      <c r="AO57" s="3" t="s">
        <v>3402</v>
      </c>
      <c r="AP57" s="3" t="s">
        <v>1324</v>
      </c>
      <c r="AQ57" s="3" t="s">
        <v>1324</v>
      </c>
      <c r="AR57" s="3" t="s">
        <v>3403</v>
      </c>
      <c r="AS57" s="3" t="s">
        <v>3404</v>
      </c>
      <c r="AT57" s="3" t="s">
        <v>2818</v>
      </c>
      <c r="AU57" s="3">
        <v>2016.0</v>
      </c>
      <c r="AV57" s="3">
        <v>42.0</v>
      </c>
      <c r="AW57" s="3">
        <v>1.0</v>
      </c>
      <c r="AX57" s="3" t="s">
        <v>1324</v>
      </c>
      <c r="AY57" s="3" t="s">
        <v>1324</v>
      </c>
      <c r="AZ57" s="3" t="s">
        <v>1324</v>
      </c>
      <c r="BA57" s="3" t="s">
        <v>1324</v>
      </c>
      <c r="BB57" s="3">
        <v>6.0</v>
      </c>
      <c r="BC57" s="3">
        <v>17.0</v>
      </c>
      <c r="BD57" s="3" t="s">
        <v>1324</v>
      </c>
      <c r="BE57" s="3" t="s">
        <v>1979</v>
      </c>
      <c r="BF57" s="25" t="str">
        <f>HYPERLINK("http://dx.doi.org/10.1016/j.jglr.2015.11.006","http://dx.doi.org/10.1016/j.jglr.2015.11.006")</f>
        <v>http://dx.doi.org/10.1016/j.jglr.2015.11.006</v>
      </c>
      <c r="BG57" s="3" t="s">
        <v>1324</v>
      </c>
      <c r="BH57" s="3" t="s">
        <v>1324</v>
      </c>
      <c r="BI57" s="3">
        <v>12.0</v>
      </c>
      <c r="BJ57" s="3" t="s">
        <v>3405</v>
      </c>
      <c r="BK57" s="3" t="s">
        <v>2407</v>
      </c>
      <c r="BL57" s="3" t="s">
        <v>2516</v>
      </c>
      <c r="BM57" s="3" t="s">
        <v>3406</v>
      </c>
      <c r="BN57" s="3" t="s">
        <v>1324</v>
      </c>
      <c r="BO57" s="3" t="s">
        <v>2496</v>
      </c>
      <c r="BP57" s="3" t="s">
        <v>1324</v>
      </c>
      <c r="BQ57" s="3" t="s">
        <v>1324</v>
      </c>
      <c r="BR57" s="3" t="s">
        <v>2383</v>
      </c>
      <c r="BS57" s="3" t="s">
        <v>3407</v>
      </c>
      <c r="BT57" s="3" t="str">
        <f>HYPERLINK("https%3A%2F%2Fwww.webofscience.com%2Fwos%2Fwoscc%2Ffull-record%2FWOS:000370115500002","View Full Record in Web of Science")</f>
        <v>View Full Record in Web of Science</v>
      </c>
    </row>
    <row r="58" ht="12.75" customHeight="1">
      <c r="A58" s="3" t="s">
        <v>26</v>
      </c>
      <c r="B58" s="3" t="s">
        <v>3408</v>
      </c>
      <c r="C58" s="3" t="s">
        <v>1324</v>
      </c>
      <c r="D58" s="3" t="s">
        <v>1324</v>
      </c>
      <c r="E58" s="3" t="s">
        <v>1324</v>
      </c>
      <c r="F58" s="3" t="s">
        <v>2215</v>
      </c>
      <c r="G58" s="3" t="s">
        <v>1324</v>
      </c>
      <c r="H58" s="3" t="s">
        <v>1324</v>
      </c>
      <c r="I58" s="3" t="s">
        <v>2216</v>
      </c>
      <c r="J58" s="3" t="s">
        <v>1824</v>
      </c>
      <c r="K58" s="3" t="s">
        <v>1324</v>
      </c>
      <c r="L58" s="3" t="s">
        <v>1324</v>
      </c>
      <c r="M58" s="3" t="s">
        <v>2364</v>
      </c>
      <c r="N58" s="3" t="s">
        <v>38</v>
      </c>
      <c r="O58" s="3" t="s">
        <v>1324</v>
      </c>
      <c r="P58" s="3" t="s">
        <v>1324</v>
      </c>
      <c r="Q58" s="3" t="s">
        <v>1324</v>
      </c>
      <c r="R58" s="3" t="s">
        <v>1324</v>
      </c>
      <c r="S58" s="3" t="s">
        <v>1324</v>
      </c>
      <c r="T58" s="3" t="s">
        <v>3409</v>
      </c>
      <c r="U58" s="3" t="s">
        <v>3410</v>
      </c>
      <c r="V58" s="3" t="s">
        <v>2217</v>
      </c>
      <c r="W58" s="3" t="s">
        <v>3411</v>
      </c>
      <c r="X58" s="3" t="s">
        <v>3412</v>
      </c>
      <c r="Y58" s="3" t="s">
        <v>3413</v>
      </c>
      <c r="Z58" s="3" t="s">
        <v>3414</v>
      </c>
      <c r="AA58" s="3" t="s">
        <v>3415</v>
      </c>
      <c r="AB58" s="3" t="s">
        <v>3416</v>
      </c>
      <c r="AC58" s="3" t="s">
        <v>1324</v>
      </c>
      <c r="AD58" s="3" t="s">
        <v>1324</v>
      </c>
      <c r="AE58" s="3" t="s">
        <v>1324</v>
      </c>
      <c r="AF58" s="3" t="s">
        <v>1324</v>
      </c>
      <c r="AG58" s="3">
        <v>77.0</v>
      </c>
      <c r="AH58" s="3">
        <v>162.0</v>
      </c>
      <c r="AI58" s="3">
        <v>181.0</v>
      </c>
      <c r="AJ58" s="3">
        <v>3.0</v>
      </c>
      <c r="AK58" s="3">
        <v>127.0</v>
      </c>
      <c r="AL58" s="3" t="s">
        <v>3250</v>
      </c>
      <c r="AM58" s="3" t="s">
        <v>3251</v>
      </c>
      <c r="AN58" s="3" t="s">
        <v>3252</v>
      </c>
      <c r="AO58" s="3" t="s">
        <v>3253</v>
      </c>
      <c r="AP58" s="3" t="s">
        <v>3254</v>
      </c>
      <c r="AQ58" s="3" t="s">
        <v>1324</v>
      </c>
      <c r="AR58" s="3" t="s">
        <v>3255</v>
      </c>
      <c r="AS58" s="3" t="s">
        <v>3256</v>
      </c>
      <c r="AT58" s="3" t="s">
        <v>2818</v>
      </c>
      <c r="AU58" s="3">
        <v>2016.0</v>
      </c>
      <c r="AV58" s="3">
        <v>25.0</v>
      </c>
      <c r="AW58" s="3">
        <v>2.0</v>
      </c>
      <c r="AX58" s="3" t="s">
        <v>1324</v>
      </c>
      <c r="AY58" s="3" t="s">
        <v>1324</v>
      </c>
      <c r="AZ58" s="3" t="s">
        <v>1324</v>
      </c>
      <c r="BA58" s="3" t="s">
        <v>1324</v>
      </c>
      <c r="BB58" s="3">
        <v>205.0</v>
      </c>
      <c r="BC58" s="3">
        <v>223.0</v>
      </c>
      <c r="BD58" s="3" t="s">
        <v>1324</v>
      </c>
      <c r="BE58" s="3" t="s">
        <v>2218</v>
      </c>
      <c r="BF58" s="25" t="str">
        <f>HYPERLINK("http://dx.doi.org/10.1007/s10531-015-1036-z","http://dx.doi.org/10.1007/s10531-015-1036-z")</f>
        <v>http://dx.doi.org/10.1007/s10531-015-1036-z</v>
      </c>
      <c r="BG58" s="3" t="s">
        <v>1324</v>
      </c>
      <c r="BH58" s="3" t="s">
        <v>1324</v>
      </c>
      <c r="BI58" s="3">
        <v>19.0</v>
      </c>
      <c r="BJ58" s="3" t="s">
        <v>255</v>
      </c>
      <c r="BK58" s="3" t="s">
        <v>2878</v>
      </c>
      <c r="BL58" s="3" t="s">
        <v>2577</v>
      </c>
      <c r="BM58" s="3" t="s">
        <v>3417</v>
      </c>
      <c r="BN58" s="3" t="s">
        <v>1324</v>
      </c>
      <c r="BO58" s="3" t="s">
        <v>1324</v>
      </c>
      <c r="BP58" s="3" t="s">
        <v>1324</v>
      </c>
      <c r="BQ58" s="3" t="s">
        <v>1324</v>
      </c>
      <c r="BR58" s="3" t="s">
        <v>2383</v>
      </c>
      <c r="BS58" s="3" t="s">
        <v>3418</v>
      </c>
      <c r="BT58" s="3" t="str">
        <f>HYPERLINK("https%3A%2F%2Fwww.webofscience.com%2Fwos%2Fwoscc%2Ffull-record%2FWOS:000370137100001","View Full Record in Web of Science")</f>
        <v>View Full Record in Web of Science</v>
      </c>
    </row>
    <row r="59" ht="12.75" customHeight="1">
      <c r="A59" s="3" t="s">
        <v>26</v>
      </c>
      <c r="B59" s="3" t="s">
        <v>3419</v>
      </c>
      <c r="C59" s="3" t="s">
        <v>1324</v>
      </c>
      <c r="D59" s="3" t="s">
        <v>1324</v>
      </c>
      <c r="E59" s="3" t="s">
        <v>1324</v>
      </c>
      <c r="F59" s="3" t="s">
        <v>1704</v>
      </c>
      <c r="G59" s="3" t="s">
        <v>1324</v>
      </c>
      <c r="H59" s="3" t="s">
        <v>1324</v>
      </c>
      <c r="I59" s="3" t="s">
        <v>1705</v>
      </c>
      <c r="J59" s="3" t="s">
        <v>1587</v>
      </c>
      <c r="K59" s="3" t="s">
        <v>1324</v>
      </c>
      <c r="L59" s="3" t="s">
        <v>1324</v>
      </c>
      <c r="M59" s="3" t="s">
        <v>2364</v>
      </c>
      <c r="N59" s="3" t="s">
        <v>38</v>
      </c>
      <c r="O59" s="3" t="s">
        <v>1324</v>
      </c>
      <c r="P59" s="3" t="s">
        <v>1324</v>
      </c>
      <c r="Q59" s="3" t="s">
        <v>1324</v>
      </c>
      <c r="R59" s="3" t="s">
        <v>1324</v>
      </c>
      <c r="S59" s="3" t="s">
        <v>1324</v>
      </c>
      <c r="T59" s="3" t="s">
        <v>3420</v>
      </c>
      <c r="U59" s="3" t="s">
        <v>3421</v>
      </c>
      <c r="V59" s="3" t="s">
        <v>1706</v>
      </c>
      <c r="W59" s="3" t="s">
        <v>3422</v>
      </c>
      <c r="X59" s="3" t="s">
        <v>3423</v>
      </c>
      <c r="Y59" s="3" t="s">
        <v>3424</v>
      </c>
      <c r="Z59" s="3" t="s">
        <v>3425</v>
      </c>
      <c r="AA59" s="3" t="s">
        <v>3426</v>
      </c>
      <c r="AB59" s="3" t="s">
        <v>3427</v>
      </c>
      <c r="AC59" s="3" t="s">
        <v>3428</v>
      </c>
      <c r="AD59" s="3" t="s">
        <v>3429</v>
      </c>
      <c r="AE59" s="3" t="s">
        <v>3430</v>
      </c>
      <c r="AF59" s="3" t="s">
        <v>1324</v>
      </c>
      <c r="AG59" s="3">
        <v>55.0</v>
      </c>
      <c r="AH59" s="3">
        <v>80.0</v>
      </c>
      <c r="AI59" s="3">
        <v>90.0</v>
      </c>
      <c r="AJ59" s="3">
        <v>0.0</v>
      </c>
      <c r="AK59" s="3">
        <v>112.0</v>
      </c>
      <c r="AL59" s="3" t="s">
        <v>2464</v>
      </c>
      <c r="AM59" s="3" t="s">
        <v>2465</v>
      </c>
      <c r="AN59" s="3" t="s">
        <v>2466</v>
      </c>
      <c r="AO59" s="3" t="s">
        <v>3431</v>
      </c>
      <c r="AP59" s="3" t="s">
        <v>3432</v>
      </c>
      <c r="AQ59" s="3" t="s">
        <v>1324</v>
      </c>
      <c r="AR59" s="3" t="s">
        <v>3433</v>
      </c>
      <c r="AS59" s="3" t="s">
        <v>3434</v>
      </c>
      <c r="AT59" s="3" t="s">
        <v>2818</v>
      </c>
      <c r="AU59" s="3">
        <v>2016.0</v>
      </c>
      <c r="AV59" s="3">
        <v>30.0</v>
      </c>
      <c r="AW59" s="3">
        <v>1.0</v>
      </c>
      <c r="AX59" s="3" t="s">
        <v>1324</v>
      </c>
      <c r="AY59" s="3" t="s">
        <v>1324</v>
      </c>
      <c r="AZ59" s="3" t="s">
        <v>1324</v>
      </c>
      <c r="BA59" s="3" t="s">
        <v>1324</v>
      </c>
      <c r="BB59" s="3">
        <v>142.0</v>
      </c>
      <c r="BC59" s="3">
        <v>153.0</v>
      </c>
      <c r="BD59" s="3" t="s">
        <v>1324</v>
      </c>
      <c r="BE59" s="3" t="s">
        <v>1707</v>
      </c>
      <c r="BF59" s="25" t="str">
        <f>HYPERLINK("http://dx.doi.org/10.1111/cobi.12576","http://dx.doi.org/10.1111/cobi.12576")</f>
        <v>http://dx.doi.org/10.1111/cobi.12576</v>
      </c>
      <c r="BG59" s="3" t="s">
        <v>1324</v>
      </c>
      <c r="BH59" s="3" t="s">
        <v>1324</v>
      </c>
      <c r="BI59" s="3">
        <v>12.0</v>
      </c>
      <c r="BJ59" s="3" t="s">
        <v>255</v>
      </c>
      <c r="BK59" s="3" t="s">
        <v>2407</v>
      </c>
      <c r="BL59" s="3" t="s">
        <v>2577</v>
      </c>
      <c r="BM59" s="3" t="s">
        <v>3435</v>
      </c>
      <c r="BN59" s="3">
        <v>2.613281E7</v>
      </c>
      <c r="BO59" s="3" t="s">
        <v>2715</v>
      </c>
      <c r="BP59" s="3" t="s">
        <v>1324</v>
      </c>
      <c r="BQ59" s="3" t="s">
        <v>1324</v>
      </c>
      <c r="BR59" s="3" t="s">
        <v>2383</v>
      </c>
      <c r="BS59" s="3" t="s">
        <v>3436</v>
      </c>
      <c r="BT59" s="3" t="str">
        <f>HYPERLINK("https%3A%2F%2Fwww.webofscience.com%2Fwos%2Fwoscc%2Ffull-record%2FWOS:000368938000016","View Full Record in Web of Science")</f>
        <v>View Full Record in Web of Science</v>
      </c>
    </row>
    <row r="60" ht="12.75" customHeight="1">
      <c r="A60" s="3" t="s">
        <v>26</v>
      </c>
      <c r="B60" s="3" t="s">
        <v>3437</v>
      </c>
      <c r="C60" s="3" t="s">
        <v>1324</v>
      </c>
      <c r="D60" s="3" t="s">
        <v>1324</v>
      </c>
      <c r="E60" s="3" t="s">
        <v>1324</v>
      </c>
      <c r="F60" s="3" t="s">
        <v>1930</v>
      </c>
      <c r="G60" s="3" t="s">
        <v>1324</v>
      </c>
      <c r="H60" s="3" t="s">
        <v>1324</v>
      </c>
      <c r="I60" s="3" t="s">
        <v>1931</v>
      </c>
      <c r="J60" s="3" t="s">
        <v>1925</v>
      </c>
      <c r="K60" s="3" t="s">
        <v>1324</v>
      </c>
      <c r="L60" s="3" t="s">
        <v>1324</v>
      </c>
      <c r="M60" s="3" t="s">
        <v>2364</v>
      </c>
      <c r="N60" s="3" t="s">
        <v>38</v>
      </c>
      <c r="O60" s="3" t="s">
        <v>1324</v>
      </c>
      <c r="P60" s="3" t="s">
        <v>1324</v>
      </c>
      <c r="Q60" s="3" t="s">
        <v>1324</v>
      </c>
      <c r="R60" s="3" t="s">
        <v>1324</v>
      </c>
      <c r="S60" s="3" t="s">
        <v>1324</v>
      </c>
      <c r="T60" s="3" t="s">
        <v>3438</v>
      </c>
      <c r="U60" s="3" t="s">
        <v>3439</v>
      </c>
      <c r="V60" s="3" t="s">
        <v>1932</v>
      </c>
      <c r="W60" s="3" t="s">
        <v>3440</v>
      </c>
      <c r="X60" s="3" t="s">
        <v>3441</v>
      </c>
      <c r="Y60" s="3" t="s">
        <v>3442</v>
      </c>
      <c r="Z60" s="3" t="s">
        <v>3443</v>
      </c>
      <c r="AA60" s="3" t="s">
        <v>3444</v>
      </c>
      <c r="AB60" s="3" t="s">
        <v>3445</v>
      </c>
      <c r="AC60" s="3" t="s">
        <v>3446</v>
      </c>
      <c r="AD60" s="3" t="s">
        <v>3447</v>
      </c>
      <c r="AE60" s="3" t="s">
        <v>3448</v>
      </c>
      <c r="AF60" s="3" t="s">
        <v>1324</v>
      </c>
      <c r="AG60" s="3">
        <v>86.0</v>
      </c>
      <c r="AH60" s="3">
        <v>49.0</v>
      </c>
      <c r="AI60" s="3">
        <v>53.0</v>
      </c>
      <c r="AJ60" s="3">
        <v>1.0</v>
      </c>
      <c r="AK60" s="3">
        <v>21.0</v>
      </c>
      <c r="AL60" s="3" t="s">
        <v>2486</v>
      </c>
      <c r="AM60" s="3" t="s">
        <v>2487</v>
      </c>
      <c r="AN60" s="3" t="s">
        <v>2488</v>
      </c>
      <c r="AO60" s="3" t="s">
        <v>3272</v>
      </c>
      <c r="AP60" s="3" t="s">
        <v>1324</v>
      </c>
      <c r="AQ60" s="3" t="s">
        <v>1324</v>
      </c>
      <c r="AR60" s="3" t="s">
        <v>3273</v>
      </c>
      <c r="AS60" s="3" t="s">
        <v>3274</v>
      </c>
      <c r="AT60" s="3" t="s">
        <v>3208</v>
      </c>
      <c r="AU60" s="3">
        <v>2016.0</v>
      </c>
      <c r="AV60" s="3">
        <v>3.0</v>
      </c>
      <c r="AW60" s="3" t="s">
        <v>1324</v>
      </c>
      <c r="AX60" s="3" t="s">
        <v>1324</v>
      </c>
      <c r="AY60" s="3" t="s">
        <v>1324</v>
      </c>
      <c r="AZ60" s="3" t="s">
        <v>1324</v>
      </c>
      <c r="BA60" s="3" t="s">
        <v>1324</v>
      </c>
      <c r="BB60" s="3">
        <v>107.0</v>
      </c>
      <c r="BC60" s="3">
        <v>118.0</v>
      </c>
      <c r="BD60" s="3" t="s">
        <v>1324</v>
      </c>
      <c r="BE60" s="3" t="s">
        <v>1933</v>
      </c>
      <c r="BF60" s="25" t="str">
        <f>HYPERLINK("http://dx.doi.org/10.1016/j.rsma.2015.06.001","http://dx.doi.org/10.1016/j.rsma.2015.06.001")</f>
        <v>http://dx.doi.org/10.1016/j.rsma.2015.06.001</v>
      </c>
      <c r="BG60" s="3" t="s">
        <v>1324</v>
      </c>
      <c r="BH60" s="3" t="s">
        <v>1324</v>
      </c>
      <c r="BI60" s="3">
        <v>12.0</v>
      </c>
      <c r="BJ60" s="3" t="s">
        <v>130</v>
      </c>
      <c r="BK60" s="3" t="s">
        <v>2407</v>
      </c>
      <c r="BL60" s="3" t="s">
        <v>2516</v>
      </c>
      <c r="BM60" s="3" t="s">
        <v>3449</v>
      </c>
      <c r="BN60" s="3" t="s">
        <v>1324</v>
      </c>
      <c r="BO60" s="3" t="s">
        <v>1324</v>
      </c>
      <c r="BP60" s="3" t="s">
        <v>1324</v>
      </c>
      <c r="BQ60" s="3" t="s">
        <v>1324</v>
      </c>
      <c r="BR60" s="3" t="s">
        <v>2383</v>
      </c>
      <c r="BS60" s="3" t="s">
        <v>3450</v>
      </c>
      <c r="BT60" s="3" t="str">
        <f>HYPERLINK("https%3A%2F%2Fwww.webofscience.com%2Fwos%2Fwoscc%2Ffull-record%2FWOS:000414755500014","View Full Record in Web of Science")</f>
        <v>View Full Record in Web of Science</v>
      </c>
    </row>
    <row r="61" ht="12.75" customHeight="1">
      <c r="A61" s="3" t="s">
        <v>2433</v>
      </c>
      <c r="B61" s="3" t="s">
        <v>3451</v>
      </c>
      <c r="C61" s="3" t="s">
        <v>1324</v>
      </c>
      <c r="D61" s="3" t="s">
        <v>3452</v>
      </c>
      <c r="E61" s="3" t="s">
        <v>1324</v>
      </c>
      <c r="F61" s="3" t="s">
        <v>2232</v>
      </c>
      <c r="G61" s="3" t="s">
        <v>1324</v>
      </c>
      <c r="H61" s="3" t="s">
        <v>1324</v>
      </c>
      <c r="I61" s="3" t="s">
        <v>3453</v>
      </c>
      <c r="J61" s="3" t="s">
        <v>3454</v>
      </c>
      <c r="K61" s="3" t="s">
        <v>1324</v>
      </c>
      <c r="L61" s="3" t="s">
        <v>1324</v>
      </c>
      <c r="M61" s="3" t="s">
        <v>2364</v>
      </c>
      <c r="N61" s="3" t="s">
        <v>2437</v>
      </c>
      <c r="O61" s="3" t="s">
        <v>1324</v>
      </c>
      <c r="P61" s="3" t="s">
        <v>1324</v>
      </c>
      <c r="Q61" s="3" t="s">
        <v>1324</v>
      </c>
      <c r="R61" s="3" t="s">
        <v>1324</v>
      </c>
      <c r="S61" s="3" t="s">
        <v>1324</v>
      </c>
      <c r="T61" s="3" t="s">
        <v>1324</v>
      </c>
      <c r="U61" s="3" t="s">
        <v>3455</v>
      </c>
      <c r="V61" s="3" t="s">
        <v>1324</v>
      </c>
      <c r="W61" s="3" t="s">
        <v>3456</v>
      </c>
      <c r="X61" s="3" t="s">
        <v>3457</v>
      </c>
      <c r="Y61" s="3" t="s">
        <v>3458</v>
      </c>
      <c r="Z61" s="3" t="s">
        <v>3459</v>
      </c>
      <c r="AA61" s="3" t="s">
        <v>3460</v>
      </c>
      <c r="AB61" s="3" t="s">
        <v>1324</v>
      </c>
      <c r="AC61" s="3" t="s">
        <v>1324</v>
      </c>
      <c r="AD61" s="3" t="s">
        <v>1324</v>
      </c>
      <c r="AE61" s="3" t="s">
        <v>1324</v>
      </c>
      <c r="AF61" s="3" t="s">
        <v>1324</v>
      </c>
      <c r="AG61" s="3">
        <v>157.0</v>
      </c>
      <c r="AH61" s="3">
        <v>1.0</v>
      </c>
      <c r="AI61" s="3">
        <v>1.0</v>
      </c>
      <c r="AJ61" s="3">
        <v>0.0</v>
      </c>
      <c r="AK61" s="3">
        <v>11.0</v>
      </c>
      <c r="AL61" s="3" t="s">
        <v>3461</v>
      </c>
      <c r="AM61" s="3" t="s">
        <v>3462</v>
      </c>
      <c r="AN61" s="3" t="s">
        <v>3463</v>
      </c>
      <c r="AO61" s="3" t="s">
        <v>1324</v>
      </c>
      <c r="AP61" s="3" t="s">
        <v>1324</v>
      </c>
      <c r="AQ61" s="3" t="s">
        <v>3464</v>
      </c>
      <c r="AR61" s="3" t="s">
        <v>1324</v>
      </c>
      <c r="AS61" s="3" t="s">
        <v>1324</v>
      </c>
      <c r="AT61" s="3" t="s">
        <v>1324</v>
      </c>
      <c r="AU61" s="3">
        <v>2016.0</v>
      </c>
      <c r="AV61" s="3" t="s">
        <v>1324</v>
      </c>
      <c r="AW61" s="3" t="s">
        <v>1324</v>
      </c>
      <c r="AX61" s="3" t="s">
        <v>1324</v>
      </c>
      <c r="AY61" s="3" t="s">
        <v>1324</v>
      </c>
      <c r="AZ61" s="3" t="s">
        <v>1324</v>
      </c>
      <c r="BA61" s="3" t="s">
        <v>1324</v>
      </c>
      <c r="BB61" s="3">
        <v>251.0</v>
      </c>
      <c r="BC61" s="3">
        <v>271.0</v>
      </c>
      <c r="BD61" s="3" t="s">
        <v>1324</v>
      </c>
      <c r="BE61" s="3" t="s">
        <v>2236</v>
      </c>
      <c r="BF61" s="25" t="str">
        <f>HYPERLINK("http://dx.doi.org/10.1002/wene.41","http://dx.doi.org/10.1002/wene.41")</f>
        <v>http://dx.doi.org/10.1002/wene.41</v>
      </c>
      <c r="BG61" s="3" t="s">
        <v>3465</v>
      </c>
      <c r="BH61" s="3" t="s">
        <v>1324</v>
      </c>
      <c r="BI61" s="3">
        <v>21.0</v>
      </c>
      <c r="BJ61" s="3" t="s">
        <v>3466</v>
      </c>
      <c r="BK61" s="3" t="s">
        <v>2448</v>
      </c>
      <c r="BL61" s="3" t="s">
        <v>3467</v>
      </c>
      <c r="BM61" s="3" t="s">
        <v>3468</v>
      </c>
      <c r="BN61" s="3" t="s">
        <v>1324</v>
      </c>
      <c r="BO61" s="3" t="s">
        <v>1324</v>
      </c>
      <c r="BP61" s="3" t="s">
        <v>1324</v>
      </c>
      <c r="BQ61" s="3" t="s">
        <v>1324</v>
      </c>
      <c r="BR61" s="3" t="s">
        <v>2383</v>
      </c>
      <c r="BS61" s="3" t="s">
        <v>3469</v>
      </c>
      <c r="BT61" s="3" t="str">
        <f>HYPERLINK("https%3A%2F%2Fwww.webofscience.com%2Fwos%2Fwoscc%2Ffull-record%2FWOS:000385226400017","View Full Record in Web of Science")</f>
        <v>View Full Record in Web of Science</v>
      </c>
    </row>
    <row r="62" ht="12.75" customHeight="1">
      <c r="A62" s="3" t="s">
        <v>26</v>
      </c>
      <c r="B62" s="3" t="s">
        <v>3470</v>
      </c>
      <c r="C62" s="3" t="s">
        <v>1324</v>
      </c>
      <c r="D62" s="3" t="s">
        <v>1324</v>
      </c>
      <c r="E62" s="3" t="s">
        <v>1324</v>
      </c>
      <c r="F62" s="3" t="s">
        <v>2047</v>
      </c>
      <c r="G62" s="3" t="s">
        <v>1324</v>
      </c>
      <c r="H62" s="3" t="s">
        <v>1324</v>
      </c>
      <c r="I62" s="3" t="s">
        <v>2049</v>
      </c>
      <c r="J62" s="3" t="s">
        <v>2048</v>
      </c>
      <c r="K62" s="3" t="s">
        <v>1324</v>
      </c>
      <c r="L62" s="3" t="s">
        <v>1324</v>
      </c>
      <c r="M62" s="3" t="s">
        <v>2364</v>
      </c>
      <c r="N62" s="3" t="s">
        <v>38</v>
      </c>
      <c r="O62" s="3" t="s">
        <v>1324</v>
      </c>
      <c r="P62" s="3" t="s">
        <v>1324</v>
      </c>
      <c r="Q62" s="3" t="s">
        <v>1324</v>
      </c>
      <c r="R62" s="3" t="s">
        <v>1324</v>
      </c>
      <c r="S62" s="3" t="s">
        <v>1324</v>
      </c>
      <c r="T62" s="3" t="s">
        <v>3471</v>
      </c>
      <c r="U62" s="3" t="s">
        <v>3472</v>
      </c>
      <c r="V62" s="3" t="s">
        <v>2050</v>
      </c>
      <c r="W62" s="3" t="s">
        <v>3473</v>
      </c>
      <c r="X62" s="3" t="s">
        <v>3474</v>
      </c>
      <c r="Y62" s="3" t="s">
        <v>3475</v>
      </c>
      <c r="Z62" s="3" t="s">
        <v>3476</v>
      </c>
      <c r="AA62" s="3" t="s">
        <v>3477</v>
      </c>
      <c r="AB62" s="3" t="s">
        <v>3478</v>
      </c>
      <c r="AC62" s="3" t="s">
        <v>3479</v>
      </c>
      <c r="AD62" s="3" t="s">
        <v>3480</v>
      </c>
      <c r="AE62" s="3" t="s">
        <v>3481</v>
      </c>
      <c r="AF62" s="3" t="s">
        <v>1324</v>
      </c>
      <c r="AG62" s="3">
        <v>48.0</v>
      </c>
      <c r="AH62" s="3">
        <v>12.0</v>
      </c>
      <c r="AI62" s="3">
        <v>16.0</v>
      </c>
      <c r="AJ62" s="3">
        <v>3.0</v>
      </c>
      <c r="AK62" s="3">
        <v>79.0</v>
      </c>
      <c r="AL62" s="3" t="s">
        <v>3482</v>
      </c>
      <c r="AM62" s="3" t="s">
        <v>3483</v>
      </c>
      <c r="AN62" s="3" t="s">
        <v>3484</v>
      </c>
      <c r="AO62" s="3" t="s">
        <v>3485</v>
      </c>
      <c r="AP62" s="3" t="s">
        <v>3486</v>
      </c>
      <c r="AQ62" s="3" t="s">
        <v>1324</v>
      </c>
      <c r="AR62" s="3" t="s">
        <v>3487</v>
      </c>
      <c r="AS62" s="3" t="s">
        <v>3488</v>
      </c>
      <c r="AT62" s="3" t="s">
        <v>3208</v>
      </c>
      <c r="AU62" s="3">
        <v>2016.0</v>
      </c>
      <c r="AV62" s="3">
        <v>144.0</v>
      </c>
      <c r="AW62" s="3" t="s">
        <v>1324</v>
      </c>
      <c r="AX62" s="3" t="s">
        <v>2433</v>
      </c>
      <c r="AY62" s="3" t="s">
        <v>1324</v>
      </c>
      <c r="AZ62" s="3" t="s">
        <v>3257</v>
      </c>
      <c r="BA62" s="3" t="s">
        <v>1324</v>
      </c>
      <c r="BB62" s="3">
        <v>64.0</v>
      </c>
      <c r="BC62" s="3">
        <v>71.0</v>
      </c>
      <c r="BD62" s="3" t="s">
        <v>1324</v>
      </c>
      <c r="BE62" s="3" t="s">
        <v>2051</v>
      </c>
      <c r="BF62" s="25" t="str">
        <f>HYPERLINK("http://dx.doi.org/10.1016/j.envres.2015.09.002","http://dx.doi.org/10.1016/j.envres.2015.09.002")</f>
        <v>http://dx.doi.org/10.1016/j.envres.2015.09.002</v>
      </c>
      <c r="BG62" s="3" t="s">
        <v>1324</v>
      </c>
      <c r="BH62" s="3" t="s">
        <v>1324</v>
      </c>
      <c r="BI62" s="3">
        <v>8.0</v>
      </c>
      <c r="BJ62" s="3" t="s">
        <v>3489</v>
      </c>
      <c r="BK62" s="3" t="s">
        <v>2407</v>
      </c>
      <c r="BL62" s="3" t="s">
        <v>3490</v>
      </c>
      <c r="BM62" s="3" t="s">
        <v>3491</v>
      </c>
      <c r="BN62" s="3">
        <v>2.6386629E7</v>
      </c>
      <c r="BO62" s="3" t="s">
        <v>1324</v>
      </c>
      <c r="BP62" s="3" t="s">
        <v>1324</v>
      </c>
      <c r="BQ62" s="3" t="s">
        <v>1324</v>
      </c>
      <c r="BR62" s="3" t="s">
        <v>2383</v>
      </c>
      <c r="BS62" s="3" t="s">
        <v>3492</v>
      </c>
      <c r="BT62" s="3" t="str">
        <f>HYPERLINK("https%3A%2F%2Fwww.webofscience.com%2Fwos%2Fwoscc%2Ffull-record%2FWOS:000366443200007","View Full Record in Web of Science")</f>
        <v>View Full Record in Web of Science</v>
      </c>
    </row>
    <row r="63" ht="12.75" customHeight="1">
      <c r="A63" s="3" t="s">
        <v>26</v>
      </c>
      <c r="B63" s="3" t="s">
        <v>3493</v>
      </c>
      <c r="C63" s="3" t="s">
        <v>1324</v>
      </c>
      <c r="D63" s="3" t="s">
        <v>1324</v>
      </c>
      <c r="E63" s="3" t="s">
        <v>1324</v>
      </c>
      <c r="F63" s="3" t="s">
        <v>1650</v>
      </c>
      <c r="G63" s="3" t="s">
        <v>1324</v>
      </c>
      <c r="H63" s="3" t="s">
        <v>1324</v>
      </c>
      <c r="I63" s="3" t="s">
        <v>1651</v>
      </c>
      <c r="J63" s="3" t="s">
        <v>774</v>
      </c>
      <c r="K63" s="3" t="s">
        <v>1324</v>
      </c>
      <c r="L63" s="3" t="s">
        <v>1324</v>
      </c>
      <c r="M63" s="3" t="s">
        <v>2364</v>
      </c>
      <c r="N63" s="3" t="s">
        <v>38</v>
      </c>
      <c r="O63" s="3" t="s">
        <v>1324</v>
      </c>
      <c r="P63" s="3" t="s">
        <v>1324</v>
      </c>
      <c r="Q63" s="3" t="s">
        <v>1324</v>
      </c>
      <c r="R63" s="3" t="s">
        <v>1324</v>
      </c>
      <c r="S63" s="3" t="s">
        <v>1324</v>
      </c>
      <c r="T63" s="3" t="s">
        <v>3494</v>
      </c>
      <c r="U63" s="3" t="s">
        <v>3495</v>
      </c>
      <c r="V63" s="3" t="s">
        <v>1652</v>
      </c>
      <c r="W63" s="3" t="s">
        <v>3496</v>
      </c>
      <c r="X63" s="3" t="s">
        <v>3497</v>
      </c>
      <c r="Y63" s="3" t="s">
        <v>3498</v>
      </c>
      <c r="Z63" s="3" t="s">
        <v>3499</v>
      </c>
      <c r="AA63" s="3" t="s">
        <v>3500</v>
      </c>
      <c r="AB63" s="3" t="s">
        <v>3501</v>
      </c>
      <c r="AC63" s="3" t="s">
        <v>1324</v>
      </c>
      <c r="AD63" s="3" t="s">
        <v>1324</v>
      </c>
      <c r="AE63" s="3" t="s">
        <v>1324</v>
      </c>
      <c r="AF63" s="3" t="s">
        <v>1324</v>
      </c>
      <c r="AG63" s="3">
        <v>57.0</v>
      </c>
      <c r="AH63" s="3">
        <v>157.0</v>
      </c>
      <c r="AI63" s="3">
        <v>171.0</v>
      </c>
      <c r="AJ63" s="3">
        <v>2.0</v>
      </c>
      <c r="AK63" s="3">
        <v>225.0</v>
      </c>
      <c r="AL63" s="3" t="s">
        <v>2464</v>
      </c>
      <c r="AM63" s="3" t="s">
        <v>2465</v>
      </c>
      <c r="AN63" s="3" t="s">
        <v>2466</v>
      </c>
      <c r="AO63" s="3" t="s">
        <v>2923</v>
      </c>
      <c r="AP63" s="3" t="s">
        <v>2924</v>
      </c>
      <c r="AQ63" s="3" t="s">
        <v>1324</v>
      </c>
      <c r="AR63" s="3" t="s">
        <v>2925</v>
      </c>
      <c r="AS63" s="3" t="s">
        <v>2926</v>
      </c>
      <c r="AT63" s="3" t="s">
        <v>3208</v>
      </c>
      <c r="AU63" s="3">
        <v>2016.0</v>
      </c>
      <c r="AV63" s="3">
        <v>22.0</v>
      </c>
      <c r="AW63" s="3">
        <v>1.0</v>
      </c>
      <c r="AX63" s="3" t="s">
        <v>1324</v>
      </c>
      <c r="AY63" s="3" t="s">
        <v>1324</v>
      </c>
      <c r="AZ63" s="3" t="s">
        <v>1324</v>
      </c>
      <c r="BA63" s="3" t="s">
        <v>1324</v>
      </c>
      <c r="BB63" s="3">
        <v>228.0</v>
      </c>
      <c r="BC63" s="3">
        <v>236.0</v>
      </c>
      <c r="BD63" s="3" t="s">
        <v>1324</v>
      </c>
      <c r="BE63" s="3" t="s">
        <v>1653</v>
      </c>
      <c r="BF63" s="25" t="str">
        <f>HYPERLINK("http://dx.doi.org/10.1111/gcb.13091","http://dx.doi.org/10.1111/gcb.13091")</f>
        <v>http://dx.doi.org/10.1111/gcb.13091</v>
      </c>
      <c r="BG63" s="3" t="s">
        <v>1324</v>
      </c>
      <c r="BH63" s="3" t="s">
        <v>1324</v>
      </c>
      <c r="BI63" s="3">
        <v>9.0</v>
      </c>
      <c r="BJ63" s="3" t="s">
        <v>255</v>
      </c>
      <c r="BK63" s="3" t="s">
        <v>2407</v>
      </c>
      <c r="BL63" s="3" t="s">
        <v>2577</v>
      </c>
      <c r="BM63" s="3" t="s">
        <v>3502</v>
      </c>
      <c r="BN63" s="3">
        <v>2.6367396E7</v>
      </c>
      <c r="BO63" s="3" t="s">
        <v>1324</v>
      </c>
      <c r="BP63" s="3" t="s">
        <v>1324</v>
      </c>
      <c r="BQ63" s="3" t="s">
        <v>1324</v>
      </c>
      <c r="BR63" s="3" t="s">
        <v>2383</v>
      </c>
      <c r="BS63" s="3" t="s">
        <v>3503</v>
      </c>
      <c r="BT63" s="3" t="str">
        <f>HYPERLINK("https%3A%2F%2Fwww.webofscience.com%2Fwos%2Fwoscc%2Ffull-record%2FWOS:000367982900018","View Full Record in Web of Science")</f>
        <v>View Full Record in Web of Science</v>
      </c>
    </row>
    <row r="64" ht="12.75" customHeight="1">
      <c r="A64" s="3" t="s">
        <v>26</v>
      </c>
      <c r="B64" s="3" t="s">
        <v>3504</v>
      </c>
      <c r="C64" s="3" t="s">
        <v>1324</v>
      </c>
      <c r="D64" s="3" t="s">
        <v>1324</v>
      </c>
      <c r="E64" s="3" t="s">
        <v>1324</v>
      </c>
      <c r="F64" s="3" t="s">
        <v>2199</v>
      </c>
      <c r="G64" s="3" t="s">
        <v>1324</v>
      </c>
      <c r="H64" s="3" t="s">
        <v>1324</v>
      </c>
      <c r="I64" s="3" t="s">
        <v>2201</v>
      </c>
      <c r="J64" s="3" t="s">
        <v>2200</v>
      </c>
      <c r="K64" s="3" t="s">
        <v>1324</v>
      </c>
      <c r="L64" s="3" t="s">
        <v>1324</v>
      </c>
      <c r="M64" s="3" t="s">
        <v>2364</v>
      </c>
      <c r="N64" s="3" t="s">
        <v>38</v>
      </c>
      <c r="O64" s="3" t="s">
        <v>1324</v>
      </c>
      <c r="P64" s="3" t="s">
        <v>1324</v>
      </c>
      <c r="Q64" s="3" t="s">
        <v>1324</v>
      </c>
      <c r="R64" s="3" t="s">
        <v>1324</v>
      </c>
      <c r="S64" s="3" t="s">
        <v>1324</v>
      </c>
      <c r="T64" s="3" t="s">
        <v>1324</v>
      </c>
      <c r="U64" s="3" t="s">
        <v>3505</v>
      </c>
      <c r="V64" s="3" t="s">
        <v>2202</v>
      </c>
      <c r="W64" s="3" t="s">
        <v>3506</v>
      </c>
      <c r="X64" s="3" t="s">
        <v>3507</v>
      </c>
      <c r="Y64" s="3" t="s">
        <v>3508</v>
      </c>
      <c r="Z64" s="3" t="s">
        <v>3509</v>
      </c>
      <c r="AA64" s="3" t="s">
        <v>3510</v>
      </c>
      <c r="AB64" s="3" t="s">
        <v>3511</v>
      </c>
      <c r="AC64" s="3" t="s">
        <v>3512</v>
      </c>
      <c r="AD64" s="3" t="s">
        <v>3513</v>
      </c>
      <c r="AE64" s="3" t="s">
        <v>3514</v>
      </c>
      <c r="AF64" s="3" t="s">
        <v>1324</v>
      </c>
      <c r="AG64" s="3">
        <v>58.0</v>
      </c>
      <c r="AH64" s="3">
        <v>22.0</v>
      </c>
      <c r="AI64" s="3">
        <v>26.0</v>
      </c>
      <c r="AJ64" s="3">
        <v>0.0</v>
      </c>
      <c r="AK64" s="3">
        <v>64.0</v>
      </c>
      <c r="AL64" s="3" t="s">
        <v>3250</v>
      </c>
      <c r="AM64" s="3" t="s">
        <v>3251</v>
      </c>
      <c r="AN64" s="3" t="s">
        <v>3252</v>
      </c>
      <c r="AO64" s="3" t="s">
        <v>3515</v>
      </c>
      <c r="AP64" s="3" t="s">
        <v>3516</v>
      </c>
      <c r="AQ64" s="3" t="s">
        <v>1324</v>
      </c>
      <c r="AR64" s="3" t="s">
        <v>2200</v>
      </c>
      <c r="AS64" s="3" t="s">
        <v>3517</v>
      </c>
      <c r="AT64" s="3" t="s">
        <v>3518</v>
      </c>
      <c r="AU64" s="3">
        <v>2015.0</v>
      </c>
      <c r="AV64" s="3">
        <v>132.0</v>
      </c>
      <c r="AW64" s="3">
        <v>4.0</v>
      </c>
      <c r="AX64" s="3" t="s">
        <v>1324</v>
      </c>
      <c r="AY64" s="3" t="s">
        <v>1324</v>
      </c>
      <c r="AZ64" s="3" t="s">
        <v>1324</v>
      </c>
      <c r="BA64" s="3" t="s">
        <v>1324</v>
      </c>
      <c r="BB64" s="3">
        <v>575.0</v>
      </c>
      <c r="BC64" s="3">
        <v>588.0</v>
      </c>
      <c r="BD64" s="3" t="s">
        <v>1324</v>
      </c>
      <c r="BE64" s="3" t="s">
        <v>2203</v>
      </c>
      <c r="BF64" s="25" t="str">
        <f>HYPERLINK("http://dx.doi.org/10.1007/s10584-015-1448-5","http://dx.doi.org/10.1007/s10584-015-1448-5")</f>
        <v>http://dx.doi.org/10.1007/s10584-015-1448-5</v>
      </c>
      <c r="BG64" s="3" t="s">
        <v>1324</v>
      </c>
      <c r="BH64" s="3" t="s">
        <v>1324</v>
      </c>
      <c r="BI64" s="3">
        <v>14.0</v>
      </c>
      <c r="BJ64" s="3" t="s">
        <v>322</v>
      </c>
      <c r="BK64" s="3" t="s">
        <v>2407</v>
      </c>
      <c r="BL64" s="3" t="s">
        <v>2596</v>
      </c>
      <c r="BM64" s="3" t="s">
        <v>3519</v>
      </c>
      <c r="BN64" s="3" t="s">
        <v>1324</v>
      </c>
      <c r="BO64" s="3" t="s">
        <v>1324</v>
      </c>
      <c r="BP64" s="3" t="s">
        <v>1324</v>
      </c>
      <c r="BQ64" s="3" t="s">
        <v>1324</v>
      </c>
      <c r="BR64" s="3" t="s">
        <v>2383</v>
      </c>
      <c r="BS64" s="3" t="s">
        <v>3520</v>
      </c>
      <c r="BT64" s="3" t="str">
        <f>HYPERLINK("https%3A%2F%2Fwww.webofscience.com%2Fwos%2Fwoscc%2Ffull-record%2FWOS:000361799100009","View Full Record in Web of Science")</f>
        <v>View Full Record in Web of Science</v>
      </c>
    </row>
    <row r="65" ht="12.75" customHeight="1">
      <c r="A65" s="3" t="s">
        <v>26</v>
      </c>
      <c r="B65" s="3" t="s">
        <v>3521</v>
      </c>
      <c r="C65" s="3" t="s">
        <v>1324</v>
      </c>
      <c r="D65" s="3" t="s">
        <v>1324</v>
      </c>
      <c r="E65" s="3" t="s">
        <v>1324</v>
      </c>
      <c r="F65" s="3" t="s">
        <v>1655</v>
      </c>
      <c r="G65" s="3" t="s">
        <v>1324</v>
      </c>
      <c r="H65" s="3" t="s">
        <v>1324</v>
      </c>
      <c r="I65" s="3" t="s">
        <v>1656</v>
      </c>
      <c r="J65" s="3" t="s">
        <v>774</v>
      </c>
      <c r="K65" s="3" t="s">
        <v>1324</v>
      </c>
      <c r="L65" s="3" t="s">
        <v>1324</v>
      </c>
      <c r="M65" s="3" t="s">
        <v>2364</v>
      </c>
      <c r="N65" s="3" t="s">
        <v>38</v>
      </c>
      <c r="O65" s="3" t="s">
        <v>1324</v>
      </c>
      <c r="P65" s="3" t="s">
        <v>1324</v>
      </c>
      <c r="Q65" s="3" t="s">
        <v>1324</v>
      </c>
      <c r="R65" s="3" t="s">
        <v>1324</v>
      </c>
      <c r="S65" s="3" t="s">
        <v>1324</v>
      </c>
      <c r="T65" s="3" t="s">
        <v>3522</v>
      </c>
      <c r="U65" s="3" t="s">
        <v>3523</v>
      </c>
      <c r="V65" s="3" t="s">
        <v>1657</v>
      </c>
      <c r="W65" s="3" t="s">
        <v>3524</v>
      </c>
      <c r="X65" s="3" t="s">
        <v>3525</v>
      </c>
      <c r="Y65" s="3" t="s">
        <v>3526</v>
      </c>
      <c r="Z65" s="3" t="s">
        <v>3527</v>
      </c>
      <c r="AA65" s="3" t="s">
        <v>3528</v>
      </c>
      <c r="AB65" s="3" t="s">
        <v>3529</v>
      </c>
      <c r="AC65" s="3" t="s">
        <v>3530</v>
      </c>
      <c r="AD65" s="3" t="s">
        <v>3531</v>
      </c>
      <c r="AE65" s="3" t="s">
        <v>3532</v>
      </c>
      <c r="AF65" s="3" t="s">
        <v>1324</v>
      </c>
      <c r="AG65" s="3">
        <v>50.0</v>
      </c>
      <c r="AH65" s="3">
        <v>138.0</v>
      </c>
      <c r="AI65" s="3">
        <v>142.0</v>
      </c>
      <c r="AJ65" s="3">
        <v>3.0</v>
      </c>
      <c r="AK65" s="3">
        <v>221.0</v>
      </c>
      <c r="AL65" s="3" t="s">
        <v>2464</v>
      </c>
      <c r="AM65" s="3" t="s">
        <v>2465</v>
      </c>
      <c r="AN65" s="3" t="s">
        <v>2466</v>
      </c>
      <c r="AO65" s="3" t="s">
        <v>2923</v>
      </c>
      <c r="AP65" s="3" t="s">
        <v>2924</v>
      </c>
      <c r="AQ65" s="3" t="s">
        <v>1324</v>
      </c>
      <c r="AR65" s="3" t="s">
        <v>2925</v>
      </c>
      <c r="AS65" s="3" t="s">
        <v>2926</v>
      </c>
      <c r="AT65" s="3" t="s">
        <v>3518</v>
      </c>
      <c r="AU65" s="3">
        <v>2015.0</v>
      </c>
      <c r="AV65" s="3">
        <v>21.0</v>
      </c>
      <c r="AW65" s="3">
        <v>10.0</v>
      </c>
      <c r="AX65" s="3" t="s">
        <v>1324</v>
      </c>
      <c r="AY65" s="3" t="s">
        <v>1324</v>
      </c>
      <c r="AZ65" s="3" t="s">
        <v>1324</v>
      </c>
      <c r="BA65" s="3" t="s">
        <v>1324</v>
      </c>
      <c r="BB65" s="3">
        <v>3726.0</v>
      </c>
      <c r="BC65" s="3">
        <v>3737.0</v>
      </c>
      <c r="BD65" s="3" t="s">
        <v>1324</v>
      </c>
      <c r="BE65" s="3" t="s">
        <v>1658</v>
      </c>
      <c r="BF65" s="25" t="str">
        <f>HYPERLINK("http://dx.doi.org/10.1111/gcb.12993","http://dx.doi.org/10.1111/gcb.12993")</f>
        <v>http://dx.doi.org/10.1111/gcb.12993</v>
      </c>
      <c r="BG65" s="3" t="s">
        <v>1324</v>
      </c>
      <c r="BH65" s="3" t="s">
        <v>1324</v>
      </c>
      <c r="BI65" s="3">
        <v>12.0</v>
      </c>
      <c r="BJ65" s="3" t="s">
        <v>255</v>
      </c>
      <c r="BK65" s="3" t="s">
        <v>2407</v>
      </c>
      <c r="BL65" s="3" t="s">
        <v>2577</v>
      </c>
      <c r="BM65" s="3" t="s">
        <v>3533</v>
      </c>
      <c r="BN65" s="3">
        <v>2.6212787E7</v>
      </c>
      <c r="BO65" s="3" t="s">
        <v>2410</v>
      </c>
      <c r="BP65" s="3" t="s">
        <v>1324</v>
      </c>
      <c r="BQ65" s="3" t="s">
        <v>1324</v>
      </c>
      <c r="BR65" s="3" t="s">
        <v>2383</v>
      </c>
      <c r="BS65" s="3" t="s">
        <v>3534</v>
      </c>
      <c r="BT65" s="3" t="str">
        <f>HYPERLINK("https%3A%2F%2Fwww.webofscience.com%2Fwos%2Fwoscc%2Ffull-record%2FWOS:000360994500014","View Full Record in Web of Science")</f>
        <v>View Full Record in Web of Science</v>
      </c>
    </row>
    <row r="66" ht="12.75" customHeight="1">
      <c r="A66" s="3" t="s">
        <v>26</v>
      </c>
      <c r="B66" s="3" t="s">
        <v>3535</v>
      </c>
      <c r="C66" s="3" t="s">
        <v>1324</v>
      </c>
      <c r="D66" s="3" t="s">
        <v>1324</v>
      </c>
      <c r="E66" s="3" t="s">
        <v>1324</v>
      </c>
      <c r="F66" s="3" t="s">
        <v>1437</v>
      </c>
      <c r="G66" s="3" t="s">
        <v>1324</v>
      </c>
      <c r="H66" s="3" t="s">
        <v>1324</v>
      </c>
      <c r="I66" s="3" t="s">
        <v>1438</v>
      </c>
      <c r="J66" s="3" t="s">
        <v>365</v>
      </c>
      <c r="K66" s="3" t="s">
        <v>1324</v>
      </c>
      <c r="L66" s="3" t="s">
        <v>1324</v>
      </c>
      <c r="M66" s="3" t="s">
        <v>2364</v>
      </c>
      <c r="N66" s="3" t="s">
        <v>38</v>
      </c>
      <c r="O66" s="3" t="s">
        <v>1324</v>
      </c>
      <c r="P66" s="3" t="s">
        <v>1324</v>
      </c>
      <c r="Q66" s="3" t="s">
        <v>1324</v>
      </c>
      <c r="R66" s="3" t="s">
        <v>1324</v>
      </c>
      <c r="S66" s="3" t="s">
        <v>1324</v>
      </c>
      <c r="T66" s="3" t="s">
        <v>1324</v>
      </c>
      <c r="U66" s="3" t="s">
        <v>3536</v>
      </c>
      <c r="V66" s="3" t="s">
        <v>1439</v>
      </c>
      <c r="W66" s="3" t="s">
        <v>3537</v>
      </c>
      <c r="X66" s="3" t="s">
        <v>3538</v>
      </c>
      <c r="Y66" s="3" t="s">
        <v>3539</v>
      </c>
      <c r="Z66" s="3" t="s">
        <v>3540</v>
      </c>
      <c r="AA66" s="3" t="s">
        <v>3541</v>
      </c>
      <c r="AB66" s="3" t="s">
        <v>3542</v>
      </c>
      <c r="AC66" s="3" t="s">
        <v>3543</v>
      </c>
      <c r="AD66" s="3" t="s">
        <v>3544</v>
      </c>
      <c r="AE66" s="3" t="s">
        <v>3545</v>
      </c>
      <c r="AF66" s="3" t="s">
        <v>1324</v>
      </c>
      <c r="AG66" s="3">
        <v>74.0</v>
      </c>
      <c r="AH66" s="3">
        <v>253.0</v>
      </c>
      <c r="AI66" s="3">
        <v>287.0</v>
      </c>
      <c r="AJ66" s="3">
        <v>1.0</v>
      </c>
      <c r="AK66" s="3">
        <v>108.0</v>
      </c>
      <c r="AL66" s="3" t="s">
        <v>2423</v>
      </c>
      <c r="AM66" s="3" t="s">
        <v>2424</v>
      </c>
      <c r="AN66" s="3" t="s">
        <v>2425</v>
      </c>
      <c r="AO66" s="3" t="s">
        <v>2426</v>
      </c>
      <c r="AP66" s="3" t="s">
        <v>1324</v>
      </c>
      <c r="AQ66" s="3" t="s">
        <v>1324</v>
      </c>
      <c r="AR66" s="3" t="s">
        <v>365</v>
      </c>
      <c r="AS66" s="3" t="s">
        <v>2427</v>
      </c>
      <c r="AT66" s="3" t="s">
        <v>3546</v>
      </c>
      <c r="AU66" s="3">
        <v>2015.0</v>
      </c>
      <c r="AV66" s="3">
        <v>10.0</v>
      </c>
      <c r="AW66" s="3">
        <v>8.0</v>
      </c>
      <c r="AX66" s="3" t="s">
        <v>1324</v>
      </c>
      <c r="AY66" s="3" t="s">
        <v>1324</v>
      </c>
      <c r="AZ66" s="3" t="s">
        <v>1324</v>
      </c>
      <c r="BA66" s="3" t="s">
        <v>1324</v>
      </c>
      <c r="BB66" s="3" t="s">
        <v>1324</v>
      </c>
      <c r="BC66" s="3" t="s">
        <v>1324</v>
      </c>
      <c r="BD66" s="3" t="s">
        <v>3547</v>
      </c>
      <c r="BE66" s="3" t="s">
        <v>1440</v>
      </c>
      <c r="BF66" s="25" t="str">
        <f>HYPERLINK("http://dx.doi.org/10.1371/journal.pone.0135152","http://dx.doi.org/10.1371/journal.pone.0135152")</f>
        <v>http://dx.doi.org/10.1371/journal.pone.0135152</v>
      </c>
      <c r="BG66" s="3" t="s">
        <v>1324</v>
      </c>
      <c r="BH66" s="3" t="s">
        <v>1324</v>
      </c>
      <c r="BI66" s="3">
        <v>22.0</v>
      </c>
      <c r="BJ66" s="3" t="s">
        <v>42</v>
      </c>
      <c r="BK66" s="3" t="s">
        <v>2407</v>
      </c>
      <c r="BL66" s="3" t="s">
        <v>2430</v>
      </c>
      <c r="BM66" s="3" t="s">
        <v>3548</v>
      </c>
      <c r="BN66" s="3">
        <v>2.6252495E7</v>
      </c>
      <c r="BO66" s="3" t="s">
        <v>2410</v>
      </c>
      <c r="BP66" s="3" t="s">
        <v>1324</v>
      </c>
      <c r="BQ66" s="3" t="s">
        <v>1324</v>
      </c>
      <c r="BR66" s="3" t="s">
        <v>2383</v>
      </c>
      <c r="BS66" s="3" t="s">
        <v>3549</v>
      </c>
      <c r="BT66" s="3" t="str">
        <f>HYPERLINK("https%3A%2F%2Fwww.webofscience.com%2Fwos%2Fwoscc%2Ffull-record%2FWOS:000359121100125","View Full Record in Web of Science")</f>
        <v>View Full Record in Web of Science</v>
      </c>
    </row>
    <row r="67" ht="12.75" customHeight="1">
      <c r="A67" s="3" t="s">
        <v>26</v>
      </c>
      <c r="B67" s="3" t="s">
        <v>3550</v>
      </c>
      <c r="C67" s="3" t="s">
        <v>1324</v>
      </c>
      <c r="D67" s="3" t="s">
        <v>1324</v>
      </c>
      <c r="E67" s="3" t="s">
        <v>1324</v>
      </c>
      <c r="F67" s="3" t="s">
        <v>2041</v>
      </c>
      <c r="G67" s="3" t="s">
        <v>1324</v>
      </c>
      <c r="H67" s="3" t="s">
        <v>1324</v>
      </c>
      <c r="I67" s="3" t="s">
        <v>2042</v>
      </c>
      <c r="J67" s="3" t="s">
        <v>2030</v>
      </c>
      <c r="K67" s="3" t="s">
        <v>1324</v>
      </c>
      <c r="L67" s="3" t="s">
        <v>1324</v>
      </c>
      <c r="M67" s="3" t="s">
        <v>2364</v>
      </c>
      <c r="N67" s="3" t="s">
        <v>38</v>
      </c>
      <c r="O67" s="3" t="s">
        <v>1324</v>
      </c>
      <c r="P67" s="3" t="s">
        <v>1324</v>
      </c>
      <c r="Q67" s="3" t="s">
        <v>1324</v>
      </c>
      <c r="R67" s="3" t="s">
        <v>1324</v>
      </c>
      <c r="S67" s="3" t="s">
        <v>1324</v>
      </c>
      <c r="T67" s="3" t="s">
        <v>3551</v>
      </c>
      <c r="U67" s="3" t="s">
        <v>3552</v>
      </c>
      <c r="V67" s="3" t="s">
        <v>2043</v>
      </c>
      <c r="W67" s="3" t="s">
        <v>3553</v>
      </c>
      <c r="X67" s="3" t="s">
        <v>3554</v>
      </c>
      <c r="Y67" s="3" t="s">
        <v>3555</v>
      </c>
      <c r="Z67" s="3" t="s">
        <v>3556</v>
      </c>
      <c r="AA67" s="3" t="s">
        <v>3557</v>
      </c>
      <c r="AB67" s="3" t="s">
        <v>3558</v>
      </c>
      <c r="AC67" s="3" t="s">
        <v>3559</v>
      </c>
      <c r="AD67" s="3" t="s">
        <v>3560</v>
      </c>
      <c r="AE67" s="3" t="s">
        <v>3561</v>
      </c>
      <c r="AF67" s="3" t="s">
        <v>1324</v>
      </c>
      <c r="AG67" s="3">
        <v>61.0</v>
      </c>
      <c r="AH67" s="3">
        <v>11.0</v>
      </c>
      <c r="AI67" s="3">
        <v>11.0</v>
      </c>
      <c r="AJ67" s="3">
        <v>0.0</v>
      </c>
      <c r="AK67" s="3">
        <v>37.0</v>
      </c>
      <c r="AL67" s="3" t="s">
        <v>2486</v>
      </c>
      <c r="AM67" s="3" t="s">
        <v>2487</v>
      </c>
      <c r="AN67" s="3" t="s">
        <v>2488</v>
      </c>
      <c r="AO67" s="3" t="s">
        <v>2855</v>
      </c>
      <c r="AP67" s="3" t="s">
        <v>2856</v>
      </c>
      <c r="AQ67" s="3" t="s">
        <v>1324</v>
      </c>
      <c r="AR67" s="3" t="s">
        <v>2857</v>
      </c>
      <c r="AS67" s="3" t="s">
        <v>2858</v>
      </c>
      <c r="AT67" s="3" t="s">
        <v>2651</v>
      </c>
      <c r="AU67" s="3">
        <v>2015.0</v>
      </c>
      <c r="AV67" s="3">
        <v>165.0</v>
      </c>
      <c r="AW67" s="3" t="s">
        <v>1324</v>
      </c>
      <c r="AX67" s="3" t="s">
        <v>1324</v>
      </c>
      <c r="AY67" s="3" t="s">
        <v>1324</v>
      </c>
      <c r="AZ67" s="3" t="s">
        <v>1324</v>
      </c>
      <c r="BA67" s="3" t="s">
        <v>1324</v>
      </c>
      <c r="BB67" s="3">
        <v>63.0</v>
      </c>
      <c r="BC67" s="3">
        <v>70.0</v>
      </c>
      <c r="BD67" s="3" t="s">
        <v>1324</v>
      </c>
      <c r="BE67" s="3" t="s">
        <v>2044</v>
      </c>
      <c r="BF67" s="25" t="str">
        <f>HYPERLINK("http://dx.doi.org/10.1016/j.fishres.2014.12.016","http://dx.doi.org/10.1016/j.fishres.2014.12.016")</f>
        <v>http://dx.doi.org/10.1016/j.fishres.2014.12.016</v>
      </c>
      <c r="BG67" s="3" t="s">
        <v>1324</v>
      </c>
      <c r="BH67" s="3" t="s">
        <v>1324</v>
      </c>
      <c r="BI67" s="3">
        <v>8.0</v>
      </c>
      <c r="BJ67" s="3" t="s">
        <v>2859</v>
      </c>
      <c r="BK67" s="3" t="s">
        <v>2407</v>
      </c>
      <c r="BL67" s="3" t="s">
        <v>2859</v>
      </c>
      <c r="BM67" s="3" t="s">
        <v>3562</v>
      </c>
      <c r="BN67" s="3" t="s">
        <v>1324</v>
      </c>
      <c r="BO67" s="3" t="s">
        <v>1324</v>
      </c>
      <c r="BP67" s="3" t="s">
        <v>1324</v>
      </c>
      <c r="BQ67" s="3" t="s">
        <v>1324</v>
      </c>
      <c r="BR67" s="3" t="s">
        <v>2383</v>
      </c>
      <c r="BS67" s="3" t="s">
        <v>3563</v>
      </c>
      <c r="BT67" s="3" t="str">
        <f>HYPERLINK("https%3A%2F%2Fwww.webofscience.com%2Fwos%2Fwoscc%2Ffull-record%2FWOS:000352748800007","View Full Record in Web of Science")</f>
        <v>View Full Record in Web of Science</v>
      </c>
    </row>
    <row r="68" ht="12.75" customHeight="1">
      <c r="A68" s="3" t="s">
        <v>26</v>
      </c>
      <c r="B68" s="3" t="s">
        <v>3564</v>
      </c>
      <c r="C68" s="3" t="s">
        <v>1324</v>
      </c>
      <c r="D68" s="3" t="s">
        <v>1324</v>
      </c>
      <c r="E68" s="3" t="s">
        <v>1324</v>
      </c>
      <c r="F68" s="3" t="s">
        <v>1661</v>
      </c>
      <c r="G68" s="3" t="s">
        <v>1324</v>
      </c>
      <c r="H68" s="3" t="s">
        <v>1324</v>
      </c>
      <c r="I68" s="3" t="s">
        <v>1662</v>
      </c>
      <c r="J68" s="3" t="s">
        <v>774</v>
      </c>
      <c r="K68" s="3" t="s">
        <v>1324</v>
      </c>
      <c r="L68" s="3" t="s">
        <v>1324</v>
      </c>
      <c r="M68" s="3" t="s">
        <v>2364</v>
      </c>
      <c r="N68" s="3" t="s">
        <v>38</v>
      </c>
      <c r="O68" s="3" t="s">
        <v>1324</v>
      </c>
      <c r="P68" s="3" t="s">
        <v>1324</v>
      </c>
      <c r="Q68" s="3" t="s">
        <v>1324</v>
      </c>
      <c r="R68" s="3" t="s">
        <v>1324</v>
      </c>
      <c r="S68" s="3" t="s">
        <v>1324</v>
      </c>
      <c r="T68" s="3" t="s">
        <v>3565</v>
      </c>
      <c r="U68" s="3" t="s">
        <v>3566</v>
      </c>
      <c r="V68" s="3" t="s">
        <v>1663</v>
      </c>
      <c r="W68" s="3" t="s">
        <v>3567</v>
      </c>
      <c r="X68" s="3" t="s">
        <v>3568</v>
      </c>
      <c r="Y68" s="3" t="s">
        <v>3569</v>
      </c>
      <c r="Z68" s="3" t="s">
        <v>3570</v>
      </c>
      <c r="AA68" s="3" t="s">
        <v>3571</v>
      </c>
      <c r="AB68" s="3" t="s">
        <v>3572</v>
      </c>
      <c r="AC68" s="3" t="s">
        <v>3573</v>
      </c>
      <c r="AD68" s="3" t="s">
        <v>3574</v>
      </c>
      <c r="AE68" s="3" t="s">
        <v>3575</v>
      </c>
      <c r="AF68" s="3" t="s">
        <v>1324</v>
      </c>
      <c r="AG68" s="3">
        <v>65.0</v>
      </c>
      <c r="AH68" s="3">
        <v>730.0</v>
      </c>
      <c r="AI68" s="3">
        <v>845.0</v>
      </c>
      <c r="AJ68" s="3">
        <v>47.0</v>
      </c>
      <c r="AK68" s="3">
        <v>953.0</v>
      </c>
      <c r="AL68" s="3" t="s">
        <v>2464</v>
      </c>
      <c r="AM68" s="3" t="s">
        <v>2465</v>
      </c>
      <c r="AN68" s="3" t="s">
        <v>2466</v>
      </c>
      <c r="AO68" s="3" t="s">
        <v>2923</v>
      </c>
      <c r="AP68" s="3" t="s">
        <v>2924</v>
      </c>
      <c r="AQ68" s="3" t="s">
        <v>1324</v>
      </c>
      <c r="AR68" s="3" t="s">
        <v>2925</v>
      </c>
      <c r="AS68" s="3" t="s">
        <v>2926</v>
      </c>
      <c r="AT68" s="3" t="s">
        <v>2734</v>
      </c>
      <c r="AU68" s="3">
        <v>2015.0</v>
      </c>
      <c r="AV68" s="3">
        <v>21.0</v>
      </c>
      <c r="AW68" s="3">
        <v>4.0</v>
      </c>
      <c r="AX68" s="3" t="s">
        <v>1324</v>
      </c>
      <c r="AY68" s="3" t="s">
        <v>1324</v>
      </c>
      <c r="AZ68" s="3" t="s">
        <v>1324</v>
      </c>
      <c r="BA68" s="3" t="s">
        <v>1324</v>
      </c>
      <c r="BB68" s="3">
        <v>1601.0</v>
      </c>
      <c r="BC68" s="3">
        <v>1609.0</v>
      </c>
      <c r="BD68" s="3" t="s">
        <v>1324</v>
      </c>
      <c r="BE68" s="3" t="s">
        <v>1664</v>
      </c>
      <c r="BF68" s="25" t="str">
        <f>HYPERLINK("http://dx.doi.org/10.1111/gcb.12795","http://dx.doi.org/10.1111/gcb.12795")</f>
        <v>http://dx.doi.org/10.1111/gcb.12795</v>
      </c>
      <c r="BG68" s="3" t="s">
        <v>1324</v>
      </c>
      <c r="BH68" s="3" t="s">
        <v>1324</v>
      </c>
      <c r="BI68" s="3">
        <v>9.0</v>
      </c>
      <c r="BJ68" s="3" t="s">
        <v>255</v>
      </c>
      <c r="BK68" s="3" t="s">
        <v>2407</v>
      </c>
      <c r="BL68" s="3" t="s">
        <v>2577</v>
      </c>
      <c r="BM68" s="3" t="s">
        <v>3576</v>
      </c>
      <c r="BN68" s="3">
        <v>2.5369401E7</v>
      </c>
      <c r="BO68" s="3" t="s">
        <v>2410</v>
      </c>
      <c r="BP68" s="3" t="s">
        <v>1324</v>
      </c>
      <c r="BQ68" s="3" t="s">
        <v>1324</v>
      </c>
      <c r="BR68" s="3" t="s">
        <v>2383</v>
      </c>
      <c r="BS68" s="3" t="s">
        <v>3577</v>
      </c>
      <c r="BT68" s="3" t="str">
        <f>HYPERLINK("https%3A%2F%2Fwww.webofscience.com%2Fwos%2Fwoscc%2Ffull-record%2FWOS:000351214100022","View Full Record in Web of Science")</f>
        <v>View Full Record in Web of Science</v>
      </c>
    </row>
    <row r="69" ht="12.75" customHeight="1">
      <c r="A69" s="3" t="s">
        <v>26</v>
      </c>
      <c r="B69" s="3" t="s">
        <v>3578</v>
      </c>
      <c r="C69" s="3" t="s">
        <v>1324</v>
      </c>
      <c r="D69" s="3" t="s">
        <v>1324</v>
      </c>
      <c r="E69" s="3" t="s">
        <v>1324</v>
      </c>
      <c r="F69" s="3" t="s">
        <v>1447</v>
      </c>
      <c r="G69" s="3" t="s">
        <v>1324</v>
      </c>
      <c r="H69" s="3" t="s">
        <v>1324</v>
      </c>
      <c r="I69" s="3" t="s">
        <v>1448</v>
      </c>
      <c r="J69" s="3" t="s">
        <v>365</v>
      </c>
      <c r="K69" s="3" t="s">
        <v>1324</v>
      </c>
      <c r="L69" s="3" t="s">
        <v>1324</v>
      </c>
      <c r="M69" s="3" t="s">
        <v>2364</v>
      </c>
      <c r="N69" s="3" t="s">
        <v>38</v>
      </c>
      <c r="O69" s="3" t="s">
        <v>1324</v>
      </c>
      <c r="P69" s="3" t="s">
        <v>1324</v>
      </c>
      <c r="Q69" s="3" t="s">
        <v>1324</v>
      </c>
      <c r="R69" s="3" t="s">
        <v>1324</v>
      </c>
      <c r="S69" s="3" t="s">
        <v>1324</v>
      </c>
      <c r="T69" s="3" t="s">
        <v>1324</v>
      </c>
      <c r="U69" s="3" t="s">
        <v>3579</v>
      </c>
      <c r="V69" s="3" t="s">
        <v>1449</v>
      </c>
      <c r="W69" s="3" t="s">
        <v>3580</v>
      </c>
      <c r="X69" s="3" t="s">
        <v>3581</v>
      </c>
      <c r="Y69" s="3" t="s">
        <v>3582</v>
      </c>
      <c r="Z69" s="3" t="s">
        <v>3583</v>
      </c>
      <c r="AA69" s="3" t="s">
        <v>3584</v>
      </c>
      <c r="AB69" s="3" t="s">
        <v>3585</v>
      </c>
      <c r="AC69" s="3" t="s">
        <v>3586</v>
      </c>
      <c r="AD69" s="3" t="s">
        <v>3586</v>
      </c>
      <c r="AE69" s="3" t="s">
        <v>3587</v>
      </c>
      <c r="AF69" s="3" t="s">
        <v>1324</v>
      </c>
      <c r="AG69" s="3">
        <v>35.0</v>
      </c>
      <c r="AH69" s="3">
        <v>77.0</v>
      </c>
      <c r="AI69" s="3">
        <v>89.0</v>
      </c>
      <c r="AJ69" s="3">
        <v>0.0</v>
      </c>
      <c r="AK69" s="3">
        <v>44.0</v>
      </c>
      <c r="AL69" s="3" t="s">
        <v>2423</v>
      </c>
      <c r="AM69" s="3" t="s">
        <v>2424</v>
      </c>
      <c r="AN69" s="3" t="s">
        <v>2425</v>
      </c>
      <c r="AO69" s="3" t="s">
        <v>2426</v>
      </c>
      <c r="AP69" s="3" t="s">
        <v>1324</v>
      </c>
      <c r="AQ69" s="3" t="s">
        <v>1324</v>
      </c>
      <c r="AR69" s="3" t="s">
        <v>365</v>
      </c>
      <c r="AS69" s="3" t="s">
        <v>2427</v>
      </c>
      <c r="AT69" s="3" t="s">
        <v>3588</v>
      </c>
      <c r="AU69" s="3">
        <v>2015.0</v>
      </c>
      <c r="AV69" s="3">
        <v>10.0</v>
      </c>
      <c r="AW69" s="3">
        <v>3.0</v>
      </c>
      <c r="AX69" s="3" t="s">
        <v>1324</v>
      </c>
      <c r="AY69" s="3" t="s">
        <v>1324</v>
      </c>
      <c r="AZ69" s="3" t="s">
        <v>1324</v>
      </c>
      <c r="BA69" s="3" t="s">
        <v>1324</v>
      </c>
      <c r="BB69" s="3" t="s">
        <v>1324</v>
      </c>
      <c r="BC69" s="3" t="s">
        <v>1324</v>
      </c>
      <c r="BD69" s="3" t="s">
        <v>3589</v>
      </c>
      <c r="BE69" s="3" t="s">
        <v>1450</v>
      </c>
      <c r="BF69" s="25" t="str">
        <f>HYPERLINK("http://dx.doi.org/10.1371/journal.pone.0120198","http://dx.doi.org/10.1371/journal.pone.0120198")</f>
        <v>http://dx.doi.org/10.1371/journal.pone.0120198</v>
      </c>
      <c r="BG69" s="3" t="s">
        <v>1324</v>
      </c>
      <c r="BH69" s="3" t="s">
        <v>1324</v>
      </c>
      <c r="BI69" s="3">
        <v>14.0</v>
      </c>
      <c r="BJ69" s="3" t="s">
        <v>42</v>
      </c>
      <c r="BK69" s="3" t="s">
        <v>2407</v>
      </c>
      <c r="BL69" s="3" t="s">
        <v>2430</v>
      </c>
      <c r="BM69" s="3" t="s">
        <v>3590</v>
      </c>
      <c r="BN69" s="3">
        <v>2.5807292E7</v>
      </c>
      <c r="BO69" s="3" t="s">
        <v>2410</v>
      </c>
      <c r="BP69" s="3" t="s">
        <v>1324</v>
      </c>
      <c r="BQ69" s="3" t="s">
        <v>1324</v>
      </c>
      <c r="BR69" s="3" t="s">
        <v>2383</v>
      </c>
      <c r="BS69" s="3" t="s">
        <v>3591</v>
      </c>
      <c r="BT69" s="3" t="str">
        <f>HYPERLINK("https%3A%2F%2Fwww.webofscience.com%2Fwos%2Fwoscc%2Ffull-record%2FWOS:000351880000071","View Full Record in Web of Science")</f>
        <v>View Full Record in Web of Science</v>
      </c>
    </row>
    <row r="70" ht="12.75" customHeight="1">
      <c r="A70" s="3" t="s">
        <v>26</v>
      </c>
      <c r="B70" s="3" t="s">
        <v>3592</v>
      </c>
      <c r="C70" s="3" t="s">
        <v>1324</v>
      </c>
      <c r="D70" s="3" t="s">
        <v>1324</v>
      </c>
      <c r="E70" s="3" t="s">
        <v>1324</v>
      </c>
      <c r="F70" s="3" t="s">
        <v>1986</v>
      </c>
      <c r="G70" s="3" t="s">
        <v>1324</v>
      </c>
      <c r="H70" s="3" t="s">
        <v>1324</v>
      </c>
      <c r="I70" s="3" t="s">
        <v>1988</v>
      </c>
      <c r="J70" s="3" t="s">
        <v>1987</v>
      </c>
      <c r="K70" s="3" t="s">
        <v>1324</v>
      </c>
      <c r="L70" s="3" t="s">
        <v>1324</v>
      </c>
      <c r="M70" s="3" t="s">
        <v>2364</v>
      </c>
      <c r="N70" s="3" t="s">
        <v>38</v>
      </c>
      <c r="O70" s="3" t="s">
        <v>1324</v>
      </c>
      <c r="P70" s="3" t="s">
        <v>1324</v>
      </c>
      <c r="Q70" s="3" t="s">
        <v>1324</v>
      </c>
      <c r="R70" s="3" t="s">
        <v>1324</v>
      </c>
      <c r="S70" s="3" t="s">
        <v>1324</v>
      </c>
      <c r="T70" s="3" t="s">
        <v>3593</v>
      </c>
      <c r="U70" s="3" t="s">
        <v>3594</v>
      </c>
      <c r="V70" s="3" t="s">
        <v>3595</v>
      </c>
      <c r="W70" s="3" t="s">
        <v>3596</v>
      </c>
      <c r="X70" s="3" t="s">
        <v>3597</v>
      </c>
      <c r="Y70" s="3" t="s">
        <v>3598</v>
      </c>
      <c r="Z70" s="3" t="s">
        <v>3599</v>
      </c>
      <c r="AA70" s="3" t="s">
        <v>3600</v>
      </c>
      <c r="AB70" s="3" t="s">
        <v>3601</v>
      </c>
      <c r="AC70" s="3" t="s">
        <v>1324</v>
      </c>
      <c r="AD70" s="3" t="s">
        <v>1324</v>
      </c>
      <c r="AE70" s="3" t="s">
        <v>1324</v>
      </c>
      <c r="AF70" s="3" t="s">
        <v>1324</v>
      </c>
      <c r="AG70" s="3">
        <v>38.0</v>
      </c>
      <c r="AH70" s="3">
        <v>247.0</v>
      </c>
      <c r="AI70" s="3">
        <v>299.0</v>
      </c>
      <c r="AJ70" s="3">
        <v>7.0</v>
      </c>
      <c r="AK70" s="3">
        <v>257.0</v>
      </c>
      <c r="AL70" s="3" t="s">
        <v>3602</v>
      </c>
      <c r="AM70" s="3" t="s">
        <v>2400</v>
      </c>
      <c r="AN70" s="3" t="s">
        <v>3603</v>
      </c>
      <c r="AO70" s="3" t="s">
        <v>3604</v>
      </c>
      <c r="AP70" s="3" t="s">
        <v>3605</v>
      </c>
      <c r="AQ70" s="3" t="s">
        <v>1324</v>
      </c>
      <c r="AR70" s="3" t="s">
        <v>3606</v>
      </c>
      <c r="AS70" s="3" t="s">
        <v>3607</v>
      </c>
      <c r="AT70" s="3" t="s">
        <v>3608</v>
      </c>
      <c r="AU70" s="3">
        <v>2015.0</v>
      </c>
      <c r="AV70" s="3">
        <v>148.0</v>
      </c>
      <c r="AW70" s="3" t="s">
        <v>1324</v>
      </c>
      <c r="AX70" s="3" t="s">
        <v>1324</v>
      </c>
      <c r="AY70" s="3" t="s">
        <v>1324</v>
      </c>
      <c r="AZ70" s="3" t="s">
        <v>3257</v>
      </c>
      <c r="BA70" s="3" t="s">
        <v>1324</v>
      </c>
      <c r="BB70" s="3">
        <v>101.0</v>
      </c>
      <c r="BC70" s="3">
        <v>111.0</v>
      </c>
      <c r="BD70" s="3" t="s">
        <v>1324</v>
      </c>
      <c r="BE70" s="3" t="s">
        <v>1990</v>
      </c>
      <c r="BF70" s="25" t="str">
        <f>HYPERLINK("http://dx.doi.org/10.1016/j.jenvman.2014.01.020","http://dx.doi.org/10.1016/j.jenvman.2014.01.020")</f>
        <v>http://dx.doi.org/10.1016/j.jenvman.2014.01.020</v>
      </c>
      <c r="BG70" s="3" t="s">
        <v>1324</v>
      </c>
      <c r="BH70" s="3" t="s">
        <v>1324</v>
      </c>
      <c r="BI70" s="3">
        <v>11.0</v>
      </c>
      <c r="BJ70" s="3" t="s">
        <v>68</v>
      </c>
      <c r="BK70" s="3" t="s">
        <v>2407</v>
      </c>
      <c r="BL70" s="3" t="s">
        <v>2472</v>
      </c>
      <c r="BM70" s="3" t="s">
        <v>3609</v>
      </c>
      <c r="BN70" s="3">
        <v>2.4735705E7</v>
      </c>
      <c r="BO70" s="3" t="s">
        <v>1324</v>
      </c>
      <c r="BP70" s="3" t="s">
        <v>1324</v>
      </c>
      <c r="BQ70" s="3" t="s">
        <v>1324</v>
      </c>
      <c r="BR70" s="3" t="s">
        <v>2383</v>
      </c>
      <c r="BS70" s="3" t="s">
        <v>3610</v>
      </c>
      <c r="BT70" s="3" t="str">
        <f>HYPERLINK("https%3A%2F%2Fwww.webofscience.com%2Fwos%2Fwoscc%2Ffull-record%2FWOS:000348016400011","View Full Record in Web of Science")</f>
        <v>View Full Record in Web of Science</v>
      </c>
    </row>
    <row r="71" ht="12.75" customHeight="1">
      <c r="A71" s="3" t="s">
        <v>3611</v>
      </c>
      <c r="B71" s="3" t="s">
        <v>3612</v>
      </c>
      <c r="C71" s="3" t="s">
        <v>1324</v>
      </c>
      <c r="D71" s="3" t="s">
        <v>3613</v>
      </c>
      <c r="E71" s="3" t="s">
        <v>1324</v>
      </c>
      <c r="F71" s="3" t="s">
        <v>1516</v>
      </c>
      <c r="G71" s="3" t="s">
        <v>1324</v>
      </c>
      <c r="H71" s="3" t="s">
        <v>1324</v>
      </c>
      <c r="I71" s="3" t="s">
        <v>1518</v>
      </c>
      <c r="J71" s="3" t="s">
        <v>1517</v>
      </c>
      <c r="K71" s="3" t="s">
        <v>1324</v>
      </c>
      <c r="L71" s="3" t="s">
        <v>1324</v>
      </c>
      <c r="M71" s="3" t="s">
        <v>2364</v>
      </c>
      <c r="N71" s="3" t="s">
        <v>3614</v>
      </c>
      <c r="O71" s="3" t="s">
        <v>3615</v>
      </c>
      <c r="P71" s="3" t="s">
        <v>3616</v>
      </c>
      <c r="Q71" s="3" t="s">
        <v>3617</v>
      </c>
      <c r="R71" s="3" t="s">
        <v>3618</v>
      </c>
      <c r="S71" s="3" t="s">
        <v>1324</v>
      </c>
      <c r="T71" s="3" t="s">
        <v>1324</v>
      </c>
      <c r="U71" s="3" t="s">
        <v>3619</v>
      </c>
      <c r="V71" s="3" t="s">
        <v>1519</v>
      </c>
      <c r="W71" s="3" t="s">
        <v>3620</v>
      </c>
      <c r="X71" s="3" t="s">
        <v>3621</v>
      </c>
      <c r="Y71" s="3" t="s">
        <v>3622</v>
      </c>
      <c r="Z71" s="3" t="s">
        <v>3623</v>
      </c>
      <c r="AA71" s="3" t="s">
        <v>3624</v>
      </c>
      <c r="AB71" s="3" t="s">
        <v>1324</v>
      </c>
      <c r="AC71" s="3" t="s">
        <v>1324</v>
      </c>
      <c r="AD71" s="3" t="s">
        <v>1324</v>
      </c>
      <c r="AE71" s="3" t="s">
        <v>1324</v>
      </c>
      <c r="AF71" s="3" t="s">
        <v>1324</v>
      </c>
      <c r="AG71" s="3">
        <v>27.0</v>
      </c>
      <c r="AH71" s="3">
        <v>0.0</v>
      </c>
      <c r="AI71" s="3">
        <v>0.0</v>
      </c>
      <c r="AJ71" s="3">
        <v>0.0</v>
      </c>
      <c r="AK71" s="3">
        <v>41.0</v>
      </c>
      <c r="AL71" s="3" t="s">
        <v>3625</v>
      </c>
      <c r="AM71" s="3" t="s">
        <v>3251</v>
      </c>
      <c r="AN71" s="3" t="s">
        <v>3626</v>
      </c>
      <c r="AO71" s="3" t="s">
        <v>1324</v>
      </c>
      <c r="AP71" s="3" t="s">
        <v>1324</v>
      </c>
      <c r="AQ71" s="3" t="s">
        <v>3627</v>
      </c>
      <c r="AR71" s="3" t="s">
        <v>1324</v>
      </c>
      <c r="AS71" s="3" t="s">
        <v>1324</v>
      </c>
      <c r="AT71" s="3" t="s">
        <v>1324</v>
      </c>
      <c r="AU71" s="3">
        <v>2015.0</v>
      </c>
      <c r="AV71" s="3" t="s">
        <v>1324</v>
      </c>
      <c r="AW71" s="3" t="s">
        <v>1324</v>
      </c>
      <c r="AX71" s="3" t="s">
        <v>1324</v>
      </c>
      <c r="AY71" s="3" t="s">
        <v>1324</v>
      </c>
      <c r="AZ71" s="3" t="s">
        <v>1324</v>
      </c>
      <c r="BA71" s="3" t="s">
        <v>1324</v>
      </c>
      <c r="BB71" s="3">
        <v>303.0</v>
      </c>
      <c r="BC71" s="3">
        <v>320.0</v>
      </c>
      <c r="BD71" s="3" t="s">
        <v>1324</v>
      </c>
      <c r="BE71" s="3" t="s">
        <v>1520</v>
      </c>
      <c r="BF71" s="25" t="str">
        <f>HYPERLINK("http://dx.doi.org/10.1153/9789004284081_018","http://dx.doi.org/10.1153/9789004284081_018")</f>
        <v>http://dx.doi.org/10.1153/9789004284081_018</v>
      </c>
      <c r="BG71" s="3" t="s">
        <v>1324</v>
      </c>
      <c r="BH71" s="3" t="s">
        <v>1324</v>
      </c>
      <c r="BI71" s="3">
        <v>18.0</v>
      </c>
      <c r="BJ71" s="3" t="s">
        <v>3628</v>
      </c>
      <c r="BK71" s="3" t="s">
        <v>3629</v>
      </c>
      <c r="BL71" s="3" t="s">
        <v>3630</v>
      </c>
      <c r="BM71" s="3" t="s">
        <v>3631</v>
      </c>
      <c r="BN71" s="3" t="s">
        <v>1324</v>
      </c>
      <c r="BO71" s="3" t="s">
        <v>1324</v>
      </c>
      <c r="BP71" s="3" t="s">
        <v>1324</v>
      </c>
      <c r="BQ71" s="3" t="s">
        <v>1324</v>
      </c>
      <c r="BR71" s="3" t="s">
        <v>2383</v>
      </c>
      <c r="BS71" s="3" t="s">
        <v>3632</v>
      </c>
      <c r="BT71" s="3" t="str">
        <f>HYPERLINK("https%3A%2F%2Fwww.webofscience.com%2Fwos%2Fwoscc%2Ffull-record%2FWOS:000380540800016","View Full Record in Web of Science")</f>
        <v>View Full Record in Web of Science</v>
      </c>
    </row>
    <row r="72" ht="12.75" customHeight="1">
      <c r="A72" s="3" t="s">
        <v>26</v>
      </c>
      <c r="B72" s="3" t="s">
        <v>3633</v>
      </c>
      <c r="C72" s="3" t="s">
        <v>1324</v>
      </c>
      <c r="D72" s="3" t="s">
        <v>1324</v>
      </c>
      <c r="E72" s="3" t="s">
        <v>1324</v>
      </c>
      <c r="F72" s="3" t="s">
        <v>2023</v>
      </c>
      <c r="G72" s="3" t="s">
        <v>1324</v>
      </c>
      <c r="H72" s="3" t="s">
        <v>1324</v>
      </c>
      <c r="I72" s="3" t="s">
        <v>2025</v>
      </c>
      <c r="J72" s="3" t="s">
        <v>2024</v>
      </c>
      <c r="K72" s="3" t="s">
        <v>1324</v>
      </c>
      <c r="L72" s="3" t="s">
        <v>1324</v>
      </c>
      <c r="M72" s="3" t="s">
        <v>2364</v>
      </c>
      <c r="N72" s="3" t="s">
        <v>38</v>
      </c>
      <c r="O72" s="3" t="s">
        <v>1324</v>
      </c>
      <c r="P72" s="3" t="s">
        <v>1324</v>
      </c>
      <c r="Q72" s="3" t="s">
        <v>1324</v>
      </c>
      <c r="R72" s="3" t="s">
        <v>1324</v>
      </c>
      <c r="S72" s="3" t="s">
        <v>1324</v>
      </c>
      <c r="T72" s="3" t="s">
        <v>3634</v>
      </c>
      <c r="U72" s="3" t="s">
        <v>3635</v>
      </c>
      <c r="V72" s="3" t="s">
        <v>3636</v>
      </c>
      <c r="W72" s="3" t="s">
        <v>3637</v>
      </c>
      <c r="X72" s="3" t="s">
        <v>1324</v>
      </c>
      <c r="Y72" s="3" t="s">
        <v>3638</v>
      </c>
      <c r="Z72" s="3" t="s">
        <v>3639</v>
      </c>
      <c r="AA72" s="3" t="s">
        <v>1324</v>
      </c>
      <c r="AB72" s="3" t="s">
        <v>1324</v>
      </c>
      <c r="AC72" s="3" t="s">
        <v>3640</v>
      </c>
      <c r="AD72" s="3" t="s">
        <v>3640</v>
      </c>
      <c r="AE72" s="3" t="s">
        <v>3641</v>
      </c>
      <c r="AF72" s="3" t="s">
        <v>1324</v>
      </c>
      <c r="AG72" s="3">
        <v>65.0</v>
      </c>
      <c r="AH72" s="3">
        <v>6.0</v>
      </c>
      <c r="AI72" s="3">
        <v>9.0</v>
      </c>
      <c r="AJ72" s="3">
        <v>1.0</v>
      </c>
      <c r="AK72" s="3">
        <v>20.0</v>
      </c>
      <c r="AL72" s="3" t="s">
        <v>3642</v>
      </c>
      <c r="AM72" s="3" t="s">
        <v>3643</v>
      </c>
      <c r="AN72" s="3" t="s">
        <v>3644</v>
      </c>
      <c r="AO72" s="3" t="s">
        <v>3645</v>
      </c>
      <c r="AP72" s="3" t="s">
        <v>3646</v>
      </c>
      <c r="AQ72" s="3" t="s">
        <v>1324</v>
      </c>
      <c r="AR72" s="3" t="s">
        <v>2024</v>
      </c>
      <c r="AS72" s="3" t="s">
        <v>3647</v>
      </c>
      <c r="AT72" s="3" t="s">
        <v>1324</v>
      </c>
      <c r="AU72" s="3">
        <v>2015.0</v>
      </c>
      <c r="AV72" s="3">
        <v>217.0</v>
      </c>
      <c r="AW72" s="3" t="s">
        <v>1324</v>
      </c>
      <c r="AX72" s="3" t="s">
        <v>1324</v>
      </c>
      <c r="AY72" s="3" t="s">
        <v>1324</v>
      </c>
      <c r="AZ72" s="3" t="s">
        <v>1324</v>
      </c>
      <c r="BA72" s="3" t="s">
        <v>1324</v>
      </c>
      <c r="BB72" s="3">
        <v>99.0</v>
      </c>
      <c r="BC72" s="3">
        <v>108.0</v>
      </c>
      <c r="BD72" s="3" t="s">
        <v>1324</v>
      </c>
      <c r="BE72" s="3" t="s">
        <v>2027</v>
      </c>
      <c r="BF72" s="25" t="str">
        <f>HYPERLINK("http://dx.doi.org/10.1016/j.flora.2015.09.013","http://dx.doi.org/10.1016/j.flora.2015.09.013")</f>
        <v>http://dx.doi.org/10.1016/j.flora.2015.09.013</v>
      </c>
      <c r="BG72" s="3" t="s">
        <v>1324</v>
      </c>
      <c r="BH72" s="3" t="s">
        <v>1324</v>
      </c>
      <c r="BI72" s="3">
        <v>10.0</v>
      </c>
      <c r="BJ72" s="3" t="s">
        <v>3648</v>
      </c>
      <c r="BK72" s="3" t="s">
        <v>2407</v>
      </c>
      <c r="BL72" s="3" t="s">
        <v>3649</v>
      </c>
      <c r="BM72" s="3" t="s">
        <v>3650</v>
      </c>
      <c r="BN72" s="3" t="s">
        <v>1324</v>
      </c>
      <c r="BO72" s="3" t="s">
        <v>1324</v>
      </c>
      <c r="BP72" s="3" t="s">
        <v>1324</v>
      </c>
      <c r="BQ72" s="3" t="s">
        <v>1324</v>
      </c>
      <c r="BR72" s="3" t="s">
        <v>2383</v>
      </c>
      <c r="BS72" s="3" t="s">
        <v>3651</v>
      </c>
      <c r="BT72" s="3" t="str">
        <f>HYPERLINK("https%3A%2F%2Fwww.webofscience.com%2Fwos%2Fwoscc%2Ffull-record%2FWOS:000367110300012","View Full Record in Web of Science")</f>
        <v>View Full Record in Web of Science</v>
      </c>
    </row>
    <row r="73" ht="12.75" customHeight="1">
      <c r="A73" s="3" t="s">
        <v>26</v>
      </c>
      <c r="B73" s="3" t="s">
        <v>3652</v>
      </c>
      <c r="C73" s="3" t="s">
        <v>1324</v>
      </c>
      <c r="D73" s="3" t="s">
        <v>1324</v>
      </c>
      <c r="E73" s="3" t="s">
        <v>1324</v>
      </c>
      <c r="F73" s="3" t="s">
        <v>1633</v>
      </c>
      <c r="G73" s="3" t="s">
        <v>1324</v>
      </c>
      <c r="H73" s="3" t="s">
        <v>1324</v>
      </c>
      <c r="I73" s="3" t="s">
        <v>1635</v>
      </c>
      <c r="J73" s="3" t="s">
        <v>1634</v>
      </c>
      <c r="K73" s="3" t="s">
        <v>1324</v>
      </c>
      <c r="L73" s="3" t="s">
        <v>1324</v>
      </c>
      <c r="M73" s="3" t="s">
        <v>2364</v>
      </c>
      <c r="N73" s="3" t="s">
        <v>38</v>
      </c>
      <c r="O73" s="3" t="s">
        <v>1324</v>
      </c>
      <c r="P73" s="3" t="s">
        <v>1324</v>
      </c>
      <c r="Q73" s="3" t="s">
        <v>1324</v>
      </c>
      <c r="R73" s="3" t="s">
        <v>1324</v>
      </c>
      <c r="S73" s="3" t="s">
        <v>1324</v>
      </c>
      <c r="T73" s="3" t="s">
        <v>3653</v>
      </c>
      <c r="U73" s="3" t="s">
        <v>3654</v>
      </c>
      <c r="V73" s="3" t="s">
        <v>1636</v>
      </c>
      <c r="W73" s="3" t="s">
        <v>3655</v>
      </c>
      <c r="X73" s="3" t="s">
        <v>3656</v>
      </c>
      <c r="Y73" s="3" t="s">
        <v>3657</v>
      </c>
      <c r="Z73" s="3" t="s">
        <v>3658</v>
      </c>
      <c r="AA73" s="3" t="s">
        <v>3659</v>
      </c>
      <c r="AB73" s="3" t="s">
        <v>3660</v>
      </c>
      <c r="AC73" s="3" t="s">
        <v>3661</v>
      </c>
      <c r="AD73" s="3" t="s">
        <v>3662</v>
      </c>
      <c r="AE73" s="3" t="s">
        <v>3663</v>
      </c>
      <c r="AF73" s="3" t="s">
        <v>1324</v>
      </c>
      <c r="AG73" s="3">
        <v>64.0</v>
      </c>
      <c r="AH73" s="3">
        <v>21.0</v>
      </c>
      <c r="AI73" s="3">
        <v>25.0</v>
      </c>
      <c r="AJ73" s="3">
        <v>2.0</v>
      </c>
      <c r="AK73" s="3">
        <v>158.0</v>
      </c>
      <c r="AL73" s="3" t="s">
        <v>2464</v>
      </c>
      <c r="AM73" s="3" t="s">
        <v>2465</v>
      </c>
      <c r="AN73" s="3" t="s">
        <v>2466</v>
      </c>
      <c r="AO73" s="3" t="s">
        <v>3664</v>
      </c>
      <c r="AP73" s="3" t="s">
        <v>3665</v>
      </c>
      <c r="AQ73" s="3" t="s">
        <v>1324</v>
      </c>
      <c r="AR73" s="3" t="s">
        <v>3666</v>
      </c>
      <c r="AS73" s="3" t="s">
        <v>3667</v>
      </c>
      <c r="AT73" s="3" t="s">
        <v>2908</v>
      </c>
      <c r="AU73" s="3">
        <v>2014.0</v>
      </c>
      <c r="AV73" s="3">
        <v>69.0</v>
      </c>
      <c r="AW73" s="3">
        <v>4.0</v>
      </c>
      <c r="AX73" s="3" t="s">
        <v>1324</v>
      </c>
      <c r="AY73" s="3" t="s">
        <v>1324</v>
      </c>
      <c r="AZ73" s="3" t="s">
        <v>1324</v>
      </c>
      <c r="BA73" s="3" t="s">
        <v>1324</v>
      </c>
      <c r="BB73" s="3">
        <v>596.0</v>
      </c>
      <c r="BC73" s="3">
        <v>610.0</v>
      </c>
      <c r="BD73" s="3" t="s">
        <v>1324</v>
      </c>
      <c r="BE73" s="3" t="s">
        <v>1637</v>
      </c>
      <c r="BF73" s="25" t="str">
        <f>HYPERLINK("http://dx.doi.org/10.1111/gfs.12073","http://dx.doi.org/10.1111/gfs.12073")</f>
        <v>http://dx.doi.org/10.1111/gfs.12073</v>
      </c>
      <c r="BG73" s="3" t="s">
        <v>1324</v>
      </c>
      <c r="BH73" s="3" t="s">
        <v>1324</v>
      </c>
      <c r="BI73" s="3">
        <v>15.0</v>
      </c>
      <c r="BJ73" s="3" t="s">
        <v>3668</v>
      </c>
      <c r="BK73" s="3" t="s">
        <v>2407</v>
      </c>
      <c r="BL73" s="3" t="s">
        <v>3669</v>
      </c>
      <c r="BM73" s="3" t="s">
        <v>3670</v>
      </c>
      <c r="BN73" s="3" t="s">
        <v>1324</v>
      </c>
      <c r="BO73" s="3" t="s">
        <v>1324</v>
      </c>
      <c r="BP73" s="3" t="s">
        <v>1324</v>
      </c>
      <c r="BQ73" s="3" t="s">
        <v>1324</v>
      </c>
      <c r="BR73" s="3" t="s">
        <v>2383</v>
      </c>
      <c r="BS73" s="3" t="s">
        <v>3671</v>
      </c>
      <c r="BT73" s="3" t="str">
        <f>HYPERLINK("https%3A%2F%2Fwww.webofscience.com%2Fwos%2Fwoscc%2Ffull-record%2FWOS:000343754300004","View Full Record in Web of Science")</f>
        <v>View Full Record in Web of Science</v>
      </c>
    </row>
    <row r="74" ht="12.75" customHeight="1">
      <c r="A74" s="3" t="s">
        <v>26</v>
      </c>
      <c r="B74" s="3" t="s">
        <v>3672</v>
      </c>
      <c r="C74" s="3" t="s">
        <v>1324</v>
      </c>
      <c r="D74" s="3" t="s">
        <v>1324</v>
      </c>
      <c r="E74" s="3" t="s">
        <v>1324</v>
      </c>
      <c r="F74" s="3" t="s">
        <v>1452</v>
      </c>
      <c r="G74" s="3" t="s">
        <v>1324</v>
      </c>
      <c r="H74" s="3" t="s">
        <v>1324</v>
      </c>
      <c r="I74" s="3" t="s">
        <v>1453</v>
      </c>
      <c r="J74" s="3" t="s">
        <v>365</v>
      </c>
      <c r="K74" s="3" t="s">
        <v>1324</v>
      </c>
      <c r="L74" s="3" t="s">
        <v>1324</v>
      </c>
      <c r="M74" s="3" t="s">
        <v>2364</v>
      </c>
      <c r="N74" s="3" t="s">
        <v>38</v>
      </c>
      <c r="O74" s="3" t="s">
        <v>1324</v>
      </c>
      <c r="P74" s="3" t="s">
        <v>1324</v>
      </c>
      <c r="Q74" s="3" t="s">
        <v>1324</v>
      </c>
      <c r="R74" s="3" t="s">
        <v>1324</v>
      </c>
      <c r="S74" s="3" t="s">
        <v>1324</v>
      </c>
      <c r="T74" s="3" t="s">
        <v>1324</v>
      </c>
      <c r="U74" s="3" t="s">
        <v>3673</v>
      </c>
      <c r="V74" s="3" t="s">
        <v>1454</v>
      </c>
      <c r="W74" s="3" t="s">
        <v>3674</v>
      </c>
      <c r="X74" s="3" t="s">
        <v>3675</v>
      </c>
      <c r="Y74" s="3" t="s">
        <v>3676</v>
      </c>
      <c r="Z74" s="3" t="s">
        <v>3677</v>
      </c>
      <c r="AA74" s="3" t="s">
        <v>3678</v>
      </c>
      <c r="AB74" s="3" t="s">
        <v>3679</v>
      </c>
      <c r="AC74" s="3" t="s">
        <v>3680</v>
      </c>
      <c r="AD74" s="3" t="s">
        <v>3681</v>
      </c>
      <c r="AE74" s="3" t="s">
        <v>3682</v>
      </c>
      <c r="AF74" s="3" t="s">
        <v>1324</v>
      </c>
      <c r="AG74" s="3">
        <v>38.0</v>
      </c>
      <c r="AH74" s="3">
        <v>70.0</v>
      </c>
      <c r="AI74" s="3">
        <v>77.0</v>
      </c>
      <c r="AJ74" s="3">
        <v>0.0</v>
      </c>
      <c r="AK74" s="3">
        <v>71.0</v>
      </c>
      <c r="AL74" s="3" t="s">
        <v>2423</v>
      </c>
      <c r="AM74" s="3" t="s">
        <v>2424</v>
      </c>
      <c r="AN74" s="3" t="s">
        <v>2425</v>
      </c>
      <c r="AO74" s="3" t="s">
        <v>2426</v>
      </c>
      <c r="AP74" s="3" t="s">
        <v>1324</v>
      </c>
      <c r="AQ74" s="3" t="s">
        <v>1324</v>
      </c>
      <c r="AR74" s="3" t="s">
        <v>365</v>
      </c>
      <c r="AS74" s="3" t="s">
        <v>2427</v>
      </c>
      <c r="AT74" s="3" t="s">
        <v>3683</v>
      </c>
      <c r="AU74" s="3">
        <v>2014.0</v>
      </c>
      <c r="AV74" s="3">
        <v>9.0</v>
      </c>
      <c r="AW74" s="3">
        <v>11.0</v>
      </c>
      <c r="AX74" s="3" t="s">
        <v>1324</v>
      </c>
      <c r="AY74" s="3" t="s">
        <v>1324</v>
      </c>
      <c r="AZ74" s="3" t="s">
        <v>1324</v>
      </c>
      <c r="BA74" s="3" t="s">
        <v>1324</v>
      </c>
      <c r="BB74" s="3" t="s">
        <v>1324</v>
      </c>
      <c r="BC74" s="3" t="s">
        <v>1324</v>
      </c>
      <c r="BD74" s="3" t="s">
        <v>3684</v>
      </c>
      <c r="BE74" s="3" t="s">
        <v>1455</v>
      </c>
      <c r="BF74" s="25" t="str">
        <f>HYPERLINK("http://dx.doi.org/10.1371/journal.pone.0113934","http://dx.doi.org/10.1371/journal.pone.0113934")</f>
        <v>http://dx.doi.org/10.1371/journal.pone.0113934</v>
      </c>
      <c r="BG74" s="3" t="s">
        <v>1324</v>
      </c>
      <c r="BH74" s="3" t="s">
        <v>1324</v>
      </c>
      <c r="BI74" s="3">
        <v>17.0</v>
      </c>
      <c r="BJ74" s="3" t="s">
        <v>42</v>
      </c>
      <c r="BK74" s="3" t="s">
        <v>2407</v>
      </c>
      <c r="BL74" s="3" t="s">
        <v>2430</v>
      </c>
      <c r="BM74" s="3" t="s">
        <v>3685</v>
      </c>
      <c r="BN74" s="3">
        <v>2.5426636E7</v>
      </c>
      <c r="BO74" s="3" t="s">
        <v>2410</v>
      </c>
      <c r="BP74" s="3" t="s">
        <v>1324</v>
      </c>
      <c r="BQ74" s="3" t="s">
        <v>1324</v>
      </c>
      <c r="BR74" s="3" t="s">
        <v>2383</v>
      </c>
      <c r="BS74" s="3" t="s">
        <v>3686</v>
      </c>
      <c r="BT74" s="3" t="str">
        <f>HYPERLINK("https%3A%2F%2Fwww.webofscience.com%2Fwos%2Fwoscc%2Ffull-record%2FWOS:000349145400104","View Full Record in Web of Science")</f>
        <v>View Full Record in Web of Science</v>
      </c>
    </row>
    <row r="75" ht="12.75" customHeight="1">
      <c r="A75" s="3" t="s">
        <v>26</v>
      </c>
      <c r="B75" s="3" t="s">
        <v>3687</v>
      </c>
      <c r="C75" s="3" t="s">
        <v>1324</v>
      </c>
      <c r="D75" s="3" t="s">
        <v>1324</v>
      </c>
      <c r="E75" s="3" t="s">
        <v>1324</v>
      </c>
      <c r="F75" s="3" t="s">
        <v>1997</v>
      </c>
      <c r="G75" s="3" t="s">
        <v>1324</v>
      </c>
      <c r="H75" s="3" t="s">
        <v>1324</v>
      </c>
      <c r="I75" s="3" t="s">
        <v>1998</v>
      </c>
      <c r="J75" s="3" t="s">
        <v>1055</v>
      </c>
      <c r="K75" s="3" t="s">
        <v>1324</v>
      </c>
      <c r="L75" s="3" t="s">
        <v>1324</v>
      </c>
      <c r="M75" s="3" t="s">
        <v>2364</v>
      </c>
      <c r="N75" s="3" t="s">
        <v>38</v>
      </c>
      <c r="O75" s="3" t="s">
        <v>1324</v>
      </c>
      <c r="P75" s="3" t="s">
        <v>1324</v>
      </c>
      <c r="Q75" s="3" t="s">
        <v>1324</v>
      </c>
      <c r="R75" s="3" t="s">
        <v>1324</v>
      </c>
      <c r="S75" s="3" t="s">
        <v>1324</v>
      </c>
      <c r="T75" s="3" t="s">
        <v>3688</v>
      </c>
      <c r="U75" s="3" t="s">
        <v>3689</v>
      </c>
      <c r="V75" s="3" t="s">
        <v>1999</v>
      </c>
      <c r="W75" s="3" t="s">
        <v>3690</v>
      </c>
      <c r="X75" s="3" t="s">
        <v>3691</v>
      </c>
      <c r="Y75" s="3" t="s">
        <v>3692</v>
      </c>
      <c r="Z75" s="3" t="s">
        <v>3693</v>
      </c>
      <c r="AA75" s="3" t="s">
        <v>3694</v>
      </c>
      <c r="AB75" s="3" t="s">
        <v>3695</v>
      </c>
      <c r="AC75" s="3" t="s">
        <v>3696</v>
      </c>
      <c r="AD75" s="3" t="s">
        <v>3696</v>
      </c>
      <c r="AE75" s="3" t="s">
        <v>3697</v>
      </c>
      <c r="AF75" s="3" t="s">
        <v>1324</v>
      </c>
      <c r="AG75" s="3">
        <v>85.0</v>
      </c>
      <c r="AH75" s="3">
        <v>25.0</v>
      </c>
      <c r="AI75" s="3">
        <v>27.0</v>
      </c>
      <c r="AJ75" s="3">
        <v>0.0</v>
      </c>
      <c r="AK75" s="3">
        <v>34.0</v>
      </c>
      <c r="AL75" s="3" t="s">
        <v>3043</v>
      </c>
      <c r="AM75" s="3" t="s">
        <v>2487</v>
      </c>
      <c r="AN75" s="3" t="s">
        <v>3044</v>
      </c>
      <c r="AO75" s="3" t="s">
        <v>3698</v>
      </c>
      <c r="AP75" s="3" t="s">
        <v>3699</v>
      </c>
      <c r="AQ75" s="3" t="s">
        <v>1324</v>
      </c>
      <c r="AR75" s="3" t="s">
        <v>3700</v>
      </c>
      <c r="AS75" s="3" t="s">
        <v>3701</v>
      </c>
      <c r="AT75" s="3" t="s">
        <v>3518</v>
      </c>
      <c r="AU75" s="3">
        <v>2014.0</v>
      </c>
      <c r="AV75" s="3">
        <v>121.0</v>
      </c>
      <c r="AW75" s="3" t="s">
        <v>1324</v>
      </c>
      <c r="AX75" s="3" t="s">
        <v>1324</v>
      </c>
      <c r="AY75" s="3" t="s">
        <v>1324</v>
      </c>
      <c r="AZ75" s="3" t="s">
        <v>1324</v>
      </c>
      <c r="BA75" s="3" t="s">
        <v>1324</v>
      </c>
      <c r="BB75" s="3">
        <v>64.0</v>
      </c>
      <c r="BC75" s="3">
        <v>77.0</v>
      </c>
      <c r="BD75" s="3" t="s">
        <v>1324</v>
      </c>
      <c r="BE75" s="3" t="s">
        <v>2000</v>
      </c>
      <c r="BF75" s="25" t="str">
        <f>HYPERLINK("http://dx.doi.org/10.1016/j.gloplacha.2014.07.007","http://dx.doi.org/10.1016/j.gloplacha.2014.07.007")</f>
        <v>http://dx.doi.org/10.1016/j.gloplacha.2014.07.007</v>
      </c>
      <c r="BG75" s="3" t="s">
        <v>1324</v>
      </c>
      <c r="BH75" s="3" t="s">
        <v>1324</v>
      </c>
      <c r="BI75" s="3">
        <v>14.0</v>
      </c>
      <c r="BJ75" s="3" t="s">
        <v>1059</v>
      </c>
      <c r="BK75" s="3" t="s">
        <v>2878</v>
      </c>
      <c r="BL75" s="3" t="s">
        <v>3702</v>
      </c>
      <c r="BM75" s="3" t="s">
        <v>3703</v>
      </c>
      <c r="BN75" s="3" t="s">
        <v>1324</v>
      </c>
      <c r="BO75" s="3" t="s">
        <v>1324</v>
      </c>
      <c r="BP75" s="3" t="s">
        <v>1324</v>
      </c>
      <c r="BQ75" s="3" t="s">
        <v>1324</v>
      </c>
      <c r="BR75" s="3" t="s">
        <v>2383</v>
      </c>
      <c r="BS75" s="3" t="s">
        <v>3704</v>
      </c>
      <c r="BT75" s="3" t="str">
        <f>HYPERLINK("https%3A%2F%2Fwww.webofscience.com%2Fwos%2Fwoscc%2Ffull-record%2FWOS:000341558700007","View Full Record in Web of Science")</f>
        <v>View Full Record in Web of Science</v>
      </c>
    </row>
    <row r="76" ht="12.75" customHeight="1">
      <c r="A76" s="3" t="s">
        <v>26</v>
      </c>
      <c r="B76" s="3" t="s">
        <v>3705</v>
      </c>
      <c r="C76" s="3" t="s">
        <v>1324</v>
      </c>
      <c r="D76" s="3" t="s">
        <v>1324</v>
      </c>
      <c r="E76" s="3" t="s">
        <v>1324</v>
      </c>
      <c r="F76" s="3" t="s">
        <v>1430</v>
      </c>
      <c r="G76" s="3" t="s">
        <v>1324</v>
      </c>
      <c r="H76" s="3" t="s">
        <v>1324</v>
      </c>
      <c r="I76" s="3" t="s">
        <v>1432</v>
      </c>
      <c r="J76" s="3" t="s">
        <v>1431</v>
      </c>
      <c r="K76" s="3" t="s">
        <v>1324</v>
      </c>
      <c r="L76" s="3" t="s">
        <v>1324</v>
      </c>
      <c r="M76" s="3" t="s">
        <v>2364</v>
      </c>
      <c r="N76" s="3" t="s">
        <v>38</v>
      </c>
      <c r="O76" s="3" t="s">
        <v>1324</v>
      </c>
      <c r="P76" s="3" t="s">
        <v>1324</v>
      </c>
      <c r="Q76" s="3" t="s">
        <v>1324</v>
      </c>
      <c r="R76" s="3" t="s">
        <v>1324</v>
      </c>
      <c r="S76" s="3" t="s">
        <v>1324</v>
      </c>
      <c r="T76" s="3" t="s">
        <v>3706</v>
      </c>
      <c r="U76" s="3" t="s">
        <v>3707</v>
      </c>
      <c r="V76" s="3" t="s">
        <v>1433</v>
      </c>
      <c r="W76" s="3" t="s">
        <v>3708</v>
      </c>
      <c r="X76" s="3" t="s">
        <v>3709</v>
      </c>
      <c r="Y76" s="3" t="s">
        <v>3710</v>
      </c>
      <c r="Z76" s="3" t="s">
        <v>3711</v>
      </c>
      <c r="AA76" s="3" t="s">
        <v>1324</v>
      </c>
      <c r="AB76" s="3" t="s">
        <v>3712</v>
      </c>
      <c r="AC76" s="3" t="s">
        <v>3713</v>
      </c>
      <c r="AD76" s="3" t="s">
        <v>3713</v>
      </c>
      <c r="AE76" s="3" t="s">
        <v>3714</v>
      </c>
      <c r="AF76" s="3" t="s">
        <v>1324</v>
      </c>
      <c r="AG76" s="3">
        <v>36.0</v>
      </c>
      <c r="AH76" s="3">
        <v>6.0</v>
      </c>
      <c r="AI76" s="3">
        <v>7.0</v>
      </c>
      <c r="AJ76" s="3">
        <v>0.0</v>
      </c>
      <c r="AK76" s="3">
        <v>36.0</v>
      </c>
      <c r="AL76" s="3" t="s">
        <v>1431</v>
      </c>
      <c r="AM76" s="3" t="s">
        <v>3715</v>
      </c>
      <c r="AN76" s="3" t="s">
        <v>3716</v>
      </c>
      <c r="AO76" s="3" t="s">
        <v>3717</v>
      </c>
      <c r="AP76" s="3" t="s">
        <v>3718</v>
      </c>
      <c r="AQ76" s="3" t="s">
        <v>1324</v>
      </c>
      <c r="AR76" s="3" t="s">
        <v>3719</v>
      </c>
      <c r="AS76" s="3" t="s">
        <v>3720</v>
      </c>
      <c r="AT76" s="3" t="s">
        <v>2471</v>
      </c>
      <c r="AU76" s="3">
        <v>2014.0</v>
      </c>
      <c r="AV76" s="3">
        <v>62.0</v>
      </c>
      <c r="AW76" s="3" t="s">
        <v>1324</v>
      </c>
      <c r="AX76" s="3" t="s">
        <v>1324</v>
      </c>
      <c r="AY76" s="3">
        <v>3.0</v>
      </c>
      <c r="AZ76" s="3" t="s">
        <v>1324</v>
      </c>
      <c r="BA76" s="3" t="s">
        <v>1324</v>
      </c>
      <c r="BB76" s="3">
        <v>273.0</v>
      </c>
      <c r="BC76" s="3">
        <v>286.0</v>
      </c>
      <c r="BD76" s="3" t="s">
        <v>1324</v>
      </c>
      <c r="BE76" s="3" t="s">
        <v>1434</v>
      </c>
      <c r="BF76" s="25" t="str">
        <f>HYPERLINK("http://dx.doi.org/10.15517/rbt.v62i0.15922","http://dx.doi.org/10.15517/rbt.v62i0.15922")</f>
        <v>http://dx.doi.org/10.15517/rbt.v62i0.15922</v>
      </c>
      <c r="BG76" s="3" t="s">
        <v>1324</v>
      </c>
      <c r="BH76" s="3" t="s">
        <v>1324</v>
      </c>
      <c r="BI76" s="3">
        <v>14.0</v>
      </c>
      <c r="BJ76" s="3" t="s">
        <v>188</v>
      </c>
      <c r="BK76" s="3" t="s">
        <v>2407</v>
      </c>
      <c r="BL76" s="3" t="s">
        <v>3721</v>
      </c>
      <c r="BM76" s="3" t="s">
        <v>3722</v>
      </c>
      <c r="BN76" s="3" t="s">
        <v>1324</v>
      </c>
      <c r="BO76" s="3" t="s">
        <v>3723</v>
      </c>
      <c r="BP76" s="3" t="s">
        <v>1324</v>
      </c>
      <c r="BQ76" s="3" t="s">
        <v>1324</v>
      </c>
      <c r="BR76" s="3" t="s">
        <v>2383</v>
      </c>
      <c r="BS76" s="3" t="s">
        <v>3724</v>
      </c>
      <c r="BT76" s="3" t="str">
        <f>HYPERLINK("https%3A%2F%2Fwww.webofscience.com%2Fwos%2Fwoscc%2Ffull-record%2FWOS:000209580800026","View Full Record in Web of Science")</f>
        <v>View Full Record in Web of Science</v>
      </c>
    </row>
    <row r="77" ht="12.75" customHeight="1">
      <c r="A77" s="3" t="s">
        <v>26</v>
      </c>
      <c r="B77" s="3" t="s">
        <v>3725</v>
      </c>
      <c r="C77" s="3" t="s">
        <v>1324</v>
      </c>
      <c r="D77" s="3" t="s">
        <v>1324</v>
      </c>
      <c r="E77" s="3" t="s">
        <v>1324</v>
      </c>
      <c r="F77" s="3" t="s">
        <v>1730</v>
      </c>
      <c r="G77" s="3" t="s">
        <v>1324</v>
      </c>
      <c r="H77" s="3" t="s">
        <v>1324</v>
      </c>
      <c r="I77" s="3" t="s">
        <v>1732</v>
      </c>
      <c r="J77" s="3" t="s">
        <v>1731</v>
      </c>
      <c r="K77" s="3" t="s">
        <v>1324</v>
      </c>
      <c r="L77" s="3" t="s">
        <v>1324</v>
      </c>
      <c r="M77" s="3" t="s">
        <v>2364</v>
      </c>
      <c r="N77" s="3" t="s">
        <v>38</v>
      </c>
      <c r="O77" s="3" t="s">
        <v>1324</v>
      </c>
      <c r="P77" s="3" t="s">
        <v>1324</v>
      </c>
      <c r="Q77" s="3" t="s">
        <v>1324</v>
      </c>
      <c r="R77" s="3" t="s">
        <v>1324</v>
      </c>
      <c r="S77" s="3" t="s">
        <v>1324</v>
      </c>
      <c r="T77" s="3" t="s">
        <v>3726</v>
      </c>
      <c r="U77" s="3" t="s">
        <v>3727</v>
      </c>
      <c r="V77" s="3" t="s">
        <v>1733</v>
      </c>
      <c r="W77" s="3" t="s">
        <v>3728</v>
      </c>
      <c r="X77" s="3" t="s">
        <v>3729</v>
      </c>
      <c r="Y77" s="3" t="s">
        <v>3730</v>
      </c>
      <c r="Z77" s="3" t="s">
        <v>3731</v>
      </c>
      <c r="AA77" s="3" t="s">
        <v>3732</v>
      </c>
      <c r="AB77" s="3" t="s">
        <v>3733</v>
      </c>
      <c r="AC77" s="3" t="s">
        <v>3734</v>
      </c>
      <c r="AD77" s="3" t="s">
        <v>3735</v>
      </c>
      <c r="AE77" s="3" t="s">
        <v>3736</v>
      </c>
      <c r="AF77" s="3" t="s">
        <v>1324</v>
      </c>
      <c r="AG77" s="3">
        <v>58.0</v>
      </c>
      <c r="AH77" s="3">
        <v>93.0</v>
      </c>
      <c r="AI77" s="3">
        <v>104.0</v>
      </c>
      <c r="AJ77" s="3">
        <v>0.0</v>
      </c>
      <c r="AK77" s="3">
        <v>48.0</v>
      </c>
      <c r="AL77" s="3" t="s">
        <v>3737</v>
      </c>
      <c r="AM77" s="3" t="s">
        <v>2509</v>
      </c>
      <c r="AN77" s="3" t="s">
        <v>3738</v>
      </c>
      <c r="AO77" s="3" t="s">
        <v>3739</v>
      </c>
      <c r="AP77" s="3" t="s">
        <v>3740</v>
      </c>
      <c r="AQ77" s="3" t="s">
        <v>1324</v>
      </c>
      <c r="AR77" s="3" t="s">
        <v>3741</v>
      </c>
      <c r="AS77" s="3" t="s">
        <v>3742</v>
      </c>
      <c r="AT77" s="3" t="s">
        <v>3743</v>
      </c>
      <c r="AU77" s="3">
        <v>2014.0</v>
      </c>
      <c r="AV77" s="3">
        <v>71.0</v>
      </c>
      <c r="AW77" s="3">
        <v>7.0</v>
      </c>
      <c r="AX77" s="3" t="s">
        <v>1324</v>
      </c>
      <c r="AY77" s="3" t="s">
        <v>1324</v>
      </c>
      <c r="AZ77" s="3" t="s">
        <v>1324</v>
      </c>
      <c r="BA77" s="3" t="s">
        <v>1324</v>
      </c>
      <c r="BB77" s="3">
        <v>1593.0</v>
      </c>
      <c r="BC77" s="3">
        <v>1603.0</v>
      </c>
      <c r="BD77" s="3" t="s">
        <v>1324</v>
      </c>
      <c r="BE77" s="3" t="s">
        <v>1734</v>
      </c>
      <c r="BF77" s="25" t="str">
        <f>HYPERLINK("http://dx.doi.org/10.1093/icesjms/fst222","http://dx.doi.org/10.1093/icesjms/fst222")</f>
        <v>http://dx.doi.org/10.1093/icesjms/fst222</v>
      </c>
      <c r="BG77" s="3" t="s">
        <v>1324</v>
      </c>
      <c r="BH77" s="3" t="s">
        <v>1324</v>
      </c>
      <c r="BI77" s="3">
        <v>11.0</v>
      </c>
      <c r="BJ77" s="3" t="s">
        <v>3744</v>
      </c>
      <c r="BK77" s="3" t="s">
        <v>2407</v>
      </c>
      <c r="BL77" s="3" t="s">
        <v>3744</v>
      </c>
      <c r="BM77" s="3" t="s">
        <v>3745</v>
      </c>
      <c r="BN77" s="3" t="s">
        <v>1324</v>
      </c>
      <c r="BO77" s="3" t="s">
        <v>2579</v>
      </c>
      <c r="BP77" s="3" t="s">
        <v>1324</v>
      </c>
      <c r="BQ77" s="3" t="s">
        <v>1324</v>
      </c>
      <c r="BR77" s="3" t="s">
        <v>2383</v>
      </c>
      <c r="BS77" s="3" t="s">
        <v>3746</v>
      </c>
      <c r="BT77" s="3" t="str">
        <f>HYPERLINK("https%3A%2F%2Fwww.webofscience.com%2Fwos%2Fwoscc%2Ffull-record%2FWOS:000343315900008","View Full Record in Web of Science")</f>
        <v>View Full Record in Web of Science</v>
      </c>
    </row>
    <row r="78" ht="12.75" customHeight="1">
      <c r="A78" s="3" t="s">
        <v>26</v>
      </c>
      <c r="B78" s="3" t="s">
        <v>3747</v>
      </c>
      <c r="C78" s="3" t="s">
        <v>1324</v>
      </c>
      <c r="D78" s="3" t="s">
        <v>1324</v>
      </c>
      <c r="E78" s="3" t="s">
        <v>1324</v>
      </c>
      <c r="F78" s="3" t="s">
        <v>1677</v>
      </c>
      <c r="G78" s="3" t="s">
        <v>1324</v>
      </c>
      <c r="H78" s="3" t="s">
        <v>1324</v>
      </c>
      <c r="I78" s="3" t="s">
        <v>1678</v>
      </c>
      <c r="J78" s="3" t="s">
        <v>126</v>
      </c>
      <c r="K78" s="3" t="s">
        <v>1324</v>
      </c>
      <c r="L78" s="3" t="s">
        <v>1324</v>
      </c>
      <c r="M78" s="3" t="s">
        <v>2364</v>
      </c>
      <c r="N78" s="3" t="s">
        <v>38</v>
      </c>
      <c r="O78" s="3" t="s">
        <v>1324</v>
      </c>
      <c r="P78" s="3" t="s">
        <v>1324</v>
      </c>
      <c r="Q78" s="3" t="s">
        <v>1324</v>
      </c>
      <c r="R78" s="3" t="s">
        <v>1324</v>
      </c>
      <c r="S78" s="3" t="s">
        <v>1324</v>
      </c>
      <c r="T78" s="3" t="s">
        <v>3748</v>
      </c>
      <c r="U78" s="3" t="s">
        <v>3749</v>
      </c>
      <c r="V78" s="3" t="s">
        <v>3750</v>
      </c>
      <c r="W78" s="3" t="s">
        <v>3751</v>
      </c>
      <c r="X78" s="3" t="s">
        <v>3752</v>
      </c>
      <c r="Y78" s="3" t="s">
        <v>3753</v>
      </c>
      <c r="Z78" s="3" t="s">
        <v>3754</v>
      </c>
      <c r="AA78" s="3" t="s">
        <v>3755</v>
      </c>
      <c r="AB78" s="3" t="s">
        <v>3756</v>
      </c>
      <c r="AC78" s="3" t="s">
        <v>3757</v>
      </c>
      <c r="AD78" s="3" t="s">
        <v>3758</v>
      </c>
      <c r="AE78" s="3" t="s">
        <v>3759</v>
      </c>
      <c r="AF78" s="3" t="s">
        <v>1324</v>
      </c>
      <c r="AG78" s="3">
        <v>65.0</v>
      </c>
      <c r="AH78" s="3">
        <v>39.0</v>
      </c>
      <c r="AI78" s="3">
        <v>44.0</v>
      </c>
      <c r="AJ78" s="3">
        <v>3.0</v>
      </c>
      <c r="AK78" s="3">
        <v>127.0</v>
      </c>
      <c r="AL78" s="3" t="s">
        <v>2464</v>
      </c>
      <c r="AM78" s="3" t="s">
        <v>2465</v>
      </c>
      <c r="AN78" s="3" t="s">
        <v>2466</v>
      </c>
      <c r="AO78" s="3" t="s">
        <v>3025</v>
      </c>
      <c r="AP78" s="3" t="s">
        <v>3026</v>
      </c>
      <c r="AQ78" s="3" t="s">
        <v>1324</v>
      </c>
      <c r="AR78" s="3" t="s">
        <v>3027</v>
      </c>
      <c r="AS78" s="3" t="s">
        <v>3028</v>
      </c>
      <c r="AT78" s="3" t="s">
        <v>2515</v>
      </c>
      <c r="AU78" s="3">
        <v>2014.0</v>
      </c>
      <c r="AV78" s="3">
        <v>59.0</v>
      </c>
      <c r="AW78" s="3">
        <v>8.0</v>
      </c>
      <c r="AX78" s="3" t="s">
        <v>1324</v>
      </c>
      <c r="AY78" s="3" t="s">
        <v>1324</v>
      </c>
      <c r="AZ78" s="3" t="s">
        <v>1324</v>
      </c>
      <c r="BA78" s="3" t="s">
        <v>1324</v>
      </c>
      <c r="BB78" s="3">
        <v>1755.0</v>
      </c>
      <c r="BC78" s="3">
        <v>1767.0</v>
      </c>
      <c r="BD78" s="3" t="s">
        <v>1324</v>
      </c>
      <c r="BE78" s="3" t="s">
        <v>1680</v>
      </c>
      <c r="BF78" s="25" t="str">
        <f>HYPERLINK("http://dx.doi.org/10.1111/fwb.12380","http://dx.doi.org/10.1111/fwb.12380")</f>
        <v>http://dx.doi.org/10.1111/fwb.12380</v>
      </c>
      <c r="BG78" s="3" t="s">
        <v>1324</v>
      </c>
      <c r="BH78" s="3" t="s">
        <v>1324</v>
      </c>
      <c r="BI78" s="3">
        <v>13.0</v>
      </c>
      <c r="BJ78" s="3" t="s">
        <v>130</v>
      </c>
      <c r="BK78" s="3" t="s">
        <v>2407</v>
      </c>
      <c r="BL78" s="3" t="s">
        <v>2516</v>
      </c>
      <c r="BM78" s="3" t="s">
        <v>3760</v>
      </c>
      <c r="BN78" s="3" t="s">
        <v>1324</v>
      </c>
      <c r="BO78" s="3" t="s">
        <v>1324</v>
      </c>
      <c r="BP78" s="3" t="s">
        <v>1324</v>
      </c>
      <c r="BQ78" s="3" t="s">
        <v>1324</v>
      </c>
      <c r="BR78" s="3" t="s">
        <v>2383</v>
      </c>
      <c r="BS78" s="3" t="s">
        <v>3761</v>
      </c>
      <c r="BT78" s="3" t="str">
        <f>HYPERLINK("https%3A%2F%2Fwww.webofscience.com%2Fwos%2Fwoscc%2Ffull-record%2FWOS:000339385100016","View Full Record in Web of Science")</f>
        <v>View Full Record in Web of Science</v>
      </c>
    </row>
    <row r="79" ht="12.75" customHeight="1">
      <c r="A79" s="3" t="s">
        <v>26</v>
      </c>
      <c r="B79" s="3" t="s">
        <v>3762</v>
      </c>
      <c r="C79" s="3" t="s">
        <v>1324</v>
      </c>
      <c r="D79" s="3" t="s">
        <v>1324</v>
      </c>
      <c r="E79" s="3" t="s">
        <v>1324</v>
      </c>
      <c r="F79" s="3" t="s">
        <v>1667</v>
      </c>
      <c r="G79" s="3" t="s">
        <v>1324</v>
      </c>
      <c r="H79" s="3" t="s">
        <v>1324</v>
      </c>
      <c r="I79" s="3" t="s">
        <v>1668</v>
      </c>
      <c r="J79" s="3" t="s">
        <v>774</v>
      </c>
      <c r="K79" s="3" t="s">
        <v>1324</v>
      </c>
      <c r="L79" s="3" t="s">
        <v>1324</v>
      </c>
      <c r="M79" s="3" t="s">
        <v>2364</v>
      </c>
      <c r="N79" s="3" t="s">
        <v>38</v>
      </c>
      <c r="O79" s="3" t="s">
        <v>1324</v>
      </c>
      <c r="P79" s="3" t="s">
        <v>1324</v>
      </c>
      <c r="Q79" s="3" t="s">
        <v>1324</v>
      </c>
      <c r="R79" s="3" t="s">
        <v>1324</v>
      </c>
      <c r="S79" s="3" t="s">
        <v>1324</v>
      </c>
      <c r="T79" s="3" t="s">
        <v>3763</v>
      </c>
      <c r="U79" s="3" t="s">
        <v>3764</v>
      </c>
      <c r="V79" s="3" t="s">
        <v>1669</v>
      </c>
      <c r="W79" s="3" t="s">
        <v>3765</v>
      </c>
      <c r="X79" s="3" t="s">
        <v>3766</v>
      </c>
      <c r="Y79" s="3" t="s">
        <v>3767</v>
      </c>
      <c r="Z79" s="3" t="s">
        <v>3768</v>
      </c>
      <c r="AA79" s="3" t="s">
        <v>3769</v>
      </c>
      <c r="AB79" s="3" t="s">
        <v>1324</v>
      </c>
      <c r="AC79" s="3" t="s">
        <v>3770</v>
      </c>
      <c r="AD79" s="3" t="s">
        <v>1324</v>
      </c>
      <c r="AE79" s="3" t="s">
        <v>3771</v>
      </c>
      <c r="AF79" s="3" t="s">
        <v>1324</v>
      </c>
      <c r="AG79" s="3">
        <v>88.0</v>
      </c>
      <c r="AH79" s="3">
        <v>84.0</v>
      </c>
      <c r="AI79" s="3">
        <v>93.0</v>
      </c>
      <c r="AJ79" s="3">
        <v>5.0</v>
      </c>
      <c r="AK79" s="3">
        <v>203.0</v>
      </c>
      <c r="AL79" s="3" t="s">
        <v>2464</v>
      </c>
      <c r="AM79" s="3" t="s">
        <v>2465</v>
      </c>
      <c r="AN79" s="3" t="s">
        <v>2466</v>
      </c>
      <c r="AO79" s="3" t="s">
        <v>2923</v>
      </c>
      <c r="AP79" s="3" t="s">
        <v>2924</v>
      </c>
      <c r="AQ79" s="3" t="s">
        <v>1324</v>
      </c>
      <c r="AR79" s="3" t="s">
        <v>2925</v>
      </c>
      <c r="AS79" s="3" t="s">
        <v>2926</v>
      </c>
      <c r="AT79" s="3" t="s">
        <v>2515</v>
      </c>
      <c r="AU79" s="3">
        <v>2014.0</v>
      </c>
      <c r="AV79" s="3">
        <v>20.0</v>
      </c>
      <c r="AW79" s="3">
        <v>8.0</v>
      </c>
      <c r="AX79" s="3" t="s">
        <v>1324</v>
      </c>
      <c r="AY79" s="3" t="s">
        <v>1324</v>
      </c>
      <c r="AZ79" s="3" t="s">
        <v>1324</v>
      </c>
      <c r="BA79" s="3" t="s">
        <v>1324</v>
      </c>
      <c r="BB79" s="3">
        <v>2596.0</v>
      </c>
      <c r="BC79" s="3">
        <v>2606.0</v>
      </c>
      <c r="BD79" s="3" t="s">
        <v>1324</v>
      </c>
      <c r="BE79" s="3" t="s">
        <v>1670</v>
      </c>
      <c r="BF79" s="25" t="str">
        <f>HYPERLINK("http://dx.doi.org/10.1111/gcb.12588","http://dx.doi.org/10.1111/gcb.12588")</f>
        <v>http://dx.doi.org/10.1111/gcb.12588</v>
      </c>
      <c r="BG79" s="3" t="s">
        <v>1324</v>
      </c>
      <c r="BH79" s="3" t="s">
        <v>1324</v>
      </c>
      <c r="BI79" s="3">
        <v>11.0</v>
      </c>
      <c r="BJ79" s="3" t="s">
        <v>255</v>
      </c>
      <c r="BK79" s="3" t="s">
        <v>2407</v>
      </c>
      <c r="BL79" s="3" t="s">
        <v>2577</v>
      </c>
      <c r="BM79" s="3" t="s">
        <v>3772</v>
      </c>
      <c r="BN79" s="3">
        <v>2.4687944E7</v>
      </c>
      <c r="BO79" s="3" t="s">
        <v>1324</v>
      </c>
      <c r="BP79" s="3" t="s">
        <v>1324</v>
      </c>
      <c r="BQ79" s="3" t="s">
        <v>1324</v>
      </c>
      <c r="BR79" s="3" t="s">
        <v>2383</v>
      </c>
      <c r="BS79" s="3" t="s">
        <v>3773</v>
      </c>
      <c r="BT79" s="3" t="str">
        <f>HYPERLINK("https%3A%2F%2Fwww.webofscience.com%2Fwos%2Fwoscc%2Ffull-record%2FWOS:000339100200021","View Full Record in Web of Science")</f>
        <v>View Full Record in Web of Science</v>
      </c>
    </row>
    <row r="80" ht="12.75" customHeight="1">
      <c r="A80" s="3" t="s">
        <v>26</v>
      </c>
      <c r="B80" s="3" t="s">
        <v>3774</v>
      </c>
      <c r="C80" s="3" t="s">
        <v>1324</v>
      </c>
      <c r="D80" s="3" t="s">
        <v>1324</v>
      </c>
      <c r="E80" s="3" t="s">
        <v>1324</v>
      </c>
      <c r="F80" s="3" t="s">
        <v>1682</v>
      </c>
      <c r="G80" s="3" t="s">
        <v>1324</v>
      </c>
      <c r="H80" s="3" t="s">
        <v>1324</v>
      </c>
      <c r="I80" s="3" t="s">
        <v>1683</v>
      </c>
      <c r="J80" s="3" t="s">
        <v>126</v>
      </c>
      <c r="K80" s="3" t="s">
        <v>1324</v>
      </c>
      <c r="L80" s="3" t="s">
        <v>1324</v>
      </c>
      <c r="M80" s="3" t="s">
        <v>2364</v>
      </c>
      <c r="N80" s="3" t="s">
        <v>38</v>
      </c>
      <c r="O80" s="3" t="s">
        <v>1324</v>
      </c>
      <c r="P80" s="3" t="s">
        <v>1324</v>
      </c>
      <c r="Q80" s="3" t="s">
        <v>1324</v>
      </c>
      <c r="R80" s="3" t="s">
        <v>1324</v>
      </c>
      <c r="S80" s="3" t="s">
        <v>1324</v>
      </c>
      <c r="T80" s="3" t="s">
        <v>3775</v>
      </c>
      <c r="U80" s="3" t="s">
        <v>3776</v>
      </c>
      <c r="V80" s="3" t="s">
        <v>1684</v>
      </c>
      <c r="W80" s="3" t="s">
        <v>3777</v>
      </c>
      <c r="X80" s="3" t="s">
        <v>3778</v>
      </c>
      <c r="Y80" s="3" t="s">
        <v>3779</v>
      </c>
      <c r="Z80" s="3" t="s">
        <v>3780</v>
      </c>
      <c r="AA80" s="3" t="s">
        <v>3781</v>
      </c>
      <c r="AB80" s="3" t="s">
        <v>3782</v>
      </c>
      <c r="AC80" s="3" t="s">
        <v>1324</v>
      </c>
      <c r="AD80" s="3" t="s">
        <v>1324</v>
      </c>
      <c r="AE80" s="3" t="s">
        <v>1324</v>
      </c>
      <c r="AF80" s="3" t="s">
        <v>1324</v>
      </c>
      <c r="AG80" s="3">
        <v>54.0</v>
      </c>
      <c r="AH80" s="3">
        <v>19.0</v>
      </c>
      <c r="AI80" s="3">
        <v>24.0</v>
      </c>
      <c r="AJ80" s="3">
        <v>2.0</v>
      </c>
      <c r="AK80" s="3">
        <v>108.0</v>
      </c>
      <c r="AL80" s="3" t="s">
        <v>2464</v>
      </c>
      <c r="AM80" s="3" t="s">
        <v>2465</v>
      </c>
      <c r="AN80" s="3" t="s">
        <v>2466</v>
      </c>
      <c r="AO80" s="3" t="s">
        <v>3025</v>
      </c>
      <c r="AP80" s="3" t="s">
        <v>3026</v>
      </c>
      <c r="AQ80" s="3" t="s">
        <v>1324</v>
      </c>
      <c r="AR80" s="3" t="s">
        <v>3027</v>
      </c>
      <c r="AS80" s="3" t="s">
        <v>3028</v>
      </c>
      <c r="AT80" s="3" t="s">
        <v>2557</v>
      </c>
      <c r="AU80" s="3">
        <v>2014.0</v>
      </c>
      <c r="AV80" s="3">
        <v>59.0</v>
      </c>
      <c r="AW80" s="3">
        <v>7.0</v>
      </c>
      <c r="AX80" s="3" t="s">
        <v>1324</v>
      </c>
      <c r="AY80" s="3" t="s">
        <v>1324</v>
      </c>
      <c r="AZ80" s="3" t="s">
        <v>1324</v>
      </c>
      <c r="BA80" s="3" t="s">
        <v>1324</v>
      </c>
      <c r="BB80" s="3">
        <v>1389.0</v>
      </c>
      <c r="BC80" s="3">
        <v>1405.0</v>
      </c>
      <c r="BD80" s="3" t="s">
        <v>1324</v>
      </c>
      <c r="BE80" s="3" t="s">
        <v>1685</v>
      </c>
      <c r="BF80" s="25" t="str">
        <f>HYPERLINK("http://dx.doi.org/10.1111/fwb.12353","http://dx.doi.org/10.1111/fwb.12353")</f>
        <v>http://dx.doi.org/10.1111/fwb.12353</v>
      </c>
      <c r="BG80" s="3" t="s">
        <v>1324</v>
      </c>
      <c r="BH80" s="3" t="s">
        <v>1324</v>
      </c>
      <c r="BI80" s="3">
        <v>17.0</v>
      </c>
      <c r="BJ80" s="3" t="s">
        <v>130</v>
      </c>
      <c r="BK80" s="3" t="s">
        <v>2407</v>
      </c>
      <c r="BL80" s="3" t="s">
        <v>2516</v>
      </c>
      <c r="BM80" s="3" t="s">
        <v>3783</v>
      </c>
      <c r="BN80" s="3" t="s">
        <v>1324</v>
      </c>
      <c r="BO80" s="3" t="s">
        <v>2715</v>
      </c>
      <c r="BP80" s="3" t="s">
        <v>1324</v>
      </c>
      <c r="BQ80" s="3" t="s">
        <v>1324</v>
      </c>
      <c r="BR80" s="3" t="s">
        <v>2383</v>
      </c>
      <c r="BS80" s="3" t="s">
        <v>3784</v>
      </c>
      <c r="BT80" s="3" t="str">
        <f>HYPERLINK("https%3A%2F%2Fwww.webofscience.com%2Fwos%2Fwoscc%2Ffull-record%2FWOS:000337528600004","View Full Record in Web of Science")</f>
        <v>View Full Record in Web of Science</v>
      </c>
    </row>
    <row r="81" ht="12.75" customHeight="1">
      <c r="A81" s="3" t="s">
        <v>26</v>
      </c>
      <c r="B81" s="3" t="s">
        <v>3785</v>
      </c>
      <c r="C81" s="3" t="s">
        <v>1324</v>
      </c>
      <c r="D81" s="3" t="s">
        <v>1324</v>
      </c>
      <c r="E81" s="3" t="s">
        <v>1324</v>
      </c>
      <c r="F81" s="3" t="s">
        <v>2130</v>
      </c>
      <c r="G81" s="3" t="s">
        <v>1324</v>
      </c>
      <c r="H81" s="3" t="s">
        <v>1324</v>
      </c>
      <c r="I81" s="3" t="s">
        <v>2132</v>
      </c>
      <c r="J81" s="3" t="s">
        <v>2131</v>
      </c>
      <c r="K81" s="3" t="s">
        <v>1324</v>
      </c>
      <c r="L81" s="3" t="s">
        <v>1324</v>
      </c>
      <c r="M81" s="3" t="s">
        <v>2364</v>
      </c>
      <c r="N81" s="3" t="s">
        <v>38</v>
      </c>
      <c r="O81" s="3" t="s">
        <v>1324</v>
      </c>
      <c r="P81" s="3" t="s">
        <v>1324</v>
      </c>
      <c r="Q81" s="3" t="s">
        <v>1324</v>
      </c>
      <c r="R81" s="3" t="s">
        <v>1324</v>
      </c>
      <c r="S81" s="3" t="s">
        <v>1324</v>
      </c>
      <c r="T81" s="3" t="s">
        <v>3786</v>
      </c>
      <c r="U81" s="3" t="s">
        <v>3787</v>
      </c>
      <c r="V81" s="3" t="s">
        <v>2133</v>
      </c>
      <c r="W81" s="3" t="s">
        <v>3788</v>
      </c>
      <c r="X81" s="3" t="s">
        <v>3789</v>
      </c>
      <c r="Y81" s="3" t="s">
        <v>3790</v>
      </c>
      <c r="Z81" s="3" t="s">
        <v>3791</v>
      </c>
      <c r="AA81" s="3" t="s">
        <v>3792</v>
      </c>
      <c r="AB81" s="3" t="s">
        <v>3793</v>
      </c>
      <c r="AC81" s="3" t="s">
        <v>3794</v>
      </c>
      <c r="AD81" s="3" t="s">
        <v>3795</v>
      </c>
      <c r="AE81" s="3" t="s">
        <v>3796</v>
      </c>
      <c r="AF81" s="3" t="s">
        <v>1324</v>
      </c>
      <c r="AG81" s="3">
        <v>64.0</v>
      </c>
      <c r="AH81" s="3">
        <v>563.0</v>
      </c>
      <c r="AI81" s="3">
        <v>707.0</v>
      </c>
      <c r="AJ81" s="3">
        <v>24.0</v>
      </c>
      <c r="AK81" s="3">
        <v>1274.0</v>
      </c>
      <c r="AL81" s="3" t="s">
        <v>3043</v>
      </c>
      <c r="AM81" s="3" t="s">
        <v>2487</v>
      </c>
      <c r="AN81" s="3" t="s">
        <v>3044</v>
      </c>
      <c r="AO81" s="3" t="s">
        <v>3797</v>
      </c>
      <c r="AP81" s="3" t="s">
        <v>3798</v>
      </c>
      <c r="AQ81" s="3" t="s">
        <v>1324</v>
      </c>
      <c r="AR81" s="3" t="s">
        <v>3799</v>
      </c>
      <c r="AS81" s="3" t="s">
        <v>3800</v>
      </c>
      <c r="AT81" s="3" t="s">
        <v>3801</v>
      </c>
      <c r="AU81" s="3">
        <v>2014.0</v>
      </c>
      <c r="AV81" s="3">
        <v>189.0</v>
      </c>
      <c r="AW81" s="3" t="s">
        <v>1324</v>
      </c>
      <c r="AX81" s="3" t="s">
        <v>1324</v>
      </c>
      <c r="AY81" s="3" t="s">
        <v>1324</v>
      </c>
      <c r="AZ81" s="3" t="s">
        <v>1324</v>
      </c>
      <c r="BA81" s="3" t="s">
        <v>1324</v>
      </c>
      <c r="BB81" s="3">
        <v>11.0</v>
      </c>
      <c r="BC81" s="3">
        <v>18.0</v>
      </c>
      <c r="BD81" s="3" t="s">
        <v>1324</v>
      </c>
      <c r="BE81" s="3" t="s">
        <v>2134</v>
      </c>
      <c r="BF81" s="25" t="str">
        <f>HYPERLINK("http://dx.doi.org/10.1016/j.agrformet.2014.01.002","http://dx.doi.org/10.1016/j.agrformet.2014.01.002")</f>
        <v>http://dx.doi.org/10.1016/j.agrformet.2014.01.002</v>
      </c>
      <c r="BG81" s="3" t="s">
        <v>1324</v>
      </c>
      <c r="BH81" s="3" t="s">
        <v>1324</v>
      </c>
      <c r="BI81" s="3">
        <v>8.0</v>
      </c>
      <c r="BJ81" s="3" t="s">
        <v>3802</v>
      </c>
      <c r="BK81" s="3" t="s">
        <v>2407</v>
      </c>
      <c r="BL81" s="3" t="s">
        <v>3803</v>
      </c>
      <c r="BM81" s="3" t="s">
        <v>3804</v>
      </c>
      <c r="BN81" s="3" t="s">
        <v>1324</v>
      </c>
      <c r="BO81" s="3" t="s">
        <v>1324</v>
      </c>
      <c r="BP81" s="3" t="s">
        <v>1324</v>
      </c>
      <c r="BQ81" s="3" t="s">
        <v>1324</v>
      </c>
      <c r="BR81" s="3" t="s">
        <v>2383</v>
      </c>
      <c r="BS81" s="3" t="s">
        <v>3805</v>
      </c>
      <c r="BT81" s="3" t="str">
        <f>HYPERLINK("https%3A%2F%2Fwww.webofscience.com%2Fwos%2Fwoscc%2Ffull-record%2FWOS:000333852900003","View Full Record in Web of Science")</f>
        <v>View Full Record in Web of Science</v>
      </c>
    </row>
    <row r="82" ht="12.75" customHeight="1">
      <c r="A82" s="3" t="s">
        <v>26</v>
      </c>
      <c r="B82" s="3" t="s">
        <v>3806</v>
      </c>
      <c r="C82" s="3" t="s">
        <v>1324</v>
      </c>
      <c r="D82" s="3" t="s">
        <v>1324</v>
      </c>
      <c r="E82" s="3" t="s">
        <v>1324</v>
      </c>
      <c r="F82" s="3" t="s">
        <v>2194</v>
      </c>
      <c r="G82" s="3" t="s">
        <v>1324</v>
      </c>
      <c r="H82" s="3" t="s">
        <v>1324</v>
      </c>
      <c r="I82" s="3" t="s">
        <v>2195</v>
      </c>
      <c r="J82" s="3" t="s">
        <v>468</v>
      </c>
      <c r="K82" s="3" t="s">
        <v>1324</v>
      </c>
      <c r="L82" s="3" t="s">
        <v>1324</v>
      </c>
      <c r="M82" s="3" t="s">
        <v>2364</v>
      </c>
      <c r="N82" s="3" t="s">
        <v>38</v>
      </c>
      <c r="O82" s="3" t="s">
        <v>1324</v>
      </c>
      <c r="P82" s="3" t="s">
        <v>1324</v>
      </c>
      <c r="Q82" s="3" t="s">
        <v>1324</v>
      </c>
      <c r="R82" s="3" t="s">
        <v>1324</v>
      </c>
      <c r="S82" s="3" t="s">
        <v>1324</v>
      </c>
      <c r="T82" s="3" t="s">
        <v>3807</v>
      </c>
      <c r="U82" s="3" t="s">
        <v>3808</v>
      </c>
      <c r="V82" s="3" t="s">
        <v>2196</v>
      </c>
      <c r="W82" s="3" t="s">
        <v>3809</v>
      </c>
      <c r="X82" s="3" t="s">
        <v>3810</v>
      </c>
      <c r="Y82" s="3" t="s">
        <v>3811</v>
      </c>
      <c r="Z82" s="3" t="s">
        <v>3812</v>
      </c>
      <c r="AA82" s="3" t="s">
        <v>3813</v>
      </c>
      <c r="AB82" s="3" t="s">
        <v>3814</v>
      </c>
      <c r="AC82" s="3" t="s">
        <v>3815</v>
      </c>
      <c r="AD82" s="3" t="s">
        <v>3816</v>
      </c>
      <c r="AE82" s="3" t="s">
        <v>3817</v>
      </c>
      <c r="AF82" s="3" t="s">
        <v>1324</v>
      </c>
      <c r="AG82" s="3">
        <v>63.0</v>
      </c>
      <c r="AH82" s="3">
        <v>32.0</v>
      </c>
      <c r="AI82" s="3">
        <v>43.0</v>
      </c>
      <c r="AJ82" s="3">
        <v>3.0</v>
      </c>
      <c r="AK82" s="3">
        <v>82.0</v>
      </c>
      <c r="AL82" s="3" t="s">
        <v>3818</v>
      </c>
      <c r="AM82" s="3" t="s">
        <v>3819</v>
      </c>
      <c r="AN82" s="3" t="s">
        <v>3820</v>
      </c>
      <c r="AO82" s="3" t="s">
        <v>3821</v>
      </c>
      <c r="AP82" s="3" t="s">
        <v>3822</v>
      </c>
      <c r="AQ82" s="3" t="s">
        <v>1324</v>
      </c>
      <c r="AR82" s="3" t="s">
        <v>3823</v>
      </c>
      <c r="AS82" s="3" t="s">
        <v>3824</v>
      </c>
      <c r="AT82" s="3" t="s">
        <v>2734</v>
      </c>
      <c r="AU82" s="3">
        <v>2014.0</v>
      </c>
      <c r="AV82" s="3">
        <v>225.0</v>
      </c>
      <c r="AW82" s="3">
        <v>4.0</v>
      </c>
      <c r="AX82" s="3" t="s">
        <v>1324</v>
      </c>
      <c r="AY82" s="3" t="s">
        <v>1324</v>
      </c>
      <c r="AZ82" s="3" t="s">
        <v>1324</v>
      </c>
      <c r="BA82" s="3" t="s">
        <v>1324</v>
      </c>
      <c r="BB82" s="3" t="s">
        <v>1324</v>
      </c>
      <c r="BC82" s="3" t="s">
        <v>1324</v>
      </c>
      <c r="BD82" s="3">
        <v>1925.0</v>
      </c>
      <c r="BE82" s="3" t="s">
        <v>2197</v>
      </c>
      <c r="BF82" s="25" t="str">
        <f>HYPERLINK("http://dx.doi.org/10.1007/s11270-014-1925-x","http://dx.doi.org/10.1007/s11270-014-1925-x")</f>
        <v>http://dx.doi.org/10.1007/s11270-014-1925-x</v>
      </c>
      <c r="BG82" s="3" t="s">
        <v>1324</v>
      </c>
      <c r="BH82" s="3" t="s">
        <v>1324</v>
      </c>
      <c r="BI82" s="3">
        <v>15.0</v>
      </c>
      <c r="BJ82" s="3" t="s">
        <v>472</v>
      </c>
      <c r="BK82" s="3" t="s">
        <v>2407</v>
      </c>
      <c r="BL82" s="3" t="s">
        <v>3825</v>
      </c>
      <c r="BM82" s="3" t="s">
        <v>3826</v>
      </c>
      <c r="BN82" s="3" t="s">
        <v>1324</v>
      </c>
      <c r="BO82" s="3" t="s">
        <v>1324</v>
      </c>
      <c r="BP82" s="3" t="s">
        <v>1324</v>
      </c>
      <c r="BQ82" s="3" t="s">
        <v>1324</v>
      </c>
      <c r="BR82" s="3" t="s">
        <v>2383</v>
      </c>
      <c r="BS82" s="3" t="s">
        <v>3827</v>
      </c>
      <c r="BT82" s="3" t="str">
        <f>HYPERLINK("https%3A%2F%2Fwww.webofscience.com%2Fwos%2Fwoscc%2Ffull-record%2FWOS:000334578300016","View Full Record in Web of Science")</f>
        <v>View Full Record in Web of Science</v>
      </c>
    </row>
    <row r="83" ht="12.75" customHeight="1">
      <c r="A83" s="3" t="s">
        <v>26</v>
      </c>
      <c r="B83" s="3" t="s">
        <v>3828</v>
      </c>
      <c r="C83" s="3" t="s">
        <v>1324</v>
      </c>
      <c r="D83" s="3" t="s">
        <v>1324</v>
      </c>
      <c r="E83" s="3" t="s">
        <v>1324</v>
      </c>
      <c r="F83" s="3" t="s">
        <v>1919</v>
      </c>
      <c r="G83" s="3" t="s">
        <v>1324</v>
      </c>
      <c r="H83" s="3" t="s">
        <v>1324</v>
      </c>
      <c r="I83" s="3" t="s">
        <v>1920</v>
      </c>
      <c r="J83" s="3" t="s">
        <v>64</v>
      </c>
      <c r="K83" s="3" t="s">
        <v>1324</v>
      </c>
      <c r="L83" s="3" t="s">
        <v>1324</v>
      </c>
      <c r="M83" s="3" t="s">
        <v>2364</v>
      </c>
      <c r="N83" s="3" t="s">
        <v>38</v>
      </c>
      <c r="O83" s="3" t="s">
        <v>1324</v>
      </c>
      <c r="P83" s="3" t="s">
        <v>1324</v>
      </c>
      <c r="Q83" s="3" t="s">
        <v>1324</v>
      </c>
      <c r="R83" s="3" t="s">
        <v>1324</v>
      </c>
      <c r="S83" s="3" t="s">
        <v>1324</v>
      </c>
      <c r="T83" s="3" t="s">
        <v>3829</v>
      </c>
      <c r="U83" s="3" t="s">
        <v>3830</v>
      </c>
      <c r="V83" s="3" t="s">
        <v>1921</v>
      </c>
      <c r="W83" s="3" t="s">
        <v>3831</v>
      </c>
      <c r="X83" s="3" t="s">
        <v>3832</v>
      </c>
      <c r="Y83" s="3" t="s">
        <v>3833</v>
      </c>
      <c r="Z83" s="3" t="s">
        <v>3834</v>
      </c>
      <c r="AA83" s="3" t="s">
        <v>3835</v>
      </c>
      <c r="AB83" s="3" t="s">
        <v>3836</v>
      </c>
      <c r="AC83" s="3" t="s">
        <v>3837</v>
      </c>
      <c r="AD83" s="3" t="s">
        <v>2685</v>
      </c>
      <c r="AE83" s="3" t="s">
        <v>3838</v>
      </c>
      <c r="AF83" s="3" t="s">
        <v>1324</v>
      </c>
      <c r="AG83" s="3">
        <v>42.0</v>
      </c>
      <c r="AH83" s="3">
        <v>144.0</v>
      </c>
      <c r="AI83" s="3">
        <v>168.0</v>
      </c>
      <c r="AJ83" s="3">
        <v>6.0</v>
      </c>
      <c r="AK83" s="3">
        <v>262.0</v>
      </c>
      <c r="AL83" s="3" t="s">
        <v>2486</v>
      </c>
      <c r="AM83" s="3" t="s">
        <v>2487</v>
      </c>
      <c r="AN83" s="3" t="s">
        <v>2488</v>
      </c>
      <c r="AO83" s="3" t="s">
        <v>3045</v>
      </c>
      <c r="AP83" s="3" t="s">
        <v>3046</v>
      </c>
      <c r="AQ83" s="3" t="s">
        <v>1324</v>
      </c>
      <c r="AR83" s="3" t="s">
        <v>3047</v>
      </c>
      <c r="AS83" s="3" t="s">
        <v>3048</v>
      </c>
      <c r="AT83" s="3" t="s">
        <v>3839</v>
      </c>
      <c r="AU83" s="3">
        <v>2014.0</v>
      </c>
      <c r="AV83" s="3">
        <v>472.0</v>
      </c>
      <c r="AW83" s="3" t="s">
        <v>1324</v>
      </c>
      <c r="AX83" s="3" t="s">
        <v>1324</v>
      </c>
      <c r="AY83" s="3" t="s">
        <v>1324</v>
      </c>
      <c r="AZ83" s="3" t="s">
        <v>1324</v>
      </c>
      <c r="BA83" s="3" t="s">
        <v>1324</v>
      </c>
      <c r="BB83" s="3">
        <v>397.0</v>
      </c>
      <c r="BC83" s="3">
        <v>406.0</v>
      </c>
      <c r="BD83" s="3" t="s">
        <v>1324</v>
      </c>
      <c r="BE83" s="3" t="s">
        <v>1922</v>
      </c>
      <c r="BF83" s="25" t="str">
        <f>HYPERLINK("http://dx.doi.org/10.1016/j.scitotenv.2013.10.128","http://dx.doi.org/10.1016/j.scitotenv.2013.10.128")</f>
        <v>http://dx.doi.org/10.1016/j.scitotenv.2013.10.128</v>
      </c>
      <c r="BG83" s="3" t="s">
        <v>1324</v>
      </c>
      <c r="BH83" s="3" t="s">
        <v>1324</v>
      </c>
      <c r="BI83" s="3">
        <v>10.0</v>
      </c>
      <c r="BJ83" s="3" t="s">
        <v>68</v>
      </c>
      <c r="BK83" s="3" t="s">
        <v>2407</v>
      </c>
      <c r="BL83" s="3" t="s">
        <v>2472</v>
      </c>
      <c r="BM83" s="3" t="s">
        <v>3840</v>
      </c>
      <c r="BN83" s="3">
        <v>2.4295756E7</v>
      </c>
      <c r="BO83" s="3" t="s">
        <v>1324</v>
      </c>
      <c r="BP83" s="3" t="s">
        <v>1324</v>
      </c>
      <c r="BQ83" s="3" t="s">
        <v>1324</v>
      </c>
      <c r="BR83" s="3" t="s">
        <v>2383</v>
      </c>
      <c r="BS83" s="3" t="s">
        <v>3841</v>
      </c>
      <c r="BT83" s="3" t="str">
        <f>HYPERLINK("https%3A%2F%2Fwww.webofscience.com%2Fwos%2Fwoscc%2Ffull-record%2FWOS:000331916100047","View Full Record in Web of Science")</f>
        <v>View Full Record in Web of Science</v>
      </c>
    </row>
    <row r="84" ht="12.75" customHeight="1">
      <c r="A84" s="3" t="s">
        <v>26</v>
      </c>
      <c r="B84" s="3" t="s">
        <v>3842</v>
      </c>
      <c r="C84" s="3" t="s">
        <v>1324</v>
      </c>
      <c r="D84" s="3" t="s">
        <v>1324</v>
      </c>
      <c r="E84" s="3" t="s">
        <v>1324</v>
      </c>
      <c r="F84" s="3" t="s">
        <v>2058</v>
      </c>
      <c r="G84" s="3" t="s">
        <v>1324</v>
      </c>
      <c r="H84" s="3" t="s">
        <v>1324</v>
      </c>
      <c r="I84" s="3" t="s">
        <v>2060</v>
      </c>
      <c r="J84" s="3" t="s">
        <v>2059</v>
      </c>
      <c r="K84" s="3" t="s">
        <v>1324</v>
      </c>
      <c r="L84" s="3" t="s">
        <v>1324</v>
      </c>
      <c r="M84" s="3" t="s">
        <v>2364</v>
      </c>
      <c r="N84" s="3" t="s">
        <v>38</v>
      </c>
      <c r="O84" s="3" t="s">
        <v>1324</v>
      </c>
      <c r="P84" s="3" t="s">
        <v>1324</v>
      </c>
      <c r="Q84" s="3" t="s">
        <v>1324</v>
      </c>
      <c r="R84" s="3" t="s">
        <v>1324</v>
      </c>
      <c r="S84" s="3" t="s">
        <v>1324</v>
      </c>
      <c r="T84" s="3" t="s">
        <v>3843</v>
      </c>
      <c r="U84" s="3" t="s">
        <v>3844</v>
      </c>
      <c r="V84" s="3" t="s">
        <v>2061</v>
      </c>
      <c r="W84" s="3" t="s">
        <v>3845</v>
      </c>
      <c r="X84" s="3" t="s">
        <v>3846</v>
      </c>
      <c r="Y84" s="3" t="s">
        <v>3847</v>
      </c>
      <c r="Z84" s="3" t="s">
        <v>3848</v>
      </c>
      <c r="AA84" s="3" t="s">
        <v>3849</v>
      </c>
      <c r="AB84" s="3" t="s">
        <v>3850</v>
      </c>
      <c r="AC84" s="3" t="s">
        <v>3851</v>
      </c>
      <c r="AD84" s="3" t="s">
        <v>3851</v>
      </c>
      <c r="AE84" s="3" t="s">
        <v>3852</v>
      </c>
      <c r="AF84" s="3" t="s">
        <v>1324</v>
      </c>
      <c r="AG84" s="3">
        <v>69.0</v>
      </c>
      <c r="AH84" s="3">
        <v>28.0</v>
      </c>
      <c r="AI84" s="3">
        <v>29.0</v>
      </c>
      <c r="AJ84" s="3">
        <v>0.0</v>
      </c>
      <c r="AK84" s="3">
        <v>85.0</v>
      </c>
      <c r="AL84" s="3" t="s">
        <v>2486</v>
      </c>
      <c r="AM84" s="3" t="s">
        <v>2487</v>
      </c>
      <c r="AN84" s="3" t="s">
        <v>2488</v>
      </c>
      <c r="AO84" s="3" t="s">
        <v>3853</v>
      </c>
      <c r="AP84" s="3" t="s">
        <v>3854</v>
      </c>
      <c r="AQ84" s="3" t="s">
        <v>1324</v>
      </c>
      <c r="AR84" s="3" t="s">
        <v>3855</v>
      </c>
      <c r="AS84" s="3" t="s">
        <v>3856</v>
      </c>
      <c r="AT84" s="3" t="s">
        <v>3857</v>
      </c>
      <c r="AU84" s="3">
        <v>2014.0</v>
      </c>
      <c r="AV84" s="3">
        <v>273.0</v>
      </c>
      <c r="AW84" s="3" t="s">
        <v>1324</v>
      </c>
      <c r="AX84" s="3" t="s">
        <v>1324</v>
      </c>
      <c r="AY84" s="3" t="s">
        <v>1324</v>
      </c>
      <c r="AZ84" s="3" t="s">
        <v>1324</v>
      </c>
      <c r="BA84" s="3" t="s">
        <v>1324</v>
      </c>
      <c r="BB84" s="3">
        <v>140.0</v>
      </c>
      <c r="BC84" s="3">
        <v>150.0</v>
      </c>
      <c r="BD84" s="3" t="s">
        <v>1324</v>
      </c>
      <c r="BE84" s="3" t="s">
        <v>2062</v>
      </c>
      <c r="BF84" s="25" t="str">
        <f>HYPERLINK("http://dx.doi.org/10.1016/j.ecolmodel.2013.11.004","http://dx.doi.org/10.1016/j.ecolmodel.2013.11.004")</f>
        <v>http://dx.doi.org/10.1016/j.ecolmodel.2013.11.004</v>
      </c>
      <c r="BG84" s="3" t="s">
        <v>1324</v>
      </c>
      <c r="BH84" s="3" t="s">
        <v>1324</v>
      </c>
      <c r="BI84" s="3">
        <v>11.0</v>
      </c>
      <c r="BJ84" s="3" t="s">
        <v>817</v>
      </c>
      <c r="BK84" s="3" t="s">
        <v>2407</v>
      </c>
      <c r="BL84" s="3" t="s">
        <v>2472</v>
      </c>
      <c r="BM84" s="3" t="s">
        <v>3858</v>
      </c>
      <c r="BN84" s="3" t="s">
        <v>1324</v>
      </c>
      <c r="BO84" s="3" t="s">
        <v>1324</v>
      </c>
      <c r="BP84" s="3" t="s">
        <v>1324</v>
      </c>
      <c r="BQ84" s="3" t="s">
        <v>1324</v>
      </c>
      <c r="BR84" s="3" t="s">
        <v>2383</v>
      </c>
      <c r="BS84" s="3" t="s">
        <v>3859</v>
      </c>
      <c r="BT84" s="3" t="str">
        <f>HYPERLINK("https%3A%2F%2Fwww.webofscience.com%2Fwos%2Fwoscc%2Ffull-record%2FWOS:000331673800014","View Full Record in Web of Science")</f>
        <v>View Full Record in Web of Science</v>
      </c>
    </row>
    <row r="85" ht="12.75" customHeight="1">
      <c r="A85" s="3" t="s">
        <v>26</v>
      </c>
      <c r="B85" s="3" t="s">
        <v>3860</v>
      </c>
      <c r="C85" s="3" t="s">
        <v>1324</v>
      </c>
      <c r="D85" s="3" t="s">
        <v>1324</v>
      </c>
      <c r="E85" s="3" t="s">
        <v>1324</v>
      </c>
      <c r="F85" s="3" t="s">
        <v>2171</v>
      </c>
      <c r="G85" s="3" t="s">
        <v>1324</v>
      </c>
      <c r="H85" s="3" t="s">
        <v>1324</v>
      </c>
      <c r="I85" s="3" t="s">
        <v>2173</v>
      </c>
      <c r="J85" s="3" t="s">
        <v>2172</v>
      </c>
      <c r="K85" s="3" t="s">
        <v>1324</v>
      </c>
      <c r="L85" s="3" t="s">
        <v>1324</v>
      </c>
      <c r="M85" s="3" t="s">
        <v>2364</v>
      </c>
      <c r="N85" s="3" t="s">
        <v>38</v>
      </c>
      <c r="O85" s="3" t="s">
        <v>1324</v>
      </c>
      <c r="P85" s="3" t="s">
        <v>1324</v>
      </c>
      <c r="Q85" s="3" t="s">
        <v>1324</v>
      </c>
      <c r="R85" s="3" t="s">
        <v>1324</v>
      </c>
      <c r="S85" s="3" t="s">
        <v>1324</v>
      </c>
      <c r="T85" s="3" t="s">
        <v>3861</v>
      </c>
      <c r="U85" s="3" t="s">
        <v>3862</v>
      </c>
      <c r="V85" s="3" t="s">
        <v>2174</v>
      </c>
      <c r="W85" s="3" t="s">
        <v>3863</v>
      </c>
      <c r="X85" s="3" t="s">
        <v>3864</v>
      </c>
      <c r="Y85" s="3" t="s">
        <v>3865</v>
      </c>
      <c r="Z85" s="3" t="s">
        <v>3866</v>
      </c>
      <c r="AA85" s="3" t="s">
        <v>3867</v>
      </c>
      <c r="AB85" s="3" t="s">
        <v>3868</v>
      </c>
      <c r="AC85" s="3" t="s">
        <v>3869</v>
      </c>
      <c r="AD85" s="3" t="s">
        <v>3870</v>
      </c>
      <c r="AE85" s="3" t="s">
        <v>3871</v>
      </c>
      <c r="AF85" s="3" t="s">
        <v>1324</v>
      </c>
      <c r="AG85" s="3">
        <v>48.0</v>
      </c>
      <c r="AH85" s="3">
        <v>66.0</v>
      </c>
      <c r="AI85" s="3">
        <v>77.0</v>
      </c>
      <c r="AJ85" s="3">
        <v>6.0</v>
      </c>
      <c r="AK85" s="3">
        <v>167.0</v>
      </c>
      <c r="AL85" s="3" t="s">
        <v>3250</v>
      </c>
      <c r="AM85" s="3" t="s">
        <v>3872</v>
      </c>
      <c r="AN85" s="3" t="s">
        <v>3873</v>
      </c>
      <c r="AO85" s="3" t="s">
        <v>3874</v>
      </c>
      <c r="AP85" s="3" t="s">
        <v>3875</v>
      </c>
      <c r="AQ85" s="3" t="s">
        <v>1324</v>
      </c>
      <c r="AR85" s="3" t="s">
        <v>3876</v>
      </c>
      <c r="AS85" s="3" t="s">
        <v>3877</v>
      </c>
      <c r="AT85" s="3" t="s">
        <v>2818</v>
      </c>
      <c r="AU85" s="3">
        <v>2014.0</v>
      </c>
      <c r="AV85" s="3">
        <v>71.0</v>
      </c>
      <c r="AW85" s="3">
        <v>3.0</v>
      </c>
      <c r="AX85" s="3" t="s">
        <v>1324</v>
      </c>
      <c r="AY85" s="3" t="s">
        <v>1324</v>
      </c>
      <c r="AZ85" s="3" t="s">
        <v>1324</v>
      </c>
      <c r="BA85" s="3" t="s">
        <v>1324</v>
      </c>
      <c r="BB85" s="3">
        <v>1421.0</v>
      </c>
      <c r="BC85" s="3">
        <v>1431.0</v>
      </c>
      <c r="BD85" s="3" t="s">
        <v>1324</v>
      </c>
      <c r="BE85" s="3" t="s">
        <v>2175</v>
      </c>
      <c r="BF85" s="25" t="str">
        <f>HYPERLINK("http://dx.doi.org/10.1007/s12665-013-2547-0","http://dx.doi.org/10.1007/s12665-013-2547-0")</f>
        <v>http://dx.doi.org/10.1007/s12665-013-2547-0</v>
      </c>
      <c r="BG85" s="3" t="s">
        <v>1324</v>
      </c>
      <c r="BH85" s="3" t="s">
        <v>1324</v>
      </c>
      <c r="BI85" s="3">
        <v>11.0</v>
      </c>
      <c r="BJ85" s="3" t="s">
        <v>3878</v>
      </c>
      <c r="BK85" s="3" t="s">
        <v>2407</v>
      </c>
      <c r="BL85" s="3" t="s">
        <v>3879</v>
      </c>
      <c r="BM85" s="3" t="s">
        <v>3880</v>
      </c>
      <c r="BN85" s="3" t="s">
        <v>1324</v>
      </c>
      <c r="BO85" s="3" t="s">
        <v>1324</v>
      </c>
      <c r="BP85" s="3" t="s">
        <v>1324</v>
      </c>
      <c r="BQ85" s="3" t="s">
        <v>1324</v>
      </c>
      <c r="BR85" s="3" t="s">
        <v>2383</v>
      </c>
      <c r="BS85" s="3" t="s">
        <v>3881</v>
      </c>
      <c r="BT85" s="3" t="str">
        <f>HYPERLINK("https%3A%2F%2Fwww.webofscience.com%2Fwos%2Fwoscc%2Ffull-record%2FWOS:000330124100038","View Full Record in Web of Science")</f>
        <v>View Full Record in Web of Science</v>
      </c>
    </row>
    <row r="86" ht="12.75" customHeight="1">
      <c r="A86" s="3" t="s">
        <v>26</v>
      </c>
      <c r="B86" s="3" t="s">
        <v>3882</v>
      </c>
      <c r="C86" s="3" t="s">
        <v>1324</v>
      </c>
      <c r="D86" s="3" t="s">
        <v>1324</v>
      </c>
      <c r="E86" s="3" t="s">
        <v>1324</v>
      </c>
      <c r="F86" s="3" t="s">
        <v>2013</v>
      </c>
      <c r="G86" s="3" t="s">
        <v>1324</v>
      </c>
      <c r="H86" s="3" t="s">
        <v>1324</v>
      </c>
      <c r="I86" s="3" t="s">
        <v>2014</v>
      </c>
      <c r="J86" s="3" t="s">
        <v>2008</v>
      </c>
      <c r="K86" s="3" t="s">
        <v>1324</v>
      </c>
      <c r="L86" s="3" t="s">
        <v>1324</v>
      </c>
      <c r="M86" s="3" t="s">
        <v>2364</v>
      </c>
      <c r="N86" s="3" t="s">
        <v>38</v>
      </c>
      <c r="O86" s="3" t="s">
        <v>1324</v>
      </c>
      <c r="P86" s="3" t="s">
        <v>1324</v>
      </c>
      <c r="Q86" s="3" t="s">
        <v>1324</v>
      </c>
      <c r="R86" s="3" t="s">
        <v>1324</v>
      </c>
      <c r="S86" s="3" t="s">
        <v>1324</v>
      </c>
      <c r="T86" s="3" t="s">
        <v>3883</v>
      </c>
      <c r="U86" s="3" t="s">
        <v>3884</v>
      </c>
      <c r="V86" s="3" t="s">
        <v>2015</v>
      </c>
      <c r="W86" s="3" t="s">
        <v>3885</v>
      </c>
      <c r="X86" s="3" t="s">
        <v>3886</v>
      </c>
      <c r="Y86" s="3" t="s">
        <v>3887</v>
      </c>
      <c r="Z86" s="3" t="s">
        <v>3888</v>
      </c>
      <c r="AA86" s="3" t="s">
        <v>3889</v>
      </c>
      <c r="AB86" s="3" t="s">
        <v>3890</v>
      </c>
      <c r="AC86" s="3" t="s">
        <v>3891</v>
      </c>
      <c r="AD86" s="3" t="s">
        <v>3892</v>
      </c>
      <c r="AE86" s="3" t="s">
        <v>3893</v>
      </c>
      <c r="AF86" s="3" t="s">
        <v>1324</v>
      </c>
      <c r="AG86" s="3">
        <v>83.0</v>
      </c>
      <c r="AH86" s="3">
        <v>17.0</v>
      </c>
      <c r="AI86" s="3">
        <v>24.0</v>
      </c>
      <c r="AJ86" s="3">
        <v>2.0</v>
      </c>
      <c r="AK86" s="3">
        <v>79.0</v>
      </c>
      <c r="AL86" s="3" t="s">
        <v>2486</v>
      </c>
      <c r="AM86" s="3" t="s">
        <v>2487</v>
      </c>
      <c r="AN86" s="3" t="s">
        <v>2488</v>
      </c>
      <c r="AO86" s="3" t="s">
        <v>2489</v>
      </c>
      <c r="AP86" s="3" t="s">
        <v>2490</v>
      </c>
      <c r="AQ86" s="3" t="s">
        <v>1324</v>
      </c>
      <c r="AR86" s="3" t="s">
        <v>2491</v>
      </c>
      <c r="AS86" s="3" t="s">
        <v>2492</v>
      </c>
      <c r="AT86" s="3" t="s">
        <v>3894</v>
      </c>
      <c r="AU86" s="3">
        <v>2014.0</v>
      </c>
      <c r="AV86" s="3">
        <v>313.0</v>
      </c>
      <c r="AW86" s="3" t="s">
        <v>1324</v>
      </c>
      <c r="AX86" s="3" t="s">
        <v>1324</v>
      </c>
      <c r="AY86" s="3" t="s">
        <v>1324</v>
      </c>
      <c r="AZ86" s="3" t="s">
        <v>1324</v>
      </c>
      <c r="BA86" s="3" t="s">
        <v>1324</v>
      </c>
      <c r="BB86" s="3">
        <v>199.0</v>
      </c>
      <c r="BC86" s="3">
        <v>211.0</v>
      </c>
      <c r="BD86" s="3" t="s">
        <v>1324</v>
      </c>
      <c r="BE86" s="3" t="s">
        <v>2016</v>
      </c>
      <c r="BF86" s="25" t="str">
        <f>HYPERLINK("http://dx.doi.org/10.1016/j.foreco.2013.10.039","http://dx.doi.org/10.1016/j.foreco.2013.10.039")</f>
        <v>http://dx.doi.org/10.1016/j.foreco.2013.10.039</v>
      </c>
      <c r="BG86" s="3" t="s">
        <v>1324</v>
      </c>
      <c r="BH86" s="3" t="s">
        <v>1324</v>
      </c>
      <c r="BI86" s="3">
        <v>13.0</v>
      </c>
      <c r="BJ86" s="3" t="s">
        <v>2494</v>
      </c>
      <c r="BK86" s="3" t="s">
        <v>2407</v>
      </c>
      <c r="BL86" s="3" t="s">
        <v>2494</v>
      </c>
      <c r="BM86" s="3" t="s">
        <v>3895</v>
      </c>
      <c r="BN86" s="3" t="s">
        <v>1324</v>
      </c>
      <c r="BO86" s="3" t="s">
        <v>1324</v>
      </c>
      <c r="BP86" s="3" t="s">
        <v>1324</v>
      </c>
      <c r="BQ86" s="3" t="s">
        <v>1324</v>
      </c>
      <c r="BR86" s="3" t="s">
        <v>2383</v>
      </c>
      <c r="BS86" s="3" t="s">
        <v>3896</v>
      </c>
      <c r="BT86" s="3" t="str">
        <f>HYPERLINK("https%3A%2F%2Fwww.webofscience.com%2Fwos%2Fwoscc%2Ffull-record%2FWOS:000331665600023","View Full Record in Web of Science")</f>
        <v>View Full Record in Web of Science</v>
      </c>
    </row>
    <row r="87" ht="12.75" customHeight="1">
      <c r="A87" s="3" t="s">
        <v>26</v>
      </c>
      <c r="B87" s="3" t="s">
        <v>3897</v>
      </c>
      <c r="C87" s="3" t="s">
        <v>1324</v>
      </c>
      <c r="D87" s="3" t="s">
        <v>1324</v>
      </c>
      <c r="E87" s="3" t="s">
        <v>1324</v>
      </c>
      <c r="F87" s="3" t="s">
        <v>2147</v>
      </c>
      <c r="G87" s="3" t="s">
        <v>1324</v>
      </c>
      <c r="H87" s="3" t="s">
        <v>1324</v>
      </c>
      <c r="I87" s="3" t="s">
        <v>2149</v>
      </c>
      <c r="J87" s="3" t="s">
        <v>2148</v>
      </c>
      <c r="K87" s="3" t="s">
        <v>1324</v>
      </c>
      <c r="L87" s="3" t="s">
        <v>1324</v>
      </c>
      <c r="M87" s="3" t="s">
        <v>2364</v>
      </c>
      <c r="N87" s="3" t="s">
        <v>38</v>
      </c>
      <c r="O87" s="3" t="s">
        <v>1324</v>
      </c>
      <c r="P87" s="3" t="s">
        <v>1324</v>
      </c>
      <c r="Q87" s="3" t="s">
        <v>1324</v>
      </c>
      <c r="R87" s="3" t="s">
        <v>1324</v>
      </c>
      <c r="S87" s="3" t="s">
        <v>1324</v>
      </c>
      <c r="T87" s="3" t="s">
        <v>3898</v>
      </c>
      <c r="U87" s="3" t="s">
        <v>3899</v>
      </c>
      <c r="V87" s="3" t="s">
        <v>2150</v>
      </c>
      <c r="W87" s="3" t="s">
        <v>3900</v>
      </c>
      <c r="X87" s="3" t="s">
        <v>3901</v>
      </c>
      <c r="Y87" s="3" t="s">
        <v>3657</v>
      </c>
      <c r="Z87" s="3" t="s">
        <v>3658</v>
      </c>
      <c r="AA87" s="3" t="s">
        <v>3902</v>
      </c>
      <c r="AB87" s="3" t="s">
        <v>3903</v>
      </c>
      <c r="AC87" s="3" t="s">
        <v>3904</v>
      </c>
      <c r="AD87" s="3" t="s">
        <v>3905</v>
      </c>
      <c r="AE87" s="3" t="s">
        <v>3906</v>
      </c>
      <c r="AF87" s="3" t="s">
        <v>1324</v>
      </c>
      <c r="AG87" s="3">
        <v>58.0</v>
      </c>
      <c r="AH87" s="3">
        <v>117.0</v>
      </c>
      <c r="AI87" s="3">
        <v>158.0</v>
      </c>
      <c r="AJ87" s="3">
        <v>13.0</v>
      </c>
      <c r="AK87" s="3">
        <v>293.0</v>
      </c>
      <c r="AL87" s="3" t="s">
        <v>2486</v>
      </c>
      <c r="AM87" s="3" t="s">
        <v>2487</v>
      </c>
      <c r="AN87" s="3" t="s">
        <v>2488</v>
      </c>
      <c r="AO87" s="3" t="s">
        <v>3907</v>
      </c>
      <c r="AP87" s="3" t="s">
        <v>3908</v>
      </c>
      <c r="AQ87" s="3" t="s">
        <v>1324</v>
      </c>
      <c r="AR87" s="3" t="s">
        <v>3909</v>
      </c>
      <c r="AS87" s="3" t="s">
        <v>3910</v>
      </c>
      <c r="AT87" s="3" t="s">
        <v>2818</v>
      </c>
      <c r="AU87" s="3">
        <v>2014.0</v>
      </c>
      <c r="AV87" s="3">
        <v>55.0</v>
      </c>
      <c r="AW87" s="3" t="s">
        <v>1324</v>
      </c>
      <c r="AX87" s="3" t="s">
        <v>1324</v>
      </c>
      <c r="AY87" s="3" t="s">
        <v>1324</v>
      </c>
      <c r="AZ87" s="3" t="s">
        <v>1324</v>
      </c>
      <c r="BA87" s="3" t="s">
        <v>1324</v>
      </c>
      <c r="BB87" s="3">
        <v>86.0</v>
      </c>
      <c r="BC87" s="3">
        <v>96.0</v>
      </c>
      <c r="BD87" s="3" t="s">
        <v>1324</v>
      </c>
      <c r="BE87" s="3" t="s">
        <v>2151</v>
      </c>
      <c r="BF87" s="25" t="str">
        <f>HYPERLINK("http://dx.doi.org/10.1016/j.actao.2013.12.006","http://dx.doi.org/10.1016/j.actao.2013.12.006")</f>
        <v>http://dx.doi.org/10.1016/j.actao.2013.12.006</v>
      </c>
      <c r="BG87" s="3" t="s">
        <v>1324</v>
      </c>
      <c r="BH87" s="3" t="s">
        <v>1324</v>
      </c>
      <c r="BI87" s="3">
        <v>11.0</v>
      </c>
      <c r="BJ87" s="3" t="s">
        <v>817</v>
      </c>
      <c r="BK87" s="3" t="s">
        <v>2407</v>
      </c>
      <c r="BL87" s="3" t="s">
        <v>2472</v>
      </c>
      <c r="BM87" s="3" t="s">
        <v>3911</v>
      </c>
      <c r="BN87" s="3" t="s">
        <v>1324</v>
      </c>
      <c r="BO87" s="3" t="s">
        <v>1324</v>
      </c>
      <c r="BP87" s="3" t="s">
        <v>1324</v>
      </c>
      <c r="BQ87" s="3" t="s">
        <v>1324</v>
      </c>
      <c r="BR87" s="3" t="s">
        <v>2383</v>
      </c>
      <c r="BS87" s="3" t="s">
        <v>3912</v>
      </c>
      <c r="BT87" s="3" t="str">
        <f>HYPERLINK("https%3A%2F%2Fwww.webofscience.com%2Fwos%2Fwoscc%2Ffull-record%2FWOS:000331773100012","View Full Record in Web of Science")</f>
        <v>View Full Record in Web of Science</v>
      </c>
    </row>
    <row r="88" ht="12.75" customHeight="1">
      <c r="A88" s="3" t="s">
        <v>26</v>
      </c>
      <c r="B88" s="3" t="s">
        <v>3913</v>
      </c>
      <c r="C88" s="3" t="s">
        <v>1324</v>
      </c>
      <c r="D88" s="3" t="s">
        <v>1324</v>
      </c>
      <c r="E88" s="3" t="s">
        <v>1324</v>
      </c>
      <c r="F88" s="3" t="s">
        <v>2165</v>
      </c>
      <c r="G88" s="3" t="s">
        <v>1324</v>
      </c>
      <c r="H88" s="3" t="s">
        <v>1324</v>
      </c>
      <c r="I88" s="3" t="s">
        <v>2167</v>
      </c>
      <c r="J88" s="3" t="s">
        <v>2166</v>
      </c>
      <c r="K88" s="3" t="s">
        <v>1324</v>
      </c>
      <c r="L88" s="3" t="s">
        <v>1324</v>
      </c>
      <c r="M88" s="3" t="s">
        <v>2364</v>
      </c>
      <c r="N88" s="3" t="s">
        <v>38</v>
      </c>
      <c r="O88" s="3" t="s">
        <v>1324</v>
      </c>
      <c r="P88" s="3" t="s">
        <v>1324</v>
      </c>
      <c r="Q88" s="3" t="s">
        <v>1324</v>
      </c>
      <c r="R88" s="3" t="s">
        <v>1324</v>
      </c>
      <c r="S88" s="3" t="s">
        <v>1324</v>
      </c>
      <c r="T88" s="3" t="s">
        <v>3914</v>
      </c>
      <c r="U88" s="3" t="s">
        <v>3915</v>
      </c>
      <c r="V88" s="3" t="s">
        <v>2168</v>
      </c>
      <c r="W88" s="3" t="s">
        <v>3916</v>
      </c>
      <c r="X88" s="3" t="s">
        <v>3656</v>
      </c>
      <c r="Y88" s="3" t="s">
        <v>3917</v>
      </c>
      <c r="Z88" s="3" t="s">
        <v>3918</v>
      </c>
      <c r="AA88" s="3" t="s">
        <v>3919</v>
      </c>
      <c r="AB88" s="3" t="s">
        <v>3920</v>
      </c>
      <c r="AC88" s="3" t="s">
        <v>3921</v>
      </c>
      <c r="AD88" s="3" t="s">
        <v>3922</v>
      </c>
      <c r="AE88" s="3" t="s">
        <v>3923</v>
      </c>
      <c r="AF88" s="3" t="s">
        <v>1324</v>
      </c>
      <c r="AG88" s="3">
        <v>50.0</v>
      </c>
      <c r="AH88" s="3">
        <v>43.0</v>
      </c>
      <c r="AI88" s="3">
        <v>59.0</v>
      </c>
      <c r="AJ88" s="3">
        <v>2.0</v>
      </c>
      <c r="AK88" s="3">
        <v>386.0</v>
      </c>
      <c r="AL88" s="3" t="s">
        <v>3924</v>
      </c>
      <c r="AM88" s="3" t="s">
        <v>3925</v>
      </c>
      <c r="AN88" s="3" t="s">
        <v>3926</v>
      </c>
      <c r="AO88" s="3" t="s">
        <v>3927</v>
      </c>
      <c r="AP88" s="3" t="s">
        <v>3928</v>
      </c>
      <c r="AQ88" s="3" t="s">
        <v>1324</v>
      </c>
      <c r="AR88" s="3" t="s">
        <v>3929</v>
      </c>
      <c r="AS88" s="3" t="s">
        <v>3930</v>
      </c>
      <c r="AT88" s="3" t="s">
        <v>2908</v>
      </c>
      <c r="AU88" s="3">
        <v>2013.0</v>
      </c>
      <c r="AV88" s="3">
        <v>5.0</v>
      </c>
      <c r="AW88" s="3">
        <v>4.0</v>
      </c>
      <c r="AX88" s="3" t="s">
        <v>1324</v>
      </c>
      <c r="AY88" s="3" t="s">
        <v>1324</v>
      </c>
      <c r="AZ88" s="3" t="s">
        <v>1324</v>
      </c>
      <c r="BA88" s="3" t="s">
        <v>1324</v>
      </c>
      <c r="BB88" s="3">
        <v>465.0</v>
      </c>
      <c r="BC88" s="3">
        <v>479.0</v>
      </c>
      <c r="BD88" s="3" t="s">
        <v>1324</v>
      </c>
      <c r="BE88" s="3" t="s">
        <v>2169</v>
      </c>
      <c r="BF88" s="25" t="str">
        <f>HYPERLINK("http://dx.doi.org/10.1007/s40333-013-0181-z","http://dx.doi.org/10.1007/s40333-013-0181-z")</f>
        <v>http://dx.doi.org/10.1007/s40333-013-0181-z</v>
      </c>
      <c r="BG88" s="3" t="s">
        <v>1324</v>
      </c>
      <c r="BH88" s="3" t="s">
        <v>1324</v>
      </c>
      <c r="BI88" s="3">
        <v>15.0</v>
      </c>
      <c r="BJ88" s="3" t="s">
        <v>68</v>
      </c>
      <c r="BK88" s="3" t="s">
        <v>2407</v>
      </c>
      <c r="BL88" s="3" t="s">
        <v>2472</v>
      </c>
      <c r="BM88" s="3" t="s">
        <v>3931</v>
      </c>
      <c r="BN88" s="3" t="s">
        <v>1324</v>
      </c>
      <c r="BO88" s="3" t="s">
        <v>1324</v>
      </c>
      <c r="BP88" s="3" t="s">
        <v>1324</v>
      </c>
      <c r="BQ88" s="3" t="s">
        <v>1324</v>
      </c>
      <c r="BR88" s="3" t="s">
        <v>2383</v>
      </c>
      <c r="BS88" s="3" t="s">
        <v>3932</v>
      </c>
      <c r="BT88" s="3" t="str">
        <f>HYPERLINK("https%3A%2F%2Fwww.webofscience.com%2Fwos%2Fwoscc%2Ffull-record%2FWOS:000321558700006","View Full Record in Web of Science")</f>
        <v>View Full Record in Web of Science</v>
      </c>
    </row>
    <row r="89" ht="12.75" customHeight="1">
      <c r="A89" s="3" t="s">
        <v>26</v>
      </c>
      <c r="B89" s="3" t="s">
        <v>3933</v>
      </c>
      <c r="C89" s="3" t="s">
        <v>1324</v>
      </c>
      <c r="D89" s="3" t="s">
        <v>1324</v>
      </c>
      <c r="E89" s="3" t="s">
        <v>1324</v>
      </c>
      <c r="F89" s="3" t="s">
        <v>1457</v>
      </c>
      <c r="G89" s="3" t="s">
        <v>1324</v>
      </c>
      <c r="H89" s="3" t="s">
        <v>1324</v>
      </c>
      <c r="I89" s="3" t="s">
        <v>1458</v>
      </c>
      <c r="J89" s="3" t="s">
        <v>365</v>
      </c>
      <c r="K89" s="3" t="s">
        <v>1324</v>
      </c>
      <c r="L89" s="3" t="s">
        <v>1324</v>
      </c>
      <c r="M89" s="3" t="s">
        <v>2364</v>
      </c>
      <c r="N89" s="3" t="s">
        <v>38</v>
      </c>
      <c r="O89" s="3" t="s">
        <v>1324</v>
      </c>
      <c r="P89" s="3" t="s">
        <v>1324</v>
      </c>
      <c r="Q89" s="3" t="s">
        <v>1324</v>
      </c>
      <c r="R89" s="3" t="s">
        <v>1324</v>
      </c>
      <c r="S89" s="3" t="s">
        <v>1324</v>
      </c>
      <c r="T89" s="3" t="s">
        <v>1324</v>
      </c>
      <c r="U89" s="3" t="s">
        <v>3934</v>
      </c>
      <c r="V89" s="3" t="s">
        <v>1459</v>
      </c>
      <c r="W89" s="3" t="s">
        <v>3935</v>
      </c>
      <c r="X89" s="3" t="s">
        <v>3936</v>
      </c>
      <c r="Y89" s="3" t="s">
        <v>3937</v>
      </c>
      <c r="Z89" s="3" t="s">
        <v>3938</v>
      </c>
      <c r="AA89" s="3" t="s">
        <v>3939</v>
      </c>
      <c r="AB89" s="3" t="s">
        <v>3940</v>
      </c>
      <c r="AC89" s="3" t="s">
        <v>3941</v>
      </c>
      <c r="AD89" s="3" t="s">
        <v>3942</v>
      </c>
      <c r="AE89" s="3" t="s">
        <v>3943</v>
      </c>
      <c r="AF89" s="3" t="s">
        <v>1324</v>
      </c>
      <c r="AG89" s="3">
        <v>57.0</v>
      </c>
      <c r="AH89" s="3">
        <v>261.0</v>
      </c>
      <c r="AI89" s="3">
        <v>297.0</v>
      </c>
      <c r="AJ89" s="3">
        <v>9.0</v>
      </c>
      <c r="AK89" s="3">
        <v>182.0</v>
      </c>
      <c r="AL89" s="3" t="s">
        <v>2423</v>
      </c>
      <c r="AM89" s="3" t="s">
        <v>2424</v>
      </c>
      <c r="AN89" s="3" t="s">
        <v>2425</v>
      </c>
      <c r="AO89" s="3" t="s">
        <v>2426</v>
      </c>
      <c r="AP89" s="3" t="s">
        <v>1324</v>
      </c>
      <c r="AQ89" s="3" t="s">
        <v>1324</v>
      </c>
      <c r="AR89" s="3" t="s">
        <v>365</v>
      </c>
      <c r="AS89" s="3" t="s">
        <v>2427</v>
      </c>
      <c r="AT89" s="3" t="s">
        <v>3944</v>
      </c>
      <c r="AU89" s="3">
        <v>2013.0</v>
      </c>
      <c r="AV89" s="3">
        <v>8.0</v>
      </c>
      <c r="AW89" s="3">
        <v>11.0</v>
      </c>
      <c r="AX89" s="3" t="s">
        <v>1324</v>
      </c>
      <c r="AY89" s="3" t="s">
        <v>1324</v>
      </c>
      <c r="AZ89" s="3" t="s">
        <v>1324</v>
      </c>
      <c r="BA89" s="3" t="s">
        <v>1324</v>
      </c>
      <c r="BB89" s="3" t="s">
        <v>1324</v>
      </c>
      <c r="BC89" s="3" t="s">
        <v>1324</v>
      </c>
      <c r="BD89" s="3" t="s">
        <v>3945</v>
      </c>
      <c r="BE89" s="3" t="s">
        <v>1460</v>
      </c>
      <c r="BF89" s="25" t="str">
        <f>HYPERLINK("http://dx.doi.org/10.1371/journal.pone.0081292","http://dx.doi.org/10.1371/journal.pone.0081292")</f>
        <v>http://dx.doi.org/10.1371/journal.pone.0081292</v>
      </c>
      <c r="BG89" s="3" t="s">
        <v>1324</v>
      </c>
      <c r="BH89" s="3" t="s">
        <v>1324</v>
      </c>
      <c r="BI89" s="3">
        <v>13.0</v>
      </c>
      <c r="BJ89" s="3" t="s">
        <v>42</v>
      </c>
      <c r="BK89" s="3" t="s">
        <v>2407</v>
      </c>
      <c r="BL89" s="3" t="s">
        <v>2430</v>
      </c>
      <c r="BM89" s="3" t="s">
        <v>3946</v>
      </c>
      <c r="BN89" s="3">
        <v>2.428258E7</v>
      </c>
      <c r="BO89" s="3" t="s">
        <v>3947</v>
      </c>
      <c r="BP89" s="3" t="s">
        <v>1324</v>
      </c>
      <c r="BQ89" s="3" t="s">
        <v>1324</v>
      </c>
      <c r="BR89" s="3" t="s">
        <v>2383</v>
      </c>
      <c r="BS89" s="3" t="s">
        <v>3948</v>
      </c>
      <c r="BT89" s="3" t="str">
        <f>HYPERLINK("https%3A%2F%2Fwww.webofscience.com%2Fwos%2Fwoscc%2Ffull-record%2FWOS:000327543500082","View Full Record in Web of Science")</f>
        <v>View Full Record in Web of Science</v>
      </c>
    </row>
    <row r="90" ht="12.75" customHeight="1">
      <c r="A90" s="3" t="s">
        <v>26</v>
      </c>
      <c r="B90" s="3" t="s">
        <v>3949</v>
      </c>
      <c r="C90" s="3" t="s">
        <v>1324</v>
      </c>
      <c r="D90" s="3" t="s">
        <v>1324</v>
      </c>
      <c r="E90" s="3" t="s">
        <v>1324</v>
      </c>
      <c r="F90" s="3" t="s">
        <v>2109</v>
      </c>
      <c r="G90" s="3" t="s">
        <v>1324</v>
      </c>
      <c r="H90" s="3" t="s">
        <v>1324</v>
      </c>
      <c r="I90" s="3" t="s">
        <v>2110</v>
      </c>
      <c r="J90" s="3" t="s">
        <v>251</v>
      </c>
      <c r="K90" s="3" t="s">
        <v>1324</v>
      </c>
      <c r="L90" s="3" t="s">
        <v>1324</v>
      </c>
      <c r="M90" s="3" t="s">
        <v>2364</v>
      </c>
      <c r="N90" s="3" t="s">
        <v>38</v>
      </c>
      <c r="O90" s="3" t="s">
        <v>1324</v>
      </c>
      <c r="P90" s="3" t="s">
        <v>1324</v>
      </c>
      <c r="Q90" s="3" t="s">
        <v>1324</v>
      </c>
      <c r="R90" s="3" t="s">
        <v>1324</v>
      </c>
      <c r="S90" s="3" t="s">
        <v>1324</v>
      </c>
      <c r="T90" s="3" t="s">
        <v>3950</v>
      </c>
      <c r="U90" s="3" t="s">
        <v>3951</v>
      </c>
      <c r="V90" s="3" t="s">
        <v>3952</v>
      </c>
      <c r="W90" s="3" t="s">
        <v>3953</v>
      </c>
      <c r="X90" s="3" t="s">
        <v>3954</v>
      </c>
      <c r="Y90" s="3" t="s">
        <v>3955</v>
      </c>
      <c r="Z90" s="3" t="s">
        <v>3956</v>
      </c>
      <c r="AA90" s="3" t="s">
        <v>3957</v>
      </c>
      <c r="AB90" s="3" t="s">
        <v>3958</v>
      </c>
      <c r="AC90" s="3" t="s">
        <v>3959</v>
      </c>
      <c r="AD90" s="3" t="s">
        <v>3960</v>
      </c>
      <c r="AE90" s="3" t="s">
        <v>3961</v>
      </c>
      <c r="AF90" s="3" t="s">
        <v>1324</v>
      </c>
      <c r="AG90" s="3">
        <v>82.0</v>
      </c>
      <c r="AH90" s="3">
        <v>38.0</v>
      </c>
      <c r="AI90" s="3">
        <v>44.0</v>
      </c>
      <c r="AJ90" s="3">
        <v>1.0</v>
      </c>
      <c r="AK90" s="3">
        <v>39.0</v>
      </c>
      <c r="AL90" s="3" t="s">
        <v>2530</v>
      </c>
      <c r="AM90" s="3" t="s">
        <v>2509</v>
      </c>
      <c r="AN90" s="3" t="s">
        <v>2646</v>
      </c>
      <c r="AO90" s="3" t="s">
        <v>2939</v>
      </c>
      <c r="AP90" s="3" t="s">
        <v>2940</v>
      </c>
      <c r="AQ90" s="3" t="s">
        <v>1324</v>
      </c>
      <c r="AR90" s="3" t="s">
        <v>2941</v>
      </c>
      <c r="AS90" s="3" t="s">
        <v>2942</v>
      </c>
      <c r="AT90" s="3" t="s">
        <v>2927</v>
      </c>
      <c r="AU90" s="3">
        <v>2013.0</v>
      </c>
      <c r="AV90" s="3">
        <v>167.0</v>
      </c>
      <c r="AW90" s="3" t="s">
        <v>1324</v>
      </c>
      <c r="AX90" s="3" t="s">
        <v>1324</v>
      </c>
      <c r="AY90" s="3" t="s">
        <v>1324</v>
      </c>
      <c r="AZ90" s="3" t="s">
        <v>1324</v>
      </c>
      <c r="BA90" s="3" t="s">
        <v>1324</v>
      </c>
      <c r="BB90" s="3">
        <v>1.0</v>
      </c>
      <c r="BC90" s="3">
        <v>8.0</v>
      </c>
      <c r="BD90" s="3" t="s">
        <v>1324</v>
      </c>
      <c r="BE90" s="3" t="s">
        <v>2112</v>
      </c>
      <c r="BF90" s="25" t="str">
        <f>HYPERLINK("http://dx.doi.org/10.1016/j.biocon.2013.07.012","http://dx.doi.org/10.1016/j.biocon.2013.07.012")</f>
        <v>http://dx.doi.org/10.1016/j.biocon.2013.07.012</v>
      </c>
      <c r="BG90" s="3" t="s">
        <v>1324</v>
      </c>
      <c r="BH90" s="3" t="s">
        <v>1324</v>
      </c>
      <c r="BI90" s="3">
        <v>8.0</v>
      </c>
      <c r="BJ90" s="3" t="s">
        <v>255</v>
      </c>
      <c r="BK90" s="3" t="s">
        <v>2878</v>
      </c>
      <c r="BL90" s="3" t="s">
        <v>2577</v>
      </c>
      <c r="BM90" s="3" t="s">
        <v>3962</v>
      </c>
      <c r="BN90" s="3" t="s">
        <v>1324</v>
      </c>
      <c r="BO90" s="3" t="s">
        <v>1324</v>
      </c>
      <c r="BP90" s="3" t="s">
        <v>1324</v>
      </c>
      <c r="BQ90" s="3" t="s">
        <v>1324</v>
      </c>
      <c r="BR90" s="3" t="s">
        <v>2383</v>
      </c>
      <c r="BS90" s="3" t="s">
        <v>3963</v>
      </c>
      <c r="BT90" s="3" t="str">
        <f>HYPERLINK("https%3A%2F%2Fwww.webofscience.com%2Fwos%2Fwoscc%2Ffull-record%2FWOS:000328804300001","View Full Record in Web of Science")</f>
        <v>View Full Record in Web of Science</v>
      </c>
    </row>
    <row r="91" ht="12.75" customHeight="1">
      <c r="A91" s="3" t="s">
        <v>26</v>
      </c>
      <c r="B91" s="3" t="s">
        <v>3964</v>
      </c>
      <c r="C91" s="3" t="s">
        <v>1324</v>
      </c>
      <c r="D91" s="3" t="s">
        <v>1324</v>
      </c>
      <c r="E91" s="3" t="s">
        <v>1324</v>
      </c>
      <c r="F91" s="3" t="s">
        <v>2002</v>
      </c>
      <c r="G91" s="3" t="s">
        <v>1324</v>
      </c>
      <c r="H91" s="3" t="s">
        <v>1324</v>
      </c>
      <c r="I91" s="3" t="s">
        <v>2003</v>
      </c>
      <c r="J91" s="3" t="s">
        <v>1055</v>
      </c>
      <c r="K91" s="3" t="s">
        <v>1324</v>
      </c>
      <c r="L91" s="3" t="s">
        <v>1324</v>
      </c>
      <c r="M91" s="3" t="s">
        <v>2364</v>
      </c>
      <c r="N91" s="3" t="s">
        <v>38</v>
      </c>
      <c r="O91" s="3" t="s">
        <v>1324</v>
      </c>
      <c r="P91" s="3" t="s">
        <v>1324</v>
      </c>
      <c r="Q91" s="3" t="s">
        <v>1324</v>
      </c>
      <c r="R91" s="3" t="s">
        <v>1324</v>
      </c>
      <c r="S91" s="3" t="s">
        <v>1324</v>
      </c>
      <c r="T91" s="3" t="s">
        <v>3965</v>
      </c>
      <c r="U91" s="3" t="s">
        <v>3966</v>
      </c>
      <c r="V91" s="3" t="s">
        <v>2004</v>
      </c>
      <c r="W91" s="3" t="s">
        <v>3967</v>
      </c>
      <c r="X91" s="3" t="s">
        <v>3968</v>
      </c>
      <c r="Y91" s="3" t="s">
        <v>3657</v>
      </c>
      <c r="Z91" s="3" t="s">
        <v>3658</v>
      </c>
      <c r="AA91" s="3" t="s">
        <v>3969</v>
      </c>
      <c r="AB91" s="3" t="s">
        <v>3970</v>
      </c>
      <c r="AC91" s="3" t="s">
        <v>3971</v>
      </c>
      <c r="AD91" s="3" t="s">
        <v>3972</v>
      </c>
      <c r="AE91" s="3" t="s">
        <v>3973</v>
      </c>
      <c r="AF91" s="3" t="s">
        <v>1324</v>
      </c>
      <c r="AG91" s="3">
        <v>59.0</v>
      </c>
      <c r="AH91" s="3">
        <v>168.0</v>
      </c>
      <c r="AI91" s="3">
        <v>207.0</v>
      </c>
      <c r="AJ91" s="3">
        <v>4.0</v>
      </c>
      <c r="AK91" s="3">
        <v>287.0</v>
      </c>
      <c r="AL91" s="3" t="s">
        <v>2486</v>
      </c>
      <c r="AM91" s="3" t="s">
        <v>2487</v>
      </c>
      <c r="AN91" s="3" t="s">
        <v>2488</v>
      </c>
      <c r="AO91" s="3" t="s">
        <v>3698</v>
      </c>
      <c r="AP91" s="3" t="s">
        <v>3699</v>
      </c>
      <c r="AQ91" s="3" t="s">
        <v>1324</v>
      </c>
      <c r="AR91" s="3" t="s">
        <v>3700</v>
      </c>
      <c r="AS91" s="3" t="s">
        <v>3701</v>
      </c>
      <c r="AT91" s="3" t="s">
        <v>2471</v>
      </c>
      <c r="AU91" s="3">
        <v>2013.0</v>
      </c>
      <c r="AV91" s="3">
        <v>108.0</v>
      </c>
      <c r="AW91" s="3" t="s">
        <v>1324</v>
      </c>
      <c r="AX91" s="3" t="s">
        <v>1324</v>
      </c>
      <c r="AY91" s="3" t="s">
        <v>1324</v>
      </c>
      <c r="AZ91" s="3" t="s">
        <v>1324</v>
      </c>
      <c r="BA91" s="3" t="s">
        <v>1324</v>
      </c>
      <c r="BB91" s="3">
        <v>29.0</v>
      </c>
      <c r="BC91" s="3">
        <v>41.0</v>
      </c>
      <c r="BD91" s="3" t="s">
        <v>1324</v>
      </c>
      <c r="BE91" s="3" t="s">
        <v>2005</v>
      </c>
      <c r="BF91" s="25" t="str">
        <f>HYPERLINK("http://dx.doi.org/10.1016/j.gloplacha.2013.06.007","http://dx.doi.org/10.1016/j.gloplacha.2013.06.007")</f>
        <v>http://dx.doi.org/10.1016/j.gloplacha.2013.06.007</v>
      </c>
      <c r="BG91" s="3" t="s">
        <v>1324</v>
      </c>
      <c r="BH91" s="3" t="s">
        <v>1324</v>
      </c>
      <c r="BI91" s="3">
        <v>13.0</v>
      </c>
      <c r="BJ91" s="3" t="s">
        <v>1059</v>
      </c>
      <c r="BK91" s="3" t="s">
        <v>2878</v>
      </c>
      <c r="BL91" s="3" t="s">
        <v>3702</v>
      </c>
      <c r="BM91" s="3" t="s">
        <v>3974</v>
      </c>
      <c r="BN91" s="3" t="s">
        <v>1324</v>
      </c>
      <c r="BO91" s="3" t="s">
        <v>1324</v>
      </c>
      <c r="BP91" s="3" t="s">
        <v>1324</v>
      </c>
      <c r="BQ91" s="3" t="s">
        <v>1324</v>
      </c>
      <c r="BR91" s="3" t="s">
        <v>2383</v>
      </c>
      <c r="BS91" s="3" t="s">
        <v>3975</v>
      </c>
      <c r="BT91" s="3" t="str">
        <f>HYPERLINK("https%3A%2F%2Fwww.webofscience.com%2Fwos%2Fwoscc%2Ffull-record%2FWOS:000323470800003","View Full Record in Web of Science")</f>
        <v>View Full Record in Web of Science</v>
      </c>
    </row>
    <row r="92" ht="12.75" customHeight="1">
      <c r="A92" s="3" t="s">
        <v>26</v>
      </c>
      <c r="B92" s="3" t="s">
        <v>3976</v>
      </c>
      <c r="C92" s="3" t="s">
        <v>1324</v>
      </c>
      <c r="D92" s="3" t="s">
        <v>1324</v>
      </c>
      <c r="E92" s="3" t="s">
        <v>1324</v>
      </c>
      <c r="F92" s="3" t="s">
        <v>1894</v>
      </c>
      <c r="G92" s="3" t="s">
        <v>1324</v>
      </c>
      <c r="H92" s="3" t="s">
        <v>1324</v>
      </c>
      <c r="I92" s="3" t="s">
        <v>1895</v>
      </c>
      <c r="J92" s="3" t="s">
        <v>629</v>
      </c>
      <c r="K92" s="3" t="s">
        <v>1324</v>
      </c>
      <c r="L92" s="3" t="s">
        <v>1324</v>
      </c>
      <c r="M92" s="3" t="s">
        <v>2364</v>
      </c>
      <c r="N92" s="3" t="s">
        <v>30</v>
      </c>
      <c r="O92" s="3" t="s">
        <v>1324</v>
      </c>
      <c r="P92" s="3" t="s">
        <v>1324</v>
      </c>
      <c r="Q92" s="3" t="s">
        <v>1324</v>
      </c>
      <c r="R92" s="3" t="s">
        <v>1324</v>
      </c>
      <c r="S92" s="3" t="s">
        <v>1324</v>
      </c>
      <c r="T92" s="3" t="s">
        <v>3977</v>
      </c>
      <c r="U92" s="3" t="s">
        <v>3978</v>
      </c>
      <c r="V92" s="3" t="s">
        <v>1896</v>
      </c>
      <c r="W92" s="3" t="s">
        <v>3979</v>
      </c>
      <c r="X92" s="3" t="s">
        <v>3980</v>
      </c>
      <c r="Y92" s="3" t="s">
        <v>3981</v>
      </c>
      <c r="Z92" s="3" t="s">
        <v>3982</v>
      </c>
      <c r="AA92" s="3" t="s">
        <v>3983</v>
      </c>
      <c r="AB92" s="3" t="s">
        <v>3984</v>
      </c>
      <c r="AC92" s="3" t="s">
        <v>3985</v>
      </c>
      <c r="AD92" s="3" t="s">
        <v>3985</v>
      </c>
      <c r="AE92" s="3" t="s">
        <v>3986</v>
      </c>
      <c r="AF92" s="3" t="s">
        <v>1324</v>
      </c>
      <c r="AG92" s="3">
        <v>95.0</v>
      </c>
      <c r="AH92" s="3">
        <v>356.0</v>
      </c>
      <c r="AI92" s="3">
        <v>410.0</v>
      </c>
      <c r="AJ92" s="3">
        <v>4.0</v>
      </c>
      <c r="AK92" s="3">
        <v>354.0</v>
      </c>
      <c r="AL92" s="3" t="s">
        <v>3987</v>
      </c>
      <c r="AM92" s="3" t="s">
        <v>2400</v>
      </c>
      <c r="AN92" s="3" t="s">
        <v>3988</v>
      </c>
      <c r="AO92" s="3" t="s">
        <v>3989</v>
      </c>
      <c r="AP92" s="3" t="s">
        <v>3990</v>
      </c>
      <c r="AQ92" s="3" t="s">
        <v>1324</v>
      </c>
      <c r="AR92" s="3" t="s">
        <v>3991</v>
      </c>
      <c r="AS92" s="3" t="s">
        <v>3992</v>
      </c>
      <c r="AT92" s="3" t="s">
        <v>2471</v>
      </c>
      <c r="AU92" s="3">
        <v>2013.0</v>
      </c>
      <c r="AV92" s="3">
        <v>28.0</v>
      </c>
      <c r="AW92" s="3">
        <v>9.0</v>
      </c>
      <c r="AX92" s="3" t="s">
        <v>1324</v>
      </c>
      <c r="AY92" s="3" t="s">
        <v>1324</v>
      </c>
      <c r="AZ92" s="3" t="s">
        <v>1324</v>
      </c>
      <c r="BA92" s="3" t="s">
        <v>1324</v>
      </c>
      <c r="BB92" s="3">
        <v>531.0</v>
      </c>
      <c r="BC92" s="3">
        <v>540.0</v>
      </c>
      <c r="BD92" s="3" t="s">
        <v>1324</v>
      </c>
      <c r="BE92" s="3" t="s">
        <v>1897</v>
      </c>
      <c r="BF92" s="25" t="str">
        <f>HYPERLINK("http://dx.doi.org/10.1016/j.tree.2013.04.005","http://dx.doi.org/10.1016/j.tree.2013.04.005")</f>
        <v>http://dx.doi.org/10.1016/j.tree.2013.04.005</v>
      </c>
      <c r="BG92" s="3" t="s">
        <v>1324</v>
      </c>
      <c r="BH92" s="3" t="s">
        <v>1324</v>
      </c>
      <c r="BI92" s="3">
        <v>10.0</v>
      </c>
      <c r="BJ92" s="3" t="s">
        <v>633</v>
      </c>
      <c r="BK92" s="3" t="s">
        <v>2407</v>
      </c>
      <c r="BL92" s="3" t="s">
        <v>3993</v>
      </c>
      <c r="BM92" s="3" t="s">
        <v>3994</v>
      </c>
      <c r="BN92" s="3">
        <v>2.3764258E7</v>
      </c>
      <c r="BO92" s="3" t="s">
        <v>1324</v>
      </c>
      <c r="BP92" s="3" t="s">
        <v>1324</v>
      </c>
      <c r="BQ92" s="3" t="s">
        <v>1324</v>
      </c>
      <c r="BR92" s="3" t="s">
        <v>2383</v>
      </c>
      <c r="BS92" s="3" t="s">
        <v>3995</v>
      </c>
      <c r="BT92" s="3" t="str">
        <f>HYPERLINK("https%3A%2F%2Fwww.webofscience.com%2Fwos%2Fwoscc%2Ffull-record%2FWOS:000324975700010","View Full Record in Web of Science")</f>
        <v>View Full Record in Web of Science</v>
      </c>
    </row>
    <row r="93" ht="12.75" customHeight="1">
      <c r="A93" s="3" t="s">
        <v>26</v>
      </c>
      <c r="B93" s="3" t="s">
        <v>3996</v>
      </c>
      <c r="C93" s="3" t="s">
        <v>1324</v>
      </c>
      <c r="D93" s="3" t="s">
        <v>1324</v>
      </c>
      <c r="E93" s="3" t="s">
        <v>1324</v>
      </c>
      <c r="F93" s="3" t="s">
        <v>1382</v>
      </c>
      <c r="G93" s="3" t="s">
        <v>1324</v>
      </c>
      <c r="H93" s="3" t="s">
        <v>1324</v>
      </c>
      <c r="I93" s="3" t="s">
        <v>1383</v>
      </c>
      <c r="J93" s="3" t="s">
        <v>1376</v>
      </c>
      <c r="K93" s="3" t="s">
        <v>1324</v>
      </c>
      <c r="L93" s="3" t="s">
        <v>1324</v>
      </c>
      <c r="M93" s="3" t="s">
        <v>2364</v>
      </c>
      <c r="N93" s="3" t="s">
        <v>38</v>
      </c>
      <c r="O93" s="3" t="s">
        <v>1324</v>
      </c>
      <c r="P93" s="3" t="s">
        <v>1324</v>
      </c>
      <c r="Q93" s="3" t="s">
        <v>1324</v>
      </c>
      <c r="R93" s="3" t="s">
        <v>1324</v>
      </c>
      <c r="S93" s="3" t="s">
        <v>1324</v>
      </c>
      <c r="T93" s="3" t="s">
        <v>3997</v>
      </c>
      <c r="U93" s="3" t="s">
        <v>3998</v>
      </c>
      <c r="V93" s="3" t="s">
        <v>1384</v>
      </c>
      <c r="W93" s="3" t="s">
        <v>3999</v>
      </c>
      <c r="X93" s="3" t="s">
        <v>4000</v>
      </c>
      <c r="Y93" s="3" t="s">
        <v>4001</v>
      </c>
      <c r="Z93" s="3" t="s">
        <v>4002</v>
      </c>
      <c r="AA93" s="3" t="s">
        <v>4003</v>
      </c>
      <c r="AB93" s="3" t="s">
        <v>1324</v>
      </c>
      <c r="AC93" s="3" t="s">
        <v>4004</v>
      </c>
      <c r="AD93" s="3" t="s">
        <v>4005</v>
      </c>
      <c r="AE93" s="3" t="s">
        <v>4006</v>
      </c>
      <c r="AF93" s="3" t="s">
        <v>1324</v>
      </c>
      <c r="AG93" s="3">
        <v>62.0</v>
      </c>
      <c r="AH93" s="3">
        <v>100.0</v>
      </c>
      <c r="AI93" s="3">
        <v>124.0</v>
      </c>
      <c r="AJ93" s="3">
        <v>1.0</v>
      </c>
      <c r="AK93" s="3">
        <v>181.0</v>
      </c>
      <c r="AL93" s="3" t="s">
        <v>3063</v>
      </c>
      <c r="AM93" s="3" t="s">
        <v>3064</v>
      </c>
      <c r="AN93" s="3" t="s">
        <v>3065</v>
      </c>
      <c r="AO93" s="3" t="s">
        <v>3066</v>
      </c>
      <c r="AP93" s="3" t="s">
        <v>1324</v>
      </c>
      <c r="AQ93" s="3" t="s">
        <v>1324</v>
      </c>
      <c r="AR93" s="3" t="s">
        <v>3067</v>
      </c>
      <c r="AS93" s="3" t="s">
        <v>3068</v>
      </c>
      <c r="AT93" s="3" t="s">
        <v>2515</v>
      </c>
      <c r="AU93" s="3">
        <v>2013.0</v>
      </c>
      <c r="AV93" s="3">
        <v>5.0</v>
      </c>
      <c r="AW93" s="3">
        <v>8.0</v>
      </c>
      <c r="AX93" s="3" t="s">
        <v>1324</v>
      </c>
      <c r="AY93" s="3" t="s">
        <v>1324</v>
      </c>
      <c r="AZ93" s="3" t="s">
        <v>1324</v>
      </c>
      <c r="BA93" s="3" t="s">
        <v>1324</v>
      </c>
      <c r="BB93" s="3">
        <v>4125.0</v>
      </c>
      <c r="BC93" s="3">
        <v>4144.0</v>
      </c>
      <c r="BD93" s="3" t="s">
        <v>1324</v>
      </c>
      <c r="BE93" s="3" t="s">
        <v>1385</v>
      </c>
      <c r="BF93" s="25" t="str">
        <f>HYPERLINK("http://dx.doi.org/10.3390/rs5084125","http://dx.doi.org/10.3390/rs5084125")</f>
        <v>http://dx.doi.org/10.3390/rs5084125</v>
      </c>
      <c r="BG93" s="3" t="s">
        <v>1324</v>
      </c>
      <c r="BH93" s="3" t="s">
        <v>1324</v>
      </c>
      <c r="BI93" s="3">
        <v>20.0</v>
      </c>
      <c r="BJ93" s="3" t="s">
        <v>3069</v>
      </c>
      <c r="BK93" s="3" t="s">
        <v>2407</v>
      </c>
      <c r="BL93" s="3" t="s">
        <v>3070</v>
      </c>
      <c r="BM93" s="3" t="s">
        <v>4007</v>
      </c>
      <c r="BN93" s="3" t="s">
        <v>1324</v>
      </c>
      <c r="BO93" s="3" t="s">
        <v>2410</v>
      </c>
      <c r="BP93" s="3" t="s">
        <v>1324</v>
      </c>
      <c r="BQ93" s="3" t="s">
        <v>1324</v>
      </c>
      <c r="BR93" s="3" t="s">
        <v>2383</v>
      </c>
      <c r="BS93" s="3" t="s">
        <v>4008</v>
      </c>
      <c r="BT93" s="3" t="str">
        <f>HYPERLINK("https%3A%2F%2Fwww.webofscience.com%2Fwos%2Fwoscc%2Ffull-record%2FWOS:000328626100023","View Full Record in Web of Science")</f>
        <v>View Full Record in Web of Science</v>
      </c>
    </row>
    <row r="94" ht="12.75" customHeight="1">
      <c r="A94" s="3" t="s">
        <v>26</v>
      </c>
      <c r="B94" s="3" t="s">
        <v>4009</v>
      </c>
      <c r="C94" s="3" t="s">
        <v>1324</v>
      </c>
      <c r="D94" s="3" t="s">
        <v>1324</v>
      </c>
      <c r="E94" s="3" t="s">
        <v>1324</v>
      </c>
      <c r="F94" s="3" t="s">
        <v>1563</v>
      </c>
      <c r="G94" s="3" t="s">
        <v>1324</v>
      </c>
      <c r="H94" s="3" t="s">
        <v>1324</v>
      </c>
      <c r="I94" s="3" t="s">
        <v>1564</v>
      </c>
      <c r="J94" s="3" t="s">
        <v>1558</v>
      </c>
      <c r="K94" s="3" t="s">
        <v>1324</v>
      </c>
      <c r="L94" s="3" t="s">
        <v>1324</v>
      </c>
      <c r="M94" s="3" t="s">
        <v>2364</v>
      </c>
      <c r="N94" s="3" t="s">
        <v>38</v>
      </c>
      <c r="O94" s="3" t="s">
        <v>1324</v>
      </c>
      <c r="P94" s="3" t="s">
        <v>1324</v>
      </c>
      <c r="Q94" s="3" t="s">
        <v>1324</v>
      </c>
      <c r="R94" s="3" t="s">
        <v>1324</v>
      </c>
      <c r="S94" s="3" t="s">
        <v>1324</v>
      </c>
      <c r="T94" s="3" t="s">
        <v>4010</v>
      </c>
      <c r="U94" s="3" t="s">
        <v>4011</v>
      </c>
      <c r="V94" s="3" t="s">
        <v>1565</v>
      </c>
      <c r="W94" s="3" t="s">
        <v>4012</v>
      </c>
      <c r="X94" s="3" t="s">
        <v>4013</v>
      </c>
      <c r="Y94" s="3" t="s">
        <v>4014</v>
      </c>
      <c r="Z94" s="3" t="s">
        <v>4015</v>
      </c>
      <c r="AA94" s="3" t="s">
        <v>4016</v>
      </c>
      <c r="AB94" s="3" t="s">
        <v>4017</v>
      </c>
      <c r="AC94" s="3" t="s">
        <v>4018</v>
      </c>
      <c r="AD94" s="3" t="s">
        <v>4019</v>
      </c>
      <c r="AE94" s="3" t="s">
        <v>4020</v>
      </c>
      <c r="AF94" s="3" t="s">
        <v>1324</v>
      </c>
      <c r="AG94" s="3">
        <v>47.0</v>
      </c>
      <c r="AH94" s="3">
        <v>51.0</v>
      </c>
      <c r="AI94" s="3">
        <v>55.0</v>
      </c>
      <c r="AJ94" s="3">
        <v>0.0</v>
      </c>
      <c r="AK94" s="3">
        <v>66.0</v>
      </c>
      <c r="AL94" s="3" t="s">
        <v>2464</v>
      </c>
      <c r="AM94" s="3" t="s">
        <v>2465</v>
      </c>
      <c r="AN94" s="3" t="s">
        <v>2466</v>
      </c>
      <c r="AO94" s="3" t="s">
        <v>3204</v>
      </c>
      <c r="AP94" s="3" t="s">
        <v>3205</v>
      </c>
      <c r="AQ94" s="3" t="s">
        <v>1324</v>
      </c>
      <c r="AR94" s="3" t="s">
        <v>3206</v>
      </c>
      <c r="AS94" s="3" t="s">
        <v>3207</v>
      </c>
      <c r="AT94" s="3" t="s">
        <v>2557</v>
      </c>
      <c r="AU94" s="3">
        <v>2013.0</v>
      </c>
      <c r="AV94" s="3">
        <v>40.0</v>
      </c>
      <c r="AW94" s="3">
        <v>7.0</v>
      </c>
      <c r="AX94" s="3" t="s">
        <v>1324</v>
      </c>
      <c r="AY94" s="3" t="s">
        <v>1324</v>
      </c>
      <c r="AZ94" s="3" t="s">
        <v>1324</v>
      </c>
      <c r="BA94" s="3" t="s">
        <v>1324</v>
      </c>
      <c r="BB94" s="3">
        <v>1252.0</v>
      </c>
      <c r="BC94" s="3">
        <v>1265.0</v>
      </c>
      <c r="BD94" s="3" t="s">
        <v>1324</v>
      </c>
      <c r="BE94" s="3" t="s">
        <v>1566</v>
      </c>
      <c r="BF94" s="25" t="str">
        <f>HYPERLINK("http://dx.doi.org/10.1111/jbi.12105","http://dx.doi.org/10.1111/jbi.12105")</f>
        <v>http://dx.doi.org/10.1111/jbi.12105</v>
      </c>
      <c r="BG94" s="3" t="s">
        <v>1324</v>
      </c>
      <c r="BH94" s="3" t="s">
        <v>1324</v>
      </c>
      <c r="BI94" s="3">
        <v>14.0</v>
      </c>
      <c r="BJ94" s="3" t="s">
        <v>1257</v>
      </c>
      <c r="BK94" s="3" t="s">
        <v>2407</v>
      </c>
      <c r="BL94" s="3" t="s">
        <v>2840</v>
      </c>
      <c r="BM94" s="3" t="s">
        <v>4021</v>
      </c>
      <c r="BN94" s="3" t="s">
        <v>1324</v>
      </c>
      <c r="BO94" s="3" t="s">
        <v>1324</v>
      </c>
      <c r="BP94" s="3" t="s">
        <v>1324</v>
      </c>
      <c r="BQ94" s="3" t="s">
        <v>1324</v>
      </c>
      <c r="BR94" s="3" t="s">
        <v>2383</v>
      </c>
      <c r="BS94" s="3" t="s">
        <v>4022</v>
      </c>
      <c r="BT94" s="3" t="str">
        <f>HYPERLINK("https%3A%2F%2Fwww.webofscience.com%2Fwos%2Fwoscc%2Ffull-record%2FWOS:000320175400005","View Full Record in Web of Science")</f>
        <v>View Full Record in Web of Science</v>
      </c>
    </row>
    <row r="95" ht="12.75" customHeight="1">
      <c r="A95" s="3" t="s">
        <v>26</v>
      </c>
      <c r="B95" s="3" t="s">
        <v>4023</v>
      </c>
      <c r="C95" s="3" t="s">
        <v>1324</v>
      </c>
      <c r="D95" s="3" t="s">
        <v>1324</v>
      </c>
      <c r="E95" s="3" t="s">
        <v>1324</v>
      </c>
      <c r="F95" s="3" t="s">
        <v>2254</v>
      </c>
      <c r="G95" s="3" t="s">
        <v>1324</v>
      </c>
      <c r="H95" s="3" t="s">
        <v>1324</v>
      </c>
      <c r="I95" s="3" t="s">
        <v>2255</v>
      </c>
      <c r="J95" s="3" t="s">
        <v>2244</v>
      </c>
      <c r="K95" s="3" t="s">
        <v>1324</v>
      </c>
      <c r="L95" s="3" t="s">
        <v>1324</v>
      </c>
      <c r="M95" s="3" t="s">
        <v>2364</v>
      </c>
      <c r="N95" s="3" t="s">
        <v>38</v>
      </c>
      <c r="O95" s="3" t="s">
        <v>1324</v>
      </c>
      <c r="P95" s="3" t="s">
        <v>1324</v>
      </c>
      <c r="Q95" s="3" t="s">
        <v>1324</v>
      </c>
      <c r="R95" s="3" t="s">
        <v>1324</v>
      </c>
      <c r="S95" s="3" t="s">
        <v>1324</v>
      </c>
      <c r="T95" s="3" t="s">
        <v>4024</v>
      </c>
      <c r="U95" s="3" t="s">
        <v>4025</v>
      </c>
      <c r="V95" s="3" t="s">
        <v>2256</v>
      </c>
      <c r="W95" s="3" t="s">
        <v>4026</v>
      </c>
      <c r="X95" s="3" t="s">
        <v>4027</v>
      </c>
      <c r="Y95" s="3" t="s">
        <v>4028</v>
      </c>
      <c r="Z95" s="3" t="s">
        <v>4029</v>
      </c>
      <c r="AA95" s="3" t="s">
        <v>4030</v>
      </c>
      <c r="AB95" s="3" t="s">
        <v>4031</v>
      </c>
      <c r="AC95" s="3" t="s">
        <v>4032</v>
      </c>
      <c r="AD95" s="3" t="s">
        <v>4032</v>
      </c>
      <c r="AE95" s="3" t="s">
        <v>4033</v>
      </c>
      <c r="AF95" s="3" t="s">
        <v>1324</v>
      </c>
      <c r="AG95" s="3">
        <v>56.0</v>
      </c>
      <c r="AH95" s="3">
        <v>65.0</v>
      </c>
      <c r="AI95" s="3">
        <v>76.0</v>
      </c>
      <c r="AJ95" s="3">
        <v>2.0</v>
      </c>
      <c r="AK95" s="3">
        <v>105.0</v>
      </c>
      <c r="AL95" s="3" t="s">
        <v>2464</v>
      </c>
      <c r="AM95" s="3" t="s">
        <v>2465</v>
      </c>
      <c r="AN95" s="3" t="s">
        <v>2466</v>
      </c>
      <c r="AO95" s="3" t="s">
        <v>2814</v>
      </c>
      <c r="AP95" s="3" t="s">
        <v>2815</v>
      </c>
      <c r="AQ95" s="3" t="s">
        <v>1324</v>
      </c>
      <c r="AR95" s="3" t="s">
        <v>2816</v>
      </c>
      <c r="AS95" s="3" t="s">
        <v>2817</v>
      </c>
      <c r="AT95" s="3" t="s">
        <v>2632</v>
      </c>
      <c r="AU95" s="3">
        <v>2013.0</v>
      </c>
      <c r="AV95" s="3">
        <v>23.0</v>
      </c>
      <c r="AW95" s="3">
        <v>3.0</v>
      </c>
      <c r="AX95" s="3" t="s">
        <v>1324</v>
      </c>
      <c r="AY95" s="3" t="s">
        <v>1324</v>
      </c>
      <c r="AZ95" s="3" t="s">
        <v>1324</v>
      </c>
      <c r="BA95" s="3" t="s">
        <v>1324</v>
      </c>
      <c r="BB95" s="3">
        <v>405.0</v>
      </c>
      <c r="BC95" s="3">
        <v>417.0</v>
      </c>
      <c r="BD95" s="3" t="s">
        <v>1324</v>
      </c>
      <c r="BE95" s="3" t="s">
        <v>2257</v>
      </c>
      <c r="BF95" s="25" t="str">
        <f>HYPERLINK("http://dx.doi.org/10.1002/aqc.2345","http://dx.doi.org/10.1002/aqc.2345")</f>
        <v>http://dx.doi.org/10.1002/aqc.2345</v>
      </c>
      <c r="BG95" s="3" t="s">
        <v>1324</v>
      </c>
      <c r="BH95" s="3" t="s">
        <v>1324</v>
      </c>
      <c r="BI95" s="3">
        <v>13.0</v>
      </c>
      <c r="BJ95" s="3" t="s">
        <v>2819</v>
      </c>
      <c r="BK95" s="3" t="s">
        <v>2407</v>
      </c>
      <c r="BL95" s="3" t="s">
        <v>2820</v>
      </c>
      <c r="BM95" s="3" t="s">
        <v>4034</v>
      </c>
      <c r="BN95" s="3" t="s">
        <v>1324</v>
      </c>
      <c r="BO95" s="3" t="s">
        <v>1324</v>
      </c>
      <c r="BP95" s="3" t="s">
        <v>1324</v>
      </c>
      <c r="BQ95" s="3" t="s">
        <v>1324</v>
      </c>
      <c r="BR95" s="3" t="s">
        <v>2383</v>
      </c>
      <c r="BS95" s="3" t="s">
        <v>4035</v>
      </c>
      <c r="BT95" s="3" t="str">
        <f>HYPERLINK("https%3A%2F%2Fwww.webofscience.com%2Fwos%2Fwoscc%2Ffull-record%2FWOS:000319873700007","View Full Record in Web of Science")</f>
        <v>View Full Record in Web of Science</v>
      </c>
    </row>
    <row r="96" ht="12.75" customHeight="1">
      <c r="A96" s="3" t="s">
        <v>26</v>
      </c>
      <c r="B96" s="3" t="s">
        <v>4036</v>
      </c>
      <c r="C96" s="3" t="s">
        <v>1324</v>
      </c>
      <c r="D96" s="3" t="s">
        <v>1324</v>
      </c>
      <c r="E96" s="3" t="s">
        <v>1324</v>
      </c>
      <c r="F96" s="3" t="s">
        <v>1581</v>
      </c>
      <c r="G96" s="3" t="s">
        <v>1324</v>
      </c>
      <c r="H96" s="3" t="s">
        <v>1324</v>
      </c>
      <c r="I96" s="3" t="s">
        <v>1582</v>
      </c>
      <c r="J96" s="3" t="s">
        <v>1575</v>
      </c>
      <c r="K96" s="3" t="s">
        <v>1324</v>
      </c>
      <c r="L96" s="3" t="s">
        <v>1324</v>
      </c>
      <c r="M96" s="3" t="s">
        <v>2364</v>
      </c>
      <c r="N96" s="3" t="s">
        <v>38</v>
      </c>
      <c r="O96" s="3" t="s">
        <v>1324</v>
      </c>
      <c r="P96" s="3" t="s">
        <v>1324</v>
      </c>
      <c r="Q96" s="3" t="s">
        <v>1324</v>
      </c>
      <c r="R96" s="3" t="s">
        <v>1324</v>
      </c>
      <c r="S96" s="3" t="s">
        <v>1324</v>
      </c>
      <c r="T96" s="3" t="s">
        <v>1324</v>
      </c>
      <c r="U96" s="3" t="s">
        <v>4037</v>
      </c>
      <c r="V96" s="3" t="s">
        <v>1583</v>
      </c>
      <c r="W96" s="3" t="s">
        <v>4038</v>
      </c>
      <c r="X96" s="3" t="s">
        <v>4039</v>
      </c>
      <c r="Y96" s="3" t="s">
        <v>4040</v>
      </c>
      <c r="Z96" s="3" t="s">
        <v>4041</v>
      </c>
      <c r="AA96" s="3" t="s">
        <v>4042</v>
      </c>
      <c r="AB96" s="3" t="s">
        <v>4043</v>
      </c>
      <c r="AC96" s="3" t="s">
        <v>4044</v>
      </c>
      <c r="AD96" s="3" t="s">
        <v>4045</v>
      </c>
      <c r="AE96" s="3" t="s">
        <v>4046</v>
      </c>
      <c r="AF96" s="3" t="s">
        <v>1324</v>
      </c>
      <c r="AG96" s="3">
        <v>67.0</v>
      </c>
      <c r="AH96" s="3">
        <v>16.0</v>
      </c>
      <c r="AI96" s="3">
        <v>17.0</v>
      </c>
      <c r="AJ96" s="3">
        <v>2.0</v>
      </c>
      <c r="AK96" s="3">
        <v>107.0</v>
      </c>
      <c r="AL96" s="3" t="s">
        <v>2464</v>
      </c>
      <c r="AM96" s="3" t="s">
        <v>2465</v>
      </c>
      <c r="AN96" s="3" t="s">
        <v>2466</v>
      </c>
      <c r="AO96" s="3" t="s">
        <v>4047</v>
      </c>
      <c r="AP96" s="3" t="s">
        <v>4048</v>
      </c>
      <c r="AQ96" s="3" t="s">
        <v>1324</v>
      </c>
      <c r="AR96" s="3" t="s">
        <v>1575</v>
      </c>
      <c r="AS96" s="3" t="s">
        <v>4049</v>
      </c>
      <c r="AT96" s="3" t="s">
        <v>2632</v>
      </c>
      <c r="AU96" s="3">
        <v>2013.0</v>
      </c>
      <c r="AV96" s="3">
        <v>122.0</v>
      </c>
      <c r="AW96" s="3">
        <v>6.0</v>
      </c>
      <c r="AX96" s="3" t="s">
        <v>1324</v>
      </c>
      <c r="AY96" s="3" t="s">
        <v>1324</v>
      </c>
      <c r="AZ96" s="3" t="s">
        <v>1324</v>
      </c>
      <c r="BA96" s="3" t="s">
        <v>1324</v>
      </c>
      <c r="BB96" s="3">
        <v>835.0</v>
      </c>
      <c r="BC96" s="3">
        <v>844.0</v>
      </c>
      <c r="BD96" s="3" t="s">
        <v>1324</v>
      </c>
      <c r="BE96" s="3" t="s">
        <v>1584</v>
      </c>
      <c r="BF96" s="25" t="str">
        <f>HYPERLINK("http://dx.doi.org/10.1111/j.1600-0706.2012.19858.x","http://dx.doi.org/10.1111/j.1600-0706.2012.19858.x")</f>
        <v>http://dx.doi.org/10.1111/j.1600-0706.2012.19858.x</v>
      </c>
      <c r="BG96" s="3" t="s">
        <v>1324</v>
      </c>
      <c r="BH96" s="3" t="s">
        <v>1324</v>
      </c>
      <c r="BI96" s="3">
        <v>10.0</v>
      </c>
      <c r="BJ96" s="3" t="s">
        <v>817</v>
      </c>
      <c r="BK96" s="3" t="s">
        <v>2407</v>
      </c>
      <c r="BL96" s="3" t="s">
        <v>2472</v>
      </c>
      <c r="BM96" s="3" t="s">
        <v>4050</v>
      </c>
      <c r="BN96" s="3" t="s">
        <v>1324</v>
      </c>
      <c r="BO96" s="3" t="s">
        <v>1324</v>
      </c>
      <c r="BP96" s="3" t="s">
        <v>1324</v>
      </c>
      <c r="BQ96" s="3" t="s">
        <v>1324</v>
      </c>
      <c r="BR96" s="3" t="s">
        <v>2383</v>
      </c>
      <c r="BS96" s="3" t="s">
        <v>4051</v>
      </c>
      <c r="BT96" s="3" t="str">
        <f>HYPERLINK("https%3A%2F%2Fwww.webofscience.com%2Fwos%2Fwoscc%2Ffull-record%2FWOS:000319408300004","View Full Record in Web of Science")</f>
        <v>View Full Record in Web of Science</v>
      </c>
    </row>
    <row r="97" ht="12.75" customHeight="1">
      <c r="A97" s="3" t="s">
        <v>26</v>
      </c>
      <c r="B97" s="3" t="s">
        <v>3451</v>
      </c>
      <c r="C97" s="3" t="s">
        <v>1324</v>
      </c>
      <c r="D97" s="3" t="s">
        <v>1324</v>
      </c>
      <c r="E97" s="3" t="s">
        <v>1324</v>
      </c>
      <c r="F97" s="3" t="s">
        <v>2232</v>
      </c>
      <c r="G97" s="3" t="s">
        <v>1324</v>
      </c>
      <c r="H97" s="3" t="s">
        <v>1324</v>
      </c>
      <c r="I97" s="3" t="s">
        <v>2234</v>
      </c>
      <c r="J97" s="3" t="s">
        <v>2233</v>
      </c>
      <c r="K97" s="3" t="s">
        <v>1324</v>
      </c>
      <c r="L97" s="3" t="s">
        <v>1324</v>
      </c>
      <c r="M97" s="3" t="s">
        <v>2364</v>
      </c>
      <c r="N97" s="3" t="s">
        <v>30</v>
      </c>
      <c r="O97" s="3" t="s">
        <v>1324</v>
      </c>
      <c r="P97" s="3" t="s">
        <v>1324</v>
      </c>
      <c r="Q97" s="3" t="s">
        <v>1324</v>
      </c>
      <c r="R97" s="3" t="s">
        <v>1324</v>
      </c>
      <c r="S97" s="3" t="s">
        <v>1324</v>
      </c>
      <c r="T97" s="3" t="s">
        <v>1324</v>
      </c>
      <c r="U97" s="3" t="s">
        <v>3455</v>
      </c>
      <c r="V97" s="3" t="s">
        <v>2235</v>
      </c>
      <c r="W97" s="3" t="s">
        <v>4052</v>
      </c>
      <c r="X97" s="3" t="s">
        <v>3457</v>
      </c>
      <c r="Y97" s="3" t="s">
        <v>4053</v>
      </c>
      <c r="Z97" s="3" t="s">
        <v>3459</v>
      </c>
      <c r="AA97" s="3" t="s">
        <v>4054</v>
      </c>
      <c r="AB97" s="3" t="s">
        <v>4055</v>
      </c>
      <c r="AC97" s="3" t="s">
        <v>1324</v>
      </c>
      <c r="AD97" s="3" t="s">
        <v>1324</v>
      </c>
      <c r="AE97" s="3" t="s">
        <v>1324</v>
      </c>
      <c r="AF97" s="3" t="s">
        <v>1324</v>
      </c>
      <c r="AG97" s="3">
        <v>155.0</v>
      </c>
      <c r="AH97" s="3">
        <v>56.0</v>
      </c>
      <c r="AI97" s="3">
        <v>64.0</v>
      </c>
      <c r="AJ97" s="3">
        <v>0.0</v>
      </c>
      <c r="AK97" s="3">
        <v>57.0</v>
      </c>
      <c r="AL97" s="3" t="s">
        <v>4056</v>
      </c>
      <c r="AM97" s="3" t="s">
        <v>2424</v>
      </c>
      <c r="AN97" s="3" t="s">
        <v>4057</v>
      </c>
      <c r="AO97" s="3" t="s">
        <v>4058</v>
      </c>
      <c r="AP97" s="3" t="s">
        <v>4059</v>
      </c>
      <c r="AQ97" s="3" t="s">
        <v>1324</v>
      </c>
      <c r="AR97" s="3" t="s">
        <v>4060</v>
      </c>
      <c r="AS97" s="3" t="s">
        <v>4061</v>
      </c>
      <c r="AT97" s="3" t="s">
        <v>4062</v>
      </c>
      <c r="AU97" s="3">
        <v>2013.0</v>
      </c>
      <c r="AV97" s="3">
        <v>2.0</v>
      </c>
      <c r="AW97" s="3">
        <v>3.0</v>
      </c>
      <c r="AX97" s="3" t="s">
        <v>1324</v>
      </c>
      <c r="AY97" s="3" t="s">
        <v>1324</v>
      </c>
      <c r="AZ97" s="3" t="s">
        <v>1324</v>
      </c>
      <c r="BA97" s="3" t="s">
        <v>1324</v>
      </c>
      <c r="BB97" s="3">
        <v>282.0</v>
      </c>
      <c r="BC97" s="3">
        <v>303.0</v>
      </c>
      <c r="BD97" s="3" t="s">
        <v>1324</v>
      </c>
      <c r="BE97" s="3" t="s">
        <v>2236</v>
      </c>
      <c r="BF97" s="25" t="str">
        <f>HYPERLINK("http://dx.doi.org/10.1002/wene.41","http://dx.doi.org/10.1002/wene.41")</f>
        <v>http://dx.doi.org/10.1002/wene.41</v>
      </c>
      <c r="BG97" s="3" t="s">
        <v>1324</v>
      </c>
      <c r="BH97" s="3" t="s">
        <v>1324</v>
      </c>
      <c r="BI97" s="3">
        <v>22.0</v>
      </c>
      <c r="BJ97" s="3" t="s">
        <v>4063</v>
      </c>
      <c r="BK97" s="3" t="s">
        <v>2878</v>
      </c>
      <c r="BL97" s="3" t="s">
        <v>4063</v>
      </c>
      <c r="BM97" s="3" t="s">
        <v>4064</v>
      </c>
      <c r="BN97" s="3" t="s">
        <v>1324</v>
      </c>
      <c r="BO97" s="3" t="s">
        <v>1324</v>
      </c>
      <c r="BP97" s="3" t="s">
        <v>1324</v>
      </c>
      <c r="BQ97" s="3" t="s">
        <v>1324</v>
      </c>
      <c r="BR97" s="3" t="s">
        <v>2383</v>
      </c>
      <c r="BS97" s="3" t="s">
        <v>4065</v>
      </c>
      <c r="BT97" s="3" t="str">
        <f>HYPERLINK("https%3A%2F%2Fwww.webofscience.com%2Fwos%2Fwoscc%2Ffull-record%2FWOS:000343208300003","View Full Record in Web of Science")</f>
        <v>View Full Record in Web of Science</v>
      </c>
    </row>
    <row r="98" ht="12.75" customHeight="1">
      <c r="A98" s="3" t="s">
        <v>26</v>
      </c>
      <c r="B98" s="3" t="s">
        <v>4066</v>
      </c>
      <c r="C98" s="3" t="s">
        <v>1324</v>
      </c>
      <c r="D98" s="3" t="s">
        <v>1324</v>
      </c>
      <c r="E98" s="3" t="s">
        <v>1324</v>
      </c>
      <c r="F98" s="3" t="s">
        <v>1574</v>
      </c>
      <c r="G98" s="3" t="s">
        <v>1324</v>
      </c>
      <c r="H98" s="3" t="s">
        <v>1324</v>
      </c>
      <c r="I98" s="3" t="s">
        <v>1576</v>
      </c>
      <c r="J98" s="3" t="s">
        <v>1575</v>
      </c>
      <c r="K98" s="3" t="s">
        <v>1324</v>
      </c>
      <c r="L98" s="3" t="s">
        <v>1324</v>
      </c>
      <c r="M98" s="3" t="s">
        <v>2364</v>
      </c>
      <c r="N98" s="3" t="s">
        <v>38</v>
      </c>
      <c r="O98" s="3" t="s">
        <v>1324</v>
      </c>
      <c r="P98" s="3" t="s">
        <v>1324</v>
      </c>
      <c r="Q98" s="3" t="s">
        <v>1324</v>
      </c>
      <c r="R98" s="3" t="s">
        <v>1324</v>
      </c>
      <c r="S98" s="3" t="s">
        <v>1324</v>
      </c>
      <c r="T98" s="3" t="s">
        <v>1324</v>
      </c>
      <c r="U98" s="3" t="s">
        <v>4067</v>
      </c>
      <c r="V98" s="3" t="s">
        <v>1577</v>
      </c>
      <c r="W98" s="3" t="s">
        <v>4068</v>
      </c>
      <c r="X98" s="3" t="s">
        <v>4069</v>
      </c>
      <c r="Y98" s="3" t="s">
        <v>4070</v>
      </c>
      <c r="Z98" s="3" t="s">
        <v>4071</v>
      </c>
      <c r="AA98" s="3" t="s">
        <v>1324</v>
      </c>
      <c r="AB98" s="3" t="s">
        <v>4072</v>
      </c>
      <c r="AC98" s="3" t="s">
        <v>4073</v>
      </c>
      <c r="AD98" s="3" t="s">
        <v>4074</v>
      </c>
      <c r="AE98" s="3" t="s">
        <v>4075</v>
      </c>
      <c r="AF98" s="3" t="s">
        <v>1324</v>
      </c>
      <c r="AG98" s="3">
        <v>65.0</v>
      </c>
      <c r="AH98" s="3">
        <v>21.0</v>
      </c>
      <c r="AI98" s="3">
        <v>29.0</v>
      </c>
      <c r="AJ98" s="3">
        <v>1.0</v>
      </c>
      <c r="AK98" s="3">
        <v>87.0</v>
      </c>
      <c r="AL98" s="3" t="s">
        <v>2464</v>
      </c>
      <c r="AM98" s="3" t="s">
        <v>2465</v>
      </c>
      <c r="AN98" s="3" t="s">
        <v>2466</v>
      </c>
      <c r="AO98" s="3" t="s">
        <v>4047</v>
      </c>
      <c r="AP98" s="3" t="s">
        <v>4048</v>
      </c>
      <c r="AQ98" s="3" t="s">
        <v>1324</v>
      </c>
      <c r="AR98" s="3" t="s">
        <v>1575</v>
      </c>
      <c r="AS98" s="3" t="s">
        <v>4049</v>
      </c>
      <c r="AT98" s="3" t="s">
        <v>2651</v>
      </c>
      <c r="AU98" s="3">
        <v>2013.0</v>
      </c>
      <c r="AV98" s="3">
        <v>122.0</v>
      </c>
      <c r="AW98" s="3">
        <v>5.0</v>
      </c>
      <c r="AX98" s="3" t="s">
        <v>1324</v>
      </c>
      <c r="AY98" s="3" t="s">
        <v>1324</v>
      </c>
      <c r="AZ98" s="3" t="s">
        <v>1324</v>
      </c>
      <c r="BA98" s="3" t="s">
        <v>1324</v>
      </c>
      <c r="BB98" s="3">
        <v>790.0</v>
      </c>
      <c r="BC98" s="3">
        <v>800.0</v>
      </c>
      <c r="BD98" s="3" t="s">
        <v>1324</v>
      </c>
      <c r="BE98" s="3" t="s">
        <v>1578</v>
      </c>
      <c r="BF98" s="25" t="str">
        <f>HYPERLINK("http://dx.doi.org/10.1111/j.1600-0706.2012.20696.x","http://dx.doi.org/10.1111/j.1600-0706.2012.20696.x")</f>
        <v>http://dx.doi.org/10.1111/j.1600-0706.2012.20696.x</v>
      </c>
      <c r="BG98" s="3" t="s">
        <v>1324</v>
      </c>
      <c r="BH98" s="3" t="s">
        <v>1324</v>
      </c>
      <c r="BI98" s="3">
        <v>11.0</v>
      </c>
      <c r="BJ98" s="3" t="s">
        <v>817</v>
      </c>
      <c r="BK98" s="3" t="s">
        <v>2407</v>
      </c>
      <c r="BL98" s="3" t="s">
        <v>2472</v>
      </c>
      <c r="BM98" s="3" t="s">
        <v>4076</v>
      </c>
      <c r="BN98" s="3" t="s">
        <v>1324</v>
      </c>
      <c r="BO98" s="3" t="s">
        <v>1324</v>
      </c>
      <c r="BP98" s="3" t="s">
        <v>1324</v>
      </c>
      <c r="BQ98" s="3" t="s">
        <v>1324</v>
      </c>
      <c r="BR98" s="3" t="s">
        <v>2383</v>
      </c>
      <c r="BS98" s="3" t="s">
        <v>4077</v>
      </c>
      <c r="BT98" s="3" t="str">
        <f>HYPERLINK("https%3A%2F%2Fwww.webofscience.com%2Fwos%2Fwoscc%2Ffull-record%2FWOS:000317981400015","View Full Record in Web of Science")</f>
        <v>View Full Record in Web of Science</v>
      </c>
    </row>
    <row r="99" ht="12.75" customHeight="1">
      <c r="A99" s="3" t="s">
        <v>26</v>
      </c>
      <c r="B99" s="3" t="s">
        <v>4078</v>
      </c>
      <c r="C99" s="3" t="s">
        <v>1324</v>
      </c>
      <c r="D99" s="3" t="s">
        <v>1324</v>
      </c>
      <c r="E99" s="3" t="s">
        <v>1324</v>
      </c>
      <c r="F99" s="3" t="s">
        <v>1757</v>
      </c>
      <c r="G99" s="3" t="s">
        <v>1324</v>
      </c>
      <c r="H99" s="3" t="s">
        <v>1324</v>
      </c>
      <c r="I99" s="3" t="s">
        <v>1758</v>
      </c>
      <c r="J99" s="3" t="s">
        <v>318</v>
      </c>
      <c r="K99" s="3" t="s">
        <v>1324</v>
      </c>
      <c r="L99" s="3" t="s">
        <v>1324</v>
      </c>
      <c r="M99" s="3" t="s">
        <v>2364</v>
      </c>
      <c r="N99" s="3" t="s">
        <v>38</v>
      </c>
      <c r="O99" s="3" t="s">
        <v>1324</v>
      </c>
      <c r="P99" s="3" t="s">
        <v>1324</v>
      </c>
      <c r="Q99" s="3" t="s">
        <v>1324</v>
      </c>
      <c r="R99" s="3" t="s">
        <v>1324</v>
      </c>
      <c r="S99" s="3" t="s">
        <v>1324</v>
      </c>
      <c r="T99" s="3" t="s">
        <v>4079</v>
      </c>
      <c r="U99" s="3" t="s">
        <v>4080</v>
      </c>
      <c r="V99" s="3" t="s">
        <v>1759</v>
      </c>
      <c r="W99" s="3" t="s">
        <v>4081</v>
      </c>
      <c r="X99" s="3" t="s">
        <v>4082</v>
      </c>
      <c r="Y99" s="3" t="s">
        <v>4083</v>
      </c>
      <c r="Z99" s="3" t="s">
        <v>4084</v>
      </c>
      <c r="AA99" s="3" t="s">
        <v>4085</v>
      </c>
      <c r="AB99" s="3" t="s">
        <v>4086</v>
      </c>
      <c r="AC99" s="3" t="s">
        <v>1324</v>
      </c>
      <c r="AD99" s="3" t="s">
        <v>1324</v>
      </c>
      <c r="AE99" s="3" t="s">
        <v>1324</v>
      </c>
      <c r="AF99" s="3" t="s">
        <v>1324</v>
      </c>
      <c r="AG99" s="3">
        <v>56.0</v>
      </c>
      <c r="AH99" s="3">
        <v>47.0</v>
      </c>
      <c r="AI99" s="3">
        <v>58.0</v>
      </c>
      <c r="AJ99" s="3">
        <v>0.0</v>
      </c>
      <c r="AK99" s="3">
        <v>11.0</v>
      </c>
      <c r="AL99" s="3" t="s">
        <v>2590</v>
      </c>
      <c r="AM99" s="3" t="s">
        <v>2591</v>
      </c>
      <c r="AN99" s="3" t="s">
        <v>2592</v>
      </c>
      <c r="AO99" s="3" t="s">
        <v>2593</v>
      </c>
      <c r="AP99" s="3" t="s">
        <v>1324</v>
      </c>
      <c r="AQ99" s="3" t="s">
        <v>1324</v>
      </c>
      <c r="AR99" s="3" t="s">
        <v>2594</v>
      </c>
      <c r="AS99" s="3" t="s">
        <v>2595</v>
      </c>
      <c r="AT99" s="3" t="s">
        <v>4087</v>
      </c>
      <c r="AU99" s="3">
        <v>2013.0</v>
      </c>
      <c r="AV99" s="3">
        <v>8.0</v>
      </c>
      <c r="AW99" s="3">
        <v>2.0</v>
      </c>
      <c r="AX99" s="3" t="s">
        <v>1324</v>
      </c>
      <c r="AY99" s="3" t="s">
        <v>1324</v>
      </c>
      <c r="AZ99" s="3" t="s">
        <v>1324</v>
      </c>
      <c r="BA99" s="3" t="s">
        <v>1324</v>
      </c>
      <c r="BB99" s="3" t="s">
        <v>1324</v>
      </c>
      <c r="BC99" s="3" t="s">
        <v>1324</v>
      </c>
      <c r="BD99" s="3">
        <v>24034.0</v>
      </c>
      <c r="BE99" s="3" t="s">
        <v>1760</v>
      </c>
      <c r="BF99" s="25" t="str">
        <f>HYPERLINK("http://dx.doi.org/10.1088/1748-9326/8/2/024034","http://dx.doi.org/10.1088/1748-9326/8/2/024034")</f>
        <v>http://dx.doi.org/10.1088/1748-9326/8/2/024034</v>
      </c>
      <c r="BG99" s="3" t="s">
        <v>1324</v>
      </c>
      <c r="BH99" s="3" t="s">
        <v>1324</v>
      </c>
      <c r="BI99" s="3">
        <v>13.0</v>
      </c>
      <c r="BJ99" s="3" t="s">
        <v>322</v>
      </c>
      <c r="BK99" s="3" t="s">
        <v>2407</v>
      </c>
      <c r="BL99" s="3" t="s">
        <v>2596</v>
      </c>
      <c r="BM99" s="3" t="s">
        <v>4088</v>
      </c>
      <c r="BN99" s="3" t="s">
        <v>1324</v>
      </c>
      <c r="BO99" s="3" t="s">
        <v>2598</v>
      </c>
      <c r="BP99" s="3" t="s">
        <v>1324</v>
      </c>
      <c r="BQ99" s="3" t="s">
        <v>1324</v>
      </c>
      <c r="BR99" s="3" t="s">
        <v>2383</v>
      </c>
      <c r="BS99" s="3" t="s">
        <v>4089</v>
      </c>
      <c r="BT99" s="3" t="str">
        <f>HYPERLINK("https%3A%2F%2Fwww.webofscience.com%2Fwos%2Fwoscc%2Ffull-record%2FWOS:000321425100038","View Full Record in Web of Science")</f>
        <v>View Full Record in Web of Science</v>
      </c>
    </row>
    <row r="100" ht="12.75" customHeight="1">
      <c r="A100" s="3" t="s">
        <v>26</v>
      </c>
      <c r="B100" s="3" t="s">
        <v>4090</v>
      </c>
      <c r="C100" s="3" t="s">
        <v>1324</v>
      </c>
      <c r="D100" s="3" t="s">
        <v>1324</v>
      </c>
      <c r="E100" s="3" t="s">
        <v>1324</v>
      </c>
      <c r="F100" s="3" t="s">
        <v>2188</v>
      </c>
      <c r="G100" s="3" t="s">
        <v>1324</v>
      </c>
      <c r="H100" s="3" t="s">
        <v>1324</v>
      </c>
      <c r="I100" s="3" t="s">
        <v>2190</v>
      </c>
      <c r="J100" s="3" t="s">
        <v>2189</v>
      </c>
      <c r="K100" s="3" t="s">
        <v>1324</v>
      </c>
      <c r="L100" s="3" t="s">
        <v>1324</v>
      </c>
      <c r="M100" s="3" t="s">
        <v>2364</v>
      </c>
      <c r="N100" s="3" t="s">
        <v>38</v>
      </c>
      <c r="O100" s="3" t="s">
        <v>1324</v>
      </c>
      <c r="P100" s="3" t="s">
        <v>1324</v>
      </c>
      <c r="Q100" s="3" t="s">
        <v>1324</v>
      </c>
      <c r="R100" s="3" t="s">
        <v>1324</v>
      </c>
      <c r="S100" s="3" t="s">
        <v>1324</v>
      </c>
      <c r="T100" s="3" t="s">
        <v>4091</v>
      </c>
      <c r="U100" s="3" t="s">
        <v>4092</v>
      </c>
      <c r="V100" s="3" t="s">
        <v>2191</v>
      </c>
      <c r="W100" s="3" t="s">
        <v>4093</v>
      </c>
      <c r="X100" s="3" t="s">
        <v>4094</v>
      </c>
      <c r="Y100" s="3" t="s">
        <v>4095</v>
      </c>
      <c r="Z100" s="3" t="s">
        <v>4096</v>
      </c>
      <c r="AA100" s="3" t="s">
        <v>4097</v>
      </c>
      <c r="AB100" s="3" t="s">
        <v>1324</v>
      </c>
      <c r="AC100" s="3" t="s">
        <v>4098</v>
      </c>
      <c r="AD100" s="3" t="s">
        <v>4099</v>
      </c>
      <c r="AE100" s="3" t="s">
        <v>4100</v>
      </c>
      <c r="AF100" s="3" t="s">
        <v>1324</v>
      </c>
      <c r="AG100" s="3">
        <v>48.0</v>
      </c>
      <c r="AH100" s="3">
        <v>9.0</v>
      </c>
      <c r="AI100" s="3">
        <v>15.0</v>
      </c>
      <c r="AJ100" s="3">
        <v>0.0</v>
      </c>
      <c r="AK100" s="3">
        <v>160.0</v>
      </c>
      <c r="AL100" s="3" t="s">
        <v>3250</v>
      </c>
      <c r="AM100" s="3" t="s">
        <v>3872</v>
      </c>
      <c r="AN100" s="3" t="s">
        <v>3873</v>
      </c>
      <c r="AO100" s="3" t="s">
        <v>4101</v>
      </c>
      <c r="AP100" s="3" t="s">
        <v>4102</v>
      </c>
      <c r="AQ100" s="3" t="s">
        <v>1324</v>
      </c>
      <c r="AR100" s="3" t="s">
        <v>4103</v>
      </c>
      <c r="AS100" s="3" t="s">
        <v>4104</v>
      </c>
      <c r="AT100" s="3" t="s">
        <v>3168</v>
      </c>
      <c r="AU100" s="3">
        <v>2013.0</v>
      </c>
      <c r="AV100" s="3">
        <v>7.0</v>
      </c>
      <c r="AW100" s="3">
        <v>1.0</v>
      </c>
      <c r="AX100" s="3" t="s">
        <v>1324</v>
      </c>
      <c r="AY100" s="3" t="s">
        <v>1324</v>
      </c>
      <c r="AZ100" s="3" t="s">
        <v>1324</v>
      </c>
      <c r="BA100" s="3" t="s">
        <v>1324</v>
      </c>
      <c r="BB100" s="3">
        <v>92.0</v>
      </c>
      <c r="BC100" s="3">
        <v>102.0</v>
      </c>
      <c r="BD100" s="3" t="s">
        <v>1324</v>
      </c>
      <c r="BE100" s="3" t="s">
        <v>2192</v>
      </c>
      <c r="BF100" s="25" t="str">
        <f>HYPERLINK("http://dx.doi.org/10.1007/s11707-012-0335-x","http://dx.doi.org/10.1007/s11707-012-0335-x")</f>
        <v>http://dx.doi.org/10.1007/s11707-012-0335-x</v>
      </c>
      <c r="BG100" s="3" t="s">
        <v>1324</v>
      </c>
      <c r="BH100" s="3" t="s">
        <v>1324</v>
      </c>
      <c r="BI100" s="3">
        <v>11.0</v>
      </c>
      <c r="BJ100" s="3" t="s">
        <v>59</v>
      </c>
      <c r="BK100" s="3" t="s">
        <v>2407</v>
      </c>
      <c r="BL100" s="3" t="s">
        <v>4105</v>
      </c>
      <c r="BM100" s="3" t="s">
        <v>4106</v>
      </c>
      <c r="BN100" s="3" t="s">
        <v>1324</v>
      </c>
      <c r="BO100" s="3" t="s">
        <v>1324</v>
      </c>
      <c r="BP100" s="3" t="s">
        <v>1324</v>
      </c>
      <c r="BQ100" s="3" t="s">
        <v>1324</v>
      </c>
      <c r="BR100" s="3" t="s">
        <v>2383</v>
      </c>
      <c r="BS100" s="3" t="s">
        <v>4107</v>
      </c>
      <c r="BT100" s="3" t="str">
        <f>HYPERLINK("https%3A%2F%2Fwww.webofscience.com%2Fwos%2Fwoscc%2Ffull-record%2FWOS:000314279400009","View Full Record in Web of Science")</f>
        <v>View Full Record in Web of Science</v>
      </c>
    </row>
    <row r="101" ht="12.75" customHeight="1">
      <c r="A101" s="3" t="s">
        <v>26</v>
      </c>
      <c r="B101" s="3" t="s">
        <v>4108</v>
      </c>
      <c r="C101" s="3" t="s">
        <v>1324</v>
      </c>
      <c r="D101" s="3" t="s">
        <v>1324</v>
      </c>
      <c r="E101" s="3" t="s">
        <v>1324</v>
      </c>
      <c r="F101" s="3" t="s">
        <v>1465</v>
      </c>
      <c r="G101" s="3" t="s">
        <v>1324</v>
      </c>
      <c r="H101" s="3" t="s">
        <v>1324</v>
      </c>
      <c r="I101" s="3" t="s">
        <v>1466</v>
      </c>
      <c r="J101" s="3" t="s">
        <v>365</v>
      </c>
      <c r="K101" s="3" t="s">
        <v>1324</v>
      </c>
      <c r="L101" s="3" t="s">
        <v>1324</v>
      </c>
      <c r="M101" s="3" t="s">
        <v>2364</v>
      </c>
      <c r="N101" s="3" t="s">
        <v>30</v>
      </c>
      <c r="O101" s="3" t="s">
        <v>1324</v>
      </c>
      <c r="P101" s="3" t="s">
        <v>1324</v>
      </c>
      <c r="Q101" s="3" t="s">
        <v>1324</v>
      </c>
      <c r="R101" s="3" t="s">
        <v>1324</v>
      </c>
      <c r="S101" s="3" t="s">
        <v>1324</v>
      </c>
      <c r="T101" s="3" t="s">
        <v>1324</v>
      </c>
      <c r="U101" s="3" t="s">
        <v>1324</v>
      </c>
      <c r="V101" s="3" t="s">
        <v>1467</v>
      </c>
      <c r="W101" s="3" t="s">
        <v>4109</v>
      </c>
      <c r="X101" s="3" t="s">
        <v>4110</v>
      </c>
      <c r="Y101" s="3" t="s">
        <v>4111</v>
      </c>
      <c r="Z101" s="3" t="s">
        <v>4112</v>
      </c>
      <c r="AA101" s="3" t="s">
        <v>1324</v>
      </c>
      <c r="AB101" s="3" t="s">
        <v>1324</v>
      </c>
      <c r="AC101" s="3" t="s">
        <v>4113</v>
      </c>
      <c r="AD101" s="3" t="s">
        <v>4114</v>
      </c>
      <c r="AE101" s="3" t="s">
        <v>4115</v>
      </c>
      <c r="AF101" s="3" t="s">
        <v>1324</v>
      </c>
      <c r="AG101" s="3">
        <v>63.0</v>
      </c>
      <c r="AH101" s="3">
        <v>346.0</v>
      </c>
      <c r="AI101" s="3">
        <v>399.0</v>
      </c>
      <c r="AJ101" s="3">
        <v>8.0</v>
      </c>
      <c r="AK101" s="3">
        <v>266.0</v>
      </c>
      <c r="AL101" s="3" t="s">
        <v>2423</v>
      </c>
      <c r="AM101" s="3" t="s">
        <v>2424</v>
      </c>
      <c r="AN101" s="3" t="s">
        <v>2425</v>
      </c>
      <c r="AO101" s="3" t="s">
        <v>2426</v>
      </c>
      <c r="AP101" s="3" t="s">
        <v>1324</v>
      </c>
      <c r="AQ101" s="3" t="s">
        <v>1324</v>
      </c>
      <c r="AR101" s="3" t="s">
        <v>365</v>
      </c>
      <c r="AS101" s="3" t="s">
        <v>2427</v>
      </c>
      <c r="AT101" s="3" t="s">
        <v>4116</v>
      </c>
      <c r="AU101" s="3">
        <v>2013.0</v>
      </c>
      <c r="AV101" s="3">
        <v>8.0</v>
      </c>
      <c r="AW101" s="3">
        <v>1.0</v>
      </c>
      <c r="AX101" s="3" t="s">
        <v>1324</v>
      </c>
      <c r="AY101" s="3" t="s">
        <v>1324</v>
      </c>
      <c r="AZ101" s="3" t="s">
        <v>1324</v>
      </c>
      <c r="BA101" s="3" t="s">
        <v>1324</v>
      </c>
      <c r="BB101" s="3" t="s">
        <v>1324</v>
      </c>
      <c r="BC101" s="3" t="s">
        <v>1324</v>
      </c>
      <c r="BD101" s="3" t="s">
        <v>4117</v>
      </c>
      <c r="BE101" s="3" t="s">
        <v>1468</v>
      </c>
      <c r="BF101" s="25" t="str">
        <f>HYPERLINK("http://dx.doi.org/10.1371/journal.pone.0050719","http://dx.doi.org/10.1371/journal.pone.0050719")</f>
        <v>http://dx.doi.org/10.1371/journal.pone.0050719</v>
      </c>
      <c r="BG101" s="3" t="s">
        <v>1324</v>
      </c>
      <c r="BH101" s="3" t="s">
        <v>1324</v>
      </c>
      <c r="BI101" s="3">
        <v>24.0</v>
      </c>
      <c r="BJ101" s="3" t="s">
        <v>42</v>
      </c>
      <c r="BK101" s="3" t="s">
        <v>2407</v>
      </c>
      <c r="BL101" s="3" t="s">
        <v>2430</v>
      </c>
      <c r="BM101" s="3" t="s">
        <v>4118</v>
      </c>
      <c r="BN101" s="3">
        <v>2.3320065E7</v>
      </c>
      <c r="BO101" s="3" t="s">
        <v>2410</v>
      </c>
      <c r="BP101" s="3" t="s">
        <v>1324</v>
      </c>
      <c r="BQ101" s="3" t="s">
        <v>1324</v>
      </c>
      <c r="BR101" s="3" t="s">
        <v>2383</v>
      </c>
      <c r="BS101" s="3" t="s">
        <v>4119</v>
      </c>
      <c r="BT101" s="3" t="str">
        <f>HYPERLINK("https%3A%2F%2Fwww.webofscience.com%2Fwos%2Fwoscc%2Ffull-record%2FWOS:000313429800005","View Full Record in Web of Science")</f>
        <v>View Full Record in Web of Science</v>
      </c>
    </row>
    <row r="102" ht="12.75" customHeight="1">
      <c r="A102" s="3" t="s">
        <v>26</v>
      </c>
      <c r="B102" s="3" t="s">
        <v>4120</v>
      </c>
      <c r="C102" s="3" t="s">
        <v>1324</v>
      </c>
      <c r="D102" s="3" t="s">
        <v>1324</v>
      </c>
      <c r="E102" s="3" t="s">
        <v>1324</v>
      </c>
      <c r="F102" s="3" t="s">
        <v>1568</v>
      </c>
      <c r="G102" s="3" t="s">
        <v>1324</v>
      </c>
      <c r="H102" s="3" t="s">
        <v>1324</v>
      </c>
      <c r="I102" s="3" t="s">
        <v>1570</v>
      </c>
      <c r="J102" s="3" t="s">
        <v>1569</v>
      </c>
      <c r="K102" s="3" t="s">
        <v>1324</v>
      </c>
      <c r="L102" s="3" t="s">
        <v>1324</v>
      </c>
      <c r="M102" s="3" t="s">
        <v>2364</v>
      </c>
      <c r="N102" s="3" t="s">
        <v>30</v>
      </c>
      <c r="O102" s="3" t="s">
        <v>1324</v>
      </c>
      <c r="P102" s="3" t="s">
        <v>1324</v>
      </c>
      <c r="Q102" s="3" t="s">
        <v>1324</v>
      </c>
      <c r="R102" s="3" t="s">
        <v>1324</v>
      </c>
      <c r="S102" s="3" t="s">
        <v>1324</v>
      </c>
      <c r="T102" s="3" t="s">
        <v>4121</v>
      </c>
      <c r="U102" s="3" t="s">
        <v>4122</v>
      </c>
      <c r="V102" s="3" t="s">
        <v>1571</v>
      </c>
      <c r="W102" s="3" t="s">
        <v>4123</v>
      </c>
      <c r="X102" s="3" t="s">
        <v>1324</v>
      </c>
      <c r="Y102" s="3" t="s">
        <v>4124</v>
      </c>
      <c r="Z102" s="3" t="s">
        <v>4125</v>
      </c>
      <c r="AA102" s="3" t="s">
        <v>4126</v>
      </c>
      <c r="AB102" s="3" t="s">
        <v>4127</v>
      </c>
      <c r="AC102" s="3" t="s">
        <v>1324</v>
      </c>
      <c r="AD102" s="3" t="s">
        <v>1324</v>
      </c>
      <c r="AE102" s="3" t="s">
        <v>1324</v>
      </c>
      <c r="AF102" s="3" t="s">
        <v>1324</v>
      </c>
      <c r="AG102" s="3">
        <v>192.0</v>
      </c>
      <c r="AH102" s="3">
        <v>216.0</v>
      </c>
      <c r="AI102" s="3">
        <v>268.0</v>
      </c>
      <c r="AJ102" s="3">
        <v>4.0</v>
      </c>
      <c r="AK102" s="3">
        <v>459.0</v>
      </c>
      <c r="AL102" s="3" t="s">
        <v>2464</v>
      </c>
      <c r="AM102" s="3" t="s">
        <v>2465</v>
      </c>
      <c r="AN102" s="3" t="s">
        <v>2466</v>
      </c>
      <c r="AO102" s="3" t="s">
        <v>4128</v>
      </c>
      <c r="AP102" s="3" t="s">
        <v>4129</v>
      </c>
      <c r="AQ102" s="3" t="s">
        <v>1324</v>
      </c>
      <c r="AR102" s="3" t="s">
        <v>4130</v>
      </c>
      <c r="AS102" s="3" t="s">
        <v>4131</v>
      </c>
      <c r="AT102" s="3" t="s">
        <v>3208</v>
      </c>
      <c r="AU102" s="3">
        <v>2013.0</v>
      </c>
      <c r="AV102" s="3">
        <v>6.0</v>
      </c>
      <c r="AW102" s="3">
        <v>1.0</v>
      </c>
      <c r="AX102" s="3" t="s">
        <v>1324</v>
      </c>
      <c r="AY102" s="3" t="s">
        <v>1324</v>
      </c>
      <c r="AZ102" s="3" t="s">
        <v>1324</v>
      </c>
      <c r="BA102" s="3" t="s">
        <v>1324</v>
      </c>
      <c r="BB102" s="3">
        <v>5.0</v>
      </c>
      <c r="BC102" s="3">
        <v>19.0</v>
      </c>
      <c r="BD102" s="3" t="s">
        <v>1324</v>
      </c>
      <c r="BE102" s="3" t="s">
        <v>1572</v>
      </c>
      <c r="BF102" s="25" t="str">
        <f>HYPERLINK("http://dx.doi.org/10.1111/j.1752-4598.2012.00186.x","http://dx.doi.org/10.1111/j.1752-4598.2012.00186.x")</f>
        <v>http://dx.doi.org/10.1111/j.1752-4598.2012.00186.x</v>
      </c>
      <c r="BG102" s="3" t="s">
        <v>1324</v>
      </c>
      <c r="BH102" s="3" t="s">
        <v>1324</v>
      </c>
      <c r="BI102" s="3">
        <v>15.0</v>
      </c>
      <c r="BJ102" s="3" t="s">
        <v>4132</v>
      </c>
      <c r="BK102" s="3" t="s">
        <v>2407</v>
      </c>
      <c r="BL102" s="3" t="s">
        <v>4133</v>
      </c>
      <c r="BM102" s="3" t="s">
        <v>4134</v>
      </c>
      <c r="BN102" s="3" t="s">
        <v>1324</v>
      </c>
      <c r="BO102" s="3" t="s">
        <v>1324</v>
      </c>
      <c r="BP102" s="3" t="s">
        <v>1324</v>
      </c>
      <c r="BQ102" s="3" t="s">
        <v>1324</v>
      </c>
      <c r="BR102" s="3" t="s">
        <v>2383</v>
      </c>
      <c r="BS102" s="3" t="s">
        <v>4135</v>
      </c>
      <c r="BT102" s="3" t="str">
        <f>HYPERLINK("https%3A%2F%2Fwww.webofscience.com%2Fwos%2Fwoscc%2Ffull-record%2FWOS:000313880200002","View Full Record in Web of Science")</f>
        <v>View Full Record in Web of Science</v>
      </c>
    </row>
    <row r="103" ht="12.75" customHeight="1">
      <c r="A103" s="3" t="s">
        <v>26</v>
      </c>
      <c r="B103" s="3" t="s">
        <v>4136</v>
      </c>
      <c r="C103" s="3" t="s">
        <v>1324</v>
      </c>
      <c r="D103" s="3" t="s">
        <v>1324</v>
      </c>
      <c r="E103" s="3" t="s">
        <v>1324</v>
      </c>
      <c r="F103" s="3" t="s">
        <v>2136</v>
      </c>
      <c r="G103" s="3" t="s">
        <v>1324</v>
      </c>
      <c r="H103" s="3" t="s">
        <v>1324</v>
      </c>
      <c r="I103" s="3" t="s">
        <v>2137</v>
      </c>
      <c r="J103" s="3" t="s">
        <v>2131</v>
      </c>
      <c r="K103" s="3" t="s">
        <v>1324</v>
      </c>
      <c r="L103" s="3" t="s">
        <v>1324</v>
      </c>
      <c r="M103" s="3" t="s">
        <v>2364</v>
      </c>
      <c r="N103" s="3" t="s">
        <v>38</v>
      </c>
      <c r="O103" s="3" t="s">
        <v>1324</v>
      </c>
      <c r="P103" s="3" t="s">
        <v>1324</v>
      </c>
      <c r="Q103" s="3" t="s">
        <v>1324</v>
      </c>
      <c r="R103" s="3" t="s">
        <v>1324</v>
      </c>
      <c r="S103" s="3" t="s">
        <v>1324</v>
      </c>
      <c r="T103" s="3" t="s">
        <v>4137</v>
      </c>
      <c r="U103" s="3" t="s">
        <v>4138</v>
      </c>
      <c r="V103" s="3" t="s">
        <v>2138</v>
      </c>
      <c r="W103" s="3" t="s">
        <v>4139</v>
      </c>
      <c r="X103" s="3" t="s">
        <v>4140</v>
      </c>
      <c r="Y103" s="3" t="s">
        <v>4141</v>
      </c>
      <c r="Z103" s="3" t="s">
        <v>4142</v>
      </c>
      <c r="AA103" s="3" t="s">
        <v>4143</v>
      </c>
      <c r="AB103" s="3" t="s">
        <v>4144</v>
      </c>
      <c r="AC103" s="3" t="s">
        <v>1324</v>
      </c>
      <c r="AD103" s="3" t="s">
        <v>1324</v>
      </c>
      <c r="AE103" s="3" t="s">
        <v>1324</v>
      </c>
      <c r="AF103" s="3" t="s">
        <v>1324</v>
      </c>
      <c r="AG103" s="3">
        <v>42.0</v>
      </c>
      <c r="AH103" s="3">
        <v>65.0</v>
      </c>
      <c r="AI103" s="3">
        <v>80.0</v>
      </c>
      <c r="AJ103" s="3">
        <v>0.0</v>
      </c>
      <c r="AK103" s="3">
        <v>66.0</v>
      </c>
      <c r="AL103" s="3" t="s">
        <v>2486</v>
      </c>
      <c r="AM103" s="3" t="s">
        <v>2487</v>
      </c>
      <c r="AN103" s="3" t="s">
        <v>2488</v>
      </c>
      <c r="AO103" s="3" t="s">
        <v>3797</v>
      </c>
      <c r="AP103" s="3" t="s">
        <v>3798</v>
      </c>
      <c r="AQ103" s="3" t="s">
        <v>1324</v>
      </c>
      <c r="AR103" s="3" t="s">
        <v>3799</v>
      </c>
      <c r="AS103" s="3" t="s">
        <v>3800</v>
      </c>
      <c r="AT103" s="3" t="s">
        <v>4145</v>
      </c>
      <c r="AU103" s="3">
        <v>2012.0</v>
      </c>
      <c r="AV103" s="3">
        <v>166.0</v>
      </c>
      <c r="AW103" s="3" t="s">
        <v>1324</v>
      </c>
      <c r="AX103" s="3" t="s">
        <v>1324</v>
      </c>
      <c r="AY103" s="3" t="s">
        <v>1324</v>
      </c>
      <c r="AZ103" s="3" t="s">
        <v>1324</v>
      </c>
      <c r="BA103" s="3" t="s">
        <v>1324</v>
      </c>
      <c r="BB103" s="3">
        <v>50.0</v>
      </c>
      <c r="BC103" s="3">
        <v>61.0</v>
      </c>
      <c r="BD103" s="3" t="s">
        <v>1324</v>
      </c>
      <c r="BE103" s="3" t="s">
        <v>2139</v>
      </c>
      <c r="BF103" s="25" t="str">
        <f>HYPERLINK("http://dx.doi.org/10.1016/j.agrformet.2012.07.007","http://dx.doi.org/10.1016/j.agrformet.2012.07.007")</f>
        <v>http://dx.doi.org/10.1016/j.agrformet.2012.07.007</v>
      </c>
      <c r="BG103" s="3" t="s">
        <v>1324</v>
      </c>
      <c r="BH103" s="3" t="s">
        <v>1324</v>
      </c>
      <c r="BI103" s="3">
        <v>12.0</v>
      </c>
      <c r="BJ103" s="3" t="s">
        <v>3802</v>
      </c>
      <c r="BK103" s="3" t="s">
        <v>2407</v>
      </c>
      <c r="BL103" s="3" t="s">
        <v>3803</v>
      </c>
      <c r="BM103" s="3" t="s">
        <v>4146</v>
      </c>
      <c r="BN103" s="3" t="s">
        <v>1324</v>
      </c>
      <c r="BO103" s="3" t="s">
        <v>1324</v>
      </c>
      <c r="BP103" s="3" t="s">
        <v>1324</v>
      </c>
      <c r="BQ103" s="3" t="s">
        <v>1324</v>
      </c>
      <c r="BR103" s="3" t="s">
        <v>2383</v>
      </c>
      <c r="BS103" s="3" t="s">
        <v>4147</v>
      </c>
      <c r="BT103" s="3" t="str">
        <f>HYPERLINK("https%3A%2F%2Fwww.webofscience.com%2Fwos%2Fwoscc%2Ffull-record%2FWOS:000313479100007","View Full Record in Web of Science")</f>
        <v>View Full Record in Web of Science</v>
      </c>
    </row>
    <row r="104" ht="12.75" customHeight="1">
      <c r="A104" s="3" t="s">
        <v>26</v>
      </c>
      <c r="B104" s="3" t="s">
        <v>4148</v>
      </c>
      <c r="C104" s="3" t="s">
        <v>1324</v>
      </c>
      <c r="D104" s="3" t="s">
        <v>1324</v>
      </c>
      <c r="E104" s="3" t="s">
        <v>1324</v>
      </c>
      <c r="F104" s="3" t="s">
        <v>1981</v>
      </c>
      <c r="G104" s="3" t="s">
        <v>1324</v>
      </c>
      <c r="H104" s="3" t="s">
        <v>1324</v>
      </c>
      <c r="I104" s="3" t="s">
        <v>1982</v>
      </c>
      <c r="J104" s="3" t="s">
        <v>1976</v>
      </c>
      <c r="K104" s="3" t="s">
        <v>1324</v>
      </c>
      <c r="L104" s="3" t="s">
        <v>1324</v>
      </c>
      <c r="M104" s="3" t="s">
        <v>2364</v>
      </c>
      <c r="N104" s="3" t="s">
        <v>38</v>
      </c>
      <c r="O104" s="3" t="s">
        <v>1324</v>
      </c>
      <c r="P104" s="3" t="s">
        <v>1324</v>
      </c>
      <c r="Q104" s="3" t="s">
        <v>1324</v>
      </c>
      <c r="R104" s="3" t="s">
        <v>1324</v>
      </c>
      <c r="S104" s="3" t="s">
        <v>1324</v>
      </c>
      <c r="T104" s="3" t="s">
        <v>4149</v>
      </c>
      <c r="U104" s="3" t="s">
        <v>4150</v>
      </c>
      <c r="V104" s="3" t="s">
        <v>1983</v>
      </c>
      <c r="W104" s="3" t="s">
        <v>4151</v>
      </c>
      <c r="X104" s="3" t="s">
        <v>4152</v>
      </c>
      <c r="Y104" s="3" t="s">
        <v>4153</v>
      </c>
      <c r="Z104" s="3" t="s">
        <v>4154</v>
      </c>
      <c r="AA104" s="3" t="s">
        <v>1324</v>
      </c>
      <c r="AB104" s="3" t="s">
        <v>1324</v>
      </c>
      <c r="AC104" s="3" t="s">
        <v>4155</v>
      </c>
      <c r="AD104" s="3" t="s">
        <v>4156</v>
      </c>
      <c r="AE104" s="3" t="s">
        <v>4157</v>
      </c>
      <c r="AF104" s="3" t="s">
        <v>1324</v>
      </c>
      <c r="AG104" s="3">
        <v>44.0</v>
      </c>
      <c r="AH104" s="3">
        <v>10.0</v>
      </c>
      <c r="AI104" s="3">
        <v>10.0</v>
      </c>
      <c r="AJ104" s="3">
        <v>1.0</v>
      </c>
      <c r="AK104" s="3">
        <v>22.0</v>
      </c>
      <c r="AL104" s="3" t="s">
        <v>2530</v>
      </c>
      <c r="AM104" s="3" t="s">
        <v>2509</v>
      </c>
      <c r="AN104" s="3" t="s">
        <v>2646</v>
      </c>
      <c r="AO104" s="3" t="s">
        <v>3402</v>
      </c>
      <c r="AP104" s="3" t="s">
        <v>1324</v>
      </c>
      <c r="AQ104" s="3" t="s">
        <v>1324</v>
      </c>
      <c r="AR104" s="3" t="s">
        <v>3403</v>
      </c>
      <c r="AS104" s="3" t="s">
        <v>3404</v>
      </c>
      <c r="AT104" s="3" t="s">
        <v>2908</v>
      </c>
      <c r="AU104" s="3">
        <v>2012.0</v>
      </c>
      <c r="AV104" s="3">
        <v>38.0</v>
      </c>
      <c r="AW104" s="3">
        <v>4.0</v>
      </c>
      <c r="AX104" s="3" t="s">
        <v>1324</v>
      </c>
      <c r="AY104" s="3" t="s">
        <v>1324</v>
      </c>
      <c r="AZ104" s="3" t="s">
        <v>1324</v>
      </c>
      <c r="BA104" s="3" t="s">
        <v>1324</v>
      </c>
      <c r="BB104" s="3">
        <v>720.0</v>
      </c>
      <c r="BC104" s="3">
        <v>729.0</v>
      </c>
      <c r="BD104" s="3" t="s">
        <v>1324</v>
      </c>
      <c r="BE104" s="3" t="s">
        <v>1984</v>
      </c>
      <c r="BF104" s="25" t="str">
        <f>HYPERLINK("http://dx.doi.org/10.1016/j.jglr.2012.09.022","http://dx.doi.org/10.1016/j.jglr.2012.09.022")</f>
        <v>http://dx.doi.org/10.1016/j.jglr.2012.09.022</v>
      </c>
      <c r="BG104" s="3" t="s">
        <v>1324</v>
      </c>
      <c r="BH104" s="3" t="s">
        <v>1324</v>
      </c>
      <c r="BI104" s="3">
        <v>10.0</v>
      </c>
      <c r="BJ104" s="3" t="s">
        <v>3405</v>
      </c>
      <c r="BK104" s="3" t="s">
        <v>2407</v>
      </c>
      <c r="BL104" s="3" t="s">
        <v>2516</v>
      </c>
      <c r="BM104" s="3" t="s">
        <v>4158</v>
      </c>
      <c r="BN104" s="3" t="s">
        <v>1324</v>
      </c>
      <c r="BO104" s="3" t="s">
        <v>2474</v>
      </c>
      <c r="BP104" s="3" t="s">
        <v>1324</v>
      </c>
      <c r="BQ104" s="3" t="s">
        <v>1324</v>
      </c>
      <c r="BR104" s="3" t="s">
        <v>2383</v>
      </c>
      <c r="BS104" s="3" t="s">
        <v>4159</v>
      </c>
      <c r="BT104" s="3" t="str">
        <f>HYPERLINK("https%3A%2F%2Fwww.webofscience.com%2Fwos%2Fwoscc%2Ffull-record%2FWOS:000312183100013","View Full Record in Web of Science")</f>
        <v>View Full Record in Web of Science</v>
      </c>
    </row>
    <row r="105" ht="12.75" customHeight="1">
      <c r="A105" s="3" t="s">
        <v>26</v>
      </c>
      <c r="B105" s="3" t="s">
        <v>4160</v>
      </c>
      <c r="C105" s="3" t="s">
        <v>1324</v>
      </c>
      <c r="D105" s="3" t="s">
        <v>1324</v>
      </c>
      <c r="E105" s="3" t="s">
        <v>1324</v>
      </c>
      <c r="F105" s="3" t="s">
        <v>1992</v>
      </c>
      <c r="G105" s="3" t="s">
        <v>1324</v>
      </c>
      <c r="H105" s="3" t="s">
        <v>1324</v>
      </c>
      <c r="I105" s="3" t="s">
        <v>1993</v>
      </c>
      <c r="J105" s="3" t="s">
        <v>193</v>
      </c>
      <c r="K105" s="3" t="s">
        <v>1324</v>
      </c>
      <c r="L105" s="3" t="s">
        <v>1324</v>
      </c>
      <c r="M105" s="3" t="s">
        <v>2364</v>
      </c>
      <c r="N105" s="3" t="s">
        <v>38</v>
      </c>
      <c r="O105" s="3" t="s">
        <v>1324</v>
      </c>
      <c r="P105" s="3" t="s">
        <v>1324</v>
      </c>
      <c r="Q105" s="3" t="s">
        <v>1324</v>
      </c>
      <c r="R105" s="3" t="s">
        <v>1324</v>
      </c>
      <c r="S105" s="3" t="s">
        <v>1324</v>
      </c>
      <c r="T105" s="3" t="s">
        <v>4161</v>
      </c>
      <c r="U105" s="3" t="s">
        <v>4162</v>
      </c>
      <c r="V105" s="3" t="s">
        <v>1994</v>
      </c>
      <c r="W105" s="3" t="s">
        <v>4163</v>
      </c>
      <c r="X105" s="3" t="s">
        <v>4164</v>
      </c>
      <c r="Y105" s="3" t="s">
        <v>4165</v>
      </c>
      <c r="Z105" s="3" t="s">
        <v>4166</v>
      </c>
      <c r="AA105" s="3" t="s">
        <v>4167</v>
      </c>
      <c r="AB105" s="3" t="s">
        <v>4168</v>
      </c>
      <c r="AC105" s="3" t="s">
        <v>4169</v>
      </c>
      <c r="AD105" s="3" t="s">
        <v>4170</v>
      </c>
      <c r="AE105" s="3" t="s">
        <v>4171</v>
      </c>
      <c r="AF105" s="3" t="s">
        <v>1324</v>
      </c>
      <c r="AG105" s="3">
        <v>43.0</v>
      </c>
      <c r="AH105" s="3">
        <v>33.0</v>
      </c>
      <c r="AI105" s="3">
        <v>35.0</v>
      </c>
      <c r="AJ105" s="3">
        <v>2.0</v>
      </c>
      <c r="AK105" s="3">
        <v>121.0</v>
      </c>
      <c r="AL105" s="3" t="s">
        <v>2530</v>
      </c>
      <c r="AM105" s="3" t="s">
        <v>2509</v>
      </c>
      <c r="AN105" s="3" t="s">
        <v>2646</v>
      </c>
      <c r="AO105" s="3" t="s">
        <v>4172</v>
      </c>
      <c r="AP105" s="3" t="s">
        <v>4173</v>
      </c>
      <c r="AQ105" s="3" t="s">
        <v>1324</v>
      </c>
      <c r="AR105" s="3" t="s">
        <v>4174</v>
      </c>
      <c r="AS105" s="3" t="s">
        <v>4175</v>
      </c>
      <c r="AT105" s="3" t="s">
        <v>2908</v>
      </c>
      <c r="AU105" s="3">
        <v>2012.0</v>
      </c>
      <c r="AV105" s="3">
        <v>37.0</v>
      </c>
      <c r="AW105" s="3" t="s">
        <v>1324</v>
      </c>
      <c r="AX105" s="3" t="s">
        <v>1324</v>
      </c>
      <c r="AY105" s="3" t="s">
        <v>1324</v>
      </c>
      <c r="AZ105" s="3" t="s">
        <v>1324</v>
      </c>
      <c r="BA105" s="3" t="s">
        <v>1324</v>
      </c>
      <c r="BB105" s="3">
        <v>107.0</v>
      </c>
      <c r="BC105" s="3">
        <v>114.0</v>
      </c>
      <c r="BD105" s="3" t="s">
        <v>1324</v>
      </c>
      <c r="BE105" s="3" t="s">
        <v>1995</v>
      </c>
      <c r="BF105" s="25" t="str">
        <f>HYPERLINK("http://dx.doi.org/10.1016/j.jclepro.2012.06.016","http://dx.doi.org/10.1016/j.jclepro.2012.06.016")</f>
        <v>http://dx.doi.org/10.1016/j.jclepro.2012.06.016</v>
      </c>
      <c r="BG105" s="3" t="s">
        <v>1324</v>
      </c>
      <c r="BH105" s="3" t="s">
        <v>1324</v>
      </c>
      <c r="BI105" s="3">
        <v>8.0</v>
      </c>
      <c r="BJ105" s="3" t="s">
        <v>197</v>
      </c>
      <c r="BK105" s="3" t="s">
        <v>2878</v>
      </c>
      <c r="BL105" s="3" t="s">
        <v>4176</v>
      </c>
      <c r="BM105" s="3" t="s">
        <v>4177</v>
      </c>
      <c r="BN105" s="3" t="s">
        <v>1324</v>
      </c>
      <c r="BO105" s="3" t="s">
        <v>2715</v>
      </c>
      <c r="BP105" s="3" t="s">
        <v>1324</v>
      </c>
      <c r="BQ105" s="3" t="s">
        <v>1324</v>
      </c>
      <c r="BR105" s="3" t="s">
        <v>2383</v>
      </c>
      <c r="BS105" s="3" t="s">
        <v>4178</v>
      </c>
      <c r="BT105" s="3" t="str">
        <f>HYPERLINK("https%3A%2F%2Fwww.webofscience.com%2Fwos%2Fwoscc%2Ffull-record%2FWOS:000309375200010","View Full Record in Web of Science")</f>
        <v>View Full Record in Web of Science</v>
      </c>
    </row>
    <row r="106" ht="12.75" customHeight="1">
      <c r="A106" s="3" t="s">
        <v>26</v>
      </c>
      <c r="B106" s="3" t="s">
        <v>4179</v>
      </c>
      <c r="C106" s="3" t="s">
        <v>1324</v>
      </c>
      <c r="D106" s="3" t="s">
        <v>1324</v>
      </c>
      <c r="E106" s="3" t="s">
        <v>1324</v>
      </c>
      <c r="F106" s="3" t="s">
        <v>1872</v>
      </c>
      <c r="G106" s="3" t="s">
        <v>1324</v>
      </c>
      <c r="H106" s="3" t="s">
        <v>1324</v>
      </c>
      <c r="I106" s="3" t="s">
        <v>1874</v>
      </c>
      <c r="J106" s="3" t="s">
        <v>1873</v>
      </c>
      <c r="K106" s="3" t="s">
        <v>1324</v>
      </c>
      <c r="L106" s="3" t="s">
        <v>1324</v>
      </c>
      <c r="M106" s="3" t="s">
        <v>2364</v>
      </c>
      <c r="N106" s="3" t="s">
        <v>38</v>
      </c>
      <c r="O106" s="3" t="s">
        <v>1324</v>
      </c>
      <c r="P106" s="3" t="s">
        <v>1324</v>
      </c>
      <c r="Q106" s="3" t="s">
        <v>1324</v>
      </c>
      <c r="R106" s="3" t="s">
        <v>1324</v>
      </c>
      <c r="S106" s="3" t="s">
        <v>1324</v>
      </c>
      <c r="T106" s="3" t="s">
        <v>4180</v>
      </c>
      <c r="U106" s="3" t="s">
        <v>4181</v>
      </c>
      <c r="V106" s="3" t="s">
        <v>1875</v>
      </c>
      <c r="W106" s="3" t="s">
        <v>4182</v>
      </c>
      <c r="X106" s="3" t="s">
        <v>4183</v>
      </c>
      <c r="Y106" s="3" t="s">
        <v>4184</v>
      </c>
      <c r="Z106" s="3" t="s">
        <v>4185</v>
      </c>
      <c r="AA106" s="3" t="s">
        <v>1324</v>
      </c>
      <c r="AB106" s="3" t="s">
        <v>1324</v>
      </c>
      <c r="AC106" s="3" t="s">
        <v>4186</v>
      </c>
      <c r="AD106" s="3" t="s">
        <v>4186</v>
      </c>
      <c r="AE106" s="3" t="s">
        <v>4187</v>
      </c>
      <c r="AF106" s="3" t="s">
        <v>1324</v>
      </c>
      <c r="AG106" s="3">
        <v>68.0</v>
      </c>
      <c r="AH106" s="3">
        <v>30.0</v>
      </c>
      <c r="AI106" s="3">
        <v>38.0</v>
      </c>
      <c r="AJ106" s="3">
        <v>0.0</v>
      </c>
      <c r="AK106" s="3">
        <v>53.0</v>
      </c>
      <c r="AL106" s="3" t="s">
        <v>4188</v>
      </c>
      <c r="AM106" s="3" t="s">
        <v>4189</v>
      </c>
      <c r="AN106" s="3" t="s">
        <v>4190</v>
      </c>
      <c r="AO106" s="3" t="s">
        <v>4191</v>
      </c>
      <c r="AP106" s="3" t="s">
        <v>4192</v>
      </c>
      <c r="AQ106" s="3" t="s">
        <v>1324</v>
      </c>
      <c r="AR106" s="3" t="s">
        <v>1873</v>
      </c>
      <c r="AS106" s="3" t="s">
        <v>4193</v>
      </c>
      <c r="AT106" s="3" t="s">
        <v>3518</v>
      </c>
      <c r="AU106" s="3">
        <v>2012.0</v>
      </c>
      <c r="AV106" s="3">
        <v>46.0</v>
      </c>
      <c r="AW106" s="3">
        <v>4.0</v>
      </c>
      <c r="AX106" s="3" t="s">
        <v>1324</v>
      </c>
      <c r="AY106" s="3" t="s">
        <v>1324</v>
      </c>
      <c r="AZ106" s="3" t="s">
        <v>1324</v>
      </c>
      <c r="BA106" s="3" t="s">
        <v>1324</v>
      </c>
      <c r="BB106" s="3">
        <v>544.0</v>
      </c>
      <c r="BC106" s="3">
        <v>553.0</v>
      </c>
      <c r="BD106" s="3" t="s">
        <v>1324</v>
      </c>
      <c r="BE106" s="3" t="s">
        <v>1876</v>
      </c>
      <c r="BF106" s="25" t="str">
        <f>HYPERLINK("http://dx.doi.org/10.1017/S0030605311000937","http://dx.doi.org/10.1017/S0030605311000937")</f>
        <v>http://dx.doi.org/10.1017/S0030605311000937</v>
      </c>
      <c r="BG106" s="3" t="s">
        <v>1324</v>
      </c>
      <c r="BH106" s="3" t="s">
        <v>1324</v>
      </c>
      <c r="BI106" s="3">
        <v>10.0</v>
      </c>
      <c r="BJ106" s="3" t="s">
        <v>1124</v>
      </c>
      <c r="BK106" s="3" t="s">
        <v>2407</v>
      </c>
      <c r="BL106" s="3" t="s">
        <v>2577</v>
      </c>
      <c r="BM106" s="3" t="s">
        <v>4194</v>
      </c>
      <c r="BN106" s="3" t="s">
        <v>1324</v>
      </c>
      <c r="BO106" s="3" t="s">
        <v>2715</v>
      </c>
      <c r="BP106" s="3" t="s">
        <v>1324</v>
      </c>
      <c r="BQ106" s="3" t="s">
        <v>1324</v>
      </c>
      <c r="BR106" s="3" t="s">
        <v>2383</v>
      </c>
      <c r="BS106" s="3" t="s">
        <v>4195</v>
      </c>
      <c r="BT106" s="3" t="str">
        <f>HYPERLINK("https%3A%2F%2Fwww.webofscience.com%2Fwos%2Fwoscc%2Ffull-record%2FWOS:000309472600015","View Full Record in Web of Science")</f>
        <v>View Full Record in Web of Science</v>
      </c>
    </row>
    <row r="107" ht="12.75" customHeight="1">
      <c r="A107" s="3" t="s">
        <v>26</v>
      </c>
      <c r="B107" s="3" t="s">
        <v>4196</v>
      </c>
      <c r="C107" s="3" t="s">
        <v>1324</v>
      </c>
      <c r="D107" s="3" t="s">
        <v>1324</v>
      </c>
      <c r="E107" s="3" t="s">
        <v>1324</v>
      </c>
      <c r="F107" s="3" t="s">
        <v>1471</v>
      </c>
      <c r="G107" s="3" t="s">
        <v>1324</v>
      </c>
      <c r="H107" s="3" t="s">
        <v>1324</v>
      </c>
      <c r="I107" s="3" t="s">
        <v>1472</v>
      </c>
      <c r="J107" s="3" t="s">
        <v>365</v>
      </c>
      <c r="K107" s="3" t="s">
        <v>1324</v>
      </c>
      <c r="L107" s="3" t="s">
        <v>1324</v>
      </c>
      <c r="M107" s="3" t="s">
        <v>2364</v>
      </c>
      <c r="N107" s="3" t="s">
        <v>38</v>
      </c>
      <c r="O107" s="3" t="s">
        <v>1324</v>
      </c>
      <c r="P107" s="3" t="s">
        <v>1324</v>
      </c>
      <c r="Q107" s="3" t="s">
        <v>1324</v>
      </c>
      <c r="R107" s="3" t="s">
        <v>1324</v>
      </c>
      <c r="S107" s="3" t="s">
        <v>1324</v>
      </c>
      <c r="T107" s="3" t="s">
        <v>1324</v>
      </c>
      <c r="U107" s="3" t="s">
        <v>4197</v>
      </c>
      <c r="V107" s="3" t="s">
        <v>1473</v>
      </c>
      <c r="W107" s="3" t="s">
        <v>4198</v>
      </c>
      <c r="X107" s="3" t="s">
        <v>4199</v>
      </c>
      <c r="Y107" s="3" t="s">
        <v>4200</v>
      </c>
      <c r="Z107" s="3" t="s">
        <v>4201</v>
      </c>
      <c r="AA107" s="3" t="s">
        <v>4202</v>
      </c>
      <c r="AB107" s="3" t="s">
        <v>4203</v>
      </c>
      <c r="AC107" s="3" t="s">
        <v>4204</v>
      </c>
      <c r="AD107" s="3" t="s">
        <v>4204</v>
      </c>
      <c r="AE107" s="3" t="s">
        <v>4205</v>
      </c>
      <c r="AF107" s="3" t="s">
        <v>1324</v>
      </c>
      <c r="AG107" s="3">
        <v>159.0</v>
      </c>
      <c r="AH107" s="3">
        <v>54.0</v>
      </c>
      <c r="AI107" s="3">
        <v>68.0</v>
      </c>
      <c r="AJ107" s="3">
        <v>0.0</v>
      </c>
      <c r="AK107" s="3">
        <v>99.0</v>
      </c>
      <c r="AL107" s="3" t="s">
        <v>2423</v>
      </c>
      <c r="AM107" s="3" t="s">
        <v>2424</v>
      </c>
      <c r="AN107" s="3" t="s">
        <v>2425</v>
      </c>
      <c r="AO107" s="3" t="s">
        <v>2426</v>
      </c>
      <c r="AP107" s="3" t="s">
        <v>1324</v>
      </c>
      <c r="AQ107" s="3" t="s">
        <v>1324</v>
      </c>
      <c r="AR107" s="3" t="s">
        <v>365</v>
      </c>
      <c r="AS107" s="3" t="s">
        <v>2427</v>
      </c>
      <c r="AT107" s="3" t="s">
        <v>4206</v>
      </c>
      <c r="AU107" s="3">
        <v>2012.0</v>
      </c>
      <c r="AV107" s="3">
        <v>7.0</v>
      </c>
      <c r="AW107" s="3">
        <v>7.0</v>
      </c>
      <c r="AX107" s="3" t="s">
        <v>1324</v>
      </c>
      <c r="AY107" s="3" t="s">
        <v>1324</v>
      </c>
      <c r="AZ107" s="3" t="s">
        <v>1324</v>
      </c>
      <c r="BA107" s="3" t="s">
        <v>1324</v>
      </c>
      <c r="BB107" s="3" t="s">
        <v>1324</v>
      </c>
      <c r="BC107" s="3" t="s">
        <v>1324</v>
      </c>
      <c r="BD107" s="3" t="s">
        <v>4207</v>
      </c>
      <c r="BE107" s="3" t="s">
        <v>1474</v>
      </c>
      <c r="BF107" s="25" t="str">
        <f>HYPERLINK("http://dx.doi.org/10.1371/journal.pone.0039825","http://dx.doi.org/10.1371/journal.pone.0039825")</f>
        <v>http://dx.doi.org/10.1371/journal.pone.0039825</v>
      </c>
      <c r="BG107" s="3" t="s">
        <v>1324</v>
      </c>
      <c r="BH107" s="3" t="s">
        <v>1324</v>
      </c>
      <c r="BI107" s="3">
        <v>13.0</v>
      </c>
      <c r="BJ107" s="3" t="s">
        <v>42</v>
      </c>
      <c r="BK107" s="3" t="s">
        <v>2407</v>
      </c>
      <c r="BL107" s="3" t="s">
        <v>2430</v>
      </c>
      <c r="BM107" s="3" t="s">
        <v>4208</v>
      </c>
      <c r="BN107" s="3">
        <v>2.2808066E7</v>
      </c>
      <c r="BO107" s="3" t="s">
        <v>2410</v>
      </c>
      <c r="BP107" s="3" t="s">
        <v>1324</v>
      </c>
      <c r="BQ107" s="3" t="s">
        <v>1324</v>
      </c>
      <c r="BR107" s="3" t="s">
        <v>2383</v>
      </c>
      <c r="BS107" s="3" t="s">
        <v>4209</v>
      </c>
      <c r="BT107" s="3" t="str">
        <f>HYPERLINK("https%3A%2F%2Fwww.webofscience.com%2Fwos%2Fwoscc%2Ffull-record%2FWOS:000306362400022","View Full Record in Web of Science")</f>
        <v>View Full Record in Web of Science</v>
      </c>
    </row>
    <row r="108" ht="12.75" customHeight="1">
      <c r="A108" s="3" t="s">
        <v>26</v>
      </c>
      <c r="B108" s="3" t="s">
        <v>4210</v>
      </c>
      <c r="C108" s="3" t="s">
        <v>1324</v>
      </c>
      <c r="D108" s="3" t="s">
        <v>1324</v>
      </c>
      <c r="E108" s="3" t="s">
        <v>1324</v>
      </c>
      <c r="F108" s="3" t="s">
        <v>2182</v>
      </c>
      <c r="G108" s="3" t="s">
        <v>1324</v>
      </c>
      <c r="H108" s="3" t="s">
        <v>1324</v>
      </c>
      <c r="I108" s="3" t="s">
        <v>2184</v>
      </c>
      <c r="J108" s="3" t="s">
        <v>2183</v>
      </c>
      <c r="K108" s="3" t="s">
        <v>1324</v>
      </c>
      <c r="L108" s="3" t="s">
        <v>1324</v>
      </c>
      <c r="M108" s="3" t="s">
        <v>2364</v>
      </c>
      <c r="N108" s="3" t="s">
        <v>38</v>
      </c>
      <c r="O108" s="3" t="s">
        <v>1324</v>
      </c>
      <c r="P108" s="3" t="s">
        <v>1324</v>
      </c>
      <c r="Q108" s="3" t="s">
        <v>1324</v>
      </c>
      <c r="R108" s="3" t="s">
        <v>1324</v>
      </c>
      <c r="S108" s="3" t="s">
        <v>1324</v>
      </c>
      <c r="T108" s="3" t="s">
        <v>4211</v>
      </c>
      <c r="U108" s="3" t="s">
        <v>4212</v>
      </c>
      <c r="V108" s="3" t="s">
        <v>2185</v>
      </c>
      <c r="W108" s="3" t="s">
        <v>4213</v>
      </c>
      <c r="X108" s="3" t="s">
        <v>4214</v>
      </c>
      <c r="Y108" s="3" t="s">
        <v>4215</v>
      </c>
      <c r="Z108" s="3" t="s">
        <v>4216</v>
      </c>
      <c r="AA108" s="3" t="s">
        <v>4217</v>
      </c>
      <c r="AB108" s="3" t="s">
        <v>4218</v>
      </c>
      <c r="AC108" s="3" t="s">
        <v>4219</v>
      </c>
      <c r="AD108" s="3" t="s">
        <v>4220</v>
      </c>
      <c r="AE108" s="3" t="s">
        <v>4221</v>
      </c>
      <c r="AF108" s="3" t="s">
        <v>1324</v>
      </c>
      <c r="AG108" s="3">
        <v>97.0</v>
      </c>
      <c r="AH108" s="3">
        <v>11.0</v>
      </c>
      <c r="AI108" s="3">
        <v>12.0</v>
      </c>
      <c r="AJ108" s="3">
        <v>1.0</v>
      </c>
      <c r="AK108" s="3">
        <v>21.0</v>
      </c>
      <c r="AL108" s="3" t="s">
        <v>3250</v>
      </c>
      <c r="AM108" s="3" t="s">
        <v>3872</v>
      </c>
      <c r="AN108" s="3" t="s">
        <v>3873</v>
      </c>
      <c r="AO108" s="3" t="s">
        <v>4222</v>
      </c>
      <c r="AP108" s="3" t="s">
        <v>4223</v>
      </c>
      <c r="AQ108" s="3" t="s">
        <v>1324</v>
      </c>
      <c r="AR108" s="3" t="s">
        <v>4224</v>
      </c>
      <c r="AS108" s="3" t="s">
        <v>4225</v>
      </c>
      <c r="AT108" s="3" t="s">
        <v>2557</v>
      </c>
      <c r="AU108" s="3">
        <v>2012.0</v>
      </c>
      <c r="AV108" s="3">
        <v>35.0</v>
      </c>
      <c r="AW108" s="3">
        <v>4.0</v>
      </c>
      <c r="AX108" s="3" t="s">
        <v>1324</v>
      </c>
      <c r="AY108" s="3" t="s">
        <v>1324</v>
      </c>
      <c r="AZ108" s="3" t="s">
        <v>1324</v>
      </c>
      <c r="BA108" s="3" t="s">
        <v>1324</v>
      </c>
      <c r="BB108" s="3">
        <v>1082.0</v>
      </c>
      <c r="BC108" s="3">
        <v>1099.0</v>
      </c>
      <c r="BD108" s="3" t="s">
        <v>1324</v>
      </c>
      <c r="BE108" s="3" t="s">
        <v>2186</v>
      </c>
      <c r="BF108" s="25" t="str">
        <f>HYPERLINK("http://dx.doi.org/10.1007/s12237-012-9506-y","http://dx.doi.org/10.1007/s12237-012-9506-y")</f>
        <v>http://dx.doi.org/10.1007/s12237-012-9506-y</v>
      </c>
      <c r="BG108" s="3" t="s">
        <v>1324</v>
      </c>
      <c r="BH108" s="3" t="s">
        <v>1324</v>
      </c>
      <c r="BI108" s="3">
        <v>18.0</v>
      </c>
      <c r="BJ108" s="3" t="s">
        <v>148</v>
      </c>
      <c r="BK108" s="3" t="s">
        <v>2407</v>
      </c>
      <c r="BL108" s="3" t="s">
        <v>2516</v>
      </c>
      <c r="BM108" s="3" t="s">
        <v>4226</v>
      </c>
      <c r="BN108" s="3" t="s">
        <v>1324</v>
      </c>
      <c r="BO108" s="3" t="s">
        <v>1324</v>
      </c>
      <c r="BP108" s="3" t="s">
        <v>1324</v>
      </c>
      <c r="BQ108" s="3" t="s">
        <v>1324</v>
      </c>
      <c r="BR108" s="3" t="s">
        <v>2383</v>
      </c>
      <c r="BS108" s="3" t="s">
        <v>4227</v>
      </c>
      <c r="BT108" s="3" t="str">
        <f>HYPERLINK("https%3A%2F%2Fwww.webofscience.com%2Fwos%2Fwoscc%2Ffull-record%2FWOS:000304697600014","View Full Record in Web of Science")</f>
        <v>View Full Record in Web of Science</v>
      </c>
    </row>
    <row r="109" ht="12.75" customHeight="1">
      <c r="A109" s="3" t="s">
        <v>26</v>
      </c>
      <c r="B109" s="3" t="s">
        <v>4228</v>
      </c>
      <c r="C109" s="3" t="s">
        <v>1324</v>
      </c>
      <c r="D109" s="3" t="s">
        <v>1324</v>
      </c>
      <c r="E109" s="3" t="s">
        <v>1324</v>
      </c>
      <c r="F109" s="3" t="s">
        <v>1736</v>
      </c>
      <c r="G109" s="3" t="s">
        <v>1324</v>
      </c>
      <c r="H109" s="3" t="s">
        <v>1324</v>
      </c>
      <c r="I109" s="3" t="s">
        <v>1737</v>
      </c>
      <c r="J109" s="3" t="s">
        <v>1731</v>
      </c>
      <c r="K109" s="3" t="s">
        <v>1324</v>
      </c>
      <c r="L109" s="3" t="s">
        <v>1324</v>
      </c>
      <c r="M109" s="3" t="s">
        <v>2364</v>
      </c>
      <c r="N109" s="3" t="s">
        <v>38</v>
      </c>
      <c r="O109" s="3" t="s">
        <v>1324</v>
      </c>
      <c r="P109" s="3" t="s">
        <v>1324</v>
      </c>
      <c r="Q109" s="3" t="s">
        <v>1324</v>
      </c>
      <c r="R109" s="3" t="s">
        <v>1324</v>
      </c>
      <c r="S109" s="3" t="s">
        <v>1324</v>
      </c>
      <c r="T109" s="3" t="s">
        <v>4229</v>
      </c>
      <c r="U109" s="3" t="s">
        <v>4230</v>
      </c>
      <c r="V109" s="3" t="s">
        <v>1738</v>
      </c>
      <c r="W109" s="3" t="s">
        <v>4231</v>
      </c>
      <c r="X109" s="3" t="s">
        <v>4232</v>
      </c>
      <c r="Y109" s="3" t="s">
        <v>4233</v>
      </c>
      <c r="Z109" s="3" t="s">
        <v>4234</v>
      </c>
      <c r="AA109" s="3" t="s">
        <v>4235</v>
      </c>
      <c r="AB109" s="3" t="s">
        <v>4236</v>
      </c>
      <c r="AC109" s="3" t="s">
        <v>4237</v>
      </c>
      <c r="AD109" s="3" t="s">
        <v>4237</v>
      </c>
      <c r="AE109" s="3" t="s">
        <v>4238</v>
      </c>
      <c r="AF109" s="3" t="s">
        <v>1324</v>
      </c>
      <c r="AG109" s="3">
        <v>59.0</v>
      </c>
      <c r="AH109" s="3">
        <v>65.0</v>
      </c>
      <c r="AI109" s="3">
        <v>66.0</v>
      </c>
      <c r="AJ109" s="3">
        <v>1.0</v>
      </c>
      <c r="AK109" s="3">
        <v>72.0</v>
      </c>
      <c r="AL109" s="3" t="s">
        <v>3737</v>
      </c>
      <c r="AM109" s="3" t="s">
        <v>2509</v>
      </c>
      <c r="AN109" s="3" t="s">
        <v>3738</v>
      </c>
      <c r="AO109" s="3" t="s">
        <v>3739</v>
      </c>
      <c r="AP109" s="3" t="s">
        <v>3740</v>
      </c>
      <c r="AQ109" s="3" t="s">
        <v>1324</v>
      </c>
      <c r="AR109" s="3" t="s">
        <v>3741</v>
      </c>
      <c r="AS109" s="3" t="s">
        <v>3742</v>
      </c>
      <c r="AT109" s="3" t="s">
        <v>2557</v>
      </c>
      <c r="AU109" s="3">
        <v>2012.0</v>
      </c>
      <c r="AV109" s="3">
        <v>69.0</v>
      </c>
      <c r="AW109" s="3">
        <v>6.0</v>
      </c>
      <c r="AX109" s="3" t="s">
        <v>1324</v>
      </c>
      <c r="AY109" s="3" t="s">
        <v>1324</v>
      </c>
      <c r="AZ109" s="3" t="s">
        <v>1324</v>
      </c>
      <c r="BA109" s="3" t="s">
        <v>1324</v>
      </c>
      <c r="BB109" s="3">
        <v>961.0</v>
      </c>
      <c r="BC109" s="3">
        <v>970.0</v>
      </c>
      <c r="BD109" s="3" t="s">
        <v>1324</v>
      </c>
      <c r="BE109" s="3" t="s">
        <v>1739</v>
      </c>
      <c r="BF109" s="25" t="str">
        <f>HYPERLINK("http://dx.doi.org/10.1093/icesjms/fss072","http://dx.doi.org/10.1093/icesjms/fss072")</f>
        <v>http://dx.doi.org/10.1093/icesjms/fss072</v>
      </c>
      <c r="BG109" s="3" t="s">
        <v>1324</v>
      </c>
      <c r="BH109" s="3" t="s">
        <v>1324</v>
      </c>
      <c r="BI109" s="3">
        <v>10.0</v>
      </c>
      <c r="BJ109" s="3" t="s">
        <v>3744</v>
      </c>
      <c r="BK109" s="3" t="s">
        <v>2407</v>
      </c>
      <c r="BL109" s="3" t="s">
        <v>3744</v>
      </c>
      <c r="BM109" s="3" t="s">
        <v>4239</v>
      </c>
      <c r="BN109" s="3" t="s">
        <v>1324</v>
      </c>
      <c r="BO109" s="3" t="s">
        <v>2715</v>
      </c>
      <c r="BP109" s="3" t="s">
        <v>1324</v>
      </c>
      <c r="BQ109" s="3" t="s">
        <v>1324</v>
      </c>
      <c r="BR109" s="3" t="s">
        <v>2383</v>
      </c>
      <c r="BS109" s="3" t="s">
        <v>4240</v>
      </c>
      <c r="BT109" s="3" t="str">
        <f>HYPERLINK("https%3A%2F%2Fwww.webofscience.com%2Fwos%2Fwoscc%2Ffull-record%2FWOS:000305461200004","View Full Record in Web of Science")</f>
        <v>View Full Record in Web of Science</v>
      </c>
    </row>
    <row r="110" ht="12.75" customHeight="1">
      <c r="A110" s="3" t="s">
        <v>26</v>
      </c>
      <c r="B110" s="3" t="s">
        <v>4241</v>
      </c>
      <c r="C110" s="3" t="s">
        <v>1324</v>
      </c>
      <c r="D110" s="3" t="s">
        <v>1324</v>
      </c>
      <c r="E110" s="3" t="s">
        <v>1324</v>
      </c>
      <c r="F110" s="3" t="s">
        <v>1621</v>
      </c>
      <c r="G110" s="3" t="s">
        <v>1324</v>
      </c>
      <c r="H110" s="3" t="s">
        <v>1324</v>
      </c>
      <c r="I110" s="3" t="s">
        <v>1622</v>
      </c>
      <c r="J110" s="3" t="s">
        <v>774</v>
      </c>
      <c r="K110" s="3" t="s">
        <v>1324</v>
      </c>
      <c r="L110" s="3" t="s">
        <v>1324</v>
      </c>
      <c r="M110" s="3" t="s">
        <v>2364</v>
      </c>
      <c r="N110" s="3" t="s">
        <v>38</v>
      </c>
      <c r="O110" s="3" t="s">
        <v>1324</v>
      </c>
      <c r="P110" s="3" t="s">
        <v>1324</v>
      </c>
      <c r="Q110" s="3" t="s">
        <v>1324</v>
      </c>
      <c r="R110" s="3" t="s">
        <v>1324</v>
      </c>
      <c r="S110" s="3" t="s">
        <v>1324</v>
      </c>
      <c r="T110" s="3" t="s">
        <v>4242</v>
      </c>
      <c r="U110" s="3" t="s">
        <v>4243</v>
      </c>
      <c r="V110" s="3" t="s">
        <v>1623</v>
      </c>
      <c r="W110" s="3" t="s">
        <v>4244</v>
      </c>
      <c r="X110" s="3" t="s">
        <v>4245</v>
      </c>
      <c r="Y110" s="3" t="s">
        <v>4246</v>
      </c>
      <c r="Z110" s="3" t="s">
        <v>4247</v>
      </c>
      <c r="AA110" s="3" t="s">
        <v>4248</v>
      </c>
      <c r="AB110" s="3" t="s">
        <v>4249</v>
      </c>
      <c r="AC110" s="3" t="s">
        <v>4250</v>
      </c>
      <c r="AD110" s="3" t="s">
        <v>4251</v>
      </c>
      <c r="AE110" s="3" t="s">
        <v>4252</v>
      </c>
      <c r="AF110" s="3" t="s">
        <v>1324</v>
      </c>
      <c r="AG110" s="3">
        <v>64.0</v>
      </c>
      <c r="AH110" s="3">
        <v>99.0</v>
      </c>
      <c r="AI110" s="3">
        <v>107.0</v>
      </c>
      <c r="AJ110" s="3">
        <v>0.0</v>
      </c>
      <c r="AK110" s="3">
        <v>176.0</v>
      </c>
      <c r="AL110" s="3" t="s">
        <v>2464</v>
      </c>
      <c r="AM110" s="3" t="s">
        <v>2465</v>
      </c>
      <c r="AN110" s="3" t="s">
        <v>2466</v>
      </c>
      <c r="AO110" s="3" t="s">
        <v>2923</v>
      </c>
      <c r="AP110" s="3" t="s">
        <v>2924</v>
      </c>
      <c r="AQ110" s="3" t="s">
        <v>1324</v>
      </c>
      <c r="AR110" s="3" t="s">
        <v>2925</v>
      </c>
      <c r="AS110" s="3" t="s">
        <v>2926</v>
      </c>
      <c r="AT110" s="3" t="s">
        <v>2557</v>
      </c>
      <c r="AU110" s="3">
        <v>2012.0</v>
      </c>
      <c r="AV110" s="3">
        <v>18.0</v>
      </c>
      <c r="AW110" s="3">
        <v>7.0</v>
      </c>
      <c r="AX110" s="3" t="s">
        <v>1324</v>
      </c>
      <c r="AY110" s="3" t="s">
        <v>1324</v>
      </c>
      <c r="AZ110" s="3" t="s">
        <v>1324</v>
      </c>
      <c r="BA110" s="3" t="s">
        <v>1324</v>
      </c>
      <c r="BB110" s="3">
        <v>2184.0</v>
      </c>
      <c r="BC110" s="3">
        <v>2194.0</v>
      </c>
      <c r="BD110" s="3" t="s">
        <v>1324</v>
      </c>
      <c r="BE110" s="3" t="s">
        <v>1624</v>
      </c>
      <c r="BF110" s="25" t="str">
        <f>HYPERLINK("http://dx.doi.org/10.1111/j.1365-2486.2012.02662.x","http://dx.doi.org/10.1111/j.1365-2486.2012.02662.x")</f>
        <v>http://dx.doi.org/10.1111/j.1365-2486.2012.02662.x</v>
      </c>
      <c r="BG110" s="3" t="s">
        <v>1324</v>
      </c>
      <c r="BH110" s="3" t="s">
        <v>1324</v>
      </c>
      <c r="BI110" s="3">
        <v>11.0</v>
      </c>
      <c r="BJ110" s="3" t="s">
        <v>255</v>
      </c>
      <c r="BK110" s="3" t="s">
        <v>2407</v>
      </c>
      <c r="BL110" s="3" t="s">
        <v>2577</v>
      </c>
      <c r="BM110" s="3" t="s">
        <v>4253</v>
      </c>
      <c r="BN110" s="3" t="s">
        <v>1324</v>
      </c>
      <c r="BO110" s="3" t="s">
        <v>1324</v>
      </c>
      <c r="BP110" s="3" t="s">
        <v>1324</v>
      </c>
      <c r="BQ110" s="3" t="s">
        <v>1324</v>
      </c>
      <c r="BR110" s="3" t="s">
        <v>2383</v>
      </c>
      <c r="BS110" s="3" t="s">
        <v>4254</v>
      </c>
      <c r="BT110" s="3" t="str">
        <f>HYPERLINK("https%3A%2F%2Fwww.webofscience.com%2Fwos%2Fwoscc%2Ffull-record%2FWOS:000304820300009","View Full Record in Web of Science")</f>
        <v>View Full Record in Web of Science</v>
      </c>
    </row>
    <row r="111" ht="12.75" customHeight="1">
      <c r="A111" s="3" t="s">
        <v>26</v>
      </c>
      <c r="B111" s="3" t="s">
        <v>4255</v>
      </c>
      <c r="C111" s="3" t="s">
        <v>1324</v>
      </c>
      <c r="D111" s="3" t="s">
        <v>1324</v>
      </c>
      <c r="E111" s="3" t="s">
        <v>1324</v>
      </c>
      <c r="F111" s="3" t="s">
        <v>1806</v>
      </c>
      <c r="G111" s="3" t="s">
        <v>1324</v>
      </c>
      <c r="H111" s="3" t="s">
        <v>1324</v>
      </c>
      <c r="I111" s="3" t="s">
        <v>1808</v>
      </c>
      <c r="J111" s="3" t="s">
        <v>1807</v>
      </c>
      <c r="K111" s="3" t="s">
        <v>1324</v>
      </c>
      <c r="L111" s="3" t="s">
        <v>1324</v>
      </c>
      <c r="M111" s="3" t="s">
        <v>2364</v>
      </c>
      <c r="N111" s="3" t="s">
        <v>38</v>
      </c>
      <c r="O111" s="3" t="s">
        <v>1324</v>
      </c>
      <c r="P111" s="3" t="s">
        <v>1324</v>
      </c>
      <c r="Q111" s="3" t="s">
        <v>1324</v>
      </c>
      <c r="R111" s="3" t="s">
        <v>1324</v>
      </c>
      <c r="S111" s="3" t="s">
        <v>1324</v>
      </c>
      <c r="T111" s="3" t="s">
        <v>1324</v>
      </c>
      <c r="U111" s="3" t="s">
        <v>4256</v>
      </c>
      <c r="V111" s="3" t="s">
        <v>1809</v>
      </c>
      <c r="W111" s="3" t="s">
        <v>4257</v>
      </c>
      <c r="X111" s="3" t="s">
        <v>4258</v>
      </c>
      <c r="Y111" s="3" t="s">
        <v>4259</v>
      </c>
      <c r="Z111" s="3" t="s">
        <v>4260</v>
      </c>
      <c r="AA111" s="3" t="s">
        <v>4261</v>
      </c>
      <c r="AB111" s="3" t="s">
        <v>4262</v>
      </c>
      <c r="AC111" s="3" t="s">
        <v>4263</v>
      </c>
      <c r="AD111" s="3" t="s">
        <v>4264</v>
      </c>
      <c r="AE111" s="3" t="s">
        <v>4265</v>
      </c>
      <c r="AF111" s="3" t="s">
        <v>1324</v>
      </c>
      <c r="AG111" s="3">
        <v>84.0</v>
      </c>
      <c r="AH111" s="3">
        <v>53.0</v>
      </c>
      <c r="AI111" s="3">
        <v>63.0</v>
      </c>
      <c r="AJ111" s="3">
        <v>0.0</v>
      </c>
      <c r="AK111" s="3">
        <v>7.0</v>
      </c>
      <c r="AL111" s="3" t="s">
        <v>4266</v>
      </c>
      <c r="AM111" s="3" t="s">
        <v>2792</v>
      </c>
      <c r="AN111" s="3" t="s">
        <v>4267</v>
      </c>
      <c r="AO111" s="3" t="s">
        <v>4268</v>
      </c>
      <c r="AP111" s="3" t="s">
        <v>4269</v>
      </c>
      <c r="AQ111" s="3" t="s">
        <v>1324</v>
      </c>
      <c r="AR111" s="3" t="s">
        <v>4270</v>
      </c>
      <c r="AS111" s="3" t="s">
        <v>4271</v>
      </c>
      <c r="AT111" s="3" t="s">
        <v>4272</v>
      </c>
      <c r="AU111" s="3">
        <v>2012.0</v>
      </c>
      <c r="AV111" s="3">
        <v>117.0</v>
      </c>
      <c r="AW111" s="3" t="s">
        <v>1324</v>
      </c>
      <c r="AX111" s="3" t="s">
        <v>1324</v>
      </c>
      <c r="AY111" s="3" t="s">
        <v>1324</v>
      </c>
      <c r="AZ111" s="3" t="s">
        <v>1324</v>
      </c>
      <c r="BA111" s="3" t="s">
        <v>1324</v>
      </c>
      <c r="BB111" s="3" t="s">
        <v>1324</v>
      </c>
      <c r="BC111" s="3" t="s">
        <v>1324</v>
      </c>
      <c r="BD111" s="3" t="s">
        <v>4273</v>
      </c>
      <c r="BE111" s="3" t="s">
        <v>1810</v>
      </c>
      <c r="BF111" s="25" t="str">
        <f>HYPERLINK("http://dx.doi.org/10.1029/2011JG001930","http://dx.doi.org/10.1029/2011JG001930")</f>
        <v>http://dx.doi.org/10.1029/2011JG001930</v>
      </c>
      <c r="BG111" s="3" t="s">
        <v>1324</v>
      </c>
      <c r="BH111" s="3" t="s">
        <v>1324</v>
      </c>
      <c r="BI111" s="3">
        <v>18.0</v>
      </c>
      <c r="BJ111" s="3" t="s">
        <v>1266</v>
      </c>
      <c r="BK111" s="3" t="s">
        <v>2407</v>
      </c>
      <c r="BL111" s="3" t="s">
        <v>3113</v>
      </c>
      <c r="BM111" s="3" t="s">
        <v>4274</v>
      </c>
      <c r="BN111" s="3" t="s">
        <v>1324</v>
      </c>
      <c r="BO111" s="3" t="s">
        <v>1324</v>
      </c>
      <c r="BP111" s="3" t="s">
        <v>1324</v>
      </c>
      <c r="BQ111" s="3" t="s">
        <v>1324</v>
      </c>
      <c r="BR111" s="3" t="s">
        <v>2383</v>
      </c>
      <c r="BS111" s="3" t="s">
        <v>4275</v>
      </c>
      <c r="BT111" s="3" t="str">
        <f>HYPERLINK("https%3A%2F%2Fwww.webofscience.com%2Fwos%2Fwoscc%2Ffull-record%2FWOS:000305154000001","View Full Record in Web of Science")</f>
        <v>View Full Record in Web of Science</v>
      </c>
    </row>
    <row r="112" ht="12.75" customHeight="1">
      <c r="A112" s="3" t="s">
        <v>26</v>
      </c>
      <c r="B112" s="3" t="s">
        <v>4276</v>
      </c>
      <c r="C112" s="3" t="s">
        <v>1324</v>
      </c>
      <c r="D112" s="3" t="s">
        <v>1324</v>
      </c>
      <c r="E112" s="3" t="s">
        <v>1324</v>
      </c>
      <c r="F112" s="3" t="s">
        <v>2114</v>
      </c>
      <c r="G112" s="3" t="s">
        <v>1324</v>
      </c>
      <c r="H112" s="3" t="s">
        <v>1324</v>
      </c>
      <c r="I112" s="3" t="s">
        <v>2115</v>
      </c>
      <c r="J112" s="3" t="s">
        <v>251</v>
      </c>
      <c r="K112" s="3" t="s">
        <v>1324</v>
      </c>
      <c r="L112" s="3" t="s">
        <v>1324</v>
      </c>
      <c r="M112" s="3" t="s">
        <v>2364</v>
      </c>
      <c r="N112" s="3" t="s">
        <v>38</v>
      </c>
      <c r="O112" s="3" t="s">
        <v>1324</v>
      </c>
      <c r="P112" s="3" t="s">
        <v>1324</v>
      </c>
      <c r="Q112" s="3" t="s">
        <v>1324</v>
      </c>
      <c r="R112" s="3" t="s">
        <v>1324</v>
      </c>
      <c r="S112" s="3" t="s">
        <v>1324</v>
      </c>
      <c r="T112" s="3" t="s">
        <v>4277</v>
      </c>
      <c r="U112" s="3" t="s">
        <v>4278</v>
      </c>
      <c r="V112" s="3" t="s">
        <v>2116</v>
      </c>
      <c r="W112" s="3" t="s">
        <v>4279</v>
      </c>
      <c r="X112" s="3" t="s">
        <v>4280</v>
      </c>
      <c r="Y112" s="3" t="s">
        <v>4281</v>
      </c>
      <c r="Z112" s="3" t="s">
        <v>4282</v>
      </c>
      <c r="AA112" s="3" t="s">
        <v>4283</v>
      </c>
      <c r="AB112" s="3" t="s">
        <v>4284</v>
      </c>
      <c r="AC112" s="3" t="s">
        <v>4285</v>
      </c>
      <c r="AD112" s="3" t="s">
        <v>4286</v>
      </c>
      <c r="AE112" s="3" t="s">
        <v>4287</v>
      </c>
      <c r="AF112" s="3" t="s">
        <v>1324</v>
      </c>
      <c r="AG112" s="3">
        <v>50.0</v>
      </c>
      <c r="AH112" s="3">
        <v>55.0</v>
      </c>
      <c r="AI112" s="3">
        <v>62.0</v>
      </c>
      <c r="AJ112" s="3">
        <v>0.0</v>
      </c>
      <c r="AK112" s="3">
        <v>121.0</v>
      </c>
      <c r="AL112" s="3" t="s">
        <v>2530</v>
      </c>
      <c r="AM112" s="3" t="s">
        <v>2509</v>
      </c>
      <c r="AN112" s="3" t="s">
        <v>2646</v>
      </c>
      <c r="AO112" s="3" t="s">
        <v>2939</v>
      </c>
      <c r="AP112" s="3" t="s">
        <v>2940</v>
      </c>
      <c r="AQ112" s="3" t="s">
        <v>1324</v>
      </c>
      <c r="AR112" s="3" t="s">
        <v>2941</v>
      </c>
      <c r="AS112" s="3" t="s">
        <v>2942</v>
      </c>
      <c r="AT112" s="3" t="s">
        <v>2734</v>
      </c>
      <c r="AU112" s="3">
        <v>2012.0</v>
      </c>
      <c r="AV112" s="3">
        <v>148.0</v>
      </c>
      <c r="AW112" s="3">
        <v>1.0</v>
      </c>
      <c r="AX112" s="3" t="s">
        <v>1324</v>
      </c>
      <c r="AY112" s="3" t="s">
        <v>1324</v>
      </c>
      <c r="AZ112" s="3" t="s">
        <v>1324</v>
      </c>
      <c r="BA112" s="3" t="s">
        <v>1324</v>
      </c>
      <c r="BB112" s="3">
        <v>61.0</v>
      </c>
      <c r="BC112" s="3">
        <v>68.0</v>
      </c>
      <c r="BD112" s="3" t="s">
        <v>1324</v>
      </c>
      <c r="BE112" s="3" t="s">
        <v>2117</v>
      </c>
      <c r="BF112" s="25" t="str">
        <f>HYPERLINK("http://dx.doi.org/10.1016/j.biocon.2012.01.062","http://dx.doi.org/10.1016/j.biocon.2012.01.062")</f>
        <v>http://dx.doi.org/10.1016/j.biocon.2012.01.062</v>
      </c>
      <c r="BG112" s="3" t="s">
        <v>1324</v>
      </c>
      <c r="BH112" s="3" t="s">
        <v>1324</v>
      </c>
      <c r="BI112" s="3">
        <v>8.0</v>
      </c>
      <c r="BJ112" s="3" t="s">
        <v>255</v>
      </c>
      <c r="BK112" s="3" t="s">
        <v>2407</v>
      </c>
      <c r="BL112" s="3" t="s">
        <v>2577</v>
      </c>
      <c r="BM112" s="3" t="s">
        <v>4288</v>
      </c>
      <c r="BN112" s="3" t="s">
        <v>1324</v>
      </c>
      <c r="BO112" s="3" t="s">
        <v>1324</v>
      </c>
      <c r="BP112" s="3" t="s">
        <v>1324</v>
      </c>
      <c r="BQ112" s="3" t="s">
        <v>1324</v>
      </c>
      <c r="BR112" s="3" t="s">
        <v>2383</v>
      </c>
      <c r="BS112" s="3" t="s">
        <v>4289</v>
      </c>
      <c r="BT112" s="3" t="str">
        <f>HYPERLINK("https%3A%2F%2Fwww.webofscience.com%2Fwos%2Fwoscc%2Ffull-record%2FWOS:000302840100007","View Full Record in Web of Science")</f>
        <v>View Full Record in Web of Science</v>
      </c>
    </row>
    <row r="113" ht="12.75" customHeight="1">
      <c r="A113" s="3" t="s">
        <v>26</v>
      </c>
      <c r="B113" s="3" t="s">
        <v>4290</v>
      </c>
      <c r="C113" s="3" t="s">
        <v>1324</v>
      </c>
      <c r="D113" s="3" t="s">
        <v>1324</v>
      </c>
      <c r="E113" s="3" t="s">
        <v>1324</v>
      </c>
      <c r="F113" s="3" t="s">
        <v>1847</v>
      </c>
      <c r="G113" s="3" t="s">
        <v>1324</v>
      </c>
      <c r="H113" s="3" t="s">
        <v>1324</v>
      </c>
      <c r="I113" s="3" t="s">
        <v>1849</v>
      </c>
      <c r="J113" s="3" t="s">
        <v>1848</v>
      </c>
      <c r="K113" s="3" t="s">
        <v>1324</v>
      </c>
      <c r="L113" s="3" t="s">
        <v>1324</v>
      </c>
      <c r="M113" s="3" t="s">
        <v>2364</v>
      </c>
      <c r="N113" s="3" t="s">
        <v>38</v>
      </c>
      <c r="O113" s="3" t="s">
        <v>1324</v>
      </c>
      <c r="P113" s="3" t="s">
        <v>1324</v>
      </c>
      <c r="Q113" s="3" t="s">
        <v>1324</v>
      </c>
      <c r="R113" s="3" t="s">
        <v>1324</v>
      </c>
      <c r="S113" s="3" t="s">
        <v>1324</v>
      </c>
      <c r="T113" s="3" t="s">
        <v>1324</v>
      </c>
      <c r="U113" s="3" t="s">
        <v>4291</v>
      </c>
      <c r="V113" s="3" t="s">
        <v>1850</v>
      </c>
      <c r="W113" s="3" t="s">
        <v>4292</v>
      </c>
      <c r="X113" s="3" t="s">
        <v>4293</v>
      </c>
      <c r="Y113" s="3" t="s">
        <v>4294</v>
      </c>
      <c r="Z113" s="3" t="s">
        <v>4295</v>
      </c>
      <c r="AA113" s="3" t="s">
        <v>4296</v>
      </c>
      <c r="AB113" s="3" t="s">
        <v>4297</v>
      </c>
      <c r="AC113" s="3" t="s">
        <v>1324</v>
      </c>
      <c r="AD113" s="3" t="s">
        <v>1324</v>
      </c>
      <c r="AE113" s="3" t="s">
        <v>1324</v>
      </c>
      <c r="AF113" s="3" t="s">
        <v>1324</v>
      </c>
      <c r="AG113" s="3">
        <v>77.0</v>
      </c>
      <c r="AH113" s="3">
        <v>920.0</v>
      </c>
      <c r="AI113" s="3">
        <v>1069.0</v>
      </c>
      <c r="AJ113" s="3">
        <v>7.0</v>
      </c>
      <c r="AK113" s="3">
        <v>426.0</v>
      </c>
      <c r="AL113" s="3" t="s">
        <v>4188</v>
      </c>
      <c r="AM113" s="3" t="s">
        <v>3872</v>
      </c>
      <c r="AN113" s="3" t="s">
        <v>4298</v>
      </c>
      <c r="AO113" s="3" t="s">
        <v>4299</v>
      </c>
      <c r="AP113" s="3" t="s">
        <v>4300</v>
      </c>
      <c r="AQ113" s="3" t="s">
        <v>1324</v>
      </c>
      <c r="AR113" s="3" t="s">
        <v>4301</v>
      </c>
      <c r="AS113" s="3" t="s">
        <v>4302</v>
      </c>
      <c r="AT113" s="3" t="s">
        <v>3168</v>
      </c>
      <c r="AU113" s="3">
        <v>2012.0</v>
      </c>
      <c r="AV113" s="3">
        <v>22.0</v>
      </c>
      <c r="AW113" s="3">
        <v>1.0</v>
      </c>
      <c r="AX113" s="3" t="s">
        <v>1324</v>
      </c>
      <c r="AY113" s="3" t="s">
        <v>1324</v>
      </c>
      <c r="AZ113" s="3" t="s">
        <v>1324</v>
      </c>
      <c r="BA113" s="3" t="s">
        <v>1324</v>
      </c>
      <c r="BB113" s="3">
        <v>1.0</v>
      </c>
      <c r="BC113" s="3">
        <v>34.0</v>
      </c>
      <c r="BD113" s="3" t="s">
        <v>1324</v>
      </c>
      <c r="BE113" s="3" t="s">
        <v>1851</v>
      </c>
      <c r="BF113" s="25" t="str">
        <f>HYPERLINK("http://dx.doi.org/10.1017/S0959270912000020","http://dx.doi.org/10.1017/S0959270912000020")</f>
        <v>http://dx.doi.org/10.1017/S0959270912000020</v>
      </c>
      <c r="BG113" s="3" t="s">
        <v>1324</v>
      </c>
      <c r="BH113" s="3" t="s">
        <v>1324</v>
      </c>
      <c r="BI113" s="3">
        <v>34.0</v>
      </c>
      <c r="BJ113" s="3" t="s">
        <v>4303</v>
      </c>
      <c r="BK113" s="3" t="s">
        <v>2407</v>
      </c>
      <c r="BL113" s="3" t="s">
        <v>4304</v>
      </c>
      <c r="BM113" s="3" t="s">
        <v>4305</v>
      </c>
      <c r="BN113" s="3" t="s">
        <v>1324</v>
      </c>
      <c r="BO113" s="3" t="s">
        <v>2715</v>
      </c>
      <c r="BP113" s="3" t="s">
        <v>1324</v>
      </c>
      <c r="BQ113" s="3" t="s">
        <v>1324</v>
      </c>
      <c r="BR113" s="3" t="s">
        <v>2383</v>
      </c>
      <c r="BS113" s="3" t="s">
        <v>4306</v>
      </c>
      <c r="BT113" s="3" t="str">
        <f>HYPERLINK("https%3A%2F%2Fwww.webofscience.com%2Fwos%2Fwoscc%2Ffull-record%2FWOS:000301298900001","View Full Record in Web of Science")</f>
        <v>View Full Record in Web of Science</v>
      </c>
    </row>
    <row r="114" ht="12.75" customHeight="1">
      <c r="A114" s="3" t="s">
        <v>26</v>
      </c>
      <c r="B114" s="3" t="s">
        <v>4307</v>
      </c>
      <c r="C114" s="3" t="s">
        <v>1324</v>
      </c>
      <c r="D114" s="3" t="s">
        <v>1324</v>
      </c>
      <c r="E114" s="3" t="s">
        <v>1324</v>
      </c>
      <c r="F114" s="3" t="s">
        <v>1626</v>
      </c>
      <c r="G114" s="3" t="s">
        <v>1324</v>
      </c>
      <c r="H114" s="3" t="s">
        <v>1324</v>
      </c>
      <c r="I114" s="3" t="s">
        <v>1627</v>
      </c>
      <c r="J114" s="3" t="s">
        <v>774</v>
      </c>
      <c r="K114" s="3" t="s">
        <v>1324</v>
      </c>
      <c r="L114" s="3" t="s">
        <v>1324</v>
      </c>
      <c r="M114" s="3" t="s">
        <v>2364</v>
      </c>
      <c r="N114" s="3" t="s">
        <v>38</v>
      </c>
      <c r="O114" s="3" t="s">
        <v>1324</v>
      </c>
      <c r="P114" s="3" t="s">
        <v>1324</v>
      </c>
      <c r="Q114" s="3" t="s">
        <v>1324</v>
      </c>
      <c r="R114" s="3" t="s">
        <v>1324</v>
      </c>
      <c r="S114" s="3" t="s">
        <v>1324</v>
      </c>
      <c r="T114" s="3" t="s">
        <v>4308</v>
      </c>
      <c r="U114" s="3" t="s">
        <v>4309</v>
      </c>
      <c r="V114" s="3" t="s">
        <v>1628</v>
      </c>
      <c r="W114" s="3" t="s">
        <v>4310</v>
      </c>
      <c r="X114" s="3" t="s">
        <v>4311</v>
      </c>
      <c r="Y114" s="3" t="s">
        <v>4312</v>
      </c>
      <c r="Z114" s="3" t="s">
        <v>4313</v>
      </c>
      <c r="AA114" s="3" t="s">
        <v>4314</v>
      </c>
      <c r="AB114" s="3" t="s">
        <v>4315</v>
      </c>
      <c r="AC114" s="3" t="s">
        <v>4316</v>
      </c>
      <c r="AD114" s="3" t="s">
        <v>4317</v>
      </c>
      <c r="AE114" s="3" t="s">
        <v>4318</v>
      </c>
      <c r="AF114" s="3" t="s">
        <v>1324</v>
      </c>
      <c r="AG114" s="3">
        <v>76.0</v>
      </c>
      <c r="AH114" s="3">
        <v>127.0</v>
      </c>
      <c r="AI114" s="3">
        <v>152.0</v>
      </c>
      <c r="AJ114" s="3">
        <v>12.0</v>
      </c>
      <c r="AK114" s="3">
        <v>376.0</v>
      </c>
      <c r="AL114" s="3" t="s">
        <v>2464</v>
      </c>
      <c r="AM114" s="3" t="s">
        <v>2465</v>
      </c>
      <c r="AN114" s="3" t="s">
        <v>2466</v>
      </c>
      <c r="AO114" s="3" t="s">
        <v>2923</v>
      </c>
      <c r="AP114" s="3" t="s">
        <v>2924</v>
      </c>
      <c r="AQ114" s="3" t="s">
        <v>1324</v>
      </c>
      <c r="AR114" s="3" t="s">
        <v>2925</v>
      </c>
      <c r="AS114" s="3" t="s">
        <v>2926</v>
      </c>
      <c r="AT114" s="3" t="s">
        <v>2818</v>
      </c>
      <c r="AU114" s="3">
        <v>2012.0</v>
      </c>
      <c r="AV114" s="3">
        <v>18.0</v>
      </c>
      <c r="AW114" s="3">
        <v>2.0</v>
      </c>
      <c r="AX114" s="3" t="s">
        <v>1324</v>
      </c>
      <c r="AY114" s="3" t="s">
        <v>1324</v>
      </c>
      <c r="AZ114" s="3" t="s">
        <v>1324</v>
      </c>
      <c r="BA114" s="3" t="s">
        <v>1324</v>
      </c>
      <c r="BB114" s="3">
        <v>504.0</v>
      </c>
      <c r="BC114" s="3">
        <v>514.0</v>
      </c>
      <c r="BD114" s="3" t="s">
        <v>1324</v>
      </c>
      <c r="BE114" s="3" t="s">
        <v>1629</v>
      </c>
      <c r="BF114" s="25" t="str">
        <f>HYPERLINK("http://dx.doi.org/10.1111/j.1365-2486.2011.02540.x","http://dx.doi.org/10.1111/j.1365-2486.2011.02540.x")</f>
        <v>http://dx.doi.org/10.1111/j.1365-2486.2011.02540.x</v>
      </c>
      <c r="BG114" s="3" t="s">
        <v>1324</v>
      </c>
      <c r="BH114" s="3" t="s">
        <v>1324</v>
      </c>
      <c r="BI114" s="3">
        <v>11.0</v>
      </c>
      <c r="BJ114" s="3" t="s">
        <v>255</v>
      </c>
      <c r="BK114" s="3" t="s">
        <v>2407</v>
      </c>
      <c r="BL114" s="3" t="s">
        <v>2577</v>
      </c>
      <c r="BM114" s="3" t="s">
        <v>4319</v>
      </c>
      <c r="BN114" s="3" t="s">
        <v>1324</v>
      </c>
      <c r="BO114" s="3" t="s">
        <v>1324</v>
      </c>
      <c r="BP114" s="3" t="s">
        <v>1324</v>
      </c>
      <c r="BQ114" s="3" t="s">
        <v>1324</v>
      </c>
      <c r="BR114" s="3" t="s">
        <v>2383</v>
      </c>
      <c r="BS114" s="3" t="s">
        <v>4320</v>
      </c>
      <c r="BT114" s="3" t="str">
        <f>HYPERLINK("https%3A%2F%2Fwww.webofscience.com%2Fwos%2Fwoscc%2Ffull-record%2FWOS:000299042500010","View Full Record in Web of Science")</f>
        <v>View Full Record in Web of Science</v>
      </c>
    </row>
    <row r="115" ht="12.75" customHeight="1">
      <c r="A115" s="3" t="s">
        <v>2433</v>
      </c>
      <c r="B115" s="3" t="s">
        <v>4321</v>
      </c>
      <c r="C115" s="3" t="s">
        <v>1324</v>
      </c>
      <c r="D115" s="3" t="s">
        <v>4321</v>
      </c>
      <c r="E115" s="3" t="s">
        <v>1324</v>
      </c>
      <c r="F115" s="3" t="s">
        <v>2159</v>
      </c>
      <c r="G115" s="3" t="s">
        <v>1324</v>
      </c>
      <c r="H115" s="3" t="s">
        <v>1324</v>
      </c>
      <c r="I115" s="3" t="s">
        <v>2161</v>
      </c>
      <c r="J115" s="3" t="s">
        <v>2160</v>
      </c>
      <c r="K115" s="3" t="s">
        <v>4322</v>
      </c>
      <c r="L115" s="3" t="s">
        <v>1324</v>
      </c>
      <c r="M115" s="3" t="s">
        <v>2364</v>
      </c>
      <c r="N115" s="3" t="s">
        <v>2437</v>
      </c>
      <c r="O115" s="3" t="s">
        <v>1324</v>
      </c>
      <c r="P115" s="3" t="s">
        <v>1324</v>
      </c>
      <c r="Q115" s="3" t="s">
        <v>1324</v>
      </c>
      <c r="R115" s="3" t="s">
        <v>1324</v>
      </c>
      <c r="S115" s="3" t="s">
        <v>1324</v>
      </c>
      <c r="T115" s="3" t="s">
        <v>4323</v>
      </c>
      <c r="U115" s="3" t="s">
        <v>4324</v>
      </c>
      <c r="V115" s="3" t="s">
        <v>4325</v>
      </c>
      <c r="W115" s="3" t="s">
        <v>4326</v>
      </c>
      <c r="X115" s="3" t="s">
        <v>4327</v>
      </c>
      <c r="Y115" s="3" t="s">
        <v>4328</v>
      </c>
      <c r="Z115" s="3" t="s">
        <v>1324</v>
      </c>
      <c r="AA115" s="3" t="s">
        <v>4329</v>
      </c>
      <c r="AB115" s="3" t="s">
        <v>4330</v>
      </c>
      <c r="AC115" s="3" t="s">
        <v>1324</v>
      </c>
      <c r="AD115" s="3" t="s">
        <v>1324</v>
      </c>
      <c r="AE115" s="3" t="s">
        <v>1324</v>
      </c>
      <c r="AF115" s="3" t="s">
        <v>1324</v>
      </c>
      <c r="AG115" s="3">
        <v>16.0</v>
      </c>
      <c r="AH115" s="3">
        <v>29.0</v>
      </c>
      <c r="AI115" s="3">
        <v>35.0</v>
      </c>
      <c r="AJ115" s="3">
        <v>0.0</v>
      </c>
      <c r="AK115" s="3">
        <v>7.0</v>
      </c>
      <c r="AL115" s="3" t="s">
        <v>3043</v>
      </c>
      <c r="AM115" s="3" t="s">
        <v>2487</v>
      </c>
      <c r="AN115" s="3" t="s">
        <v>4331</v>
      </c>
      <c r="AO115" s="3" t="s">
        <v>1324</v>
      </c>
      <c r="AP115" s="3" t="s">
        <v>1324</v>
      </c>
      <c r="AQ115" s="3" t="s">
        <v>4332</v>
      </c>
      <c r="AR115" s="3" t="s">
        <v>4333</v>
      </c>
      <c r="AS115" s="3" t="s">
        <v>1324</v>
      </c>
      <c r="AT115" s="3" t="s">
        <v>1324</v>
      </c>
      <c r="AU115" s="3">
        <v>2012.0</v>
      </c>
      <c r="AV115" s="3" t="s">
        <v>1324</v>
      </c>
      <c r="AW115" s="3" t="s">
        <v>1324</v>
      </c>
      <c r="AX115" s="3" t="s">
        <v>1324</v>
      </c>
      <c r="AY115" s="3" t="s">
        <v>1324</v>
      </c>
      <c r="AZ115" s="3" t="s">
        <v>1324</v>
      </c>
      <c r="BA115" s="3" t="s">
        <v>1324</v>
      </c>
      <c r="BB115" s="3">
        <v>871.0</v>
      </c>
      <c r="BC115" s="3">
        <v>890.0</v>
      </c>
      <c r="BD115" s="3" t="s">
        <v>1324</v>
      </c>
      <c r="BE115" s="3" t="s">
        <v>2163</v>
      </c>
      <c r="BF115" s="25" t="str">
        <f>HYPERLINK("http://dx.doi.org/10.1016/B978-0-12-385140-6.00064-5","http://dx.doi.org/10.1016/B978-0-12-385140-6.00064-5")</f>
        <v>http://dx.doi.org/10.1016/B978-0-12-385140-6.00064-5</v>
      </c>
      <c r="BG115" s="3" t="s">
        <v>1324</v>
      </c>
      <c r="BH115" s="3" t="s">
        <v>1324</v>
      </c>
      <c r="BI115" s="3">
        <v>20.0</v>
      </c>
      <c r="BJ115" s="3" t="s">
        <v>59</v>
      </c>
      <c r="BK115" s="3" t="s">
        <v>2448</v>
      </c>
      <c r="BL115" s="3" t="s">
        <v>4105</v>
      </c>
      <c r="BM115" s="3" t="s">
        <v>4334</v>
      </c>
      <c r="BN115" s="3" t="s">
        <v>1324</v>
      </c>
      <c r="BO115" s="3" t="s">
        <v>1324</v>
      </c>
      <c r="BP115" s="3" t="s">
        <v>1324</v>
      </c>
      <c r="BQ115" s="3" t="s">
        <v>1324</v>
      </c>
      <c r="BR115" s="3" t="s">
        <v>2383</v>
      </c>
      <c r="BS115" s="3" t="s">
        <v>4335</v>
      </c>
      <c r="BT115" s="3" t="str">
        <f>HYPERLINK("https%3A%2F%2Fwww.webofscience.com%2Fwos%2Fwoscc%2Ffull-record%2FWOS:000322237000066","View Full Record in Web of Science")</f>
        <v>View Full Record in Web of Science</v>
      </c>
    </row>
    <row r="116" ht="12.75" customHeight="1">
      <c r="A116" s="3" t="s">
        <v>26</v>
      </c>
      <c r="B116" s="3" t="s">
        <v>4336</v>
      </c>
      <c r="C116" s="3" t="s">
        <v>1324</v>
      </c>
      <c r="D116" s="3" t="s">
        <v>1324</v>
      </c>
      <c r="E116" s="3" t="s">
        <v>1324</v>
      </c>
      <c r="F116" s="3" t="s">
        <v>2177</v>
      </c>
      <c r="G116" s="3" t="s">
        <v>1324</v>
      </c>
      <c r="H116" s="3" t="s">
        <v>1324</v>
      </c>
      <c r="I116" s="3" t="s">
        <v>2178</v>
      </c>
      <c r="J116" s="3" t="s">
        <v>2172</v>
      </c>
      <c r="K116" s="3" t="s">
        <v>1324</v>
      </c>
      <c r="L116" s="3" t="s">
        <v>1324</v>
      </c>
      <c r="M116" s="3" t="s">
        <v>2364</v>
      </c>
      <c r="N116" s="3" t="s">
        <v>38</v>
      </c>
      <c r="O116" s="3" t="s">
        <v>1324</v>
      </c>
      <c r="P116" s="3" t="s">
        <v>1324</v>
      </c>
      <c r="Q116" s="3" t="s">
        <v>1324</v>
      </c>
      <c r="R116" s="3" t="s">
        <v>1324</v>
      </c>
      <c r="S116" s="3" t="s">
        <v>1324</v>
      </c>
      <c r="T116" s="3" t="s">
        <v>4337</v>
      </c>
      <c r="U116" s="3" t="s">
        <v>4338</v>
      </c>
      <c r="V116" s="3" t="s">
        <v>2179</v>
      </c>
      <c r="W116" s="3" t="s">
        <v>4339</v>
      </c>
      <c r="X116" s="3" t="s">
        <v>4340</v>
      </c>
      <c r="Y116" s="3" t="s">
        <v>4341</v>
      </c>
      <c r="Z116" s="3" t="s">
        <v>4342</v>
      </c>
      <c r="AA116" s="3" t="s">
        <v>1324</v>
      </c>
      <c r="AB116" s="3" t="s">
        <v>1324</v>
      </c>
      <c r="AC116" s="3" t="s">
        <v>4343</v>
      </c>
      <c r="AD116" s="3" t="s">
        <v>4344</v>
      </c>
      <c r="AE116" s="3" t="s">
        <v>4345</v>
      </c>
      <c r="AF116" s="3" t="s">
        <v>1324</v>
      </c>
      <c r="AG116" s="3">
        <v>60.0</v>
      </c>
      <c r="AH116" s="3">
        <v>53.0</v>
      </c>
      <c r="AI116" s="3">
        <v>58.0</v>
      </c>
      <c r="AJ116" s="3">
        <v>5.0</v>
      </c>
      <c r="AK116" s="3">
        <v>131.0</v>
      </c>
      <c r="AL116" s="3" t="s">
        <v>3250</v>
      </c>
      <c r="AM116" s="3" t="s">
        <v>3872</v>
      </c>
      <c r="AN116" s="3" t="s">
        <v>3873</v>
      </c>
      <c r="AO116" s="3" t="s">
        <v>3874</v>
      </c>
      <c r="AP116" s="3" t="s">
        <v>3875</v>
      </c>
      <c r="AQ116" s="3" t="s">
        <v>1324</v>
      </c>
      <c r="AR116" s="3" t="s">
        <v>3876</v>
      </c>
      <c r="AS116" s="3" t="s">
        <v>3877</v>
      </c>
      <c r="AT116" s="3" t="s">
        <v>2908</v>
      </c>
      <c r="AU116" s="3">
        <v>2011.0</v>
      </c>
      <c r="AV116" s="3">
        <v>64.0</v>
      </c>
      <c r="AW116" s="3">
        <v>8.0</v>
      </c>
      <c r="AX116" s="3" t="s">
        <v>1324</v>
      </c>
      <c r="AY116" s="3" t="s">
        <v>1324</v>
      </c>
      <c r="AZ116" s="3" t="s">
        <v>1324</v>
      </c>
      <c r="BA116" s="3" t="s">
        <v>1324</v>
      </c>
      <c r="BB116" s="3">
        <v>2183.0</v>
      </c>
      <c r="BC116" s="3">
        <v>2193.0</v>
      </c>
      <c r="BD116" s="3" t="s">
        <v>1324</v>
      </c>
      <c r="BE116" s="3" t="s">
        <v>2180</v>
      </c>
      <c r="BF116" s="25" t="str">
        <f>HYPERLINK("http://dx.doi.org/10.1007/s12665-011-1046-4","http://dx.doi.org/10.1007/s12665-011-1046-4")</f>
        <v>http://dx.doi.org/10.1007/s12665-011-1046-4</v>
      </c>
      <c r="BG116" s="3" t="s">
        <v>1324</v>
      </c>
      <c r="BH116" s="3" t="s">
        <v>1324</v>
      </c>
      <c r="BI116" s="3">
        <v>11.0</v>
      </c>
      <c r="BJ116" s="3" t="s">
        <v>3878</v>
      </c>
      <c r="BK116" s="3" t="s">
        <v>2407</v>
      </c>
      <c r="BL116" s="3" t="s">
        <v>3879</v>
      </c>
      <c r="BM116" s="3" t="s">
        <v>4346</v>
      </c>
      <c r="BN116" s="3" t="s">
        <v>1324</v>
      </c>
      <c r="BO116" s="3" t="s">
        <v>1324</v>
      </c>
      <c r="BP116" s="3" t="s">
        <v>1324</v>
      </c>
      <c r="BQ116" s="3" t="s">
        <v>1324</v>
      </c>
      <c r="BR116" s="3" t="s">
        <v>2383</v>
      </c>
      <c r="BS116" s="3" t="s">
        <v>4347</v>
      </c>
      <c r="BT116" s="3" t="str">
        <f>HYPERLINK("https%3A%2F%2Fwww.webofscience.com%2Fwos%2Fwoscc%2Ffull-record%2FWOS:000297165900017","View Full Record in Web of Science")</f>
        <v>View Full Record in Web of Science</v>
      </c>
    </row>
    <row r="117" ht="12.75" customHeight="1">
      <c r="A117" s="3" t="s">
        <v>26</v>
      </c>
      <c r="B117" s="3" t="s">
        <v>4348</v>
      </c>
      <c r="C117" s="3" t="s">
        <v>1324</v>
      </c>
      <c r="D117" s="3" t="s">
        <v>1324</v>
      </c>
      <c r="E117" s="3" t="s">
        <v>1324</v>
      </c>
      <c r="F117" s="3" t="s">
        <v>1899</v>
      </c>
      <c r="G117" s="3" t="s">
        <v>1324</v>
      </c>
      <c r="H117" s="3" t="s">
        <v>1324</v>
      </c>
      <c r="I117" s="3" t="s">
        <v>1900</v>
      </c>
      <c r="J117" s="3" t="s">
        <v>629</v>
      </c>
      <c r="K117" s="3" t="s">
        <v>1324</v>
      </c>
      <c r="L117" s="3" t="s">
        <v>1324</v>
      </c>
      <c r="M117" s="3" t="s">
        <v>2364</v>
      </c>
      <c r="N117" s="3" t="s">
        <v>30</v>
      </c>
      <c r="O117" s="3" t="s">
        <v>1324</v>
      </c>
      <c r="P117" s="3" t="s">
        <v>1324</v>
      </c>
      <c r="Q117" s="3" t="s">
        <v>1324</v>
      </c>
      <c r="R117" s="3" t="s">
        <v>1324</v>
      </c>
      <c r="S117" s="3" t="s">
        <v>1324</v>
      </c>
      <c r="T117" s="3" t="s">
        <v>1324</v>
      </c>
      <c r="U117" s="3" t="s">
        <v>4349</v>
      </c>
      <c r="V117" s="3" t="s">
        <v>1901</v>
      </c>
      <c r="W117" s="3" t="s">
        <v>4350</v>
      </c>
      <c r="X117" s="3" t="s">
        <v>4351</v>
      </c>
      <c r="Y117" s="3" t="s">
        <v>4352</v>
      </c>
      <c r="Z117" s="3" t="s">
        <v>4353</v>
      </c>
      <c r="AA117" s="3" t="s">
        <v>4354</v>
      </c>
      <c r="AB117" s="3" t="s">
        <v>4355</v>
      </c>
      <c r="AC117" s="3" t="s">
        <v>4356</v>
      </c>
      <c r="AD117" s="3" t="s">
        <v>4357</v>
      </c>
      <c r="AE117" s="3" t="s">
        <v>4358</v>
      </c>
      <c r="AF117" s="3" t="s">
        <v>1324</v>
      </c>
      <c r="AG117" s="3">
        <v>97.0</v>
      </c>
      <c r="AH117" s="3">
        <v>326.0</v>
      </c>
      <c r="AI117" s="3">
        <v>357.0</v>
      </c>
      <c r="AJ117" s="3">
        <v>3.0</v>
      </c>
      <c r="AK117" s="3">
        <v>304.0</v>
      </c>
      <c r="AL117" s="3" t="s">
        <v>3987</v>
      </c>
      <c r="AM117" s="3" t="s">
        <v>2400</v>
      </c>
      <c r="AN117" s="3" t="s">
        <v>3988</v>
      </c>
      <c r="AO117" s="3" t="s">
        <v>3989</v>
      </c>
      <c r="AP117" s="3" t="s">
        <v>3990</v>
      </c>
      <c r="AQ117" s="3" t="s">
        <v>1324</v>
      </c>
      <c r="AR117" s="3" t="s">
        <v>3991</v>
      </c>
      <c r="AS117" s="3" t="s">
        <v>3992</v>
      </c>
      <c r="AT117" s="3" t="s">
        <v>2927</v>
      </c>
      <c r="AU117" s="3">
        <v>2011.0</v>
      </c>
      <c r="AV117" s="3">
        <v>26.0</v>
      </c>
      <c r="AW117" s="3">
        <v>11.0</v>
      </c>
      <c r="AX117" s="3" t="s">
        <v>1324</v>
      </c>
      <c r="AY117" s="3" t="s">
        <v>1324</v>
      </c>
      <c r="AZ117" s="3" t="s">
        <v>1324</v>
      </c>
      <c r="BA117" s="3" t="s">
        <v>1324</v>
      </c>
      <c r="BB117" s="3">
        <v>595.0</v>
      </c>
      <c r="BC117" s="3">
        <v>605.0</v>
      </c>
      <c r="BD117" s="3" t="s">
        <v>1324</v>
      </c>
      <c r="BE117" s="3" t="s">
        <v>1902</v>
      </c>
      <c r="BF117" s="25" t="str">
        <f>HYPERLINK("http://dx.doi.org/10.1016/j.tree.2011.07.008","http://dx.doi.org/10.1016/j.tree.2011.07.008")</f>
        <v>http://dx.doi.org/10.1016/j.tree.2011.07.008</v>
      </c>
      <c r="BG117" s="3" t="s">
        <v>1324</v>
      </c>
      <c r="BH117" s="3" t="s">
        <v>1324</v>
      </c>
      <c r="BI117" s="3">
        <v>11.0</v>
      </c>
      <c r="BJ117" s="3" t="s">
        <v>633</v>
      </c>
      <c r="BK117" s="3" t="s">
        <v>2407</v>
      </c>
      <c r="BL117" s="3" t="s">
        <v>3993</v>
      </c>
      <c r="BM117" s="3" t="s">
        <v>4359</v>
      </c>
      <c r="BN117" s="3">
        <v>2.1852017E7</v>
      </c>
      <c r="BO117" s="3" t="s">
        <v>1324</v>
      </c>
      <c r="BP117" s="3" t="s">
        <v>1324</v>
      </c>
      <c r="BQ117" s="3" t="s">
        <v>1324</v>
      </c>
      <c r="BR117" s="3" t="s">
        <v>2383</v>
      </c>
      <c r="BS117" s="3" t="s">
        <v>4360</v>
      </c>
      <c r="BT117" s="3" t="str">
        <f>HYPERLINK("https%3A%2F%2Fwww.webofscience.com%2Fwos%2Fwoscc%2Ffull-record%2FWOS:000296692900011","View Full Record in Web of Science")</f>
        <v>View Full Record in Web of Science</v>
      </c>
    </row>
    <row r="118" ht="12.75" customHeight="1">
      <c r="A118" s="3" t="s">
        <v>26</v>
      </c>
      <c r="B118" s="3" t="s">
        <v>4361</v>
      </c>
      <c r="C118" s="3" t="s">
        <v>1324</v>
      </c>
      <c r="D118" s="3" t="s">
        <v>1324</v>
      </c>
      <c r="E118" s="3" t="s">
        <v>1324</v>
      </c>
      <c r="F118" s="3" t="s">
        <v>1714</v>
      </c>
      <c r="G118" s="3" t="s">
        <v>1324</v>
      </c>
      <c r="H118" s="3" t="s">
        <v>1324</v>
      </c>
      <c r="I118" s="3" t="s">
        <v>1715</v>
      </c>
      <c r="J118" s="3" t="s">
        <v>460</v>
      </c>
      <c r="K118" s="3" t="s">
        <v>1324</v>
      </c>
      <c r="L118" s="3" t="s">
        <v>1324</v>
      </c>
      <c r="M118" s="3" t="s">
        <v>2364</v>
      </c>
      <c r="N118" s="3" t="s">
        <v>38</v>
      </c>
      <c r="O118" s="3" t="s">
        <v>1324</v>
      </c>
      <c r="P118" s="3" t="s">
        <v>1324</v>
      </c>
      <c r="Q118" s="3" t="s">
        <v>1324</v>
      </c>
      <c r="R118" s="3" t="s">
        <v>1324</v>
      </c>
      <c r="S118" s="3" t="s">
        <v>1324</v>
      </c>
      <c r="T118" s="3" t="s">
        <v>4362</v>
      </c>
      <c r="U118" s="3" t="s">
        <v>4363</v>
      </c>
      <c r="V118" s="3" t="s">
        <v>1716</v>
      </c>
      <c r="W118" s="3" t="s">
        <v>4364</v>
      </c>
      <c r="X118" s="3" t="s">
        <v>4365</v>
      </c>
      <c r="Y118" s="3" t="s">
        <v>4366</v>
      </c>
      <c r="Z118" s="3" t="s">
        <v>4367</v>
      </c>
      <c r="AA118" s="3" t="s">
        <v>4368</v>
      </c>
      <c r="AB118" s="3" t="s">
        <v>4369</v>
      </c>
      <c r="AC118" s="3" t="s">
        <v>4370</v>
      </c>
      <c r="AD118" s="3" t="s">
        <v>4371</v>
      </c>
      <c r="AE118" s="3" t="s">
        <v>4372</v>
      </c>
      <c r="AF118" s="3" t="s">
        <v>1324</v>
      </c>
      <c r="AG118" s="3">
        <v>89.0</v>
      </c>
      <c r="AH118" s="3">
        <v>149.0</v>
      </c>
      <c r="AI118" s="3">
        <v>173.0</v>
      </c>
      <c r="AJ118" s="3">
        <v>1.0</v>
      </c>
      <c r="AK118" s="3">
        <v>123.0</v>
      </c>
      <c r="AL118" s="3" t="s">
        <v>4373</v>
      </c>
      <c r="AM118" s="3" t="s">
        <v>2400</v>
      </c>
      <c r="AN118" s="3" t="s">
        <v>4374</v>
      </c>
      <c r="AO118" s="3" t="s">
        <v>4375</v>
      </c>
      <c r="AP118" s="3" t="s">
        <v>4376</v>
      </c>
      <c r="AQ118" s="3" t="s">
        <v>1324</v>
      </c>
      <c r="AR118" s="3" t="s">
        <v>4377</v>
      </c>
      <c r="AS118" s="3" t="s">
        <v>4378</v>
      </c>
      <c r="AT118" s="3" t="s">
        <v>4379</v>
      </c>
      <c r="AU118" s="3">
        <v>2011.0</v>
      </c>
      <c r="AV118" s="3">
        <v>366.0</v>
      </c>
      <c r="AW118" s="3">
        <v>1578.0</v>
      </c>
      <c r="AX118" s="3" t="s">
        <v>1324</v>
      </c>
      <c r="AY118" s="3" t="s">
        <v>1324</v>
      </c>
      <c r="AZ118" s="3" t="s">
        <v>3257</v>
      </c>
      <c r="BA118" s="3" t="s">
        <v>1324</v>
      </c>
      <c r="BB118" s="3">
        <v>2598.0</v>
      </c>
      <c r="BC118" s="3">
        <v>2610.0</v>
      </c>
      <c r="BD118" s="3" t="s">
        <v>1324</v>
      </c>
      <c r="BE118" s="3" t="s">
        <v>1717</v>
      </c>
      <c r="BF118" s="25" t="str">
        <f>HYPERLINK("http://dx.doi.org/10.1098/rstb.2011.0116","http://dx.doi.org/10.1098/rstb.2011.0116")</f>
        <v>http://dx.doi.org/10.1098/rstb.2011.0116</v>
      </c>
      <c r="BG118" s="3" t="s">
        <v>1324</v>
      </c>
      <c r="BH118" s="3" t="s">
        <v>1324</v>
      </c>
      <c r="BI118" s="3">
        <v>13.0</v>
      </c>
      <c r="BJ118" s="3" t="s">
        <v>188</v>
      </c>
      <c r="BK118" s="3" t="s">
        <v>2407</v>
      </c>
      <c r="BL118" s="3" t="s">
        <v>3721</v>
      </c>
      <c r="BM118" s="3" t="s">
        <v>4380</v>
      </c>
      <c r="BN118" s="3">
        <v>2.1844039E7</v>
      </c>
      <c r="BO118" s="3" t="s">
        <v>1324</v>
      </c>
      <c r="BP118" s="3" t="s">
        <v>1324</v>
      </c>
      <c r="BQ118" s="3" t="s">
        <v>1324</v>
      </c>
      <c r="BR118" s="3" t="s">
        <v>2383</v>
      </c>
      <c r="BS118" s="3" t="s">
        <v>4381</v>
      </c>
      <c r="BT118" s="3" t="str">
        <f>HYPERLINK("https%3A%2F%2Fwww.webofscience.com%2Fwos%2Fwoscc%2Ffull-record%2FWOS:000293858100002","View Full Record in Web of Science")</f>
        <v>View Full Record in Web of Science</v>
      </c>
    </row>
    <row r="119" ht="12.75" customHeight="1">
      <c r="A119" s="3" t="s">
        <v>26</v>
      </c>
      <c r="B119" s="3" t="s">
        <v>4382</v>
      </c>
      <c r="C119" s="3" t="s">
        <v>1324</v>
      </c>
      <c r="D119" s="3" t="s">
        <v>1324</v>
      </c>
      <c r="E119" s="3" t="s">
        <v>1324</v>
      </c>
      <c r="F119" s="3" t="s">
        <v>2064</v>
      </c>
      <c r="G119" s="3" t="s">
        <v>1324</v>
      </c>
      <c r="H119" s="3" t="s">
        <v>1324</v>
      </c>
      <c r="I119" s="3" t="s">
        <v>2065</v>
      </c>
      <c r="J119" s="3" t="s">
        <v>2059</v>
      </c>
      <c r="K119" s="3" t="s">
        <v>1324</v>
      </c>
      <c r="L119" s="3" t="s">
        <v>1324</v>
      </c>
      <c r="M119" s="3" t="s">
        <v>2364</v>
      </c>
      <c r="N119" s="3" t="s">
        <v>269</v>
      </c>
      <c r="O119" s="3" t="s">
        <v>4383</v>
      </c>
      <c r="P119" s="3" t="s">
        <v>4384</v>
      </c>
      <c r="Q119" s="3" t="s">
        <v>4385</v>
      </c>
      <c r="R119" s="3" t="s">
        <v>4386</v>
      </c>
      <c r="S119" s="3" t="s">
        <v>1324</v>
      </c>
      <c r="T119" s="3" t="s">
        <v>4387</v>
      </c>
      <c r="U119" s="3" t="s">
        <v>4388</v>
      </c>
      <c r="V119" s="3" t="s">
        <v>4389</v>
      </c>
      <c r="W119" s="3" t="s">
        <v>4390</v>
      </c>
      <c r="X119" s="3" t="s">
        <v>4391</v>
      </c>
      <c r="Y119" s="3" t="s">
        <v>4392</v>
      </c>
      <c r="Z119" s="3" t="s">
        <v>4393</v>
      </c>
      <c r="AA119" s="3" t="s">
        <v>4394</v>
      </c>
      <c r="AB119" s="3" t="s">
        <v>4395</v>
      </c>
      <c r="AC119" s="3" t="s">
        <v>1324</v>
      </c>
      <c r="AD119" s="3" t="s">
        <v>1324</v>
      </c>
      <c r="AE119" s="3" t="s">
        <v>1324</v>
      </c>
      <c r="AF119" s="3" t="s">
        <v>1324</v>
      </c>
      <c r="AG119" s="3">
        <v>33.0</v>
      </c>
      <c r="AH119" s="3">
        <v>30.0</v>
      </c>
      <c r="AI119" s="3">
        <v>38.0</v>
      </c>
      <c r="AJ119" s="3">
        <v>2.0</v>
      </c>
      <c r="AK119" s="3">
        <v>76.0</v>
      </c>
      <c r="AL119" s="3" t="s">
        <v>2486</v>
      </c>
      <c r="AM119" s="3" t="s">
        <v>2487</v>
      </c>
      <c r="AN119" s="3" t="s">
        <v>2488</v>
      </c>
      <c r="AO119" s="3" t="s">
        <v>3853</v>
      </c>
      <c r="AP119" s="3" t="s">
        <v>3854</v>
      </c>
      <c r="AQ119" s="3" t="s">
        <v>1324</v>
      </c>
      <c r="AR119" s="3" t="s">
        <v>3855</v>
      </c>
      <c r="AS119" s="3" t="s">
        <v>3856</v>
      </c>
      <c r="AT119" s="3" t="s">
        <v>4396</v>
      </c>
      <c r="AU119" s="3">
        <v>2011.0</v>
      </c>
      <c r="AV119" s="3">
        <v>222.0</v>
      </c>
      <c r="AW119" s="3">
        <v>14.0</v>
      </c>
      <c r="AX119" s="3" t="s">
        <v>1324</v>
      </c>
      <c r="AY119" s="3" t="s">
        <v>1324</v>
      </c>
      <c r="AZ119" s="3" t="s">
        <v>3257</v>
      </c>
      <c r="BA119" s="3" t="s">
        <v>1324</v>
      </c>
      <c r="BB119" s="3">
        <v>2333.0</v>
      </c>
      <c r="BC119" s="3">
        <v>2341.0</v>
      </c>
      <c r="BD119" s="3" t="s">
        <v>1324</v>
      </c>
      <c r="BE119" s="3" t="s">
        <v>2067</v>
      </c>
      <c r="BF119" s="25" t="str">
        <f>HYPERLINK("http://dx.doi.org/10.1016/j.ecolmodel.2011.03.042","http://dx.doi.org/10.1016/j.ecolmodel.2011.03.042")</f>
        <v>http://dx.doi.org/10.1016/j.ecolmodel.2011.03.042</v>
      </c>
      <c r="BG119" s="3" t="s">
        <v>1324</v>
      </c>
      <c r="BH119" s="3" t="s">
        <v>1324</v>
      </c>
      <c r="BI119" s="3">
        <v>9.0</v>
      </c>
      <c r="BJ119" s="3" t="s">
        <v>817</v>
      </c>
      <c r="BK119" s="3" t="s">
        <v>4397</v>
      </c>
      <c r="BL119" s="3" t="s">
        <v>2472</v>
      </c>
      <c r="BM119" s="3" t="s">
        <v>4398</v>
      </c>
      <c r="BN119" s="3" t="s">
        <v>1324</v>
      </c>
      <c r="BO119" s="3" t="s">
        <v>1324</v>
      </c>
      <c r="BP119" s="3" t="s">
        <v>1324</v>
      </c>
      <c r="BQ119" s="3" t="s">
        <v>1324</v>
      </c>
      <c r="BR119" s="3" t="s">
        <v>2383</v>
      </c>
      <c r="BS119" s="3" t="s">
        <v>4399</v>
      </c>
      <c r="BT119" s="3" t="str">
        <f>HYPERLINK("https%3A%2F%2Fwww.webofscience.com%2Fwos%2Fwoscc%2Ffull-record%2FWOS:000293038700014","View Full Record in Web of Science")</f>
        <v>View Full Record in Web of Science</v>
      </c>
    </row>
    <row r="120" ht="12.75" customHeight="1">
      <c r="A120" s="3" t="s">
        <v>26</v>
      </c>
      <c r="B120" s="3" t="s">
        <v>4400</v>
      </c>
      <c r="C120" s="3" t="s">
        <v>1324</v>
      </c>
      <c r="D120" s="3" t="s">
        <v>1324</v>
      </c>
      <c r="E120" s="3" t="s">
        <v>1324</v>
      </c>
      <c r="F120" s="3" t="s">
        <v>1812</v>
      </c>
      <c r="G120" s="3" t="s">
        <v>1324</v>
      </c>
      <c r="H120" s="3" t="s">
        <v>1324</v>
      </c>
      <c r="I120" s="3" t="s">
        <v>1814</v>
      </c>
      <c r="J120" s="3" t="s">
        <v>1813</v>
      </c>
      <c r="K120" s="3" t="s">
        <v>1324</v>
      </c>
      <c r="L120" s="3" t="s">
        <v>1324</v>
      </c>
      <c r="M120" s="3" t="s">
        <v>2364</v>
      </c>
      <c r="N120" s="3" t="s">
        <v>38</v>
      </c>
      <c r="O120" s="3" t="s">
        <v>1324</v>
      </c>
      <c r="P120" s="3" t="s">
        <v>1324</v>
      </c>
      <c r="Q120" s="3" t="s">
        <v>1324</v>
      </c>
      <c r="R120" s="3" t="s">
        <v>1324</v>
      </c>
      <c r="S120" s="3" t="s">
        <v>1324</v>
      </c>
      <c r="T120" s="3" t="s">
        <v>1324</v>
      </c>
      <c r="U120" s="3" t="s">
        <v>4401</v>
      </c>
      <c r="V120" s="3" t="s">
        <v>1815</v>
      </c>
      <c r="W120" s="3" t="s">
        <v>4402</v>
      </c>
      <c r="X120" s="3" t="s">
        <v>4403</v>
      </c>
      <c r="Y120" s="3" t="s">
        <v>4404</v>
      </c>
      <c r="Z120" s="3" t="s">
        <v>3509</v>
      </c>
      <c r="AA120" s="3" t="s">
        <v>4405</v>
      </c>
      <c r="AB120" s="3" t="s">
        <v>4406</v>
      </c>
      <c r="AC120" s="3" t="s">
        <v>4407</v>
      </c>
      <c r="AD120" s="3" t="s">
        <v>4408</v>
      </c>
      <c r="AE120" s="3" t="s">
        <v>4409</v>
      </c>
      <c r="AF120" s="3" t="s">
        <v>1324</v>
      </c>
      <c r="AG120" s="3">
        <v>102.0</v>
      </c>
      <c r="AH120" s="3">
        <v>250.0</v>
      </c>
      <c r="AI120" s="3">
        <v>295.0</v>
      </c>
      <c r="AJ120" s="3">
        <v>4.0</v>
      </c>
      <c r="AK120" s="3">
        <v>303.0</v>
      </c>
      <c r="AL120" s="3" t="s">
        <v>4266</v>
      </c>
      <c r="AM120" s="3" t="s">
        <v>2792</v>
      </c>
      <c r="AN120" s="3" t="s">
        <v>4267</v>
      </c>
      <c r="AO120" s="3" t="s">
        <v>4410</v>
      </c>
      <c r="AP120" s="3" t="s">
        <v>4411</v>
      </c>
      <c r="AQ120" s="3" t="s">
        <v>1324</v>
      </c>
      <c r="AR120" s="3" t="s">
        <v>4412</v>
      </c>
      <c r="AS120" s="3" t="s">
        <v>4413</v>
      </c>
      <c r="AT120" s="3" t="s">
        <v>4414</v>
      </c>
      <c r="AU120" s="3">
        <v>2011.0</v>
      </c>
      <c r="AV120" s="3">
        <v>25.0</v>
      </c>
      <c r="AW120" s="3" t="s">
        <v>1324</v>
      </c>
      <c r="AX120" s="3" t="s">
        <v>1324</v>
      </c>
      <c r="AY120" s="3" t="s">
        <v>1324</v>
      </c>
      <c r="AZ120" s="3" t="s">
        <v>1324</v>
      </c>
      <c r="BA120" s="3" t="s">
        <v>1324</v>
      </c>
      <c r="BB120" s="3" t="s">
        <v>1324</v>
      </c>
      <c r="BC120" s="3" t="s">
        <v>1324</v>
      </c>
      <c r="BD120" s="3" t="s">
        <v>4415</v>
      </c>
      <c r="BE120" s="3" t="s">
        <v>1816</v>
      </c>
      <c r="BF120" s="25" t="str">
        <f>HYPERLINK("http://dx.doi.org/10.1029/2010GB003838","http://dx.doi.org/10.1029/2010GB003838")</f>
        <v>http://dx.doi.org/10.1029/2010GB003838</v>
      </c>
      <c r="BG120" s="3" t="s">
        <v>1324</v>
      </c>
      <c r="BH120" s="3" t="s">
        <v>1324</v>
      </c>
      <c r="BI120" s="3">
        <v>16.0</v>
      </c>
      <c r="BJ120" s="3" t="s">
        <v>527</v>
      </c>
      <c r="BK120" s="3" t="s">
        <v>2407</v>
      </c>
      <c r="BL120" s="3" t="s">
        <v>4416</v>
      </c>
      <c r="BM120" s="3" t="s">
        <v>4417</v>
      </c>
      <c r="BN120" s="3" t="s">
        <v>1324</v>
      </c>
      <c r="BO120" s="3" t="s">
        <v>2474</v>
      </c>
      <c r="BP120" s="3" t="s">
        <v>1324</v>
      </c>
      <c r="BQ120" s="3" t="s">
        <v>1324</v>
      </c>
      <c r="BR120" s="3" t="s">
        <v>2383</v>
      </c>
      <c r="BS120" s="3" t="s">
        <v>4418</v>
      </c>
      <c r="BT120" s="3" t="str">
        <f>HYPERLINK("https%3A%2F%2Fwww.webofscience.com%2Fwos%2Fwoscc%2Ffull-record%2FWOS:000289085400001","View Full Record in Web of Science")</f>
        <v>View Full Record in Web of Science</v>
      </c>
    </row>
    <row r="121" ht="12.75" customHeight="1">
      <c r="A121" s="3" t="s">
        <v>3611</v>
      </c>
      <c r="B121" s="3" t="s">
        <v>4419</v>
      </c>
      <c r="C121" s="3" t="s">
        <v>1324</v>
      </c>
      <c r="D121" s="3" t="s">
        <v>4420</v>
      </c>
      <c r="E121" s="3" t="s">
        <v>1324</v>
      </c>
      <c r="F121" s="3" t="s">
        <v>1941</v>
      </c>
      <c r="G121" s="3" t="s">
        <v>1324</v>
      </c>
      <c r="H121" s="3" t="s">
        <v>1324</v>
      </c>
      <c r="I121" s="3" t="s">
        <v>1943</v>
      </c>
      <c r="J121" s="3" t="s">
        <v>1942</v>
      </c>
      <c r="K121" s="3" t="s">
        <v>4421</v>
      </c>
      <c r="L121" s="3" t="s">
        <v>1324</v>
      </c>
      <c r="M121" s="3" t="s">
        <v>2364</v>
      </c>
      <c r="N121" s="3" t="s">
        <v>3614</v>
      </c>
      <c r="O121" s="3" t="s">
        <v>4422</v>
      </c>
      <c r="P121" s="3" t="s">
        <v>4423</v>
      </c>
      <c r="Q121" s="3" t="s">
        <v>4424</v>
      </c>
      <c r="R121" s="3" t="s">
        <v>4425</v>
      </c>
      <c r="S121" s="3" t="s">
        <v>1324</v>
      </c>
      <c r="T121" s="3" t="s">
        <v>4426</v>
      </c>
      <c r="U121" s="3" t="s">
        <v>1324</v>
      </c>
      <c r="V121" s="3" t="s">
        <v>1944</v>
      </c>
      <c r="W121" s="3" t="s">
        <v>4427</v>
      </c>
      <c r="X121" s="3" t="s">
        <v>4428</v>
      </c>
      <c r="Y121" s="3" t="s">
        <v>4429</v>
      </c>
      <c r="Z121" s="3" t="s">
        <v>4430</v>
      </c>
      <c r="AA121" s="3" t="s">
        <v>4431</v>
      </c>
      <c r="AB121" s="3" t="s">
        <v>1324</v>
      </c>
      <c r="AC121" s="3" t="s">
        <v>1324</v>
      </c>
      <c r="AD121" s="3" t="s">
        <v>1324</v>
      </c>
      <c r="AE121" s="3" t="s">
        <v>1324</v>
      </c>
      <c r="AF121" s="3" t="s">
        <v>1324</v>
      </c>
      <c r="AG121" s="3">
        <v>6.0</v>
      </c>
      <c r="AH121" s="3">
        <v>2.0</v>
      </c>
      <c r="AI121" s="3">
        <v>3.0</v>
      </c>
      <c r="AJ121" s="3">
        <v>0.0</v>
      </c>
      <c r="AK121" s="3">
        <v>17.0</v>
      </c>
      <c r="AL121" s="3" t="s">
        <v>3043</v>
      </c>
      <c r="AM121" s="3" t="s">
        <v>2487</v>
      </c>
      <c r="AN121" s="3" t="s">
        <v>4331</v>
      </c>
      <c r="AO121" s="3" t="s">
        <v>4432</v>
      </c>
      <c r="AP121" s="3" t="s">
        <v>1324</v>
      </c>
      <c r="AQ121" s="3" t="s">
        <v>1324</v>
      </c>
      <c r="AR121" s="3" t="s">
        <v>4433</v>
      </c>
      <c r="AS121" s="3" t="s">
        <v>1324</v>
      </c>
      <c r="AT121" s="3" t="s">
        <v>1324</v>
      </c>
      <c r="AU121" s="3">
        <v>2011.0</v>
      </c>
      <c r="AV121" s="3">
        <v>10.0</v>
      </c>
      <c r="AW121" s="3" t="s">
        <v>1324</v>
      </c>
      <c r="AX121" s="3" t="s">
        <v>3611</v>
      </c>
      <c r="AY121" s="3" t="s">
        <v>1324</v>
      </c>
      <c r="AZ121" s="3" t="s">
        <v>1324</v>
      </c>
      <c r="BA121" s="3" t="s">
        <v>1324</v>
      </c>
      <c r="BB121" s="3">
        <v>2176.0</v>
      </c>
      <c r="BC121" s="3">
        <v>2181.0</v>
      </c>
      <c r="BD121" s="3" t="s">
        <v>1324</v>
      </c>
      <c r="BE121" s="3" t="s">
        <v>1945</v>
      </c>
      <c r="BF121" s="25" t="str">
        <f>HYPERLINK("http://dx.doi.org/10.1016/j.proenv.2011.09.341","http://dx.doi.org/10.1016/j.proenv.2011.09.341")</f>
        <v>http://dx.doi.org/10.1016/j.proenv.2011.09.341</v>
      </c>
      <c r="BG121" s="3" t="s">
        <v>1324</v>
      </c>
      <c r="BH121" s="3" t="s">
        <v>1324</v>
      </c>
      <c r="BI121" s="3">
        <v>6.0</v>
      </c>
      <c r="BJ121" s="3" t="s">
        <v>4434</v>
      </c>
      <c r="BK121" s="3" t="s">
        <v>4435</v>
      </c>
      <c r="BL121" s="3" t="s">
        <v>3131</v>
      </c>
      <c r="BM121" s="3" t="s">
        <v>4436</v>
      </c>
      <c r="BN121" s="3" t="s">
        <v>1324</v>
      </c>
      <c r="BO121" s="3" t="s">
        <v>2598</v>
      </c>
      <c r="BP121" s="3" t="s">
        <v>1324</v>
      </c>
      <c r="BQ121" s="3" t="s">
        <v>1324</v>
      </c>
      <c r="BR121" s="3" t="s">
        <v>2383</v>
      </c>
      <c r="BS121" s="3" t="s">
        <v>4437</v>
      </c>
      <c r="BT121" s="3" t="str">
        <f>HYPERLINK("https%3A%2F%2Fwww.webofscience.com%2Fwos%2Fwoscc%2Ffull-record%2FWOS:000312275800049","View Full Record in Web of Science")</f>
        <v>View Full Record in Web of Science</v>
      </c>
    </row>
    <row r="122" ht="12.75" customHeight="1">
      <c r="A122" s="3" t="s">
        <v>26</v>
      </c>
      <c r="B122" s="3" t="s">
        <v>4438</v>
      </c>
      <c r="C122" s="3" t="s">
        <v>1324</v>
      </c>
      <c r="D122" s="3" t="s">
        <v>1324</v>
      </c>
      <c r="E122" s="3" t="s">
        <v>1324</v>
      </c>
      <c r="F122" s="3" t="s">
        <v>1603</v>
      </c>
      <c r="G122" s="3" t="s">
        <v>1324</v>
      </c>
      <c r="H122" s="3" t="s">
        <v>1324</v>
      </c>
      <c r="I122" s="3" t="s">
        <v>1604</v>
      </c>
      <c r="J122" s="3" t="s">
        <v>1253</v>
      </c>
      <c r="K122" s="3" t="s">
        <v>1324</v>
      </c>
      <c r="L122" s="3" t="s">
        <v>1324</v>
      </c>
      <c r="M122" s="3" t="s">
        <v>2364</v>
      </c>
      <c r="N122" s="3" t="s">
        <v>38</v>
      </c>
      <c r="O122" s="3" t="s">
        <v>1324</v>
      </c>
      <c r="P122" s="3" t="s">
        <v>1324</v>
      </c>
      <c r="Q122" s="3" t="s">
        <v>1324</v>
      </c>
      <c r="R122" s="3" t="s">
        <v>1324</v>
      </c>
      <c r="S122" s="3" t="s">
        <v>1324</v>
      </c>
      <c r="T122" s="3" t="s">
        <v>4439</v>
      </c>
      <c r="U122" s="3" t="s">
        <v>4440</v>
      </c>
      <c r="V122" s="3" t="s">
        <v>4441</v>
      </c>
      <c r="W122" s="3" t="s">
        <v>4442</v>
      </c>
      <c r="X122" s="3" t="s">
        <v>4443</v>
      </c>
      <c r="Y122" s="3" t="s">
        <v>4444</v>
      </c>
      <c r="Z122" s="3" t="s">
        <v>4445</v>
      </c>
      <c r="AA122" s="3" t="s">
        <v>4446</v>
      </c>
      <c r="AB122" s="3" t="s">
        <v>4447</v>
      </c>
      <c r="AC122" s="3" t="s">
        <v>1324</v>
      </c>
      <c r="AD122" s="3" t="s">
        <v>1324</v>
      </c>
      <c r="AE122" s="3" t="s">
        <v>1324</v>
      </c>
      <c r="AF122" s="3" t="s">
        <v>1324</v>
      </c>
      <c r="AG122" s="3">
        <v>51.0</v>
      </c>
      <c r="AH122" s="3">
        <v>408.0</v>
      </c>
      <c r="AI122" s="3">
        <v>433.0</v>
      </c>
      <c r="AJ122" s="3">
        <v>1.0</v>
      </c>
      <c r="AK122" s="3">
        <v>256.0</v>
      </c>
      <c r="AL122" s="3" t="s">
        <v>4448</v>
      </c>
      <c r="AM122" s="3" t="s">
        <v>2465</v>
      </c>
      <c r="AN122" s="3" t="s">
        <v>2466</v>
      </c>
      <c r="AO122" s="3" t="s">
        <v>2836</v>
      </c>
      <c r="AP122" s="3" t="s">
        <v>2837</v>
      </c>
      <c r="AQ122" s="3" t="s">
        <v>1324</v>
      </c>
      <c r="AR122" s="3" t="s">
        <v>2838</v>
      </c>
      <c r="AS122" s="3" t="s">
        <v>2839</v>
      </c>
      <c r="AT122" s="3" t="s">
        <v>3208</v>
      </c>
      <c r="AU122" s="3">
        <v>2011.0</v>
      </c>
      <c r="AV122" s="3">
        <v>20.0</v>
      </c>
      <c r="AW122" s="3">
        <v>1.0</v>
      </c>
      <c r="AX122" s="3" t="s">
        <v>1324</v>
      </c>
      <c r="AY122" s="3" t="s">
        <v>1324</v>
      </c>
      <c r="AZ122" s="3" t="s">
        <v>1324</v>
      </c>
      <c r="BA122" s="3" t="s">
        <v>1324</v>
      </c>
      <c r="BB122" s="3">
        <v>58.0</v>
      </c>
      <c r="BC122" s="3">
        <v>72.0</v>
      </c>
      <c r="BD122" s="3" t="s">
        <v>1324</v>
      </c>
      <c r="BE122" s="3" t="s">
        <v>1606</v>
      </c>
      <c r="BF122" s="25" t="str">
        <f>HYPERLINK("http://dx.doi.org/10.1111/j.1466-8238.2010.00575.x","http://dx.doi.org/10.1111/j.1466-8238.2010.00575.x")</f>
        <v>http://dx.doi.org/10.1111/j.1466-8238.2010.00575.x</v>
      </c>
      <c r="BG122" s="3" t="s">
        <v>1324</v>
      </c>
      <c r="BH122" s="3" t="s">
        <v>1324</v>
      </c>
      <c r="BI122" s="3">
        <v>15.0</v>
      </c>
      <c r="BJ122" s="3" t="s">
        <v>1257</v>
      </c>
      <c r="BK122" s="3" t="s">
        <v>2407</v>
      </c>
      <c r="BL122" s="3" t="s">
        <v>2840</v>
      </c>
      <c r="BM122" s="3" t="s">
        <v>4449</v>
      </c>
      <c r="BN122" s="3" t="s">
        <v>1324</v>
      </c>
      <c r="BO122" s="3" t="s">
        <v>1324</v>
      </c>
      <c r="BP122" s="3" t="s">
        <v>1324</v>
      </c>
      <c r="BQ122" s="3" t="s">
        <v>1324</v>
      </c>
      <c r="BR122" s="3" t="s">
        <v>2383</v>
      </c>
      <c r="BS122" s="3" t="s">
        <v>4450</v>
      </c>
      <c r="BT122" s="3" t="str">
        <f>HYPERLINK("https%3A%2F%2Fwww.webofscience.com%2Fwos%2Fwoscc%2Ffull-record%2FWOS:000285109200005","View Full Record in Web of Science")</f>
        <v>View Full Record in Web of Science</v>
      </c>
    </row>
    <row r="123" ht="12.75" customHeight="1">
      <c r="A123" s="3" t="s">
        <v>26</v>
      </c>
      <c r="B123" s="3" t="s">
        <v>4451</v>
      </c>
      <c r="C123" s="3" t="s">
        <v>1324</v>
      </c>
      <c r="D123" s="3" t="s">
        <v>1324</v>
      </c>
      <c r="E123" s="3" t="s">
        <v>1324</v>
      </c>
      <c r="F123" s="3" t="s">
        <v>1779</v>
      </c>
      <c r="G123" s="3" t="s">
        <v>1324</v>
      </c>
      <c r="H123" s="3" t="s">
        <v>1324</v>
      </c>
      <c r="I123" s="3" t="s">
        <v>1781</v>
      </c>
      <c r="J123" s="3" t="s">
        <v>4452</v>
      </c>
      <c r="K123" s="3" t="s">
        <v>1324</v>
      </c>
      <c r="L123" s="3" t="s">
        <v>1324</v>
      </c>
      <c r="M123" s="3" t="s">
        <v>2364</v>
      </c>
      <c r="N123" s="3" t="s">
        <v>38</v>
      </c>
      <c r="O123" s="3" t="s">
        <v>1324</v>
      </c>
      <c r="P123" s="3" t="s">
        <v>1324</v>
      </c>
      <c r="Q123" s="3" t="s">
        <v>1324</v>
      </c>
      <c r="R123" s="3" t="s">
        <v>1324</v>
      </c>
      <c r="S123" s="3" t="s">
        <v>1324</v>
      </c>
      <c r="T123" s="3" t="s">
        <v>4453</v>
      </c>
      <c r="U123" s="3" t="s">
        <v>4454</v>
      </c>
      <c r="V123" s="3" t="s">
        <v>1782</v>
      </c>
      <c r="W123" s="3" t="s">
        <v>4455</v>
      </c>
      <c r="X123" s="3" t="s">
        <v>4456</v>
      </c>
      <c r="Y123" s="3" t="s">
        <v>4457</v>
      </c>
      <c r="Z123" s="3" t="s">
        <v>4458</v>
      </c>
      <c r="AA123" s="3" t="s">
        <v>4459</v>
      </c>
      <c r="AB123" s="3" t="s">
        <v>4460</v>
      </c>
      <c r="AC123" s="3" t="s">
        <v>4461</v>
      </c>
      <c r="AD123" s="3" t="s">
        <v>4462</v>
      </c>
      <c r="AE123" s="3" t="s">
        <v>4463</v>
      </c>
      <c r="AF123" s="3" t="s">
        <v>1324</v>
      </c>
      <c r="AG123" s="3">
        <v>64.0</v>
      </c>
      <c r="AH123" s="3">
        <v>25.0</v>
      </c>
      <c r="AI123" s="3">
        <v>27.0</v>
      </c>
      <c r="AJ123" s="3">
        <v>1.0</v>
      </c>
      <c r="AK123" s="3">
        <v>48.0</v>
      </c>
      <c r="AL123" s="3" t="s">
        <v>4464</v>
      </c>
      <c r="AM123" s="3" t="s">
        <v>4465</v>
      </c>
      <c r="AN123" s="3" t="s">
        <v>4466</v>
      </c>
      <c r="AO123" s="3" t="s">
        <v>4467</v>
      </c>
      <c r="AP123" s="3" t="s">
        <v>4468</v>
      </c>
      <c r="AQ123" s="3" t="s">
        <v>1324</v>
      </c>
      <c r="AR123" s="3" t="s">
        <v>1780</v>
      </c>
      <c r="AS123" s="3" t="s">
        <v>4469</v>
      </c>
      <c r="AT123" s="3" t="s">
        <v>1324</v>
      </c>
      <c r="AU123" s="3">
        <v>2011.0</v>
      </c>
      <c r="AV123" s="3">
        <v>111.0</v>
      </c>
      <c r="AW123" s="3">
        <v>2.0</v>
      </c>
      <c r="AX123" s="3" t="s">
        <v>1324</v>
      </c>
      <c r="AY123" s="3" t="s">
        <v>1324</v>
      </c>
      <c r="AZ123" s="3" t="s">
        <v>1324</v>
      </c>
      <c r="BA123" s="3" t="s">
        <v>1324</v>
      </c>
      <c r="BB123" s="3">
        <v>120.0</v>
      </c>
      <c r="BC123" s="3">
        <v>131.0</v>
      </c>
      <c r="BD123" s="3" t="s">
        <v>1324</v>
      </c>
      <c r="BE123" s="3" t="s">
        <v>1783</v>
      </c>
      <c r="BF123" s="25" t="str">
        <f>HYPERLINK("http://dx.doi.org/10.1071/MU10009","http://dx.doi.org/10.1071/MU10009")</f>
        <v>http://dx.doi.org/10.1071/MU10009</v>
      </c>
      <c r="BG123" s="3" t="s">
        <v>1324</v>
      </c>
      <c r="BH123" s="3" t="s">
        <v>1324</v>
      </c>
      <c r="BI123" s="3">
        <v>12.0</v>
      </c>
      <c r="BJ123" s="3" t="s">
        <v>273</v>
      </c>
      <c r="BK123" s="3" t="s">
        <v>2407</v>
      </c>
      <c r="BL123" s="3" t="s">
        <v>2691</v>
      </c>
      <c r="BM123" s="3" t="s">
        <v>4470</v>
      </c>
      <c r="BN123" s="3" t="s">
        <v>1324</v>
      </c>
      <c r="BO123" s="3" t="s">
        <v>1324</v>
      </c>
      <c r="BP123" s="3" t="s">
        <v>1324</v>
      </c>
      <c r="BQ123" s="3" t="s">
        <v>1324</v>
      </c>
      <c r="BR123" s="3" t="s">
        <v>2383</v>
      </c>
      <c r="BS123" s="3" t="s">
        <v>4471</v>
      </c>
      <c r="BT123" s="3" t="str">
        <f>HYPERLINK("https%3A%2F%2Fwww.webofscience.com%2Fwos%2Fwoscc%2Ffull-record%2FWOS:000291035900004","View Full Record in Web of Science")</f>
        <v>View Full Record in Web of Science</v>
      </c>
    </row>
    <row r="124" ht="12.75" customHeight="1">
      <c r="A124" s="3" t="s">
        <v>26</v>
      </c>
      <c r="B124" s="3" t="s">
        <v>4472</v>
      </c>
      <c r="C124" s="3" t="s">
        <v>1324</v>
      </c>
      <c r="D124" s="3" t="s">
        <v>1324</v>
      </c>
      <c r="E124" s="3" t="s">
        <v>1324</v>
      </c>
      <c r="F124" s="3" t="s">
        <v>1719</v>
      </c>
      <c r="G124" s="3" t="s">
        <v>1324</v>
      </c>
      <c r="H124" s="3" t="s">
        <v>1324</v>
      </c>
      <c r="I124" s="3" t="s">
        <v>1720</v>
      </c>
      <c r="J124" s="3" t="s">
        <v>460</v>
      </c>
      <c r="K124" s="3" t="s">
        <v>1324</v>
      </c>
      <c r="L124" s="3" t="s">
        <v>1324</v>
      </c>
      <c r="M124" s="3" t="s">
        <v>2364</v>
      </c>
      <c r="N124" s="3" t="s">
        <v>30</v>
      </c>
      <c r="O124" s="3" t="s">
        <v>1324</v>
      </c>
      <c r="P124" s="3" t="s">
        <v>1324</v>
      </c>
      <c r="Q124" s="3" t="s">
        <v>1324</v>
      </c>
      <c r="R124" s="3" t="s">
        <v>1324</v>
      </c>
      <c r="S124" s="3" t="s">
        <v>1324</v>
      </c>
      <c r="T124" s="3" t="s">
        <v>4473</v>
      </c>
      <c r="U124" s="3" t="s">
        <v>4474</v>
      </c>
      <c r="V124" s="3" t="s">
        <v>1721</v>
      </c>
      <c r="W124" s="3" t="s">
        <v>4475</v>
      </c>
      <c r="X124" s="3" t="s">
        <v>2502</v>
      </c>
      <c r="Y124" s="3" t="s">
        <v>4476</v>
      </c>
      <c r="Z124" s="3" t="s">
        <v>4477</v>
      </c>
      <c r="AA124" s="3" t="s">
        <v>1324</v>
      </c>
      <c r="AB124" s="3" t="s">
        <v>1324</v>
      </c>
      <c r="AC124" s="3" t="s">
        <v>4478</v>
      </c>
      <c r="AD124" s="3" t="s">
        <v>4479</v>
      </c>
      <c r="AE124" s="3" t="s">
        <v>4480</v>
      </c>
      <c r="AF124" s="3" t="s">
        <v>1324</v>
      </c>
      <c r="AG124" s="3">
        <v>91.0</v>
      </c>
      <c r="AH124" s="3">
        <v>234.0</v>
      </c>
      <c r="AI124" s="3">
        <v>289.0</v>
      </c>
      <c r="AJ124" s="3">
        <v>5.0</v>
      </c>
      <c r="AK124" s="3">
        <v>198.0</v>
      </c>
      <c r="AL124" s="3" t="s">
        <v>4373</v>
      </c>
      <c r="AM124" s="3" t="s">
        <v>2400</v>
      </c>
      <c r="AN124" s="3" t="s">
        <v>4374</v>
      </c>
      <c r="AO124" s="3" t="s">
        <v>4375</v>
      </c>
      <c r="AP124" s="3" t="s">
        <v>4376</v>
      </c>
      <c r="AQ124" s="3" t="s">
        <v>1324</v>
      </c>
      <c r="AR124" s="3" t="s">
        <v>4377</v>
      </c>
      <c r="AS124" s="3" t="s">
        <v>4378</v>
      </c>
      <c r="AT124" s="3" t="s">
        <v>4481</v>
      </c>
      <c r="AU124" s="3">
        <v>2010.0</v>
      </c>
      <c r="AV124" s="3">
        <v>365.0</v>
      </c>
      <c r="AW124" s="3">
        <v>1558.0</v>
      </c>
      <c r="AX124" s="3" t="s">
        <v>1324</v>
      </c>
      <c r="AY124" s="3" t="s">
        <v>1324</v>
      </c>
      <c r="AZ124" s="3" t="s">
        <v>1324</v>
      </c>
      <c r="BA124" s="3" t="s">
        <v>1324</v>
      </c>
      <c r="BB124" s="3">
        <v>3709.0</v>
      </c>
      <c r="BC124" s="3">
        <v>3718.0</v>
      </c>
      <c r="BD124" s="3" t="s">
        <v>1324</v>
      </c>
      <c r="BE124" s="3" t="s">
        <v>1722</v>
      </c>
      <c r="BF124" s="25" t="str">
        <f>HYPERLINK("http://dx.doi.org/10.1098/rstb.2010.0273","http://dx.doi.org/10.1098/rstb.2010.0273")</f>
        <v>http://dx.doi.org/10.1098/rstb.2010.0273</v>
      </c>
      <c r="BG124" s="3" t="s">
        <v>1324</v>
      </c>
      <c r="BH124" s="3" t="s">
        <v>1324</v>
      </c>
      <c r="BI124" s="3">
        <v>10.0</v>
      </c>
      <c r="BJ124" s="3" t="s">
        <v>188</v>
      </c>
      <c r="BK124" s="3" t="s">
        <v>2407</v>
      </c>
      <c r="BL124" s="3" t="s">
        <v>3721</v>
      </c>
      <c r="BM124" s="3" t="s">
        <v>4482</v>
      </c>
      <c r="BN124" s="3">
        <v>2.0980318E7</v>
      </c>
      <c r="BO124" s="3" t="s">
        <v>1324</v>
      </c>
      <c r="BP124" s="3" t="s">
        <v>1324</v>
      </c>
      <c r="BQ124" s="3" t="s">
        <v>1324</v>
      </c>
      <c r="BR124" s="3" t="s">
        <v>2383</v>
      </c>
      <c r="BS124" s="3" t="s">
        <v>4483</v>
      </c>
      <c r="BT124" s="3" t="str">
        <f>HYPERLINK("https%3A%2F%2Fwww.webofscience.com%2Fwos%2Fwoscc%2Ffull-record%2FWOS:000283665200011","View Full Record in Web of Science")</f>
        <v>View Full Record in Web of Science</v>
      </c>
    </row>
    <row r="125" ht="12.75" customHeight="1">
      <c r="A125" s="3" t="s">
        <v>26</v>
      </c>
      <c r="B125" s="3" t="s">
        <v>4484</v>
      </c>
      <c r="C125" s="3" t="s">
        <v>1324</v>
      </c>
      <c r="D125" s="3" t="s">
        <v>1324</v>
      </c>
      <c r="E125" s="3" t="s">
        <v>1324</v>
      </c>
      <c r="F125" s="3" t="s">
        <v>1598</v>
      </c>
      <c r="G125" s="3" t="s">
        <v>1324</v>
      </c>
      <c r="H125" s="3" t="s">
        <v>1324</v>
      </c>
      <c r="I125" s="3" t="s">
        <v>1599</v>
      </c>
      <c r="J125" s="3" t="s">
        <v>1120</v>
      </c>
      <c r="K125" s="3" t="s">
        <v>1324</v>
      </c>
      <c r="L125" s="3" t="s">
        <v>1324</v>
      </c>
      <c r="M125" s="3" t="s">
        <v>2364</v>
      </c>
      <c r="N125" s="3" t="s">
        <v>38</v>
      </c>
      <c r="O125" s="3" t="s">
        <v>1324</v>
      </c>
      <c r="P125" s="3" t="s">
        <v>1324</v>
      </c>
      <c r="Q125" s="3" t="s">
        <v>1324</v>
      </c>
      <c r="R125" s="3" t="s">
        <v>1324</v>
      </c>
      <c r="S125" s="3" t="s">
        <v>1324</v>
      </c>
      <c r="T125" s="3" t="s">
        <v>4485</v>
      </c>
      <c r="U125" s="3" t="s">
        <v>4486</v>
      </c>
      <c r="V125" s="3" t="s">
        <v>1600</v>
      </c>
      <c r="W125" s="3" t="s">
        <v>4487</v>
      </c>
      <c r="X125" s="3" t="s">
        <v>4488</v>
      </c>
      <c r="Y125" s="3" t="s">
        <v>4489</v>
      </c>
      <c r="Z125" s="3" t="s">
        <v>4490</v>
      </c>
      <c r="AA125" s="3" t="s">
        <v>4491</v>
      </c>
      <c r="AB125" s="3" t="s">
        <v>4492</v>
      </c>
      <c r="AC125" s="3" t="s">
        <v>4493</v>
      </c>
      <c r="AD125" s="3" t="s">
        <v>4494</v>
      </c>
      <c r="AE125" s="3" t="s">
        <v>4495</v>
      </c>
      <c r="AF125" s="3" t="s">
        <v>1324</v>
      </c>
      <c r="AG125" s="3">
        <v>59.0</v>
      </c>
      <c r="AH125" s="3">
        <v>32.0</v>
      </c>
      <c r="AI125" s="3">
        <v>33.0</v>
      </c>
      <c r="AJ125" s="3">
        <v>0.0</v>
      </c>
      <c r="AK125" s="3">
        <v>53.0</v>
      </c>
      <c r="AL125" s="3" t="s">
        <v>2464</v>
      </c>
      <c r="AM125" s="3" t="s">
        <v>2465</v>
      </c>
      <c r="AN125" s="3" t="s">
        <v>2466</v>
      </c>
      <c r="AO125" s="3" t="s">
        <v>4496</v>
      </c>
      <c r="AP125" s="3" t="s">
        <v>4497</v>
      </c>
      <c r="AQ125" s="3" t="s">
        <v>1324</v>
      </c>
      <c r="AR125" s="3" t="s">
        <v>4498</v>
      </c>
      <c r="AS125" s="3" t="s">
        <v>4499</v>
      </c>
      <c r="AT125" s="3" t="s">
        <v>3518</v>
      </c>
      <c r="AU125" s="3">
        <v>2010.0</v>
      </c>
      <c r="AV125" s="3">
        <v>13.0</v>
      </c>
      <c r="AW125" s="3">
        <v>5.0</v>
      </c>
      <c r="AX125" s="3" t="s">
        <v>1324</v>
      </c>
      <c r="AY125" s="3" t="s">
        <v>1324</v>
      </c>
      <c r="AZ125" s="3" t="s">
        <v>1324</v>
      </c>
      <c r="BA125" s="3" t="s">
        <v>1324</v>
      </c>
      <c r="BB125" s="3">
        <v>495.0</v>
      </c>
      <c r="BC125" s="3">
        <v>504.0</v>
      </c>
      <c r="BD125" s="3" t="s">
        <v>1324</v>
      </c>
      <c r="BE125" s="3" t="s">
        <v>1601</v>
      </c>
      <c r="BF125" s="25" t="str">
        <f>HYPERLINK("http://dx.doi.org/10.1111/j.1469-1795.2010.00369.x","http://dx.doi.org/10.1111/j.1469-1795.2010.00369.x")</f>
        <v>http://dx.doi.org/10.1111/j.1469-1795.2010.00369.x</v>
      </c>
      <c r="BG125" s="3" t="s">
        <v>1324</v>
      </c>
      <c r="BH125" s="3" t="s">
        <v>1324</v>
      </c>
      <c r="BI125" s="3">
        <v>10.0</v>
      </c>
      <c r="BJ125" s="3" t="s">
        <v>1124</v>
      </c>
      <c r="BK125" s="3" t="s">
        <v>2407</v>
      </c>
      <c r="BL125" s="3" t="s">
        <v>2577</v>
      </c>
      <c r="BM125" s="3" t="s">
        <v>4500</v>
      </c>
      <c r="BN125" s="3" t="s">
        <v>1324</v>
      </c>
      <c r="BO125" s="3" t="s">
        <v>2579</v>
      </c>
      <c r="BP125" s="3" t="s">
        <v>1324</v>
      </c>
      <c r="BQ125" s="3" t="s">
        <v>1324</v>
      </c>
      <c r="BR125" s="3" t="s">
        <v>2383</v>
      </c>
      <c r="BS125" s="3" t="s">
        <v>4501</v>
      </c>
      <c r="BT125" s="3" t="str">
        <f>HYPERLINK("https%3A%2F%2Fwww.webofscience.com%2Fwos%2Fwoscc%2Ffull-record%2FWOS:000282370500011","View Full Record in Web of Science")</f>
        <v>View Full Record in Web of Science</v>
      </c>
    </row>
    <row r="126" ht="12.75" customHeight="1">
      <c r="A126" s="3" t="s">
        <v>26</v>
      </c>
      <c r="B126" s="3" t="s">
        <v>4502</v>
      </c>
      <c r="C126" s="3" t="s">
        <v>1324</v>
      </c>
      <c r="D126" s="3" t="s">
        <v>1324</v>
      </c>
      <c r="E126" s="3" t="s">
        <v>1324</v>
      </c>
      <c r="F126" s="3" t="s">
        <v>1741</v>
      </c>
      <c r="G126" s="3" t="s">
        <v>1324</v>
      </c>
      <c r="H126" s="3" t="s">
        <v>1324</v>
      </c>
      <c r="I126" s="3" t="s">
        <v>1743</v>
      </c>
      <c r="J126" s="3" t="s">
        <v>1742</v>
      </c>
      <c r="K126" s="3" t="s">
        <v>1324</v>
      </c>
      <c r="L126" s="3" t="s">
        <v>1324</v>
      </c>
      <c r="M126" s="3" t="s">
        <v>2364</v>
      </c>
      <c r="N126" s="3" t="s">
        <v>38</v>
      </c>
      <c r="O126" s="3" t="s">
        <v>1324</v>
      </c>
      <c r="P126" s="3" t="s">
        <v>1324</v>
      </c>
      <c r="Q126" s="3" t="s">
        <v>1324</v>
      </c>
      <c r="R126" s="3" t="s">
        <v>1324</v>
      </c>
      <c r="S126" s="3" t="s">
        <v>1324</v>
      </c>
      <c r="T126" s="3" t="s">
        <v>1324</v>
      </c>
      <c r="U126" s="3" t="s">
        <v>4503</v>
      </c>
      <c r="V126" s="3" t="s">
        <v>1744</v>
      </c>
      <c r="W126" s="3" t="s">
        <v>4504</v>
      </c>
      <c r="X126" s="3" t="s">
        <v>4505</v>
      </c>
      <c r="Y126" s="3" t="s">
        <v>4506</v>
      </c>
      <c r="Z126" s="3" t="s">
        <v>4507</v>
      </c>
      <c r="AA126" s="3" t="s">
        <v>4508</v>
      </c>
      <c r="AB126" s="3" t="s">
        <v>4509</v>
      </c>
      <c r="AC126" s="3" t="s">
        <v>4510</v>
      </c>
      <c r="AD126" s="3" t="s">
        <v>4511</v>
      </c>
      <c r="AE126" s="3" t="s">
        <v>4512</v>
      </c>
      <c r="AF126" s="3" t="s">
        <v>1324</v>
      </c>
      <c r="AG126" s="3">
        <v>101.0</v>
      </c>
      <c r="AH126" s="3">
        <v>33.0</v>
      </c>
      <c r="AI126" s="3">
        <v>44.0</v>
      </c>
      <c r="AJ126" s="3">
        <v>2.0</v>
      </c>
      <c r="AK126" s="3">
        <v>56.0</v>
      </c>
      <c r="AL126" s="3" t="s">
        <v>4513</v>
      </c>
      <c r="AM126" s="3" t="s">
        <v>4514</v>
      </c>
      <c r="AN126" s="3" t="s">
        <v>4515</v>
      </c>
      <c r="AO126" s="3" t="s">
        <v>4516</v>
      </c>
      <c r="AP126" s="3" t="s">
        <v>4517</v>
      </c>
      <c r="AQ126" s="3" t="s">
        <v>1324</v>
      </c>
      <c r="AR126" s="3" t="s">
        <v>4518</v>
      </c>
      <c r="AS126" s="3" t="s">
        <v>4519</v>
      </c>
      <c r="AT126" s="3" t="s">
        <v>2515</v>
      </c>
      <c r="AU126" s="3">
        <v>2010.0</v>
      </c>
      <c r="AV126" s="3">
        <v>50.0</v>
      </c>
      <c r="AW126" s="3">
        <v>2.0</v>
      </c>
      <c r="AX126" s="3" t="s">
        <v>1324</v>
      </c>
      <c r="AY126" s="3" t="s">
        <v>1324</v>
      </c>
      <c r="AZ126" s="3" t="s">
        <v>1324</v>
      </c>
      <c r="BA126" s="3" t="s">
        <v>1324</v>
      </c>
      <c r="BB126" s="3">
        <v>201.0</v>
      </c>
      <c r="BC126" s="3">
        <v>212.0</v>
      </c>
      <c r="BD126" s="3" t="s">
        <v>1324</v>
      </c>
      <c r="BE126" s="3" t="s">
        <v>1745</v>
      </c>
      <c r="BF126" s="25" t="str">
        <f>HYPERLINK("http://dx.doi.org/10.1093/icb/icq072","http://dx.doi.org/10.1093/icb/icq072")</f>
        <v>http://dx.doi.org/10.1093/icb/icq072</v>
      </c>
      <c r="BG126" s="3" t="s">
        <v>1324</v>
      </c>
      <c r="BH126" s="3" t="s">
        <v>1324</v>
      </c>
      <c r="BI126" s="3">
        <v>12.0</v>
      </c>
      <c r="BJ126" s="3" t="s">
        <v>2691</v>
      </c>
      <c r="BK126" s="3" t="s">
        <v>2407</v>
      </c>
      <c r="BL126" s="3" t="s">
        <v>2691</v>
      </c>
      <c r="BM126" s="3" t="s">
        <v>4520</v>
      </c>
      <c r="BN126" s="3">
        <v>2.1558199E7</v>
      </c>
      <c r="BO126" s="3" t="s">
        <v>2715</v>
      </c>
      <c r="BP126" s="3" t="s">
        <v>1324</v>
      </c>
      <c r="BQ126" s="3" t="s">
        <v>1324</v>
      </c>
      <c r="BR126" s="3" t="s">
        <v>2383</v>
      </c>
      <c r="BS126" s="3" t="s">
        <v>4521</v>
      </c>
      <c r="BT126" s="3" t="str">
        <f>HYPERLINK("https%3A%2F%2Fwww.webofscience.com%2Fwos%2Fwoscc%2Ffull-record%2FWOS:000280279800005","View Full Record in Web of Science")</f>
        <v>View Full Record in Web of Science</v>
      </c>
    </row>
    <row r="127" ht="12.75" customHeight="1">
      <c r="A127" s="3" t="s">
        <v>26</v>
      </c>
      <c r="B127" s="3" t="s">
        <v>4522</v>
      </c>
      <c r="C127" s="3" t="s">
        <v>1324</v>
      </c>
      <c r="D127" s="3" t="s">
        <v>1324</v>
      </c>
      <c r="E127" s="3" t="s">
        <v>1324</v>
      </c>
      <c r="F127" s="3" t="s">
        <v>1724</v>
      </c>
      <c r="G127" s="3" t="s">
        <v>1324</v>
      </c>
      <c r="H127" s="3" t="s">
        <v>1324</v>
      </c>
      <c r="I127" s="3" t="s">
        <v>1726</v>
      </c>
      <c r="J127" s="3" t="s">
        <v>1725</v>
      </c>
      <c r="K127" s="3" t="s">
        <v>1324</v>
      </c>
      <c r="L127" s="3" t="s">
        <v>1324</v>
      </c>
      <c r="M127" s="3" t="s">
        <v>2364</v>
      </c>
      <c r="N127" s="3" t="s">
        <v>38</v>
      </c>
      <c r="O127" s="3" t="s">
        <v>1324</v>
      </c>
      <c r="P127" s="3" t="s">
        <v>1324</v>
      </c>
      <c r="Q127" s="3" t="s">
        <v>1324</v>
      </c>
      <c r="R127" s="3" t="s">
        <v>1324</v>
      </c>
      <c r="S127" s="3" t="s">
        <v>1324</v>
      </c>
      <c r="T127" s="3" t="s">
        <v>4523</v>
      </c>
      <c r="U127" s="3" t="s">
        <v>4524</v>
      </c>
      <c r="V127" s="3" t="s">
        <v>1727</v>
      </c>
      <c r="W127" s="3" t="s">
        <v>4525</v>
      </c>
      <c r="X127" s="3" t="s">
        <v>4526</v>
      </c>
      <c r="Y127" s="3" t="s">
        <v>4527</v>
      </c>
      <c r="Z127" s="3" t="s">
        <v>4528</v>
      </c>
      <c r="AA127" s="3" t="s">
        <v>4529</v>
      </c>
      <c r="AB127" s="3" t="s">
        <v>4530</v>
      </c>
      <c r="AC127" s="3" t="s">
        <v>4531</v>
      </c>
      <c r="AD127" s="3" t="s">
        <v>4532</v>
      </c>
      <c r="AE127" s="3" t="s">
        <v>4533</v>
      </c>
      <c r="AF127" s="3" t="s">
        <v>1324</v>
      </c>
      <c r="AG127" s="3">
        <v>40.0</v>
      </c>
      <c r="AH127" s="3">
        <v>164.0</v>
      </c>
      <c r="AI127" s="3">
        <v>185.0</v>
      </c>
      <c r="AJ127" s="3">
        <v>0.0</v>
      </c>
      <c r="AK127" s="3">
        <v>145.0</v>
      </c>
      <c r="AL127" s="3" t="s">
        <v>4373</v>
      </c>
      <c r="AM127" s="3" t="s">
        <v>2400</v>
      </c>
      <c r="AN127" s="3" t="s">
        <v>4374</v>
      </c>
      <c r="AO127" s="3" t="s">
        <v>4534</v>
      </c>
      <c r="AP127" s="3" t="s">
        <v>4535</v>
      </c>
      <c r="AQ127" s="3" t="s">
        <v>1324</v>
      </c>
      <c r="AR127" s="3" t="s">
        <v>4536</v>
      </c>
      <c r="AS127" s="3" t="s">
        <v>4537</v>
      </c>
      <c r="AT127" s="3" t="s">
        <v>4538</v>
      </c>
      <c r="AU127" s="3">
        <v>2010.0</v>
      </c>
      <c r="AV127" s="3">
        <v>277.0</v>
      </c>
      <c r="AW127" s="3">
        <v>1686.0</v>
      </c>
      <c r="AX127" s="3" t="s">
        <v>1324</v>
      </c>
      <c r="AY127" s="3" t="s">
        <v>1324</v>
      </c>
      <c r="AZ127" s="3" t="s">
        <v>1324</v>
      </c>
      <c r="BA127" s="3" t="s">
        <v>1324</v>
      </c>
      <c r="BB127" s="3">
        <v>1353.0</v>
      </c>
      <c r="BC127" s="3">
        <v>1360.0</v>
      </c>
      <c r="BD127" s="3" t="s">
        <v>1324</v>
      </c>
      <c r="BE127" s="3" t="s">
        <v>1728</v>
      </c>
      <c r="BF127" s="25" t="str">
        <f>HYPERLINK("http://dx.doi.org/10.1098/rspb.2009.1020","http://dx.doi.org/10.1098/rspb.2009.1020")</f>
        <v>http://dx.doi.org/10.1098/rspb.2009.1020</v>
      </c>
      <c r="BG127" s="3" t="s">
        <v>1324</v>
      </c>
      <c r="BH127" s="3" t="s">
        <v>1324</v>
      </c>
      <c r="BI127" s="3">
        <v>8.0</v>
      </c>
      <c r="BJ127" s="3" t="s">
        <v>139</v>
      </c>
      <c r="BK127" s="3" t="s">
        <v>2407</v>
      </c>
      <c r="BL127" s="3" t="s">
        <v>4539</v>
      </c>
      <c r="BM127" s="3" t="s">
        <v>4540</v>
      </c>
      <c r="BN127" s="3">
        <v>2.0031989E7</v>
      </c>
      <c r="BO127" s="3" t="s">
        <v>1324</v>
      </c>
      <c r="BP127" s="3" t="s">
        <v>1324</v>
      </c>
      <c r="BQ127" s="3" t="s">
        <v>1324</v>
      </c>
      <c r="BR127" s="3" t="s">
        <v>2383</v>
      </c>
      <c r="BS127" s="3" t="s">
        <v>4541</v>
      </c>
      <c r="BT127" s="3" t="str">
        <f>HYPERLINK("https%3A%2F%2Fwww.webofscience.com%2Fwos%2Fwoscc%2Ffull-record%2FWOS:000276003400008","View Full Record in Web of Science")</f>
        <v>View Full Record in Web of Science</v>
      </c>
    </row>
    <row r="128" ht="12.75" customHeight="1">
      <c r="A128" s="3" t="s">
        <v>26</v>
      </c>
      <c r="B128" s="3" t="s">
        <v>4542</v>
      </c>
      <c r="C128" s="3" t="s">
        <v>1324</v>
      </c>
      <c r="D128" s="3" t="s">
        <v>1324</v>
      </c>
      <c r="E128" s="3" t="s">
        <v>1324</v>
      </c>
      <c r="F128" s="3" t="s">
        <v>2259</v>
      </c>
      <c r="G128" s="3" t="s">
        <v>1324</v>
      </c>
      <c r="H128" s="3" t="s">
        <v>1324</v>
      </c>
      <c r="I128" s="3" t="s">
        <v>2260</v>
      </c>
      <c r="J128" s="3" t="s">
        <v>2244</v>
      </c>
      <c r="K128" s="3" t="s">
        <v>1324</v>
      </c>
      <c r="L128" s="3" t="s">
        <v>1324</v>
      </c>
      <c r="M128" s="3" t="s">
        <v>2364</v>
      </c>
      <c r="N128" s="3" t="s">
        <v>38</v>
      </c>
      <c r="O128" s="3" t="s">
        <v>1324</v>
      </c>
      <c r="P128" s="3" t="s">
        <v>1324</v>
      </c>
      <c r="Q128" s="3" t="s">
        <v>1324</v>
      </c>
      <c r="R128" s="3" t="s">
        <v>1324</v>
      </c>
      <c r="S128" s="3" t="s">
        <v>1324</v>
      </c>
      <c r="T128" s="3" t="s">
        <v>4543</v>
      </c>
      <c r="U128" s="3" t="s">
        <v>4544</v>
      </c>
      <c r="V128" s="3" t="s">
        <v>4545</v>
      </c>
      <c r="W128" s="3" t="s">
        <v>4546</v>
      </c>
      <c r="X128" s="3" t="s">
        <v>4547</v>
      </c>
      <c r="Y128" s="3" t="s">
        <v>4548</v>
      </c>
      <c r="Z128" s="3" t="s">
        <v>4549</v>
      </c>
      <c r="AA128" s="3" t="s">
        <v>4550</v>
      </c>
      <c r="AB128" s="3" t="s">
        <v>4551</v>
      </c>
      <c r="AC128" s="3" t="s">
        <v>4552</v>
      </c>
      <c r="AD128" s="3" t="s">
        <v>4553</v>
      </c>
      <c r="AE128" s="3" t="s">
        <v>4554</v>
      </c>
      <c r="AF128" s="3" t="s">
        <v>1324</v>
      </c>
      <c r="AG128" s="3">
        <v>85.0</v>
      </c>
      <c r="AH128" s="3">
        <v>24.0</v>
      </c>
      <c r="AI128" s="3">
        <v>25.0</v>
      </c>
      <c r="AJ128" s="3">
        <v>0.0</v>
      </c>
      <c r="AK128" s="3">
        <v>54.0</v>
      </c>
      <c r="AL128" s="3" t="s">
        <v>2464</v>
      </c>
      <c r="AM128" s="3" t="s">
        <v>2465</v>
      </c>
      <c r="AN128" s="3" t="s">
        <v>2466</v>
      </c>
      <c r="AO128" s="3" t="s">
        <v>2814</v>
      </c>
      <c r="AP128" s="3" t="s">
        <v>2815</v>
      </c>
      <c r="AQ128" s="3" t="s">
        <v>1324</v>
      </c>
      <c r="AR128" s="3" t="s">
        <v>2816</v>
      </c>
      <c r="AS128" s="3" t="s">
        <v>2817</v>
      </c>
      <c r="AT128" s="3" t="s">
        <v>2651</v>
      </c>
      <c r="AU128" s="3">
        <v>2010.0</v>
      </c>
      <c r="AV128" s="3">
        <v>20.0</v>
      </c>
      <c r="AW128" s="3">
        <v>3.0</v>
      </c>
      <c r="AX128" s="3" t="s">
        <v>1324</v>
      </c>
      <c r="AY128" s="3" t="s">
        <v>1324</v>
      </c>
      <c r="AZ128" s="3" t="s">
        <v>1324</v>
      </c>
      <c r="BA128" s="3" t="s">
        <v>1324</v>
      </c>
      <c r="BB128" s="3">
        <v>297.0</v>
      </c>
      <c r="BC128" s="3">
        <v>311.0</v>
      </c>
      <c r="BD128" s="3" t="s">
        <v>1324</v>
      </c>
      <c r="BE128" s="3" t="s">
        <v>2262</v>
      </c>
      <c r="BF128" s="25" t="str">
        <f>HYPERLINK("http://dx.doi.org/10.1002/aqc.1079","http://dx.doi.org/10.1002/aqc.1079")</f>
        <v>http://dx.doi.org/10.1002/aqc.1079</v>
      </c>
      <c r="BG128" s="3" t="s">
        <v>1324</v>
      </c>
      <c r="BH128" s="3" t="s">
        <v>1324</v>
      </c>
      <c r="BI128" s="3">
        <v>15.0</v>
      </c>
      <c r="BJ128" s="3" t="s">
        <v>2819</v>
      </c>
      <c r="BK128" s="3" t="s">
        <v>2407</v>
      </c>
      <c r="BL128" s="3" t="s">
        <v>2820</v>
      </c>
      <c r="BM128" s="3" t="s">
        <v>4555</v>
      </c>
      <c r="BN128" s="3" t="s">
        <v>1324</v>
      </c>
      <c r="BO128" s="3" t="s">
        <v>1324</v>
      </c>
      <c r="BP128" s="3" t="s">
        <v>1324</v>
      </c>
      <c r="BQ128" s="3" t="s">
        <v>1324</v>
      </c>
      <c r="BR128" s="3" t="s">
        <v>2383</v>
      </c>
      <c r="BS128" s="3" t="s">
        <v>4556</v>
      </c>
      <c r="BT128" s="3" t="str">
        <f>HYPERLINK("https%3A%2F%2Fwww.webofscience.com%2Fwos%2Fwoscc%2Ffull-record%2FWOS:000277830200007","View Full Record in Web of Science")</f>
        <v>View Full Record in Web of Science</v>
      </c>
    </row>
    <row r="129" ht="12.75" customHeight="1">
      <c r="A129" s="3" t="s">
        <v>26</v>
      </c>
      <c r="B129" s="3" t="s">
        <v>4557</v>
      </c>
      <c r="C129" s="3" t="s">
        <v>1324</v>
      </c>
      <c r="D129" s="3" t="s">
        <v>1324</v>
      </c>
      <c r="E129" s="3" t="s">
        <v>1324</v>
      </c>
      <c r="F129" s="3" t="s">
        <v>1483</v>
      </c>
      <c r="G129" s="3" t="s">
        <v>1324</v>
      </c>
      <c r="H129" s="3" t="s">
        <v>1324</v>
      </c>
      <c r="I129" s="3" t="s">
        <v>1484</v>
      </c>
      <c r="J129" s="3" t="s">
        <v>365</v>
      </c>
      <c r="K129" s="3" t="s">
        <v>1324</v>
      </c>
      <c r="L129" s="3" t="s">
        <v>1324</v>
      </c>
      <c r="M129" s="3" t="s">
        <v>2364</v>
      </c>
      <c r="N129" s="3" t="s">
        <v>38</v>
      </c>
      <c r="O129" s="3" t="s">
        <v>1324</v>
      </c>
      <c r="P129" s="3" t="s">
        <v>1324</v>
      </c>
      <c r="Q129" s="3" t="s">
        <v>1324</v>
      </c>
      <c r="R129" s="3" t="s">
        <v>1324</v>
      </c>
      <c r="S129" s="3" t="s">
        <v>1324</v>
      </c>
      <c r="T129" s="3" t="s">
        <v>1324</v>
      </c>
      <c r="U129" s="3" t="s">
        <v>4558</v>
      </c>
      <c r="V129" s="3" t="s">
        <v>1485</v>
      </c>
      <c r="W129" s="3" t="s">
        <v>4559</v>
      </c>
      <c r="X129" s="3" t="s">
        <v>4560</v>
      </c>
      <c r="Y129" s="3" t="s">
        <v>4561</v>
      </c>
      <c r="Z129" s="3" t="s">
        <v>4562</v>
      </c>
      <c r="AA129" s="3" t="s">
        <v>4563</v>
      </c>
      <c r="AB129" s="3" t="s">
        <v>4564</v>
      </c>
      <c r="AC129" s="3" t="s">
        <v>4565</v>
      </c>
      <c r="AD129" s="3" t="s">
        <v>4565</v>
      </c>
      <c r="AE129" s="3" t="s">
        <v>4566</v>
      </c>
      <c r="AF129" s="3" t="s">
        <v>1324</v>
      </c>
      <c r="AG129" s="3">
        <v>86.0</v>
      </c>
      <c r="AH129" s="3">
        <v>882.0</v>
      </c>
      <c r="AI129" s="3">
        <v>1068.0</v>
      </c>
      <c r="AJ129" s="3">
        <v>13.0</v>
      </c>
      <c r="AK129" s="3">
        <v>155.0</v>
      </c>
      <c r="AL129" s="3" t="s">
        <v>2423</v>
      </c>
      <c r="AM129" s="3" t="s">
        <v>2424</v>
      </c>
      <c r="AN129" s="3" t="s">
        <v>2425</v>
      </c>
      <c r="AO129" s="3" t="s">
        <v>2426</v>
      </c>
      <c r="AP129" s="3" t="s">
        <v>1324</v>
      </c>
      <c r="AQ129" s="3" t="s">
        <v>1324</v>
      </c>
      <c r="AR129" s="3" t="s">
        <v>365</v>
      </c>
      <c r="AS129" s="3" t="s">
        <v>2427</v>
      </c>
      <c r="AT129" s="3" t="s">
        <v>4567</v>
      </c>
      <c r="AU129" s="3">
        <v>2010.0</v>
      </c>
      <c r="AV129" s="3">
        <v>5.0</v>
      </c>
      <c r="AW129" s="3">
        <v>4.0</v>
      </c>
      <c r="AX129" s="3" t="s">
        <v>1324</v>
      </c>
      <c r="AY129" s="3" t="s">
        <v>1324</v>
      </c>
      <c r="AZ129" s="3" t="s">
        <v>1324</v>
      </c>
      <c r="BA129" s="3" t="s">
        <v>1324</v>
      </c>
      <c r="BB129" s="3" t="s">
        <v>1324</v>
      </c>
      <c r="BC129" s="3" t="s">
        <v>1324</v>
      </c>
      <c r="BD129" s="3" t="s">
        <v>4568</v>
      </c>
      <c r="BE129" s="3" t="s">
        <v>1486</v>
      </c>
      <c r="BF129" s="25" t="str">
        <f>HYPERLINK("http://dx.doi.org/10.1371/journal.pone.0010095","http://dx.doi.org/10.1371/journal.pone.0010095")</f>
        <v>http://dx.doi.org/10.1371/journal.pone.0010095</v>
      </c>
      <c r="BG129" s="3" t="s">
        <v>1324</v>
      </c>
      <c r="BH129" s="3" t="s">
        <v>1324</v>
      </c>
      <c r="BI129" s="3">
        <v>10.0</v>
      </c>
      <c r="BJ129" s="3" t="s">
        <v>42</v>
      </c>
      <c r="BK129" s="3" t="s">
        <v>2407</v>
      </c>
      <c r="BL129" s="3" t="s">
        <v>2430</v>
      </c>
      <c r="BM129" s="3" t="s">
        <v>4569</v>
      </c>
      <c r="BN129" s="3">
        <v>2.038671E7</v>
      </c>
      <c r="BO129" s="3" t="s">
        <v>2410</v>
      </c>
      <c r="BP129" s="3" t="s">
        <v>1324</v>
      </c>
      <c r="BQ129" s="3" t="s">
        <v>1324</v>
      </c>
      <c r="BR129" s="3" t="s">
        <v>2383</v>
      </c>
      <c r="BS129" s="3" t="s">
        <v>4570</v>
      </c>
      <c r="BT129" s="3" t="str">
        <f>HYPERLINK("https%3A%2F%2Fwww.webofscience.com%2Fwos%2Fwoscc%2Ffull-record%2FWOS:000276482000021","View Full Record in Web of Science")</f>
        <v>View Full Record in Web of Science</v>
      </c>
    </row>
    <row r="130" ht="12.75" customHeight="1">
      <c r="A130" s="3" t="s">
        <v>26</v>
      </c>
      <c r="B130" s="3" t="s">
        <v>4571</v>
      </c>
      <c r="C130" s="3" t="s">
        <v>1324</v>
      </c>
      <c r="D130" s="3" t="s">
        <v>1324</v>
      </c>
      <c r="E130" s="3" t="s">
        <v>1324</v>
      </c>
      <c r="F130" s="3" t="s">
        <v>1411</v>
      </c>
      <c r="G130" s="3" t="s">
        <v>1324</v>
      </c>
      <c r="H130" s="3" t="s">
        <v>1324</v>
      </c>
      <c r="I130" s="3" t="s">
        <v>1412</v>
      </c>
      <c r="J130" s="3" t="s">
        <v>1397</v>
      </c>
      <c r="K130" s="3" t="s">
        <v>1324</v>
      </c>
      <c r="L130" s="3" t="s">
        <v>1324</v>
      </c>
      <c r="M130" s="3" t="s">
        <v>2364</v>
      </c>
      <c r="N130" s="3" t="s">
        <v>38</v>
      </c>
      <c r="O130" s="3" t="s">
        <v>1324</v>
      </c>
      <c r="P130" s="3" t="s">
        <v>1324</v>
      </c>
      <c r="Q130" s="3" t="s">
        <v>1324</v>
      </c>
      <c r="R130" s="3" t="s">
        <v>1324</v>
      </c>
      <c r="S130" s="3" t="s">
        <v>1324</v>
      </c>
      <c r="T130" s="3" t="s">
        <v>4572</v>
      </c>
      <c r="U130" s="3" t="s">
        <v>4573</v>
      </c>
      <c r="V130" s="3" t="s">
        <v>1413</v>
      </c>
      <c r="W130" s="3" t="s">
        <v>4574</v>
      </c>
      <c r="X130" s="3" t="s">
        <v>4575</v>
      </c>
      <c r="Y130" s="3" t="s">
        <v>4576</v>
      </c>
      <c r="Z130" s="3" t="s">
        <v>4577</v>
      </c>
      <c r="AA130" s="3" t="s">
        <v>1324</v>
      </c>
      <c r="AB130" s="3" t="s">
        <v>4578</v>
      </c>
      <c r="AC130" s="3" t="s">
        <v>1324</v>
      </c>
      <c r="AD130" s="3" t="s">
        <v>1324</v>
      </c>
      <c r="AE130" s="3" t="s">
        <v>1324</v>
      </c>
      <c r="AF130" s="3" t="s">
        <v>1324</v>
      </c>
      <c r="AG130" s="3">
        <v>45.0</v>
      </c>
      <c r="AH130" s="3">
        <v>86.0</v>
      </c>
      <c r="AI130" s="3">
        <v>87.0</v>
      </c>
      <c r="AJ130" s="3">
        <v>1.0</v>
      </c>
      <c r="AK130" s="3">
        <v>50.0</v>
      </c>
      <c r="AL130" s="3" t="s">
        <v>2769</v>
      </c>
      <c r="AM130" s="3" t="s">
        <v>2770</v>
      </c>
      <c r="AN130" s="3" t="s">
        <v>2771</v>
      </c>
      <c r="AO130" s="3" t="s">
        <v>2772</v>
      </c>
      <c r="AP130" s="3" t="s">
        <v>1324</v>
      </c>
      <c r="AQ130" s="3" t="s">
        <v>1324</v>
      </c>
      <c r="AR130" s="3" t="s">
        <v>2774</v>
      </c>
      <c r="AS130" s="3" t="s">
        <v>2775</v>
      </c>
      <c r="AT130" s="3" t="s">
        <v>1324</v>
      </c>
      <c r="AU130" s="3">
        <v>2010.0</v>
      </c>
      <c r="AV130" s="3">
        <v>413.0</v>
      </c>
      <c r="AW130" s="3" t="s">
        <v>1324</v>
      </c>
      <c r="AX130" s="3" t="s">
        <v>1324</v>
      </c>
      <c r="AY130" s="3" t="s">
        <v>1324</v>
      </c>
      <c r="AZ130" s="3" t="s">
        <v>1324</v>
      </c>
      <c r="BA130" s="3" t="s">
        <v>1324</v>
      </c>
      <c r="BB130" s="3">
        <v>241.0</v>
      </c>
      <c r="BC130" s="3">
        <v>252.0</v>
      </c>
      <c r="BD130" s="3" t="s">
        <v>1324</v>
      </c>
      <c r="BE130" s="3" t="s">
        <v>1414</v>
      </c>
      <c r="BF130" s="25" t="str">
        <f>HYPERLINK("http://dx.doi.org/10.3354/meps08592","http://dx.doi.org/10.3354/meps08592")</f>
        <v>http://dx.doi.org/10.3354/meps08592</v>
      </c>
      <c r="BG130" s="3" t="s">
        <v>1324</v>
      </c>
      <c r="BH130" s="3" t="s">
        <v>1324</v>
      </c>
      <c r="BI130" s="3">
        <v>12.0</v>
      </c>
      <c r="BJ130" s="3" t="s">
        <v>2447</v>
      </c>
      <c r="BK130" s="3" t="s">
        <v>2407</v>
      </c>
      <c r="BL130" s="3" t="s">
        <v>2449</v>
      </c>
      <c r="BM130" s="3" t="s">
        <v>4579</v>
      </c>
      <c r="BN130" s="3" t="s">
        <v>1324</v>
      </c>
      <c r="BO130" s="3" t="s">
        <v>2715</v>
      </c>
      <c r="BP130" s="3" t="s">
        <v>1324</v>
      </c>
      <c r="BQ130" s="3" t="s">
        <v>1324</v>
      </c>
      <c r="BR130" s="3" t="s">
        <v>2383</v>
      </c>
      <c r="BS130" s="3" t="s">
        <v>4580</v>
      </c>
      <c r="BT130" s="3" t="str">
        <f>HYPERLINK("https%3A%2F%2Fwww.webofscience.com%2Fwos%2Fwoscc%2Ffull-record%2FWOS:000281566900019","View Full Record in Web of Science")</f>
        <v>View Full Record in Web of Science</v>
      </c>
    </row>
    <row r="131" ht="12.75" customHeight="1">
      <c r="A131" s="3" t="s">
        <v>26</v>
      </c>
      <c r="B131" s="3" t="s">
        <v>4581</v>
      </c>
      <c r="C131" s="3" t="s">
        <v>1324</v>
      </c>
      <c r="D131" s="3" t="s">
        <v>1324</v>
      </c>
      <c r="E131" s="3" t="s">
        <v>1324</v>
      </c>
      <c r="F131" s="3" t="s">
        <v>1592</v>
      </c>
      <c r="G131" s="3" t="s">
        <v>1324</v>
      </c>
      <c r="H131" s="3" t="s">
        <v>1324</v>
      </c>
      <c r="I131" s="3" t="s">
        <v>1594</v>
      </c>
      <c r="J131" s="3" t="s">
        <v>1593</v>
      </c>
      <c r="K131" s="3" t="s">
        <v>1324</v>
      </c>
      <c r="L131" s="3" t="s">
        <v>1324</v>
      </c>
      <c r="M131" s="3" t="s">
        <v>2364</v>
      </c>
      <c r="N131" s="3" t="s">
        <v>38</v>
      </c>
      <c r="O131" s="3" t="s">
        <v>1324</v>
      </c>
      <c r="P131" s="3" t="s">
        <v>1324</v>
      </c>
      <c r="Q131" s="3" t="s">
        <v>1324</v>
      </c>
      <c r="R131" s="3" t="s">
        <v>1324</v>
      </c>
      <c r="S131" s="3" t="s">
        <v>1324</v>
      </c>
      <c r="T131" s="3" t="s">
        <v>4582</v>
      </c>
      <c r="U131" s="3" t="s">
        <v>4583</v>
      </c>
      <c r="V131" s="3" t="s">
        <v>4584</v>
      </c>
      <c r="W131" s="3" t="s">
        <v>4585</v>
      </c>
      <c r="X131" s="3" t="s">
        <v>4586</v>
      </c>
      <c r="Y131" s="3" t="s">
        <v>4587</v>
      </c>
      <c r="Z131" s="3" t="s">
        <v>4588</v>
      </c>
      <c r="AA131" s="3" t="s">
        <v>4589</v>
      </c>
      <c r="AB131" s="3" t="s">
        <v>4590</v>
      </c>
      <c r="AC131" s="3" t="s">
        <v>4591</v>
      </c>
      <c r="AD131" s="3" t="s">
        <v>4591</v>
      </c>
      <c r="AE131" s="3" t="s">
        <v>4592</v>
      </c>
      <c r="AF131" s="3" t="s">
        <v>1324</v>
      </c>
      <c r="AG131" s="3">
        <v>53.0</v>
      </c>
      <c r="AH131" s="3">
        <v>487.0</v>
      </c>
      <c r="AI131" s="3">
        <v>586.0</v>
      </c>
      <c r="AJ131" s="3">
        <v>8.0</v>
      </c>
      <c r="AK131" s="3">
        <v>412.0</v>
      </c>
      <c r="AL131" s="3" t="s">
        <v>4593</v>
      </c>
      <c r="AM131" s="3" t="s">
        <v>4594</v>
      </c>
      <c r="AN131" s="3" t="s">
        <v>4595</v>
      </c>
      <c r="AO131" s="3" t="s">
        <v>2751</v>
      </c>
      <c r="AP131" s="3" t="s">
        <v>1324</v>
      </c>
      <c r="AQ131" s="3" t="s">
        <v>1324</v>
      </c>
      <c r="AR131" s="3" t="s">
        <v>2753</v>
      </c>
      <c r="AS131" s="3" t="s">
        <v>2754</v>
      </c>
      <c r="AT131" s="3" t="s">
        <v>3208</v>
      </c>
      <c r="AU131" s="3">
        <v>2010.0</v>
      </c>
      <c r="AV131" s="3">
        <v>16.0</v>
      </c>
      <c r="AW131" s="3">
        <v>1.0</v>
      </c>
      <c r="AX131" s="3" t="s">
        <v>1324</v>
      </c>
      <c r="AY131" s="3" t="s">
        <v>1324</v>
      </c>
      <c r="AZ131" s="3" t="s">
        <v>1324</v>
      </c>
      <c r="BA131" s="3" t="s">
        <v>1324</v>
      </c>
      <c r="BB131" s="3">
        <v>95.0</v>
      </c>
      <c r="BC131" s="3">
        <v>108.0</v>
      </c>
      <c r="BD131" s="3" t="s">
        <v>1324</v>
      </c>
      <c r="BE131" s="3" t="s">
        <v>1596</v>
      </c>
      <c r="BF131" s="25" t="str">
        <f>HYPERLINK("http://dx.doi.org/10.1111/j.1472-4642.2009.00633.x","http://dx.doi.org/10.1111/j.1472-4642.2009.00633.x")</f>
        <v>http://dx.doi.org/10.1111/j.1472-4642.2009.00633.x</v>
      </c>
      <c r="BG131" s="3" t="s">
        <v>1324</v>
      </c>
      <c r="BH131" s="3" t="s">
        <v>1324</v>
      </c>
      <c r="BI131" s="3">
        <v>14.0</v>
      </c>
      <c r="BJ131" s="3" t="s">
        <v>1124</v>
      </c>
      <c r="BK131" s="3" t="s">
        <v>2407</v>
      </c>
      <c r="BL131" s="3" t="s">
        <v>2577</v>
      </c>
      <c r="BM131" s="3" t="s">
        <v>4596</v>
      </c>
      <c r="BN131" s="3" t="s">
        <v>1324</v>
      </c>
      <c r="BO131" s="3" t="s">
        <v>2715</v>
      </c>
      <c r="BP131" s="3" t="s">
        <v>1324</v>
      </c>
      <c r="BQ131" s="3" t="s">
        <v>1324</v>
      </c>
      <c r="BR131" s="3" t="s">
        <v>2383</v>
      </c>
      <c r="BS131" s="3" t="s">
        <v>4597</v>
      </c>
      <c r="BT131" s="3" t="str">
        <f>HYPERLINK("https%3A%2F%2Fwww.webofscience.com%2Fwos%2Fwoscc%2Ffull-record%2FWOS:000273723100010","View Full Record in Web of Science")</f>
        <v>View Full Record in Web of Science</v>
      </c>
    </row>
    <row r="132" ht="12.75" customHeight="1">
      <c r="A132" s="3" t="s">
        <v>26</v>
      </c>
      <c r="B132" s="3" t="s">
        <v>4598</v>
      </c>
      <c r="C132" s="3" t="s">
        <v>1324</v>
      </c>
      <c r="D132" s="3" t="s">
        <v>1324</v>
      </c>
      <c r="E132" s="3" t="s">
        <v>1324</v>
      </c>
      <c r="F132" s="3" t="s">
        <v>4599</v>
      </c>
      <c r="G132" s="3" t="s">
        <v>1324</v>
      </c>
      <c r="H132" s="3" t="s">
        <v>1324</v>
      </c>
      <c r="I132" s="3" t="s">
        <v>4600</v>
      </c>
      <c r="J132" s="3" t="s">
        <v>4601</v>
      </c>
      <c r="K132" s="3" t="s">
        <v>1324</v>
      </c>
      <c r="L132" s="3" t="s">
        <v>1324</v>
      </c>
      <c r="M132" s="3" t="s">
        <v>2364</v>
      </c>
      <c r="N132" s="3" t="s">
        <v>30</v>
      </c>
      <c r="O132" s="3" t="s">
        <v>1324</v>
      </c>
      <c r="P132" s="3" t="s">
        <v>1324</v>
      </c>
      <c r="Q132" s="3" t="s">
        <v>1324</v>
      </c>
      <c r="R132" s="3" t="s">
        <v>1324</v>
      </c>
      <c r="S132" s="3" t="s">
        <v>1324</v>
      </c>
      <c r="T132" s="3" t="s">
        <v>4602</v>
      </c>
      <c r="U132" s="3" t="s">
        <v>4603</v>
      </c>
      <c r="V132" s="3" t="s">
        <v>4604</v>
      </c>
      <c r="W132" s="3" t="s">
        <v>4605</v>
      </c>
      <c r="X132" s="3" t="s">
        <v>4606</v>
      </c>
      <c r="Y132" s="3" t="s">
        <v>4607</v>
      </c>
      <c r="Z132" s="3" t="s">
        <v>4608</v>
      </c>
      <c r="AA132" s="3" t="s">
        <v>4609</v>
      </c>
      <c r="AB132" s="3" t="s">
        <v>4610</v>
      </c>
      <c r="AC132" s="3" t="s">
        <v>4611</v>
      </c>
      <c r="AD132" s="3" t="s">
        <v>4612</v>
      </c>
      <c r="AE132" s="3" t="s">
        <v>4613</v>
      </c>
      <c r="AF132" s="3" t="s">
        <v>1324</v>
      </c>
      <c r="AG132" s="3">
        <v>115.0</v>
      </c>
      <c r="AH132" s="3">
        <v>120.0</v>
      </c>
      <c r="AI132" s="3">
        <v>136.0</v>
      </c>
      <c r="AJ132" s="3">
        <v>0.0</v>
      </c>
      <c r="AK132" s="3">
        <v>179.0</v>
      </c>
      <c r="AL132" s="3" t="s">
        <v>2486</v>
      </c>
      <c r="AM132" s="3" t="s">
        <v>2487</v>
      </c>
      <c r="AN132" s="3" t="s">
        <v>2488</v>
      </c>
      <c r="AO132" s="3" t="s">
        <v>4614</v>
      </c>
      <c r="AP132" s="3" t="s">
        <v>4615</v>
      </c>
      <c r="AQ132" s="3" t="s">
        <v>1324</v>
      </c>
      <c r="AR132" s="3" t="s">
        <v>4616</v>
      </c>
      <c r="AS132" s="3" t="s">
        <v>4617</v>
      </c>
      <c r="AT132" s="3" t="s">
        <v>4145</v>
      </c>
      <c r="AU132" s="3">
        <v>2009.0</v>
      </c>
      <c r="AV132" s="3">
        <v>69.0</v>
      </c>
      <c r="AW132" s="3">
        <v>2.0</v>
      </c>
      <c r="AX132" s="3" t="s">
        <v>1324</v>
      </c>
      <c r="AY132" s="3" t="s">
        <v>1324</v>
      </c>
      <c r="AZ132" s="3" t="s">
        <v>1324</v>
      </c>
      <c r="BA132" s="3" t="s">
        <v>1324</v>
      </c>
      <c r="BB132" s="3">
        <v>250.0</v>
      </c>
      <c r="BC132" s="3">
        <v>259.0</v>
      </c>
      <c r="BD132" s="3" t="s">
        <v>1324</v>
      </c>
      <c r="BE132" s="3" t="s">
        <v>2080</v>
      </c>
      <c r="BF132" s="25" t="str">
        <f>HYPERLINK("http://dx.doi.org/10.1016/j.ecolecon.2009.07.001","http://dx.doi.org/10.1016/j.ecolecon.2009.07.001")</f>
        <v>http://dx.doi.org/10.1016/j.ecolecon.2009.07.001</v>
      </c>
      <c r="BG132" s="3" t="s">
        <v>1324</v>
      </c>
      <c r="BH132" s="3" t="s">
        <v>1324</v>
      </c>
      <c r="BI132" s="3">
        <v>10.0</v>
      </c>
      <c r="BJ132" s="3" t="s">
        <v>4618</v>
      </c>
      <c r="BK132" s="3" t="s">
        <v>2878</v>
      </c>
      <c r="BL132" s="3" t="s">
        <v>4619</v>
      </c>
      <c r="BM132" s="3" t="s">
        <v>4620</v>
      </c>
      <c r="BN132" s="3" t="s">
        <v>1324</v>
      </c>
      <c r="BO132" s="3" t="s">
        <v>1324</v>
      </c>
      <c r="BP132" s="3" t="s">
        <v>1324</v>
      </c>
      <c r="BQ132" s="3" t="s">
        <v>1324</v>
      </c>
      <c r="BR132" s="3" t="s">
        <v>2383</v>
      </c>
      <c r="BS132" s="3" t="s">
        <v>4621</v>
      </c>
      <c r="BT132" s="3" t="str">
        <f>HYPERLINK("https%3A%2F%2Fwww.webofscience.com%2Fwos%2Fwoscc%2Ffull-record%2FWOS:000272871600005","View Full Record in Web of Science")</f>
        <v>View Full Record in Web of Science</v>
      </c>
    </row>
    <row r="133" ht="12.75" customHeight="1">
      <c r="A133" s="3" t="s">
        <v>26</v>
      </c>
      <c r="B133" s="3" t="s">
        <v>4622</v>
      </c>
      <c r="C133" s="3" t="s">
        <v>1324</v>
      </c>
      <c r="D133" s="3" t="s">
        <v>1324</v>
      </c>
      <c r="E133" s="3" t="s">
        <v>1324</v>
      </c>
      <c r="F133" s="3" t="s">
        <v>1586</v>
      </c>
      <c r="G133" s="3" t="s">
        <v>1324</v>
      </c>
      <c r="H133" s="3" t="s">
        <v>1324</v>
      </c>
      <c r="I133" s="3" t="s">
        <v>1588</v>
      </c>
      <c r="J133" s="3" t="s">
        <v>1587</v>
      </c>
      <c r="K133" s="3" t="s">
        <v>1324</v>
      </c>
      <c r="L133" s="3" t="s">
        <v>1324</v>
      </c>
      <c r="M133" s="3" t="s">
        <v>2364</v>
      </c>
      <c r="N133" s="3" t="s">
        <v>30</v>
      </c>
      <c r="O133" s="3" t="s">
        <v>1324</v>
      </c>
      <c r="P133" s="3" t="s">
        <v>1324</v>
      </c>
      <c r="Q133" s="3" t="s">
        <v>1324</v>
      </c>
      <c r="R133" s="3" t="s">
        <v>1324</v>
      </c>
      <c r="S133" s="3" t="s">
        <v>1324</v>
      </c>
      <c r="T133" s="3" t="s">
        <v>4623</v>
      </c>
      <c r="U133" s="3" t="s">
        <v>4624</v>
      </c>
      <c r="V133" s="3" t="s">
        <v>1589</v>
      </c>
      <c r="W133" s="3" t="s">
        <v>4625</v>
      </c>
      <c r="X133" s="3" t="s">
        <v>4626</v>
      </c>
      <c r="Y133" s="3" t="s">
        <v>4627</v>
      </c>
      <c r="Z133" s="3" t="s">
        <v>4628</v>
      </c>
      <c r="AA133" s="3" t="s">
        <v>4629</v>
      </c>
      <c r="AB133" s="3" t="s">
        <v>1324</v>
      </c>
      <c r="AC133" s="3" t="s">
        <v>4630</v>
      </c>
      <c r="AD133" s="3" t="s">
        <v>4631</v>
      </c>
      <c r="AE133" s="3" t="s">
        <v>4632</v>
      </c>
      <c r="AF133" s="3" t="s">
        <v>1324</v>
      </c>
      <c r="AG133" s="3">
        <v>119.0</v>
      </c>
      <c r="AH133" s="3">
        <v>108.0</v>
      </c>
      <c r="AI133" s="3">
        <v>127.0</v>
      </c>
      <c r="AJ133" s="3">
        <v>2.0</v>
      </c>
      <c r="AK133" s="3">
        <v>145.0</v>
      </c>
      <c r="AL133" s="3" t="s">
        <v>2464</v>
      </c>
      <c r="AM133" s="3" t="s">
        <v>2465</v>
      </c>
      <c r="AN133" s="3" t="s">
        <v>2466</v>
      </c>
      <c r="AO133" s="3" t="s">
        <v>3431</v>
      </c>
      <c r="AP133" s="3" t="s">
        <v>3432</v>
      </c>
      <c r="AQ133" s="3" t="s">
        <v>1324</v>
      </c>
      <c r="AR133" s="3" t="s">
        <v>3433</v>
      </c>
      <c r="AS133" s="3" t="s">
        <v>3434</v>
      </c>
      <c r="AT133" s="3" t="s">
        <v>2908</v>
      </c>
      <c r="AU133" s="3">
        <v>2009.0</v>
      </c>
      <c r="AV133" s="3">
        <v>23.0</v>
      </c>
      <c r="AW133" s="3">
        <v>6.0</v>
      </c>
      <c r="AX133" s="3" t="s">
        <v>1324</v>
      </c>
      <c r="AY133" s="3" t="s">
        <v>1324</v>
      </c>
      <c r="AZ133" s="3" t="s">
        <v>1324</v>
      </c>
      <c r="BA133" s="3" t="s">
        <v>1324</v>
      </c>
      <c r="BB133" s="3">
        <v>1427.0</v>
      </c>
      <c r="BC133" s="3">
        <v>1437.0</v>
      </c>
      <c r="BD133" s="3" t="s">
        <v>1324</v>
      </c>
      <c r="BE133" s="3" t="s">
        <v>1590</v>
      </c>
      <c r="BF133" s="25" t="str">
        <f>HYPERLINK("http://dx.doi.org/10.1111/j.1523-1739.2009.01336.x","http://dx.doi.org/10.1111/j.1523-1739.2009.01336.x")</f>
        <v>http://dx.doi.org/10.1111/j.1523-1739.2009.01336.x</v>
      </c>
      <c r="BG133" s="3" t="s">
        <v>1324</v>
      </c>
      <c r="BH133" s="3" t="s">
        <v>1324</v>
      </c>
      <c r="BI133" s="3">
        <v>11.0</v>
      </c>
      <c r="BJ133" s="3" t="s">
        <v>255</v>
      </c>
      <c r="BK133" s="3" t="s">
        <v>2407</v>
      </c>
      <c r="BL133" s="3" t="s">
        <v>2577</v>
      </c>
      <c r="BM133" s="3" t="s">
        <v>4633</v>
      </c>
      <c r="BN133" s="3">
        <v>2.0078643E7</v>
      </c>
      <c r="BO133" s="3" t="s">
        <v>2474</v>
      </c>
      <c r="BP133" s="3" t="s">
        <v>1324</v>
      </c>
      <c r="BQ133" s="3" t="s">
        <v>1324</v>
      </c>
      <c r="BR133" s="3" t="s">
        <v>2383</v>
      </c>
      <c r="BS133" s="3" t="s">
        <v>4634</v>
      </c>
      <c r="BT133" s="3" t="str">
        <f>HYPERLINK("https%3A%2F%2Fwww.webofscience.com%2Fwos%2Fwoscc%2Ffull-record%2FWOS:000272163100015","View Full Record in Web of Science")</f>
        <v>View Full Record in Web of Science</v>
      </c>
    </row>
    <row r="134" ht="12.75" customHeight="1">
      <c r="A134" s="3" t="s">
        <v>26</v>
      </c>
      <c r="B134" s="3" t="s">
        <v>4635</v>
      </c>
      <c r="C134" s="3" t="s">
        <v>1324</v>
      </c>
      <c r="D134" s="3" t="s">
        <v>1324</v>
      </c>
      <c r="E134" s="3" t="s">
        <v>1324</v>
      </c>
      <c r="F134" s="3" t="s">
        <v>2018</v>
      </c>
      <c r="G134" s="3" t="s">
        <v>1324</v>
      </c>
      <c r="H134" s="3" t="s">
        <v>1324</v>
      </c>
      <c r="I134" s="3" t="s">
        <v>2019</v>
      </c>
      <c r="J134" s="3" t="s">
        <v>2008</v>
      </c>
      <c r="K134" s="3" t="s">
        <v>1324</v>
      </c>
      <c r="L134" s="3" t="s">
        <v>1324</v>
      </c>
      <c r="M134" s="3" t="s">
        <v>2364</v>
      </c>
      <c r="N134" s="3" t="s">
        <v>38</v>
      </c>
      <c r="O134" s="3" t="s">
        <v>1324</v>
      </c>
      <c r="P134" s="3" t="s">
        <v>1324</v>
      </c>
      <c r="Q134" s="3" t="s">
        <v>1324</v>
      </c>
      <c r="R134" s="3" t="s">
        <v>1324</v>
      </c>
      <c r="S134" s="3" t="s">
        <v>1324</v>
      </c>
      <c r="T134" s="3" t="s">
        <v>4636</v>
      </c>
      <c r="U134" s="3" t="s">
        <v>4637</v>
      </c>
      <c r="V134" s="3" t="s">
        <v>2020</v>
      </c>
      <c r="W134" s="3" t="s">
        <v>4638</v>
      </c>
      <c r="X134" s="3" t="s">
        <v>4639</v>
      </c>
      <c r="Y134" s="3" t="s">
        <v>4640</v>
      </c>
      <c r="Z134" s="3" t="s">
        <v>4641</v>
      </c>
      <c r="AA134" s="3" t="s">
        <v>4642</v>
      </c>
      <c r="AB134" s="3" t="s">
        <v>4643</v>
      </c>
      <c r="AC134" s="3" t="s">
        <v>1324</v>
      </c>
      <c r="AD134" s="3" t="s">
        <v>1324</v>
      </c>
      <c r="AE134" s="3" t="s">
        <v>1324</v>
      </c>
      <c r="AF134" s="3" t="s">
        <v>1324</v>
      </c>
      <c r="AG134" s="3">
        <v>49.0</v>
      </c>
      <c r="AH134" s="3">
        <v>15.0</v>
      </c>
      <c r="AI134" s="3">
        <v>18.0</v>
      </c>
      <c r="AJ134" s="3">
        <v>0.0</v>
      </c>
      <c r="AK134" s="3">
        <v>27.0</v>
      </c>
      <c r="AL134" s="3" t="s">
        <v>2486</v>
      </c>
      <c r="AM134" s="3" t="s">
        <v>2487</v>
      </c>
      <c r="AN134" s="3" t="s">
        <v>2488</v>
      </c>
      <c r="AO134" s="3" t="s">
        <v>2489</v>
      </c>
      <c r="AP134" s="3" t="s">
        <v>2490</v>
      </c>
      <c r="AQ134" s="3" t="s">
        <v>1324</v>
      </c>
      <c r="AR134" s="3" t="s">
        <v>2491</v>
      </c>
      <c r="AS134" s="3" t="s">
        <v>2492</v>
      </c>
      <c r="AT134" s="3" t="s">
        <v>2979</v>
      </c>
      <c r="AU134" s="3">
        <v>2009.0</v>
      </c>
      <c r="AV134" s="3">
        <v>258.0</v>
      </c>
      <c r="AW134" s="3">
        <v>7.0</v>
      </c>
      <c r="AX134" s="3" t="s">
        <v>1324</v>
      </c>
      <c r="AY134" s="3" t="s">
        <v>1324</v>
      </c>
      <c r="AZ134" s="3" t="s">
        <v>1324</v>
      </c>
      <c r="BA134" s="3" t="s">
        <v>1324</v>
      </c>
      <c r="BB134" s="3">
        <v>1586.0</v>
      </c>
      <c r="BC134" s="3">
        <v>1593.0</v>
      </c>
      <c r="BD134" s="3" t="s">
        <v>1324</v>
      </c>
      <c r="BE134" s="3" t="s">
        <v>2021</v>
      </c>
      <c r="BF134" s="25" t="str">
        <f>HYPERLINK("http://dx.doi.org/10.1016/j.foreco.2009.07.013","http://dx.doi.org/10.1016/j.foreco.2009.07.013")</f>
        <v>http://dx.doi.org/10.1016/j.foreco.2009.07.013</v>
      </c>
      <c r="BG134" s="3" t="s">
        <v>1324</v>
      </c>
      <c r="BH134" s="3" t="s">
        <v>1324</v>
      </c>
      <c r="BI134" s="3">
        <v>8.0</v>
      </c>
      <c r="BJ134" s="3" t="s">
        <v>2494</v>
      </c>
      <c r="BK134" s="3" t="s">
        <v>2407</v>
      </c>
      <c r="BL134" s="3" t="s">
        <v>2494</v>
      </c>
      <c r="BM134" s="3" t="s">
        <v>4644</v>
      </c>
      <c r="BN134" s="3" t="s">
        <v>1324</v>
      </c>
      <c r="BO134" s="3" t="s">
        <v>1324</v>
      </c>
      <c r="BP134" s="3" t="s">
        <v>1324</v>
      </c>
      <c r="BQ134" s="3" t="s">
        <v>1324</v>
      </c>
      <c r="BR134" s="3" t="s">
        <v>2383</v>
      </c>
      <c r="BS134" s="3" t="s">
        <v>4645</v>
      </c>
      <c r="BT134" s="3" t="str">
        <f>HYPERLINK("https%3A%2F%2Fwww.webofscience.com%2Fwos%2Fwoscc%2Ffull-record%2FWOS:000270152300065","View Full Record in Web of Science")</f>
        <v>View Full Record in Web of Science</v>
      </c>
    </row>
    <row r="135" ht="12.75" customHeight="1">
      <c r="A135" s="3" t="s">
        <v>26</v>
      </c>
      <c r="B135" s="3" t="s">
        <v>4646</v>
      </c>
      <c r="C135" s="3" t="s">
        <v>1324</v>
      </c>
      <c r="D135" s="3" t="s">
        <v>1324</v>
      </c>
      <c r="E135" s="3" t="s">
        <v>1324</v>
      </c>
      <c r="F135" s="3" t="s">
        <v>1608</v>
      </c>
      <c r="G135" s="3" t="s">
        <v>1324</v>
      </c>
      <c r="H135" s="3" t="s">
        <v>1324</v>
      </c>
      <c r="I135" s="3" t="s">
        <v>1610</v>
      </c>
      <c r="J135" s="3" t="s">
        <v>1609</v>
      </c>
      <c r="K135" s="3" t="s">
        <v>1324</v>
      </c>
      <c r="L135" s="3" t="s">
        <v>1324</v>
      </c>
      <c r="M135" s="3" t="s">
        <v>2364</v>
      </c>
      <c r="N135" s="3" t="s">
        <v>38</v>
      </c>
      <c r="O135" s="3" t="s">
        <v>1324</v>
      </c>
      <c r="P135" s="3" t="s">
        <v>1324</v>
      </c>
      <c r="Q135" s="3" t="s">
        <v>1324</v>
      </c>
      <c r="R135" s="3" t="s">
        <v>1324</v>
      </c>
      <c r="S135" s="3" t="s">
        <v>1324</v>
      </c>
      <c r="T135" s="3" t="s">
        <v>4647</v>
      </c>
      <c r="U135" s="3" t="s">
        <v>4648</v>
      </c>
      <c r="V135" s="3" t="s">
        <v>1611</v>
      </c>
      <c r="W135" s="3" t="s">
        <v>4649</v>
      </c>
      <c r="X135" s="3" t="s">
        <v>4650</v>
      </c>
      <c r="Y135" s="3" t="s">
        <v>4651</v>
      </c>
      <c r="Z135" s="3" t="s">
        <v>4652</v>
      </c>
      <c r="AA135" s="3" t="s">
        <v>4653</v>
      </c>
      <c r="AB135" s="3" t="s">
        <v>4654</v>
      </c>
      <c r="AC135" s="3" t="s">
        <v>4655</v>
      </c>
      <c r="AD135" s="3" t="s">
        <v>4655</v>
      </c>
      <c r="AE135" s="3" t="s">
        <v>4656</v>
      </c>
      <c r="AF135" s="3" t="s">
        <v>1324</v>
      </c>
      <c r="AG135" s="3">
        <v>67.0</v>
      </c>
      <c r="AH135" s="3">
        <v>45.0</v>
      </c>
      <c r="AI135" s="3">
        <v>49.0</v>
      </c>
      <c r="AJ135" s="3">
        <v>0.0</v>
      </c>
      <c r="AK135" s="3">
        <v>33.0</v>
      </c>
      <c r="AL135" s="3" t="s">
        <v>2464</v>
      </c>
      <c r="AM135" s="3" t="s">
        <v>2465</v>
      </c>
      <c r="AN135" s="3" t="s">
        <v>2466</v>
      </c>
      <c r="AO135" s="3" t="s">
        <v>4657</v>
      </c>
      <c r="AP135" s="3" t="s">
        <v>4658</v>
      </c>
      <c r="AQ135" s="3" t="s">
        <v>1324</v>
      </c>
      <c r="AR135" s="3" t="s">
        <v>4659</v>
      </c>
      <c r="AS135" s="3" t="s">
        <v>4660</v>
      </c>
      <c r="AT135" s="3" t="s">
        <v>2471</v>
      </c>
      <c r="AU135" s="3">
        <v>2009.0</v>
      </c>
      <c r="AV135" s="3">
        <v>34.0</v>
      </c>
      <c r="AW135" s="3">
        <v>6.0</v>
      </c>
      <c r="AX135" s="3" t="s">
        <v>1324</v>
      </c>
      <c r="AY135" s="3" t="s">
        <v>1324</v>
      </c>
      <c r="AZ135" s="3" t="s">
        <v>1324</v>
      </c>
      <c r="BA135" s="3" t="s">
        <v>1324</v>
      </c>
      <c r="BB135" s="3">
        <v>705.0</v>
      </c>
      <c r="BC135" s="3">
        <v>716.0</v>
      </c>
      <c r="BD135" s="3" t="s">
        <v>1324</v>
      </c>
      <c r="BE135" s="3" t="s">
        <v>1612</v>
      </c>
      <c r="BF135" s="25" t="str">
        <f>HYPERLINK("http://dx.doi.org/10.1111/j.1442-9993.2009.01979.x","http://dx.doi.org/10.1111/j.1442-9993.2009.01979.x")</f>
        <v>http://dx.doi.org/10.1111/j.1442-9993.2009.01979.x</v>
      </c>
      <c r="BG135" s="3" t="s">
        <v>1324</v>
      </c>
      <c r="BH135" s="3" t="s">
        <v>1324</v>
      </c>
      <c r="BI135" s="3">
        <v>12.0</v>
      </c>
      <c r="BJ135" s="3" t="s">
        <v>817</v>
      </c>
      <c r="BK135" s="3" t="s">
        <v>2407</v>
      </c>
      <c r="BL135" s="3" t="s">
        <v>2472</v>
      </c>
      <c r="BM135" s="3" t="s">
        <v>4661</v>
      </c>
      <c r="BN135" s="3" t="s">
        <v>1324</v>
      </c>
      <c r="BO135" s="3" t="s">
        <v>1324</v>
      </c>
      <c r="BP135" s="3" t="s">
        <v>1324</v>
      </c>
      <c r="BQ135" s="3" t="s">
        <v>1324</v>
      </c>
      <c r="BR135" s="3" t="s">
        <v>2383</v>
      </c>
      <c r="BS135" s="3" t="s">
        <v>4662</v>
      </c>
      <c r="BT135" s="3" t="str">
        <f>HYPERLINK("https%3A%2F%2Fwww.webofscience.com%2Fwos%2Fwoscc%2Ffull-record%2FWOS:000269675600012","View Full Record in Web of Science")</f>
        <v>View Full Record in Web of Science</v>
      </c>
    </row>
    <row r="136" ht="12.75" customHeight="1">
      <c r="A136" s="3" t="s">
        <v>26</v>
      </c>
      <c r="B136" s="3" t="s">
        <v>4663</v>
      </c>
      <c r="C136" s="3" t="s">
        <v>1324</v>
      </c>
      <c r="D136" s="3" t="s">
        <v>1324</v>
      </c>
      <c r="E136" s="3" t="s">
        <v>1324</v>
      </c>
      <c r="F136" s="3" t="s">
        <v>1818</v>
      </c>
      <c r="G136" s="3" t="s">
        <v>1324</v>
      </c>
      <c r="H136" s="3" t="s">
        <v>1324</v>
      </c>
      <c r="I136" s="3" t="s">
        <v>1819</v>
      </c>
      <c r="J136" s="3" t="s">
        <v>1807</v>
      </c>
      <c r="K136" s="3" t="s">
        <v>1324</v>
      </c>
      <c r="L136" s="3" t="s">
        <v>1324</v>
      </c>
      <c r="M136" s="3" t="s">
        <v>2364</v>
      </c>
      <c r="N136" s="3" t="s">
        <v>30</v>
      </c>
      <c r="O136" s="3" t="s">
        <v>1324</v>
      </c>
      <c r="P136" s="3" t="s">
        <v>1324</v>
      </c>
      <c r="Q136" s="3" t="s">
        <v>1324</v>
      </c>
      <c r="R136" s="3" t="s">
        <v>1324</v>
      </c>
      <c r="S136" s="3" t="s">
        <v>1324</v>
      </c>
      <c r="T136" s="3" t="s">
        <v>1324</v>
      </c>
      <c r="U136" s="3" t="s">
        <v>4664</v>
      </c>
      <c r="V136" s="3" t="s">
        <v>1820</v>
      </c>
      <c r="W136" s="3" t="s">
        <v>4665</v>
      </c>
      <c r="X136" s="3" t="s">
        <v>4666</v>
      </c>
      <c r="Y136" s="3" t="s">
        <v>4667</v>
      </c>
      <c r="Z136" s="3" t="s">
        <v>4668</v>
      </c>
      <c r="AA136" s="3" t="s">
        <v>4669</v>
      </c>
      <c r="AB136" s="3" t="s">
        <v>4670</v>
      </c>
      <c r="AC136" s="3" t="s">
        <v>4671</v>
      </c>
      <c r="AD136" s="3" t="s">
        <v>4672</v>
      </c>
      <c r="AE136" s="3" t="s">
        <v>4673</v>
      </c>
      <c r="AF136" s="3" t="s">
        <v>1324</v>
      </c>
      <c r="AG136" s="3">
        <v>277.0</v>
      </c>
      <c r="AH136" s="3">
        <v>331.0</v>
      </c>
      <c r="AI136" s="3">
        <v>377.0</v>
      </c>
      <c r="AJ136" s="3">
        <v>7.0</v>
      </c>
      <c r="AK136" s="3">
        <v>279.0</v>
      </c>
      <c r="AL136" s="3" t="s">
        <v>4266</v>
      </c>
      <c r="AM136" s="3" t="s">
        <v>2792</v>
      </c>
      <c r="AN136" s="3" t="s">
        <v>4267</v>
      </c>
      <c r="AO136" s="3" t="s">
        <v>4268</v>
      </c>
      <c r="AP136" s="3" t="s">
        <v>4269</v>
      </c>
      <c r="AQ136" s="3" t="s">
        <v>1324</v>
      </c>
      <c r="AR136" s="3" t="s">
        <v>4270</v>
      </c>
      <c r="AS136" s="3" t="s">
        <v>4271</v>
      </c>
      <c r="AT136" s="3" t="s">
        <v>4674</v>
      </c>
      <c r="AU136" s="3">
        <v>2009.0</v>
      </c>
      <c r="AV136" s="3">
        <v>114.0</v>
      </c>
      <c r="AW136" s="3" t="s">
        <v>1324</v>
      </c>
      <c r="AX136" s="3" t="s">
        <v>1324</v>
      </c>
      <c r="AY136" s="3" t="s">
        <v>1324</v>
      </c>
      <c r="AZ136" s="3" t="s">
        <v>1324</v>
      </c>
      <c r="BA136" s="3" t="s">
        <v>1324</v>
      </c>
      <c r="BB136" s="3" t="s">
        <v>1324</v>
      </c>
      <c r="BC136" s="3" t="s">
        <v>1324</v>
      </c>
      <c r="BD136" s="3" t="s">
        <v>4675</v>
      </c>
      <c r="BE136" s="3" t="s">
        <v>1821</v>
      </c>
      <c r="BF136" s="25" t="str">
        <f>HYPERLINK("http://dx.doi.org/10.1029/2008JG000911","http://dx.doi.org/10.1029/2008JG000911")</f>
        <v>http://dx.doi.org/10.1029/2008JG000911</v>
      </c>
      <c r="BG136" s="3" t="s">
        <v>1324</v>
      </c>
      <c r="BH136" s="3" t="s">
        <v>1324</v>
      </c>
      <c r="BI136" s="3">
        <v>27.0</v>
      </c>
      <c r="BJ136" s="3" t="s">
        <v>1266</v>
      </c>
      <c r="BK136" s="3" t="s">
        <v>2407</v>
      </c>
      <c r="BL136" s="3" t="s">
        <v>3113</v>
      </c>
      <c r="BM136" s="3" t="s">
        <v>4676</v>
      </c>
      <c r="BN136" s="3" t="s">
        <v>1324</v>
      </c>
      <c r="BO136" s="3" t="s">
        <v>1324</v>
      </c>
      <c r="BP136" s="3" t="s">
        <v>1324</v>
      </c>
      <c r="BQ136" s="3" t="s">
        <v>1324</v>
      </c>
      <c r="BR136" s="3" t="s">
        <v>2383</v>
      </c>
      <c r="BS136" s="3" t="s">
        <v>4677</v>
      </c>
      <c r="BT136" s="3" t="str">
        <f>HYPERLINK("https%3A%2F%2Fwww.webofscience.com%2Fwos%2Fwoscc%2Ffull-record%2FWOS:000268352400002","View Full Record in Web of Science")</f>
        <v>View Full Record in Web of Science</v>
      </c>
    </row>
    <row r="137" ht="12.75" customHeight="1">
      <c r="A137" s="3" t="s">
        <v>26</v>
      </c>
      <c r="B137" s="3" t="s">
        <v>4678</v>
      </c>
      <c r="C137" s="3" t="s">
        <v>1324</v>
      </c>
      <c r="D137" s="3" t="s">
        <v>1324</v>
      </c>
      <c r="E137" s="3" t="s">
        <v>1324</v>
      </c>
      <c r="F137" s="3" t="s">
        <v>1904</v>
      </c>
      <c r="G137" s="3" t="s">
        <v>1324</v>
      </c>
      <c r="H137" s="3" t="s">
        <v>1324</v>
      </c>
      <c r="I137" s="3" t="s">
        <v>1905</v>
      </c>
      <c r="J137" s="3" t="s">
        <v>629</v>
      </c>
      <c r="K137" s="3" t="s">
        <v>1324</v>
      </c>
      <c r="L137" s="3" t="s">
        <v>1324</v>
      </c>
      <c r="M137" s="3" t="s">
        <v>2364</v>
      </c>
      <c r="N137" s="3" t="s">
        <v>30</v>
      </c>
      <c r="O137" s="3" t="s">
        <v>1324</v>
      </c>
      <c r="P137" s="3" t="s">
        <v>1324</v>
      </c>
      <c r="Q137" s="3" t="s">
        <v>1324</v>
      </c>
      <c r="R137" s="3" t="s">
        <v>1324</v>
      </c>
      <c r="S137" s="3" t="s">
        <v>1324</v>
      </c>
      <c r="T137" s="3" t="s">
        <v>1324</v>
      </c>
      <c r="U137" s="3" t="s">
        <v>4679</v>
      </c>
      <c r="V137" s="3" t="s">
        <v>1906</v>
      </c>
      <c r="W137" s="3" t="s">
        <v>4680</v>
      </c>
      <c r="X137" s="3" t="s">
        <v>4681</v>
      </c>
      <c r="Y137" s="3" t="s">
        <v>4682</v>
      </c>
      <c r="Z137" s="3" t="s">
        <v>4353</v>
      </c>
      <c r="AA137" s="3" t="s">
        <v>4683</v>
      </c>
      <c r="AB137" s="3" t="s">
        <v>4684</v>
      </c>
      <c r="AC137" s="3" t="s">
        <v>1324</v>
      </c>
      <c r="AD137" s="3" t="s">
        <v>1324</v>
      </c>
      <c r="AE137" s="3" t="s">
        <v>1324</v>
      </c>
      <c r="AF137" s="3" t="s">
        <v>1324</v>
      </c>
      <c r="AG137" s="3">
        <v>88.0</v>
      </c>
      <c r="AH137" s="3">
        <v>270.0</v>
      </c>
      <c r="AI137" s="3">
        <v>301.0</v>
      </c>
      <c r="AJ137" s="3">
        <v>0.0</v>
      </c>
      <c r="AK137" s="3">
        <v>167.0</v>
      </c>
      <c r="AL137" s="3" t="s">
        <v>3987</v>
      </c>
      <c r="AM137" s="3" t="s">
        <v>2400</v>
      </c>
      <c r="AN137" s="3" t="s">
        <v>3988</v>
      </c>
      <c r="AO137" s="3" t="s">
        <v>3989</v>
      </c>
      <c r="AP137" s="3" t="s">
        <v>3990</v>
      </c>
      <c r="AQ137" s="3" t="s">
        <v>1324</v>
      </c>
      <c r="AR137" s="3" t="s">
        <v>3991</v>
      </c>
      <c r="AS137" s="3" t="s">
        <v>3992</v>
      </c>
      <c r="AT137" s="3" t="s">
        <v>2651</v>
      </c>
      <c r="AU137" s="3">
        <v>2009.0</v>
      </c>
      <c r="AV137" s="3">
        <v>24.0</v>
      </c>
      <c r="AW137" s="3">
        <v>5.0</v>
      </c>
      <c r="AX137" s="3" t="s">
        <v>1324</v>
      </c>
      <c r="AY137" s="3" t="s">
        <v>1324</v>
      </c>
      <c r="AZ137" s="3" t="s">
        <v>1324</v>
      </c>
      <c r="BA137" s="3" t="s">
        <v>1324</v>
      </c>
      <c r="BB137" s="3">
        <v>254.0</v>
      </c>
      <c r="BC137" s="3">
        <v>262.0</v>
      </c>
      <c r="BD137" s="3" t="s">
        <v>1324</v>
      </c>
      <c r="BE137" s="3" t="s">
        <v>1907</v>
      </c>
      <c r="BF137" s="25" t="str">
        <f>HYPERLINK("http://dx.doi.org/10.1016/j.tree.2008.12.004","http://dx.doi.org/10.1016/j.tree.2008.12.004")</f>
        <v>http://dx.doi.org/10.1016/j.tree.2008.12.004</v>
      </c>
      <c r="BG137" s="3" t="s">
        <v>1324</v>
      </c>
      <c r="BH137" s="3" t="s">
        <v>1324</v>
      </c>
      <c r="BI137" s="3">
        <v>9.0</v>
      </c>
      <c r="BJ137" s="3" t="s">
        <v>633</v>
      </c>
      <c r="BK137" s="3" t="s">
        <v>2407</v>
      </c>
      <c r="BL137" s="3" t="s">
        <v>3993</v>
      </c>
      <c r="BM137" s="3" t="s">
        <v>4685</v>
      </c>
      <c r="BN137" s="3">
        <v>1.925134E7</v>
      </c>
      <c r="BO137" s="3" t="s">
        <v>1324</v>
      </c>
      <c r="BP137" s="3" t="s">
        <v>1324</v>
      </c>
      <c r="BQ137" s="3" t="s">
        <v>1324</v>
      </c>
      <c r="BR137" s="3" t="s">
        <v>2383</v>
      </c>
      <c r="BS137" s="3" t="s">
        <v>4686</v>
      </c>
      <c r="BT137" s="3" t="str">
        <f>HYPERLINK("https%3A%2F%2Fwww.webofscience.com%2Fwos%2Fwoscc%2Ffull-record%2FWOS:000266188100006","View Full Record in Web of Science")</f>
        <v>View Full Record in Web of Science</v>
      </c>
    </row>
    <row r="138" ht="12.75" customHeight="1">
      <c r="A138" s="3" t="s">
        <v>26</v>
      </c>
      <c r="B138" s="3" t="s">
        <v>4687</v>
      </c>
      <c r="C138" s="3" t="s">
        <v>1324</v>
      </c>
      <c r="D138" s="3" t="s">
        <v>1324</v>
      </c>
      <c r="E138" s="3" t="s">
        <v>1324</v>
      </c>
      <c r="F138" s="3" t="s">
        <v>1858</v>
      </c>
      <c r="G138" s="3" t="s">
        <v>1324</v>
      </c>
      <c r="H138" s="3" t="s">
        <v>1324</v>
      </c>
      <c r="I138" s="3" t="s">
        <v>1860</v>
      </c>
      <c r="J138" s="3" t="s">
        <v>1859</v>
      </c>
      <c r="K138" s="3" t="s">
        <v>1324</v>
      </c>
      <c r="L138" s="3" t="s">
        <v>1324</v>
      </c>
      <c r="M138" s="3" t="s">
        <v>2364</v>
      </c>
      <c r="N138" s="3" t="s">
        <v>30</v>
      </c>
      <c r="O138" s="3" t="s">
        <v>1324</v>
      </c>
      <c r="P138" s="3" t="s">
        <v>1324</v>
      </c>
      <c r="Q138" s="3" t="s">
        <v>1324</v>
      </c>
      <c r="R138" s="3" t="s">
        <v>1324</v>
      </c>
      <c r="S138" s="3" t="s">
        <v>1324</v>
      </c>
      <c r="T138" s="3" t="s">
        <v>4688</v>
      </c>
      <c r="U138" s="3" t="s">
        <v>4689</v>
      </c>
      <c r="V138" s="3" t="s">
        <v>1861</v>
      </c>
      <c r="W138" s="3" t="s">
        <v>4690</v>
      </c>
      <c r="X138" s="3" t="s">
        <v>4691</v>
      </c>
      <c r="Y138" s="3" t="s">
        <v>4692</v>
      </c>
      <c r="Z138" s="3" t="s">
        <v>4693</v>
      </c>
      <c r="AA138" s="3" t="s">
        <v>4694</v>
      </c>
      <c r="AB138" s="3" t="s">
        <v>4695</v>
      </c>
      <c r="AC138" s="3" t="s">
        <v>4696</v>
      </c>
      <c r="AD138" s="3" t="s">
        <v>4697</v>
      </c>
      <c r="AE138" s="3" t="s">
        <v>4698</v>
      </c>
      <c r="AF138" s="3" t="s">
        <v>1324</v>
      </c>
      <c r="AG138" s="3">
        <v>269.0</v>
      </c>
      <c r="AH138" s="3">
        <v>388.0</v>
      </c>
      <c r="AI138" s="3">
        <v>426.0</v>
      </c>
      <c r="AJ138" s="3">
        <v>2.0</v>
      </c>
      <c r="AK138" s="3">
        <v>291.0</v>
      </c>
      <c r="AL138" s="3" t="s">
        <v>4188</v>
      </c>
      <c r="AM138" s="3" t="s">
        <v>3872</v>
      </c>
      <c r="AN138" s="3" t="s">
        <v>4298</v>
      </c>
      <c r="AO138" s="3" t="s">
        <v>4699</v>
      </c>
      <c r="AP138" s="3" t="s">
        <v>4700</v>
      </c>
      <c r="AQ138" s="3" t="s">
        <v>1324</v>
      </c>
      <c r="AR138" s="3" t="s">
        <v>4701</v>
      </c>
      <c r="AS138" s="3" t="s">
        <v>4702</v>
      </c>
      <c r="AT138" s="3" t="s">
        <v>2818</v>
      </c>
      <c r="AU138" s="3">
        <v>2009.0</v>
      </c>
      <c r="AV138" s="3">
        <v>21.0</v>
      </c>
      <c r="AW138" s="3">
        <v>1.0</v>
      </c>
      <c r="AX138" s="3" t="s">
        <v>1324</v>
      </c>
      <c r="AY138" s="3" t="s">
        <v>1324</v>
      </c>
      <c r="AZ138" s="3" t="s">
        <v>1324</v>
      </c>
      <c r="BA138" s="3" t="s">
        <v>1324</v>
      </c>
      <c r="BB138" s="3">
        <v>3.0</v>
      </c>
      <c r="BC138" s="3">
        <v>33.0</v>
      </c>
      <c r="BD138" s="3" t="s">
        <v>1324</v>
      </c>
      <c r="BE138" s="3" t="s">
        <v>1862</v>
      </c>
      <c r="BF138" s="25" t="str">
        <f>HYPERLINK("http://dx.doi.org/10.1017/S0954102009001722","http://dx.doi.org/10.1017/S0954102009001722")</f>
        <v>http://dx.doi.org/10.1017/S0954102009001722</v>
      </c>
      <c r="BG138" s="3" t="s">
        <v>1324</v>
      </c>
      <c r="BH138" s="3" t="s">
        <v>1324</v>
      </c>
      <c r="BI138" s="3">
        <v>31.0</v>
      </c>
      <c r="BJ138" s="3" t="s">
        <v>4703</v>
      </c>
      <c r="BK138" s="3" t="s">
        <v>2407</v>
      </c>
      <c r="BL138" s="3" t="s">
        <v>4704</v>
      </c>
      <c r="BM138" s="3" t="s">
        <v>4705</v>
      </c>
      <c r="BN138" s="3" t="s">
        <v>1324</v>
      </c>
      <c r="BO138" s="3" t="s">
        <v>2410</v>
      </c>
      <c r="BP138" s="3" t="s">
        <v>1324</v>
      </c>
      <c r="BQ138" s="3" t="s">
        <v>1324</v>
      </c>
      <c r="BR138" s="3" t="s">
        <v>2383</v>
      </c>
      <c r="BS138" s="3" t="s">
        <v>4706</v>
      </c>
      <c r="BT138" s="3" t="str">
        <f>HYPERLINK("https%3A%2F%2Fwww.webofscience.com%2Fwos%2Fwoscc%2Ffull-record%2FWOS:000263389100002","View Full Record in Web of Science")</f>
        <v>View Full Record in Web of Science</v>
      </c>
    </row>
    <row r="139" ht="12.75" customHeight="1">
      <c r="A139" s="3" t="s">
        <v>26</v>
      </c>
      <c r="B139" s="3" t="s">
        <v>4707</v>
      </c>
      <c r="C139" s="3" t="s">
        <v>1324</v>
      </c>
      <c r="D139" s="3" t="s">
        <v>1324</v>
      </c>
      <c r="E139" s="3" t="s">
        <v>1324</v>
      </c>
      <c r="F139" s="3" t="s">
        <v>1418</v>
      </c>
      <c r="G139" s="3" t="s">
        <v>1324</v>
      </c>
      <c r="H139" s="3" t="s">
        <v>1324</v>
      </c>
      <c r="I139" s="3" t="s">
        <v>1420</v>
      </c>
      <c r="J139" s="3" t="s">
        <v>1419</v>
      </c>
      <c r="K139" s="3" t="s">
        <v>1324</v>
      </c>
      <c r="L139" s="3" t="s">
        <v>1324</v>
      </c>
      <c r="M139" s="3" t="s">
        <v>2364</v>
      </c>
      <c r="N139" s="3" t="s">
        <v>38</v>
      </c>
      <c r="O139" s="3" t="s">
        <v>1324</v>
      </c>
      <c r="P139" s="3" t="s">
        <v>1324</v>
      </c>
      <c r="Q139" s="3" t="s">
        <v>1324</v>
      </c>
      <c r="R139" s="3" t="s">
        <v>1324</v>
      </c>
      <c r="S139" s="3" t="s">
        <v>1324</v>
      </c>
      <c r="T139" s="3" t="s">
        <v>4708</v>
      </c>
      <c r="U139" s="3" t="s">
        <v>4709</v>
      </c>
      <c r="V139" s="3" t="s">
        <v>1421</v>
      </c>
      <c r="W139" s="3" t="s">
        <v>4710</v>
      </c>
      <c r="X139" s="3" t="s">
        <v>4711</v>
      </c>
      <c r="Y139" s="3" t="s">
        <v>4712</v>
      </c>
      <c r="Z139" s="3" t="s">
        <v>4713</v>
      </c>
      <c r="AA139" s="3" t="s">
        <v>1324</v>
      </c>
      <c r="AB139" s="3" t="s">
        <v>1324</v>
      </c>
      <c r="AC139" s="3" t="s">
        <v>4714</v>
      </c>
      <c r="AD139" s="3" t="s">
        <v>4715</v>
      </c>
      <c r="AE139" s="3" t="s">
        <v>4716</v>
      </c>
      <c r="AF139" s="3" t="s">
        <v>1324</v>
      </c>
      <c r="AG139" s="3">
        <v>82.0</v>
      </c>
      <c r="AH139" s="3">
        <v>24.0</v>
      </c>
      <c r="AI139" s="3">
        <v>26.0</v>
      </c>
      <c r="AJ139" s="3">
        <v>0.0</v>
      </c>
      <c r="AK139" s="3">
        <v>25.0</v>
      </c>
      <c r="AL139" s="3" t="s">
        <v>2464</v>
      </c>
      <c r="AM139" s="3" t="s">
        <v>2465</v>
      </c>
      <c r="AN139" s="3" t="s">
        <v>2466</v>
      </c>
      <c r="AO139" s="3" t="s">
        <v>2467</v>
      </c>
      <c r="AP139" s="3" t="s">
        <v>2468</v>
      </c>
      <c r="AQ139" s="3" t="s">
        <v>1324</v>
      </c>
      <c r="AR139" s="3" t="s">
        <v>2469</v>
      </c>
      <c r="AS139" s="3" t="s">
        <v>2470</v>
      </c>
      <c r="AT139" s="3" t="s">
        <v>2908</v>
      </c>
      <c r="AU139" s="3">
        <v>2008.0</v>
      </c>
      <c r="AV139" s="3">
        <v>18.0</v>
      </c>
      <c r="AW139" s="3">
        <v>8.0</v>
      </c>
      <c r="AX139" s="3" t="s">
        <v>1324</v>
      </c>
      <c r="AY139" s="3" t="s">
        <v>1324</v>
      </c>
      <c r="AZ139" s="3" t="s">
        <v>1324</v>
      </c>
      <c r="BA139" s="3" t="s">
        <v>1324</v>
      </c>
      <c r="BB139" s="3">
        <v>1932.0</v>
      </c>
      <c r="BC139" s="3">
        <v>1955.0</v>
      </c>
      <c r="BD139" s="3" t="s">
        <v>1324</v>
      </c>
      <c r="BE139" s="3" t="s">
        <v>1422</v>
      </c>
      <c r="BF139" s="25" t="str">
        <f>HYPERLINK("http://dx.doi.org/10.1890/07-1254.1","http://dx.doi.org/10.1890/07-1254.1")</f>
        <v>http://dx.doi.org/10.1890/07-1254.1</v>
      </c>
      <c r="BG139" s="3" t="s">
        <v>1324</v>
      </c>
      <c r="BH139" s="3" t="s">
        <v>1324</v>
      </c>
      <c r="BI139" s="3">
        <v>24.0</v>
      </c>
      <c r="BJ139" s="3" t="s">
        <v>698</v>
      </c>
      <c r="BK139" s="3" t="s">
        <v>2407</v>
      </c>
      <c r="BL139" s="3" t="s">
        <v>2472</v>
      </c>
      <c r="BM139" s="3" t="s">
        <v>4717</v>
      </c>
      <c r="BN139" s="3">
        <v>1.9263889E7</v>
      </c>
      <c r="BO139" s="3" t="s">
        <v>1324</v>
      </c>
      <c r="BP139" s="3" t="s">
        <v>1324</v>
      </c>
      <c r="BQ139" s="3" t="s">
        <v>1324</v>
      </c>
      <c r="BR139" s="3" t="s">
        <v>2383</v>
      </c>
      <c r="BS139" s="3" t="s">
        <v>4718</v>
      </c>
      <c r="BT139" s="3" t="str">
        <f>HYPERLINK("https%3A%2F%2Fwww.webofscience.com%2Fwos%2Fwoscc%2Ffull-record%2FWOS:000262605500010","View Full Record in Web of Science")</f>
        <v>View Full Record in Web of Science</v>
      </c>
    </row>
    <row r="140" ht="12.75" customHeight="1">
      <c r="A140" s="3" t="s">
        <v>26</v>
      </c>
      <c r="B140" s="3" t="s">
        <v>4719</v>
      </c>
      <c r="C140" s="3" t="s">
        <v>1324</v>
      </c>
      <c r="D140" s="3" t="s">
        <v>1324</v>
      </c>
      <c r="E140" s="3" t="s">
        <v>1324</v>
      </c>
      <c r="F140" s="3" t="s">
        <v>1853</v>
      </c>
      <c r="G140" s="3" t="s">
        <v>1324</v>
      </c>
      <c r="H140" s="3" t="s">
        <v>1324</v>
      </c>
      <c r="I140" s="3" t="s">
        <v>1854</v>
      </c>
      <c r="J140" s="3" t="s">
        <v>1848</v>
      </c>
      <c r="K140" s="3" t="s">
        <v>1324</v>
      </c>
      <c r="L140" s="3" t="s">
        <v>1324</v>
      </c>
      <c r="M140" s="3" t="s">
        <v>2364</v>
      </c>
      <c r="N140" s="3" t="s">
        <v>38</v>
      </c>
      <c r="O140" s="3" t="s">
        <v>1324</v>
      </c>
      <c r="P140" s="3" t="s">
        <v>1324</v>
      </c>
      <c r="Q140" s="3" t="s">
        <v>1324</v>
      </c>
      <c r="R140" s="3" t="s">
        <v>1324</v>
      </c>
      <c r="S140" s="3" t="s">
        <v>1324</v>
      </c>
      <c r="T140" s="3" t="s">
        <v>1324</v>
      </c>
      <c r="U140" s="3" t="s">
        <v>4720</v>
      </c>
      <c r="V140" s="3" t="s">
        <v>1855</v>
      </c>
      <c r="W140" s="3" t="s">
        <v>4721</v>
      </c>
      <c r="X140" s="3" t="s">
        <v>4722</v>
      </c>
      <c r="Y140" s="3" t="s">
        <v>4723</v>
      </c>
      <c r="Z140" s="3" t="s">
        <v>4724</v>
      </c>
      <c r="AA140" s="3" t="s">
        <v>4725</v>
      </c>
      <c r="AB140" s="3" t="s">
        <v>4726</v>
      </c>
      <c r="AC140" s="3" t="s">
        <v>4727</v>
      </c>
      <c r="AD140" s="3" t="s">
        <v>4728</v>
      </c>
      <c r="AE140" s="3" t="s">
        <v>4729</v>
      </c>
      <c r="AF140" s="3" t="s">
        <v>1324</v>
      </c>
      <c r="AG140" s="3">
        <v>82.0</v>
      </c>
      <c r="AH140" s="3">
        <v>357.0</v>
      </c>
      <c r="AI140" s="3">
        <v>440.0</v>
      </c>
      <c r="AJ140" s="3">
        <v>9.0</v>
      </c>
      <c r="AK140" s="3">
        <v>289.0</v>
      </c>
      <c r="AL140" s="3" t="s">
        <v>4188</v>
      </c>
      <c r="AM140" s="3" t="s">
        <v>3872</v>
      </c>
      <c r="AN140" s="3" t="s">
        <v>4298</v>
      </c>
      <c r="AO140" s="3" t="s">
        <v>4299</v>
      </c>
      <c r="AP140" s="3" t="s">
        <v>4300</v>
      </c>
      <c r="AQ140" s="3" t="s">
        <v>1324</v>
      </c>
      <c r="AR140" s="3" t="s">
        <v>4301</v>
      </c>
      <c r="AS140" s="3" t="s">
        <v>4302</v>
      </c>
      <c r="AT140" s="3" t="s">
        <v>2471</v>
      </c>
      <c r="AU140" s="3">
        <v>2008.0</v>
      </c>
      <c r="AV140" s="3">
        <v>18.0</v>
      </c>
      <c r="AW140" s="3" t="s">
        <v>1324</v>
      </c>
      <c r="AX140" s="3" t="s">
        <v>1324</v>
      </c>
      <c r="AY140" s="3">
        <v>1.0</v>
      </c>
      <c r="AZ140" s="3" t="s">
        <v>1324</v>
      </c>
      <c r="BA140" s="3" t="s">
        <v>1324</v>
      </c>
      <c r="BB140" s="3" t="s">
        <v>4730</v>
      </c>
      <c r="BC140" s="3" t="s">
        <v>4731</v>
      </c>
      <c r="BD140" s="3" t="s">
        <v>1324</v>
      </c>
      <c r="BE140" s="3" t="s">
        <v>1856</v>
      </c>
      <c r="BF140" s="25" t="str">
        <f>HYPERLINK("http://dx.doi.org/10.1017/S0959270908000439","http://dx.doi.org/10.1017/S0959270908000439")</f>
        <v>http://dx.doi.org/10.1017/S0959270908000439</v>
      </c>
      <c r="BG140" s="3" t="s">
        <v>1324</v>
      </c>
      <c r="BH140" s="3" t="s">
        <v>1324</v>
      </c>
      <c r="BI140" s="3">
        <v>25.0</v>
      </c>
      <c r="BJ140" s="3" t="s">
        <v>4303</v>
      </c>
      <c r="BK140" s="3" t="s">
        <v>2407</v>
      </c>
      <c r="BL140" s="3" t="s">
        <v>4304</v>
      </c>
      <c r="BM140" s="3" t="s">
        <v>4732</v>
      </c>
      <c r="BN140" s="3" t="s">
        <v>1324</v>
      </c>
      <c r="BO140" s="3" t="s">
        <v>2715</v>
      </c>
      <c r="BP140" s="3" t="s">
        <v>1324</v>
      </c>
      <c r="BQ140" s="3" t="s">
        <v>1324</v>
      </c>
      <c r="BR140" s="3" t="s">
        <v>2383</v>
      </c>
      <c r="BS140" s="3" t="s">
        <v>4733</v>
      </c>
      <c r="BT140" s="3" t="str">
        <f>HYPERLINK("https%3A%2F%2Fwww.webofscience.com%2Fwos%2Fwoscc%2Ffull-record%2FWOS:000259453100005","View Full Record in Web of Science")</f>
        <v>View Full Record in Web of Science</v>
      </c>
    </row>
    <row r="141" ht="12.75" customHeight="1">
      <c r="A141" s="3" t="s">
        <v>26</v>
      </c>
      <c r="B141" s="3" t="s">
        <v>4734</v>
      </c>
      <c r="C141" s="3" t="s">
        <v>1324</v>
      </c>
      <c r="D141" s="3" t="s">
        <v>1324</v>
      </c>
      <c r="E141" s="3" t="s">
        <v>1324</v>
      </c>
      <c r="F141" s="3" t="s">
        <v>1490</v>
      </c>
      <c r="G141" s="3" t="s">
        <v>1324</v>
      </c>
      <c r="H141" s="3" t="s">
        <v>1324</v>
      </c>
      <c r="I141" s="3" t="s">
        <v>1491</v>
      </c>
      <c r="J141" s="3" t="s">
        <v>365</v>
      </c>
      <c r="K141" s="3" t="s">
        <v>1324</v>
      </c>
      <c r="L141" s="3" t="s">
        <v>1324</v>
      </c>
      <c r="M141" s="3" t="s">
        <v>2364</v>
      </c>
      <c r="N141" s="3" t="s">
        <v>38</v>
      </c>
      <c r="O141" s="3" t="s">
        <v>1324</v>
      </c>
      <c r="P141" s="3" t="s">
        <v>1324</v>
      </c>
      <c r="Q141" s="3" t="s">
        <v>1324</v>
      </c>
      <c r="R141" s="3" t="s">
        <v>1324</v>
      </c>
      <c r="S141" s="3" t="s">
        <v>1324</v>
      </c>
      <c r="T141" s="3" t="s">
        <v>1324</v>
      </c>
      <c r="U141" s="3" t="s">
        <v>4735</v>
      </c>
      <c r="V141" s="3" t="s">
        <v>1492</v>
      </c>
      <c r="W141" s="3" t="s">
        <v>4736</v>
      </c>
      <c r="X141" s="3" t="s">
        <v>4737</v>
      </c>
      <c r="Y141" s="3" t="s">
        <v>4738</v>
      </c>
      <c r="Z141" s="3" t="s">
        <v>4739</v>
      </c>
      <c r="AA141" s="3" t="s">
        <v>4740</v>
      </c>
      <c r="AB141" s="3" t="s">
        <v>4741</v>
      </c>
      <c r="AC141" s="3" t="s">
        <v>4742</v>
      </c>
      <c r="AD141" s="3" t="s">
        <v>4743</v>
      </c>
      <c r="AE141" s="3" t="s">
        <v>4744</v>
      </c>
      <c r="AF141" s="3" t="s">
        <v>1324</v>
      </c>
      <c r="AG141" s="3">
        <v>52.0</v>
      </c>
      <c r="AH141" s="3">
        <v>217.0</v>
      </c>
      <c r="AI141" s="3">
        <v>240.0</v>
      </c>
      <c r="AJ141" s="3">
        <v>0.0</v>
      </c>
      <c r="AK141" s="3">
        <v>194.0</v>
      </c>
      <c r="AL141" s="3" t="s">
        <v>2423</v>
      </c>
      <c r="AM141" s="3" t="s">
        <v>2424</v>
      </c>
      <c r="AN141" s="3" t="s">
        <v>2425</v>
      </c>
      <c r="AO141" s="3" t="s">
        <v>2426</v>
      </c>
      <c r="AP141" s="3" t="s">
        <v>1324</v>
      </c>
      <c r="AQ141" s="3" t="s">
        <v>1324</v>
      </c>
      <c r="AR141" s="3" t="s">
        <v>365</v>
      </c>
      <c r="AS141" s="3" t="s">
        <v>2427</v>
      </c>
      <c r="AT141" s="3" t="s">
        <v>4745</v>
      </c>
      <c r="AU141" s="3">
        <v>2008.0</v>
      </c>
      <c r="AV141" s="3">
        <v>3.0</v>
      </c>
      <c r="AW141" s="3">
        <v>8.0</v>
      </c>
      <c r="AX141" s="3" t="s">
        <v>1324</v>
      </c>
      <c r="AY141" s="3" t="s">
        <v>1324</v>
      </c>
      <c r="AZ141" s="3" t="s">
        <v>1324</v>
      </c>
      <c r="BA141" s="3" t="s">
        <v>1324</v>
      </c>
      <c r="BB141" s="3" t="s">
        <v>1324</v>
      </c>
      <c r="BC141" s="3" t="s">
        <v>1324</v>
      </c>
      <c r="BD141" s="3" t="s">
        <v>4746</v>
      </c>
      <c r="BE141" s="3" t="s">
        <v>1493</v>
      </c>
      <c r="BF141" s="25" t="str">
        <f>HYPERLINK("http://dx.doi.org/10.1371/journal.pone.0003039","http://dx.doi.org/10.1371/journal.pone.0003039")</f>
        <v>http://dx.doi.org/10.1371/journal.pone.0003039</v>
      </c>
      <c r="BG141" s="3" t="s">
        <v>1324</v>
      </c>
      <c r="BH141" s="3" t="s">
        <v>1324</v>
      </c>
      <c r="BI141" s="3">
        <v>9.0</v>
      </c>
      <c r="BJ141" s="3" t="s">
        <v>42</v>
      </c>
      <c r="BK141" s="3" t="s">
        <v>2407</v>
      </c>
      <c r="BL141" s="3" t="s">
        <v>2430</v>
      </c>
      <c r="BM141" s="3" t="s">
        <v>4747</v>
      </c>
      <c r="BN141" s="3">
        <v>1.8728776E7</v>
      </c>
      <c r="BO141" s="3" t="s">
        <v>2410</v>
      </c>
      <c r="BP141" s="3" t="s">
        <v>1324</v>
      </c>
      <c r="BQ141" s="3" t="s">
        <v>1324</v>
      </c>
      <c r="BR141" s="3" t="s">
        <v>2383</v>
      </c>
      <c r="BS141" s="3" t="s">
        <v>4748</v>
      </c>
      <c r="BT141" s="3" t="str">
        <f>HYPERLINK("https%3A%2F%2Fwww.webofscience.com%2Fwos%2Fwoscc%2Ffull-record%2FWOS:000264796400003","View Full Record in Web of Science")</f>
        <v>View Full Record in Web of Science</v>
      </c>
    </row>
    <row r="142" ht="12.75" customHeight="1">
      <c r="A142" s="3" t="s">
        <v>26</v>
      </c>
      <c r="B142" s="3" t="s">
        <v>4749</v>
      </c>
      <c r="C142" s="3" t="s">
        <v>1324</v>
      </c>
      <c r="D142" s="3" t="s">
        <v>1324</v>
      </c>
      <c r="E142" s="3" t="s">
        <v>1324</v>
      </c>
      <c r="F142" s="3" t="s">
        <v>2120</v>
      </c>
      <c r="G142" s="3" t="s">
        <v>1324</v>
      </c>
      <c r="H142" s="3" t="s">
        <v>1324</v>
      </c>
      <c r="I142" s="3" t="s">
        <v>2121</v>
      </c>
      <c r="J142" s="3" t="s">
        <v>251</v>
      </c>
      <c r="K142" s="3" t="s">
        <v>1324</v>
      </c>
      <c r="L142" s="3" t="s">
        <v>1324</v>
      </c>
      <c r="M142" s="3" t="s">
        <v>2364</v>
      </c>
      <c r="N142" s="3" t="s">
        <v>38</v>
      </c>
      <c r="O142" s="3" t="s">
        <v>1324</v>
      </c>
      <c r="P142" s="3" t="s">
        <v>1324</v>
      </c>
      <c r="Q142" s="3" t="s">
        <v>1324</v>
      </c>
      <c r="R142" s="3" t="s">
        <v>1324</v>
      </c>
      <c r="S142" s="3" t="s">
        <v>1324</v>
      </c>
      <c r="T142" s="3" t="s">
        <v>4750</v>
      </c>
      <c r="U142" s="3" t="s">
        <v>4751</v>
      </c>
      <c r="V142" s="3" t="s">
        <v>2122</v>
      </c>
      <c r="W142" s="3" t="s">
        <v>4752</v>
      </c>
      <c r="X142" s="3" t="s">
        <v>4753</v>
      </c>
      <c r="Y142" s="3" t="s">
        <v>4754</v>
      </c>
      <c r="Z142" s="3" t="s">
        <v>4755</v>
      </c>
      <c r="AA142" s="3" t="s">
        <v>4756</v>
      </c>
      <c r="AB142" s="3" t="s">
        <v>4757</v>
      </c>
      <c r="AC142" s="3" t="s">
        <v>4758</v>
      </c>
      <c r="AD142" s="3" t="s">
        <v>4759</v>
      </c>
      <c r="AE142" s="3" t="s">
        <v>1324</v>
      </c>
      <c r="AF142" s="3" t="s">
        <v>1324</v>
      </c>
      <c r="AG142" s="3">
        <v>74.0</v>
      </c>
      <c r="AH142" s="3">
        <v>411.0</v>
      </c>
      <c r="AI142" s="3">
        <v>469.0</v>
      </c>
      <c r="AJ142" s="3">
        <v>7.0</v>
      </c>
      <c r="AK142" s="3">
        <v>285.0</v>
      </c>
      <c r="AL142" s="3" t="s">
        <v>2530</v>
      </c>
      <c r="AM142" s="3" t="s">
        <v>2509</v>
      </c>
      <c r="AN142" s="3" t="s">
        <v>2646</v>
      </c>
      <c r="AO142" s="3" t="s">
        <v>2939</v>
      </c>
      <c r="AP142" s="3" t="s">
        <v>2940</v>
      </c>
      <c r="AQ142" s="3" t="s">
        <v>1324</v>
      </c>
      <c r="AR142" s="3" t="s">
        <v>2941</v>
      </c>
      <c r="AS142" s="3" t="s">
        <v>2942</v>
      </c>
      <c r="AT142" s="3" t="s">
        <v>2557</v>
      </c>
      <c r="AU142" s="3">
        <v>2008.0</v>
      </c>
      <c r="AV142" s="3">
        <v>141.0</v>
      </c>
      <c r="AW142" s="3">
        <v>7.0</v>
      </c>
      <c r="AX142" s="3" t="s">
        <v>1324</v>
      </c>
      <c r="AY142" s="3" t="s">
        <v>1324</v>
      </c>
      <c r="AZ142" s="3" t="s">
        <v>1324</v>
      </c>
      <c r="BA142" s="3" t="s">
        <v>1324</v>
      </c>
      <c r="BB142" s="3">
        <v>1745.0</v>
      </c>
      <c r="BC142" s="3">
        <v>1757.0</v>
      </c>
      <c r="BD142" s="3" t="s">
        <v>1324</v>
      </c>
      <c r="BE142" s="3" t="s">
        <v>2123</v>
      </c>
      <c r="BF142" s="25" t="str">
        <f>HYPERLINK("http://dx.doi.org/10.1016/j.biocon.2008.04.024","http://dx.doi.org/10.1016/j.biocon.2008.04.024")</f>
        <v>http://dx.doi.org/10.1016/j.biocon.2008.04.024</v>
      </c>
      <c r="BG142" s="3" t="s">
        <v>1324</v>
      </c>
      <c r="BH142" s="3" t="s">
        <v>1324</v>
      </c>
      <c r="BI142" s="3">
        <v>13.0</v>
      </c>
      <c r="BJ142" s="3" t="s">
        <v>255</v>
      </c>
      <c r="BK142" s="3" t="s">
        <v>2407</v>
      </c>
      <c r="BL142" s="3" t="s">
        <v>2577</v>
      </c>
      <c r="BM142" s="3" t="s">
        <v>4760</v>
      </c>
      <c r="BN142" s="3" t="s">
        <v>1324</v>
      </c>
      <c r="BO142" s="3" t="s">
        <v>1324</v>
      </c>
      <c r="BP142" s="3" t="s">
        <v>1324</v>
      </c>
      <c r="BQ142" s="3" t="s">
        <v>1324</v>
      </c>
      <c r="BR142" s="3" t="s">
        <v>2383</v>
      </c>
      <c r="BS142" s="3" t="s">
        <v>4761</v>
      </c>
      <c r="BT142" s="3" t="str">
        <f>HYPERLINK("https%3A%2F%2Fwww.webofscience.com%2Fwos%2Fwoscc%2Ffull-record%2FWOS:000258306300002","View Full Record in Web of Science")</f>
        <v>View Full Record in Web of Science</v>
      </c>
    </row>
    <row r="143" ht="12.75" customHeight="1">
      <c r="A143" s="3" t="s">
        <v>26</v>
      </c>
      <c r="B143" s="3" t="s">
        <v>4762</v>
      </c>
      <c r="C143" s="3" t="s">
        <v>1324</v>
      </c>
      <c r="D143" s="3" t="s">
        <v>1324</v>
      </c>
      <c r="E143" s="3" t="s">
        <v>1324</v>
      </c>
      <c r="F143" s="3" t="s">
        <v>2220</v>
      </c>
      <c r="G143" s="3" t="s">
        <v>1324</v>
      </c>
      <c r="H143" s="3" t="s">
        <v>1324</v>
      </c>
      <c r="I143" s="3" t="s">
        <v>2222</v>
      </c>
      <c r="J143" s="3" t="s">
        <v>2221</v>
      </c>
      <c r="K143" s="3" t="s">
        <v>1324</v>
      </c>
      <c r="L143" s="3" t="s">
        <v>1324</v>
      </c>
      <c r="M143" s="3" t="s">
        <v>2364</v>
      </c>
      <c r="N143" s="3" t="s">
        <v>38</v>
      </c>
      <c r="O143" s="3" t="s">
        <v>1324</v>
      </c>
      <c r="P143" s="3" t="s">
        <v>1324</v>
      </c>
      <c r="Q143" s="3" t="s">
        <v>1324</v>
      </c>
      <c r="R143" s="3" t="s">
        <v>1324</v>
      </c>
      <c r="S143" s="3" t="s">
        <v>1324</v>
      </c>
      <c r="T143" s="3" t="s">
        <v>4763</v>
      </c>
      <c r="U143" s="3" t="s">
        <v>4764</v>
      </c>
      <c r="V143" s="3" t="s">
        <v>2223</v>
      </c>
      <c r="W143" s="3" t="s">
        <v>4765</v>
      </c>
      <c r="X143" s="3" t="s">
        <v>4766</v>
      </c>
      <c r="Y143" s="3" t="s">
        <v>4767</v>
      </c>
      <c r="Z143" s="3" t="s">
        <v>4768</v>
      </c>
      <c r="AA143" s="3" t="s">
        <v>1324</v>
      </c>
      <c r="AB143" s="3" t="s">
        <v>4769</v>
      </c>
      <c r="AC143" s="3" t="s">
        <v>1324</v>
      </c>
      <c r="AD143" s="3" t="s">
        <v>1324</v>
      </c>
      <c r="AE143" s="3" t="s">
        <v>1324</v>
      </c>
      <c r="AF143" s="3" t="s">
        <v>1324</v>
      </c>
      <c r="AG143" s="3">
        <v>37.0</v>
      </c>
      <c r="AH143" s="3">
        <v>390.0</v>
      </c>
      <c r="AI143" s="3">
        <v>460.0</v>
      </c>
      <c r="AJ143" s="3">
        <v>5.0</v>
      </c>
      <c r="AK143" s="3">
        <v>223.0</v>
      </c>
      <c r="AL143" s="3" t="s">
        <v>3250</v>
      </c>
      <c r="AM143" s="3" t="s">
        <v>3251</v>
      </c>
      <c r="AN143" s="3" t="s">
        <v>3252</v>
      </c>
      <c r="AO143" s="3" t="s">
        <v>4770</v>
      </c>
      <c r="AP143" s="3" t="s">
        <v>4771</v>
      </c>
      <c r="AQ143" s="3" t="s">
        <v>1324</v>
      </c>
      <c r="AR143" s="3" t="s">
        <v>4772</v>
      </c>
      <c r="AS143" s="3" t="s">
        <v>4773</v>
      </c>
      <c r="AT143" s="3" t="s">
        <v>2734</v>
      </c>
      <c r="AU143" s="3">
        <v>2008.0</v>
      </c>
      <c r="AV143" s="3">
        <v>10.0</v>
      </c>
      <c r="AW143" s="3">
        <v>4.0</v>
      </c>
      <c r="AX143" s="3" t="s">
        <v>1324</v>
      </c>
      <c r="AY143" s="3" t="s">
        <v>1324</v>
      </c>
      <c r="AZ143" s="3" t="s">
        <v>1324</v>
      </c>
      <c r="BA143" s="3" t="s">
        <v>1324</v>
      </c>
      <c r="BB143" s="3">
        <v>391.0</v>
      </c>
      <c r="BC143" s="3">
        <v>398.0</v>
      </c>
      <c r="BD143" s="3" t="s">
        <v>1324</v>
      </c>
      <c r="BE143" s="3" t="s">
        <v>2224</v>
      </c>
      <c r="BF143" s="25" t="str">
        <f>HYPERLINK("http://dx.doi.org/10.1007/s10530-007-9138-5","http://dx.doi.org/10.1007/s10530-007-9138-5")</f>
        <v>http://dx.doi.org/10.1007/s10530-007-9138-5</v>
      </c>
      <c r="BG143" s="3" t="s">
        <v>1324</v>
      </c>
      <c r="BH143" s="3" t="s">
        <v>1324</v>
      </c>
      <c r="BI143" s="3">
        <v>8.0</v>
      </c>
      <c r="BJ143" s="3" t="s">
        <v>1124</v>
      </c>
      <c r="BK143" s="3" t="s">
        <v>2878</v>
      </c>
      <c r="BL143" s="3" t="s">
        <v>2577</v>
      </c>
      <c r="BM143" s="3" t="s">
        <v>4774</v>
      </c>
      <c r="BN143" s="3" t="s">
        <v>1324</v>
      </c>
      <c r="BO143" s="3" t="s">
        <v>1324</v>
      </c>
      <c r="BP143" s="3" t="s">
        <v>1324</v>
      </c>
      <c r="BQ143" s="3" t="s">
        <v>1324</v>
      </c>
      <c r="BR143" s="3" t="s">
        <v>2383</v>
      </c>
      <c r="BS143" s="3" t="s">
        <v>4775</v>
      </c>
      <c r="BT143" s="3" t="str">
        <f>HYPERLINK("https%3A%2F%2Fwww.webofscience.com%2Fwos%2Fwoscc%2Ffull-record%2FWOS:000254086900002","View Full Record in Web of Science")</f>
        <v>View Full Record in Web of Science</v>
      </c>
    </row>
    <row r="144" ht="12.75" customHeight="1">
      <c r="A144" s="3" t="s">
        <v>636</v>
      </c>
      <c r="B144" s="3" t="s">
        <v>4776</v>
      </c>
      <c r="C144" s="3" t="s">
        <v>1324</v>
      </c>
      <c r="D144" s="3" t="s">
        <v>4777</v>
      </c>
      <c r="E144" s="3" t="s">
        <v>1324</v>
      </c>
      <c r="F144" s="3" t="s">
        <v>2153</v>
      </c>
      <c r="G144" s="3" t="s">
        <v>1324</v>
      </c>
      <c r="H144" s="3" t="s">
        <v>1324</v>
      </c>
      <c r="I144" s="3" t="s">
        <v>2155</v>
      </c>
      <c r="J144" s="3" t="s">
        <v>2154</v>
      </c>
      <c r="K144" s="3" t="s">
        <v>4778</v>
      </c>
      <c r="L144" s="3" t="s">
        <v>1324</v>
      </c>
      <c r="M144" s="3" t="s">
        <v>2364</v>
      </c>
      <c r="N144" s="3" t="s">
        <v>2437</v>
      </c>
      <c r="O144" s="3" t="s">
        <v>1324</v>
      </c>
      <c r="P144" s="3" t="s">
        <v>1324</v>
      </c>
      <c r="Q144" s="3" t="s">
        <v>1324</v>
      </c>
      <c r="R144" s="3" t="s">
        <v>1324</v>
      </c>
      <c r="S144" s="3" t="s">
        <v>1324</v>
      </c>
      <c r="T144" s="3" t="s">
        <v>1324</v>
      </c>
      <c r="U144" s="3" t="s">
        <v>4779</v>
      </c>
      <c r="V144" s="3" t="s">
        <v>4780</v>
      </c>
      <c r="W144" s="3" t="s">
        <v>4781</v>
      </c>
      <c r="X144" s="3" t="s">
        <v>4782</v>
      </c>
      <c r="Y144" s="3" t="s">
        <v>4783</v>
      </c>
      <c r="Z144" s="3" t="s">
        <v>1324</v>
      </c>
      <c r="AA144" s="3" t="s">
        <v>4784</v>
      </c>
      <c r="AB144" s="3" t="s">
        <v>4785</v>
      </c>
      <c r="AC144" s="3" t="s">
        <v>1324</v>
      </c>
      <c r="AD144" s="3" t="s">
        <v>1324</v>
      </c>
      <c r="AE144" s="3" t="s">
        <v>1324</v>
      </c>
      <c r="AF144" s="3" t="s">
        <v>1324</v>
      </c>
      <c r="AG144" s="3">
        <v>169.0</v>
      </c>
      <c r="AH144" s="3">
        <v>163.0</v>
      </c>
      <c r="AI144" s="3">
        <v>205.0</v>
      </c>
      <c r="AJ144" s="3">
        <v>1.0</v>
      </c>
      <c r="AK144" s="3">
        <v>20.0</v>
      </c>
      <c r="AL144" s="3" t="s">
        <v>4786</v>
      </c>
      <c r="AM144" s="3" t="s">
        <v>3483</v>
      </c>
      <c r="AN144" s="3" t="s">
        <v>4787</v>
      </c>
      <c r="AO144" s="3" t="s">
        <v>4788</v>
      </c>
      <c r="AP144" s="3" t="s">
        <v>1324</v>
      </c>
      <c r="AQ144" s="3" t="s">
        <v>4789</v>
      </c>
      <c r="AR144" s="3" t="s">
        <v>4790</v>
      </c>
      <c r="AS144" s="3" t="s">
        <v>4791</v>
      </c>
      <c r="AT144" s="3" t="s">
        <v>1324</v>
      </c>
      <c r="AU144" s="3">
        <v>2008.0</v>
      </c>
      <c r="AV144" s="3" t="s">
        <v>1324</v>
      </c>
      <c r="AW144" s="3" t="s">
        <v>1324</v>
      </c>
      <c r="AX144" s="3" t="s">
        <v>1324</v>
      </c>
      <c r="AY144" s="3" t="s">
        <v>1324</v>
      </c>
      <c r="AZ144" s="3" t="s">
        <v>1324</v>
      </c>
      <c r="BA144" s="3" t="s">
        <v>1324</v>
      </c>
      <c r="BB144" s="3">
        <v>107.0</v>
      </c>
      <c r="BC144" s="3">
        <v>146.0</v>
      </c>
      <c r="BD144" s="3" t="s">
        <v>1324</v>
      </c>
      <c r="BE144" s="3" t="s">
        <v>2157</v>
      </c>
      <c r="BF144" s="25" t="str">
        <f>HYPERLINK("http://dx.doi.org/10.1016/B978-012088449-0.50007-8","http://dx.doi.org/10.1016/B978-012088449-0.50007-8")</f>
        <v>http://dx.doi.org/10.1016/B978-012088449-0.50007-8</v>
      </c>
      <c r="BG144" s="3" t="s">
        <v>1324</v>
      </c>
      <c r="BH144" s="3" t="s">
        <v>1324</v>
      </c>
      <c r="BI144" s="3">
        <v>40.0</v>
      </c>
      <c r="BJ144" s="3" t="s">
        <v>130</v>
      </c>
      <c r="BK144" s="3" t="s">
        <v>2448</v>
      </c>
      <c r="BL144" s="3" t="s">
        <v>2516</v>
      </c>
      <c r="BM144" s="3" t="s">
        <v>4792</v>
      </c>
      <c r="BN144" s="3" t="s">
        <v>1324</v>
      </c>
      <c r="BO144" s="3" t="s">
        <v>1324</v>
      </c>
      <c r="BP144" s="3" t="s">
        <v>1324</v>
      </c>
      <c r="BQ144" s="3" t="s">
        <v>1324</v>
      </c>
      <c r="BR144" s="3" t="s">
        <v>2383</v>
      </c>
      <c r="BS144" s="3" t="s">
        <v>4793</v>
      </c>
      <c r="BT144" s="3" t="str">
        <f>HYPERLINK("https%3A%2F%2Fwww.webofscience.com%2Fwos%2Fwoscc%2Ffull-record%2FWOS:000318618900006","View Full Record in Web of Science")</f>
        <v>View Full Record in Web of Science</v>
      </c>
    </row>
    <row r="145" ht="12.75" customHeight="1">
      <c r="A145" s="3" t="s">
        <v>26</v>
      </c>
      <c r="B145" s="3" t="s">
        <v>4794</v>
      </c>
      <c r="C145" s="3" t="s">
        <v>1324</v>
      </c>
      <c r="D145" s="3" t="s">
        <v>1324</v>
      </c>
      <c r="E145" s="3" t="s">
        <v>1324</v>
      </c>
      <c r="F145" s="3" t="s">
        <v>1878</v>
      </c>
      <c r="G145" s="3" t="s">
        <v>1324</v>
      </c>
      <c r="H145" s="3" t="s">
        <v>1324</v>
      </c>
      <c r="I145" s="3" t="s">
        <v>4795</v>
      </c>
      <c r="J145" s="3" t="s">
        <v>1873</v>
      </c>
      <c r="K145" s="3" t="s">
        <v>1324</v>
      </c>
      <c r="L145" s="3" t="s">
        <v>1324</v>
      </c>
      <c r="M145" s="3" t="s">
        <v>2364</v>
      </c>
      <c r="N145" s="3" t="s">
        <v>38</v>
      </c>
      <c r="O145" s="3" t="s">
        <v>1324</v>
      </c>
      <c r="P145" s="3" t="s">
        <v>1324</v>
      </c>
      <c r="Q145" s="3" t="s">
        <v>1324</v>
      </c>
      <c r="R145" s="3" t="s">
        <v>1324</v>
      </c>
      <c r="S145" s="3" t="s">
        <v>1324</v>
      </c>
      <c r="T145" s="3" t="s">
        <v>4796</v>
      </c>
      <c r="U145" s="3" t="s">
        <v>4797</v>
      </c>
      <c r="V145" s="3" t="s">
        <v>1880</v>
      </c>
      <c r="W145" s="3" t="s">
        <v>4798</v>
      </c>
      <c r="X145" s="3" t="s">
        <v>4799</v>
      </c>
      <c r="Y145" s="3" t="s">
        <v>4800</v>
      </c>
      <c r="Z145" s="3" t="s">
        <v>4801</v>
      </c>
      <c r="AA145" s="3" t="s">
        <v>4802</v>
      </c>
      <c r="AB145" s="3" t="s">
        <v>1324</v>
      </c>
      <c r="AC145" s="3" t="s">
        <v>1324</v>
      </c>
      <c r="AD145" s="3" t="s">
        <v>1324</v>
      </c>
      <c r="AE145" s="3" t="s">
        <v>1324</v>
      </c>
      <c r="AF145" s="3" t="s">
        <v>1324</v>
      </c>
      <c r="AG145" s="3">
        <v>23.0</v>
      </c>
      <c r="AH145" s="3">
        <v>28.0</v>
      </c>
      <c r="AI145" s="3">
        <v>33.0</v>
      </c>
      <c r="AJ145" s="3">
        <v>0.0</v>
      </c>
      <c r="AK145" s="3">
        <v>31.0</v>
      </c>
      <c r="AL145" s="3" t="s">
        <v>4188</v>
      </c>
      <c r="AM145" s="3" t="s">
        <v>3872</v>
      </c>
      <c r="AN145" s="3" t="s">
        <v>4298</v>
      </c>
      <c r="AO145" s="3" t="s">
        <v>4191</v>
      </c>
      <c r="AP145" s="3" t="s">
        <v>4192</v>
      </c>
      <c r="AQ145" s="3" t="s">
        <v>1324</v>
      </c>
      <c r="AR145" s="3" t="s">
        <v>1873</v>
      </c>
      <c r="AS145" s="3" t="s">
        <v>4193</v>
      </c>
      <c r="AT145" s="3" t="s">
        <v>2734</v>
      </c>
      <c r="AU145" s="3">
        <v>2007.0</v>
      </c>
      <c r="AV145" s="3">
        <v>41.0</v>
      </c>
      <c r="AW145" s="3">
        <v>2.0</v>
      </c>
      <c r="AX145" s="3" t="s">
        <v>1324</v>
      </c>
      <c r="AY145" s="3" t="s">
        <v>1324</v>
      </c>
      <c r="AZ145" s="3" t="s">
        <v>1324</v>
      </c>
      <c r="BA145" s="3" t="s">
        <v>1324</v>
      </c>
      <c r="BB145" s="3">
        <v>263.0</v>
      </c>
      <c r="BC145" s="3">
        <v>271.0</v>
      </c>
      <c r="BD145" s="3" t="s">
        <v>1324</v>
      </c>
      <c r="BE145" s="3" t="s">
        <v>1881</v>
      </c>
      <c r="BF145" s="25" t="str">
        <f>HYPERLINK("http://dx.doi.org/10.1017/S0030605307001883","http://dx.doi.org/10.1017/S0030605307001883")</f>
        <v>http://dx.doi.org/10.1017/S0030605307001883</v>
      </c>
      <c r="BG145" s="3" t="s">
        <v>1324</v>
      </c>
      <c r="BH145" s="3" t="s">
        <v>1324</v>
      </c>
      <c r="BI145" s="3">
        <v>9.0</v>
      </c>
      <c r="BJ145" s="3" t="s">
        <v>1124</v>
      </c>
      <c r="BK145" s="3" t="s">
        <v>2407</v>
      </c>
      <c r="BL145" s="3" t="s">
        <v>2577</v>
      </c>
      <c r="BM145" s="3" t="s">
        <v>4803</v>
      </c>
      <c r="BN145" s="3" t="s">
        <v>1324</v>
      </c>
      <c r="BO145" s="3" t="s">
        <v>2715</v>
      </c>
      <c r="BP145" s="3" t="s">
        <v>1324</v>
      </c>
      <c r="BQ145" s="3" t="s">
        <v>1324</v>
      </c>
      <c r="BR145" s="3" t="s">
        <v>2383</v>
      </c>
      <c r="BS145" s="3" t="s">
        <v>4804</v>
      </c>
      <c r="BT145" s="3" t="str">
        <f>HYPERLINK("https%3A%2F%2Fwww.webofscience.com%2Fwos%2Fwoscc%2Ffull-record%2FWOS:000247440700024","View Full Record in Web of Science")</f>
        <v>View Full Record in Web of Science</v>
      </c>
    </row>
    <row r="146" ht="12.75" customHeight="1">
      <c r="A146" s="3" t="s">
        <v>26</v>
      </c>
      <c r="B146" s="3" t="s">
        <v>4805</v>
      </c>
      <c r="C146" s="3" t="s">
        <v>1324</v>
      </c>
      <c r="D146" s="3" t="s">
        <v>1324</v>
      </c>
      <c r="E146" s="3" t="s">
        <v>1324</v>
      </c>
      <c r="F146" s="3" t="s">
        <v>1762</v>
      </c>
      <c r="G146" s="3" t="s">
        <v>1324</v>
      </c>
      <c r="H146" s="3" t="s">
        <v>1324</v>
      </c>
      <c r="I146" s="3" t="s">
        <v>1764</v>
      </c>
      <c r="J146" s="3" t="s">
        <v>1763</v>
      </c>
      <c r="K146" s="3" t="s">
        <v>1324</v>
      </c>
      <c r="L146" s="3" t="s">
        <v>1324</v>
      </c>
      <c r="M146" s="3" t="s">
        <v>2364</v>
      </c>
      <c r="N146" s="3" t="s">
        <v>38</v>
      </c>
      <c r="O146" s="3" t="s">
        <v>1324</v>
      </c>
      <c r="P146" s="3" t="s">
        <v>1324</v>
      </c>
      <c r="Q146" s="3" t="s">
        <v>1324</v>
      </c>
      <c r="R146" s="3" t="s">
        <v>1324</v>
      </c>
      <c r="S146" s="3" t="s">
        <v>1324</v>
      </c>
      <c r="T146" s="3" t="s">
        <v>4806</v>
      </c>
      <c r="U146" s="3" t="s">
        <v>4807</v>
      </c>
      <c r="V146" s="3" t="s">
        <v>1765</v>
      </c>
      <c r="W146" s="3" t="s">
        <v>4808</v>
      </c>
      <c r="X146" s="3" t="s">
        <v>4809</v>
      </c>
      <c r="Y146" s="3" t="s">
        <v>4810</v>
      </c>
      <c r="Z146" s="3" t="s">
        <v>4811</v>
      </c>
      <c r="AA146" s="3" t="s">
        <v>4812</v>
      </c>
      <c r="AB146" s="3" t="s">
        <v>4813</v>
      </c>
      <c r="AC146" s="3" t="s">
        <v>1324</v>
      </c>
      <c r="AD146" s="3" t="s">
        <v>1324</v>
      </c>
      <c r="AE146" s="3" t="s">
        <v>1324</v>
      </c>
      <c r="AF146" s="3" t="s">
        <v>1324</v>
      </c>
      <c r="AG146" s="3">
        <v>45.0</v>
      </c>
      <c r="AH146" s="3">
        <v>19.0</v>
      </c>
      <c r="AI146" s="3">
        <v>24.0</v>
      </c>
      <c r="AJ146" s="3">
        <v>0.0</v>
      </c>
      <c r="AK146" s="3">
        <v>49.0</v>
      </c>
      <c r="AL146" s="3" t="s">
        <v>3181</v>
      </c>
      <c r="AM146" s="3" t="s">
        <v>3182</v>
      </c>
      <c r="AN146" s="3" t="s">
        <v>4814</v>
      </c>
      <c r="AO146" s="3" t="s">
        <v>4815</v>
      </c>
      <c r="AP146" s="3" t="s">
        <v>1324</v>
      </c>
      <c r="AQ146" s="3" t="s">
        <v>1324</v>
      </c>
      <c r="AR146" s="3" t="s">
        <v>4816</v>
      </c>
      <c r="AS146" s="3" t="s">
        <v>4817</v>
      </c>
      <c r="AT146" s="3" t="s">
        <v>4087</v>
      </c>
      <c r="AU146" s="3">
        <v>2007.0</v>
      </c>
      <c r="AV146" s="3">
        <v>10.0</v>
      </c>
      <c r="AW146" s="3">
        <v>2.0</v>
      </c>
      <c r="AX146" s="3" t="s">
        <v>1324</v>
      </c>
      <c r="AY146" s="3" t="s">
        <v>1324</v>
      </c>
      <c r="AZ146" s="3" t="s">
        <v>1324</v>
      </c>
      <c r="BA146" s="3" t="s">
        <v>1324</v>
      </c>
      <c r="BB146" s="3">
        <v>140.0</v>
      </c>
      <c r="BC146" s="3">
        <v>152.0</v>
      </c>
      <c r="BD146" s="3" t="s">
        <v>1324</v>
      </c>
      <c r="BE146" s="3" t="s">
        <v>1766</v>
      </c>
      <c r="BF146" s="25" t="str">
        <f>HYPERLINK("http://dx.doi.org/10.1080/14634980701350686","http://dx.doi.org/10.1080/14634980701350686")</f>
        <v>http://dx.doi.org/10.1080/14634980701350686</v>
      </c>
      <c r="BG146" s="3" t="s">
        <v>1324</v>
      </c>
      <c r="BH146" s="3" t="s">
        <v>1324</v>
      </c>
      <c r="BI146" s="3">
        <v>13.0</v>
      </c>
      <c r="BJ146" s="3" t="s">
        <v>4818</v>
      </c>
      <c r="BK146" s="3" t="s">
        <v>2407</v>
      </c>
      <c r="BL146" s="3" t="s">
        <v>2820</v>
      </c>
      <c r="BM146" s="3" t="s">
        <v>4819</v>
      </c>
      <c r="BN146" s="3" t="s">
        <v>1324</v>
      </c>
      <c r="BO146" s="3" t="s">
        <v>1324</v>
      </c>
      <c r="BP146" s="3" t="s">
        <v>1324</v>
      </c>
      <c r="BQ146" s="3" t="s">
        <v>1324</v>
      </c>
      <c r="BR146" s="3" t="s">
        <v>2383</v>
      </c>
      <c r="BS146" s="3" t="s">
        <v>4820</v>
      </c>
      <c r="BT146" s="3" t="str">
        <f>HYPERLINK("https%3A%2F%2Fwww.webofscience.com%2Fwos%2Fwoscc%2Ffull-record%2FWOS:000247870000003","View Full Record in Web of Science")</f>
        <v>View Full Record in Web of Science</v>
      </c>
    </row>
    <row r="147" ht="12.75" customHeight="1">
      <c r="A147" s="3" t="s">
        <v>26</v>
      </c>
      <c r="B147" s="3" t="s">
        <v>4821</v>
      </c>
      <c r="C147" s="3" t="s">
        <v>1324</v>
      </c>
      <c r="D147" s="3" t="s">
        <v>1324</v>
      </c>
      <c r="E147" s="3" t="s">
        <v>1324</v>
      </c>
      <c r="F147" s="3" t="s">
        <v>2226</v>
      </c>
      <c r="G147" s="3" t="s">
        <v>1324</v>
      </c>
      <c r="H147" s="3" t="s">
        <v>1324</v>
      </c>
      <c r="I147" s="3" t="s">
        <v>2228</v>
      </c>
      <c r="J147" s="3" t="s">
        <v>2227</v>
      </c>
      <c r="K147" s="3" t="s">
        <v>1324</v>
      </c>
      <c r="L147" s="3" t="s">
        <v>1324</v>
      </c>
      <c r="M147" s="3" t="s">
        <v>2364</v>
      </c>
      <c r="N147" s="3" t="s">
        <v>38</v>
      </c>
      <c r="O147" s="3" t="s">
        <v>1324</v>
      </c>
      <c r="P147" s="3" t="s">
        <v>1324</v>
      </c>
      <c r="Q147" s="3" t="s">
        <v>1324</v>
      </c>
      <c r="R147" s="3" t="s">
        <v>1324</v>
      </c>
      <c r="S147" s="3" t="s">
        <v>1324</v>
      </c>
      <c r="T147" s="3" t="s">
        <v>4822</v>
      </c>
      <c r="U147" s="3" t="s">
        <v>4823</v>
      </c>
      <c r="V147" s="3" t="s">
        <v>4824</v>
      </c>
      <c r="W147" s="3" t="s">
        <v>4825</v>
      </c>
      <c r="X147" s="3" t="s">
        <v>4826</v>
      </c>
      <c r="Y147" s="3" t="s">
        <v>4827</v>
      </c>
      <c r="Z147" s="3" t="s">
        <v>4828</v>
      </c>
      <c r="AA147" s="3" t="s">
        <v>4829</v>
      </c>
      <c r="AB147" s="3" t="s">
        <v>4830</v>
      </c>
      <c r="AC147" s="3" t="s">
        <v>1324</v>
      </c>
      <c r="AD147" s="3" t="s">
        <v>1324</v>
      </c>
      <c r="AE147" s="3" t="s">
        <v>1324</v>
      </c>
      <c r="AF147" s="3" t="s">
        <v>1324</v>
      </c>
      <c r="AG147" s="3">
        <v>77.0</v>
      </c>
      <c r="AH147" s="3">
        <v>105.0</v>
      </c>
      <c r="AI147" s="3">
        <v>114.0</v>
      </c>
      <c r="AJ147" s="3">
        <v>0.0</v>
      </c>
      <c r="AK147" s="3">
        <v>69.0</v>
      </c>
      <c r="AL147" s="3" t="s">
        <v>3250</v>
      </c>
      <c r="AM147" s="3" t="s">
        <v>3872</v>
      </c>
      <c r="AN147" s="3" t="s">
        <v>4831</v>
      </c>
      <c r="AO147" s="3" t="s">
        <v>4832</v>
      </c>
      <c r="AP147" s="3" t="s">
        <v>4833</v>
      </c>
      <c r="AQ147" s="3" t="s">
        <v>1324</v>
      </c>
      <c r="AR147" s="3" t="s">
        <v>2227</v>
      </c>
      <c r="AS147" s="3" t="s">
        <v>4834</v>
      </c>
      <c r="AT147" s="3" t="s">
        <v>3168</v>
      </c>
      <c r="AU147" s="3">
        <v>2007.0</v>
      </c>
      <c r="AV147" s="3">
        <v>151.0</v>
      </c>
      <c r="AW147" s="3">
        <v>3.0</v>
      </c>
      <c r="AX147" s="3" t="s">
        <v>1324</v>
      </c>
      <c r="AY147" s="3" t="s">
        <v>1324</v>
      </c>
      <c r="AZ147" s="3" t="s">
        <v>1324</v>
      </c>
      <c r="BA147" s="3" t="s">
        <v>1324</v>
      </c>
      <c r="BB147" s="3">
        <v>544.0</v>
      </c>
      <c r="BC147" s="3">
        <v>559.0</v>
      </c>
      <c r="BD147" s="3" t="s">
        <v>1324</v>
      </c>
      <c r="BE147" s="3" t="s">
        <v>2230</v>
      </c>
      <c r="BF147" s="25" t="str">
        <f>HYPERLINK("http://dx.doi.org/10.1007/s00442-006-0655-1","http://dx.doi.org/10.1007/s00442-006-0655-1")</f>
        <v>http://dx.doi.org/10.1007/s00442-006-0655-1</v>
      </c>
      <c r="BG147" s="3" t="s">
        <v>1324</v>
      </c>
      <c r="BH147" s="3" t="s">
        <v>1324</v>
      </c>
      <c r="BI147" s="3">
        <v>16.0</v>
      </c>
      <c r="BJ147" s="3" t="s">
        <v>817</v>
      </c>
      <c r="BK147" s="3" t="s">
        <v>2407</v>
      </c>
      <c r="BL147" s="3" t="s">
        <v>2472</v>
      </c>
      <c r="BM147" s="3" t="s">
        <v>4835</v>
      </c>
      <c r="BN147" s="3">
        <v>1.7242905E7</v>
      </c>
      <c r="BO147" s="3" t="s">
        <v>1324</v>
      </c>
      <c r="BP147" s="3" t="s">
        <v>1324</v>
      </c>
      <c r="BQ147" s="3" t="s">
        <v>1324</v>
      </c>
      <c r="BR147" s="3" t="s">
        <v>2383</v>
      </c>
      <c r="BS147" s="3" t="s">
        <v>4836</v>
      </c>
      <c r="BT147" s="3" t="str">
        <f>HYPERLINK("https%3A%2F%2Fwww.webofscience.com%2Fwos%2Fwoscc%2Ffull-record%2FWOS:000244692700016","View Full Record in Web of Science")</f>
        <v>View Full Record in Web of Science</v>
      </c>
    </row>
    <row r="148" ht="12.75" customHeight="1">
      <c r="A148" s="3" t="s">
        <v>26</v>
      </c>
      <c r="B148" s="3" t="s">
        <v>4837</v>
      </c>
      <c r="C148" s="3" t="s">
        <v>1324</v>
      </c>
      <c r="D148" s="3" t="s">
        <v>1324</v>
      </c>
      <c r="E148" s="3" t="s">
        <v>1324</v>
      </c>
      <c r="F148" s="3" t="s">
        <v>2053</v>
      </c>
      <c r="G148" s="3" t="s">
        <v>1324</v>
      </c>
      <c r="H148" s="3" t="s">
        <v>1324</v>
      </c>
      <c r="I148" s="3" t="s">
        <v>4838</v>
      </c>
      <c r="J148" s="3" t="s">
        <v>227</v>
      </c>
      <c r="K148" s="3" t="s">
        <v>1324</v>
      </c>
      <c r="L148" s="3" t="s">
        <v>1324</v>
      </c>
      <c r="M148" s="3" t="s">
        <v>2364</v>
      </c>
      <c r="N148" s="3" t="s">
        <v>38</v>
      </c>
      <c r="O148" s="3" t="s">
        <v>1324</v>
      </c>
      <c r="P148" s="3" t="s">
        <v>1324</v>
      </c>
      <c r="Q148" s="3" t="s">
        <v>1324</v>
      </c>
      <c r="R148" s="3" t="s">
        <v>1324</v>
      </c>
      <c r="S148" s="3" t="s">
        <v>1324</v>
      </c>
      <c r="T148" s="3" t="s">
        <v>4839</v>
      </c>
      <c r="U148" s="3" t="s">
        <v>4840</v>
      </c>
      <c r="V148" s="3" t="s">
        <v>4841</v>
      </c>
      <c r="W148" s="3" t="s">
        <v>4842</v>
      </c>
      <c r="X148" s="3" t="s">
        <v>4843</v>
      </c>
      <c r="Y148" s="3" t="s">
        <v>4844</v>
      </c>
      <c r="Z148" s="3" t="s">
        <v>4845</v>
      </c>
      <c r="AA148" s="3" t="s">
        <v>4846</v>
      </c>
      <c r="AB148" s="3" t="s">
        <v>4847</v>
      </c>
      <c r="AC148" s="3" t="s">
        <v>1324</v>
      </c>
      <c r="AD148" s="3" t="s">
        <v>1324</v>
      </c>
      <c r="AE148" s="3" t="s">
        <v>1324</v>
      </c>
      <c r="AF148" s="3" t="s">
        <v>1324</v>
      </c>
      <c r="AG148" s="3">
        <v>55.0</v>
      </c>
      <c r="AH148" s="3">
        <v>58.0</v>
      </c>
      <c r="AI148" s="3">
        <v>62.0</v>
      </c>
      <c r="AJ148" s="3">
        <v>0.0</v>
      </c>
      <c r="AK148" s="3">
        <v>20.0</v>
      </c>
      <c r="AL148" s="3" t="s">
        <v>3602</v>
      </c>
      <c r="AM148" s="3" t="s">
        <v>2400</v>
      </c>
      <c r="AN148" s="3" t="s">
        <v>3603</v>
      </c>
      <c r="AO148" s="3" t="s">
        <v>4848</v>
      </c>
      <c r="AP148" s="3" t="s">
        <v>4849</v>
      </c>
      <c r="AQ148" s="3" t="s">
        <v>1324</v>
      </c>
      <c r="AR148" s="3" t="s">
        <v>4850</v>
      </c>
      <c r="AS148" s="3" t="s">
        <v>4851</v>
      </c>
      <c r="AT148" s="3" t="s">
        <v>2818</v>
      </c>
      <c r="AU148" s="3">
        <v>2007.0</v>
      </c>
      <c r="AV148" s="3">
        <v>71.0</v>
      </c>
      <c r="AW148" s="3" t="s">
        <v>4852</v>
      </c>
      <c r="AX148" s="3" t="s">
        <v>1324</v>
      </c>
      <c r="AY148" s="3" t="s">
        <v>1324</v>
      </c>
      <c r="AZ148" s="3" t="s">
        <v>1324</v>
      </c>
      <c r="BA148" s="3" t="s">
        <v>1324</v>
      </c>
      <c r="BB148" s="3">
        <v>429.0</v>
      </c>
      <c r="BC148" s="3">
        <v>442.0</v>
      </c>
      <c r="BD148" s="3" t="s">
        <v>1324</v>
      </c>
      <c r="BE148" s="3" t="s">
        <v>2056</v>
      </c>
      <c r="BF148" s="25" t="str">
        <f>HYPERLINK("http://dx.doi.org/10.1016/j.ecss.2006.08.018","http://dx.doi.org/10.1016/j.ecss.2006.08.018")</f>
        <v>http://dx.doi.org/10.1016/j.ecss.2006.08.018</v>
      </c>
      <c r="BG148" s="3" t="s">
        <v>1324</v>
      </c>
      <c r="BH148" s="3" t="s">
        <v>1324</v>
      </c>
      <c r="BI148" s="3">
        <v>14.0</v>
      </c>
      <c r="BJ148" s="3" t="s">
        <v>231</v>
      </c>
      <c r="BK148" s="3" t="s">
        <v>2407</v>
      </c>
      <c r="BL148" s="3" t="s">
        <v>231</v>
      </c>
      <c r="BM148" s="3" t="s">
        <v>4853</v>
      </c>
      <c r="BN148" s="3" t="s">
        <v>1324</v>
      </c>
      <c r="BO148" s="3" t="s">
        <v>1324</v>
      </c>
      <c r="BP148" s="3" t="s">
        <v>1324</v>
      </c>
      <c r="BQ148" s="3" t="s">
        <v>1324</v>
      </c>
      <c r="BR148" s="3" t="s">
        <v>2383</v>
      </c>
      <c r="BS148" s="3" t="s">
        <v>4854</v>
      </c>
      <c r="BT148" s="3" t="str">
        <f>HYPERLINK("https%3A%2F%2Fwww.webofscience.com%2Fwos%2Fwoscc%2Ffull-record%2FWOS:000244177300008","View Full Record in Web of Science")</f>
        <v>View Full Record in Web of Science</v>
      </c>
    </row>
    <row r="149" ht="12.75" customHeight="1">
      <c r="A149" s="3" t="s">
        <v>26</v>
      </c>
      <c r="B149" s="3" t="s">
        <v>4855</v>
      </c>
      <c r="C149" s="3" t="s">
        <v>1324</v>
      </c>
      <c r="D149" s="3" t="s">
        <v>1324</v>
      </c>
      <c r="E149" s="3" t="s">
        <v>1324</v>
      </c>
      <c r="F149" s="3" t="s">
        <v>1615</v>
      </c>
      <c r="G149" s="3" t="s">
        <v>1324</v>
      </c>
      <c r="H149" s="3" t="s">
        <v>1324</v>
      </c>
      <c r="I149" s="3" t="s">
        <v>1617</v>
      </c>
      <c r="J149" s="3" t="s">
        <v>1616</v>
      </c>
      <c r="K149" s="3" t="s">
        <v>1324</v>
      </c>
      <c r="L149" s="3" t="s">
        <v>1324</v>
      </c>
      <c r="M149" s="3" t="s">
        <v>2364</v>
      </c>
      <c r="N149" s="3" t="s">
        <v>38</v>
      </c>
      <c r="O149" s="3" t="s">
        <v>1324</v>
      </c>
      <c r="P149" s="3" t="s">
        <v>1324</v>
      </c>
      <c r="Q149" s="3" t="s">
        <v>1324</v>
      </c>
      <c r="R149" s="3" t="s">
        <v>1324</v>
      </c>
      <c r="S149" s="3" t="s">
        <v>1324</v>
      </c>
      <c r="T149" s="3" t="s">
        <v>4856</v>
      </c>
      <c r="U149" s="3" t="s">
        <v>4857</v>
      </c>
      <c r="V149" s="3" t="s">
        <v>4858</v>
      </c>
      <c r="W149" s="3" t="s">
        <v>4859</v>
      </c>
      <c r="X149" s="3" t="s">
        <v>4860</v>
      </c>
      <c r="Y149" s="3" t="s">
        <v>4861</v>
      </c>
      <c r="Z149" s="3" t="s">
        <v>4862</v>
      </c>
      <c r="AA149" s="3" t="s">
        <v>4863</v>
      </c>
      <c r="AB149" s="3" t="s">
        <v>4864</v>
      </c>
      <c r="AC149" s="3" t="s">
        <v>1324</v>
      </c>
      <c r="AD149" s="3" t="s">
        <v>1324</v>
      </c>
      <c r="AE149" s="3" t="s">
        <v>1324</v>
      </c>
      <c r="AF149" s="3" t="s">
        <v>1324</v>
      </c>
      <c r="AG149" s="3">
        <v>71.0</v>
      </c>
      <c r="AH149" s="3">
        <v>23.0</v>
      </c>
      <c r="AI149" s="3">
        <v>26.0</v>
      </c>
      <c r="AJ149" s="3">
        <v>1.0</v>
      </c>
      <c r="AK149" s="3">
        <v>41.0</v>
      </c>
      <c r="AL149" s="3" t="s">
        <v>2464</v>
      </c>
      <c r="AM149" s="3" t="s">
        <v>2465</v>
      </c>
      <c r="AN149" s="3" t="s">
        <v>2466</v>
      </c>
      <c r="AO149" s="3" t="s">
        <v>4865</v>
      </c>
      <c r="AP149" s="3" t="s">
        <v>4866</v>
      </c>
      <c r="AQ149" s="3" t="s">
        <v>1324</v>
      </c>
      <c r="AR149" s="3" t="s">
        <v>4867</v>
      </c>
      <c r="AS149" s="3" t="s">
        <v>4868</v>
      </c>
      <c r="AT149" s="3" t="s">
        <v>2471</v>
      </c>
      <c r="AU149" s="3">
        <v>2006.0</v>
      </c>
      <c r="AV149" s="3">
        <v>94.0</v>
      </c>
      <c r="AW149" s="3">
        <v>5.0</v>
      </c>
      <c r="AX149" s="3" t="s">
        <v>1324</v>
      </c>
      <c r="AY149" s="3" t="s">
        <v>1324</v>
      </c>
      <c r="AZ149" s="3" t="s">
        <v>1324</v>
      </c>
      <c r="BA149" s="3" t="s">
        <v>1324</v>
      </c>
      <c r="BB149" s="3">
        <v>987.0</v>
      </c>
      <c r="BC149" s="3">
        <v>1002.0</v>
      </c>
      <c r="BD149" s="3" t="s">
        <v>1324</v>
      </c>
      <c r="BE149" s="3" t="s">
        <v>1619</v>
      </c>
      <c r="BF149" s="25" t="str">
        <f>HYPERLINK("http://dx.doi.org/10.1111/j.1365-2745.2006.01140.x","http://dx.doi.org/10.1111/j.1365-2745.2006.01140.x")</f>
        <v>http://dx.doi.org/10.1111/j.1365-2745.2006.01140.x</v>
      </c>
      <c r="BG149" s="3" t="s">
        <v>1324</v>
      </c>
      <c r="BH149" s="3" t="s">
        <v>1324</v>
      </c>
      <c r="BI149" s="3">
        <v>16.0</v>
      </c>
      <c r="BJ149" s="3" t="s">
        <v>3648</v>
      </c>
      <c r="BK149" s="3" t="s">
        <v>2407</v>
      </c>
      <c r="BL149" s="3" t="s">
        <v>3649</v>
      </c>
      <c r="BM149" s="3" t="s">
        <v>4869</v>
      </c>
      <c r="BN149" s="3" t="s">
        <v>1324</v>
      </c>
      <c r="BO149" s="3" t="s">
        <v>1324</v>
      </c>
      <c r="BP149" s="3" t="s">
        <v>1324</v>
      </c>
      <c r="BQ149" s="3" t="s">
        <v>1324</v>
      </c>
      <c r="BR149" s="3" t="s">
        <v>2383</v>
      </c>
      <c r="BS149" s="3" t="s">
        <v>4870</v>
      </c>
      <c r="BT149" s="3" t="str">
        <f>HYPERLINK("https%3A%2F%2Fwww.webofscience.com%2Fwos%2Fwoscc%2Ffull-record%2FWOS:000239510400011","View Full Record in Web of Science")</f>
        <v>View Full Record in Web of Science</v>
      </c>
    </row>
    <row r="150" ht="12.75" customHeight="1">
      <c r="A150" s="3" t="s">
        <v>26</v>
      </c>
      <c r="B150" s="3" t="s">
        <v>2141</v>
      </c>
      <c r="C150" s="3" t="s">
        <v>1324</v>
      </c>
      <c r="D150" s="3" t="s">
        <v>1324</v>
      </c>
      <c r="E150" s="3" t="s">
        <v>1324</v>
      </c>
      <c r="F150" s="3" t="s">
        <v>2141</v>
      </c>
      <c r="G150" s="3" t="s">
        <v>1324</v>
      </c>
      <c r="H150" s="3" t="s">
        <v>1324</v>
      </c>
      <c r="I150" s="3" t="s">
        <v>2143</v>
      </c>
      <c r="J150" s="3" t="s">
        <v>2142</v>
      </c>
      <c r="K150" s="3" t="s">
        <v>1324</v>
      </c>
      <c r="L150" s="3" t="s">
        <v>1324</v>
      </c>
      <c r="M150" s="3" t="s">
        <v>2364</v>
      </c>
      <c r="N150" s="3" t="s">
        <v>38</v>
      </c>
      <c r="O150" s="3" t="s">
        <v>1324</v>
      </c>
      <c r="P150" s="3" t="s">
        <v>1324</v>
      </c>
      <c r="Q150" s="3" t="s">
        <v>1324</v>
      </c>
      <c r="R150" s="3" t="s">
        <v>1324</v>
      </c>
      <c r="S150" s="3" t="s">
        <v>1324</v>
      </c>
      <c r="T150" s="3" t="s">
        <v>4871</v>
      </c>
      <c r="U150" s="3" t="s">
        <v>4872</v>
      </c>
      <c r="V150" s="3" t="s">
        <v>2144</v>
      </c>
      <c r="W150" s="3" t="s">
        <v>4873</v>
      </c>
      <c r="X150" s="3" t="s">
        <v>4874</v>
      </c>
      <c r="Y150" s="3" t="s">
        <v>4875</v>
      </c>
      <c r="Z150" s="3" t="s">
        <v>4876</v>
      </c>
      <c r="AA150" s="3" t="s">
        <v>4877</v>
      </c>
      <c r="AB150" s="3" t="s">
        <v>4878</v>
      </c>
      <c r="AC150" s="3" t="s">
        <v>1324</v>
      </c>
      <c r="AD150" s="3" t="s">
        <v>1324</v>
      </c>
      <c r="AE150" s="3" t="s">
        <v>1324</v>
      </c>
      <c r="AF150" s="3" t="s">
        <v>1324</v>
      </c>
      <c r="AG150" s="3">
        <v>24.0</v>
      </c>
      <c r="AH150" s="3">
        <v>172.0</v>
      </c>
      <c r="AI150" s="3">
        <v>202.0</v>
      </c>
      <c r="AJ150" s="3">
        <v>0.0</v>
      </c>
      <c r="AK150" s="3">
        <v>30.0</v>
      </c>
      <c r="AL150" s="3" t="s">
        <v>3043</v>
      </c>
      <c r="AM150" s="3" t="s">
        <v>2487</v>
      </c>
      <c r="AN150" s="3" t="s">
        <v>3044</v>
      </c>
      <c r="AO150" s="3" t="s">
        <v>4879</v>
      </c>
      <c r="AP150" s="3" t="s">
        <v>1324</v>
      </c>
      <c r="AQ150" s="3" t="s">
        <v>1324</v>
      </c>
      <c r="AR150" s="3" t="s">
        <v>4880</v>
      </c>
      <c r="AS150" s="3" t="s">
        <v>4881</v>
      </c>
      <c r="AT150" s="3" t="s">
        <v>2734</v>
      </c>
      <c r="AU150" s="3">
        <v>2006.0</v>
      </c>
      <c r="AV150" s="3">
        <v>113.0</v>
      </c>
      <c r="AW150" s="3" t="s">
        <v>4882</v>
      </c>
      <c r="AX150" s="3" t="s">
        <v>1324</v>
      </c>
      <c r="AY150" s="3" t="s">
        <v>1324</v>
      </c>
      <c r="AZ150" s="3" t="s">
        <v>1324</v>
      </c>
      <c r="BA150" s="3" t="s">
        <v>1324</v>
      </c>
      <c r="BB150" s="3">
        <v>254.0</v>
      </c>
      <c r="BC150" s="3">
        <v>263.0</v>
      </c>
      <c r="BD150" s="3" t="s">
        <v>1324</v>
      </c>
      <c r="BE150" s="3" t="s">
        <v>2145</v>
      </c>
      <c r="BF150" s="25" t="str">
        <f>HYPERLINK("http://dx.doi.org/10.1016/j.agee.2005.10.019","http://dx.doi.org/10.1016/j.agee.2005.10.019")</f>
        <v>http://dx.doi.org/10.1016/j.agee.2005.10.019</v>
      </c>
      <c r="BG150" s="3" t="s">
        <v>1324</v>
      </c>
      <c r="BH150" s="3" t="s">
        <v>1324</v>
      </c>
      <c r="BI150" s="3">
        <v>10.0</v>
      </c>
      <c r="BJ150" s="3" t="s">
        <v>4883</v>
      </c>
      <c r="BK150" s="3" t="s">
        <v>2407</v>
      </c>
      <c r="BL150" s="3" t="s">
        <v>4884</v>
      </c>
      <c r="BM150" s="3" t="s">
        <v>4885</v>
      </c>
      <c r="BN150" s="3" t="s">
        <v>1324</v>
      </c>
      <c r="BO150" s="3" t="s">
        <v>1324</v>
      </c>
      <c r="BP150" s="3" t="s">
        <v>1324</v>
      </c>
      <c r="BQ150" s="3" t="s">
        <v>1324</v>
      </c>
      <c r="BR150" s="3" t="s">
        <v>2383</v>
      </c>
      <c r="BS150" s="3" t="s">
        <v>4886</v>
      </c>
      <c r="BT150" s="3" t="str">
        <f>HYPERLINK("https%3A%2F%2Fwww.webofscience.com%2Fwos%2Fwoscc%2Ffull-record%2FWOS:000235765100023","View Full Record in Web of Science")</f>
        <v>View Full Record in Web of Science</v>
      </c>
    </row>
    <row r="151" ht="12.75" customHeight="1">
      <c r="A151" s="3" t="s">
        <v>636</v>
      </c>
      <c r="B151" s="3" t="s">
        <v>4887</v>
      </c>
      <c r="C151" s="3" t="s">
        <v>1324</v>
      </c>
      <c r="D151" s="3" t="s">
        <v>4888</v>
      </c>
      <c r="E151" s="3" t="s">
        <v>1324</v>
      </c>
      <c r="F151" s="3" t="s">
        <v>1883</v>
      </c>
      <c r="G151" s="3" t="s">
        <v>1324</v>
      </c>
      <c r="H151" s="3" t="s">
        <v>1324</v>
      </c>
      <c r="I151" s="3" t="s">
        <v>1885</v>
      </c>
      <c r="J151" s="3" t="s">
        <v>1884</v>
      </c>
      <c r="K151" s="3" t="s">
        <v>4889</v>
      </c>
      <c r="L151" s="3" t="s">
        <v>1324</v>
      </c>
      <c r="M151" s="3" t="s">
        <v>2364</v>
      </c>
      <c r="N151" s="3" t="s">
        <v>640</v>
      </c>
      <c r="O151" s="3" t="s">
        <v>1324</v>
      </c>
      <c r="P151" s="3" t="s">
        <v>1324</v>
      </c>
      <c r="Q151" s="3" t="s">
        <v>1324</v>
      </c>
      <c r="R151" s="3" t="s">
        <v>1324</v>
      </c>
      <c r="S151" s="3" t="s">
        <v>1324</v>
      </c>
      <c r="T151" s="3" t="s">
        <v>1324</v>
      </c>
      <c r="U151" s="3" t="s">
        <v>4890</v>
      </c>
      <c r="V151" s="3" t="s">
        <v>4891</v>
      </c>
      <c r="W151" s="3" t="s">
        <v>4892</v>
      </c>
      <c r="X151" s="3" t="s">
        <v>4893</v>
      </c>
      <c r="Y151" s="3" t="s">
        <v>4894</v>
      </c>
      <c r="Z151" s="3" t="s">
        <v>1324</v>
      </c>
      <c r="AA151" s="3" t="s">
        <v>1324</v>
      </c>
      <c r="AB151" s="3" t="s">
        <v>4895</v>
      </c>
      <c r="AC151" s="3" t="s">
        <v>1324</v>
      </c>
      <c r="AD151" s="3" t="s">
        <v>1324</v>
      </c>
      <c r="AE151" s="3" t="s">
        <v>1324</v>
      </c>
      <c r="AF151" s="3" t="s">
        <v>1324</v>
      </c>
      <c r="AG151" s="3">
        <v>254.0</v>
      </c>
      <c r="AH151" s="3">
        <v>101.0</v>
      </c>
      <c r="AI151" s="3">
        <v>111.0</v>
      </c>
      <c r="AJ151" s="3">
        <v>0.0</v>
      </c>
      <c r="AK151" s="3">
        <v>107.0</v>
      </c>
      <c r="AL151" s="3" t="s">
        <v>4896</v>
      </c>
      <c r="AM151" s="3" t="s">
        <v>2400</v>
      </c>
      <c r="AN151" s="3" t="s">
        <v>4897</v>
      </c>
      <c r="AO151" s="3" t="s">
        <v>4898</v>
      </c>
      <c r="AP151" s="3" t="s">
        <v>4899</v>
      </c>
      <c r="AQ151" s="3" t="s">
        <v>4900</v>
      </c>
      <c r="AR151" s="3" t="s">
        <v>4901</v>
      </c>
      <c r="AS151" s="3" t="s">
        <v>4902</v>
      </c>
      <c r="AT151" s="3" t="s">
        <v>1324</v>
      </c>
      <c r="AU151" s="3">
        <v>2006.0</v>
      </c>
      <c r="AV151" s="3">
        <v>50.0</v>
      </c>
      <c r="AW151" s="3" t="s">
        <v>1324</v>
      </c>
      <c r="AX151" s="3" t="s">
        <v>1324</v>
      </c>
      <c r="AY151" s="3" t="s">
        <v>1324</v>
      </c>
      <c r="AZ151" s="3" t="s">
        <v>1324</v>
      </c>
      <c r="BA151" s="3" t="s">
        <v>1324</v>
      </c>
      <c r="BB151" s="3">
        <v>1.0</v>
      </c>
      <c r="BC151" s="3">
        <v>55.0</v>
      </c>
      <c r="BD151" s="3" t="s">
        <v>1324</v>
      </c>
      <c r="BE151" s="3" t="s">
        <v>1887</v>
      </c>
      <c r="BF151" s="25" t="str">
        <f>HYPERLINK("http://dx.doi.org/10.1016/S0065-2881(05)50001-4","http://dx.doi.org/10.1016/S0065-2881(05)50001-4")</f>
        <v>http://dx.doi.org/10.1016/S0065-2881(05)50001-4</v>
      </c>
      <c r="BG151" s="3" t="s">
        <v>1324</v>
      </c>
      <c r="BH151" s="3" t="s">
        <v>1324</v>
      </c>
      <c r="BI151" s="3">
        <v>55.0</v>
      </c>
      <c r="BJ151" s="3" t="s">
        <v>4903</v>
      </c>
      <c r="BK151" s="3" t="s">
        <v>4904</v>
      </c>
      <c r="BL151" s="3" t="s">
        <v>4903</v>
      </c>
      <c r="BM151" s="3" t="s">
        <v>4905</v>
      </c>
      <c r="BN151" s="3">
        <v>1.678245E7</v>
      </c>
      <c r="BO151" s="3" t="s">
        <v>1324</v>
      </c>
      <c r="BP151" s="3" t="s">
        <v>1324</v>
      </c>
      <c r="BQ151" s="3" t="s">
        <v>1324</v>
      </c>
      <c r="BR151" s="3" t="s">
        <v>2383</v>
      </c>
      <c r="BS151" s="3" t="s">
        <v>4906</v>
      </c>
      <c r="BT151" s="3" t="str">
        <f>HYPERLINK("https%3A%2F%2Fwww.webofscience.com%2Fwos%2Fwoscc%2Ffull-record%2FWOS:000238223900001","View Full Record in Web of Science")</f>
        <v>View Full Record in Web of Science</v>
      </c>
    </row>
    <row r="152" ht="12.75" customHeight="1">
      <c r="A152" s="3" t="s">
        <v>26</v>
      </c>
      <c r="B152" s="3" t="s">
        <v>1524</v>
      </c>
      <c r="C152" s="3" t="s">
        <v>1324</v>
      </c>
      <c r="D152" s="3" t="s">
        <v>1324</v>
      </c>
      <c r="E152" s="3" t="s">
        <v>1324</v>
      </c>
      <c r="F152" s="3" t="s">
        <v>1524</v>
      </c>
      <c r="G152" s="3" t="s">
        <v>1324</v>
      </c>
      <c r="H152" s="3" t="s">
        <v>1324</v>
      </c>
      <c r="I152" s="3" t="s">
        <v>1526</v>
      </c>
      <c r="J152" s="3" t="s">
        <v>1525</v>
      </c>
      <c r="K152" s="3" t="s">
        <v>1324</v>
      </c>
      <c r="L152" s="3" t="s">
        <v>1324</v>
      </c>
      <c r="M152" s="3" t="s">
        <v>2364</v>
      </c>
      <c r="N152" s="3" t="s">
        <v>30</v>
      </c>
      <c r="O152" s="3" t="s">
        <v>1324</v>
      </c>
      <c r="P152" s="3" t="s">
        <v>1324</v>
      </c>
      <c r="Q152" s="3" t="s">
        <v>1324</v>
      </c>
      <c r="R152" s="3" t="s">
        <v>1324</v>
      </c>
      <c r="S152" s="3" t="s">
        <v>1324</v>
      </c>
      <c r="T152" s="3" t="s">
        <v>1324</v>
      </c>
      <c r="U152" s="3" t="s">
        <v>4907</v>
      </c>
      <c r="V152" s="3" t="s">
        <v>1527</v>
      </c>
      <c r="W152" s="3" t="s">
        <v>4908</v>
      </c>
      <c r="X152" s="3" t="s">
        <v>4909</v>
      </c>
      <c r="Y152" s="3" t="s">
        <v>4910</v>
      </c>
      <c r="Z152" s="3" t="s">
        <v>4911</v>
      </c>
      <c r="AA152" s="3" t="s">
        <v>4912</v>
      </c>
      <c r="AB152" s="3" t="s">
        <v>1324</v>
      </c>
      <c r="AC152" s="3" t="s">
        <v>1324</v>
      </c>
      <c r="AD152" s="3" t="s">
        <v>1324</v>
      </c>
      <c r="AE152" s="3" t="s">
        <v>1324</v>
      </c>
      <c r="AF152" s="3" t="s">
        <v>1324</v>
      </c>
      <c r="AG152" s="3">
        <v>102.0</v>
      </c>
      <c r="AH152" s="3">
        <v>88.0</v>
      </c>
      <c r="AI152" s="3">
        <v>116.0</v>
      </c>
      <c r="AJ152" s="3">
        <v>0.0</v>
      </c>
      <c r="AK152" s="3">
        <v>62.0</v>
      </c>
      <c r="AL152" s="3" t="s">
        <v>3085</v>
      </c>
      <c r="AM152" s="3" t="s">
        <v>3086</v>
      </c>
      <c r="AN152" s="3" t="s">
        <v>4913</v>
      </c>
      <c r="AO152" s="3" t="s">
        <v>4914</v>
      </c>
      <c r="AP152" s="3" t="s">
        <v>4915</v>
      </c>
      <c r="AQ152" s="3" t="s">
        <v>1324</v>
      </c>
      <c r="AR152" s="3" t="s">
        <v>4916</v>
      </c>
      <c r="AS152" s="3" t="s">
        <v>4917</v>
      </c>
      <c r="AT152" s="3" t="s">
        <v>2632</v>
      </c>
      <c r="AU152" s="3">
        <v>2005.0</v>
      </c>
      <c r="AV152" s="3">
        <v>62.0</v>
      </c>
      <c r="AW152" s="3">
        <v>6.0</v>
      </c>
      <c r="AX152" s="3" t="s">
        <v>1324</v>
      </c>
      <c r="AY152" s="3" t="s">
        <v>1324</v>
      </c>
      <c r="AZ152" s="3" t="s">
        <v>1324</v>
      </c>
      <c r="BA152" s="3" t="s">
        <v>1324</v>
      </c>
      <c r="BB152" s="3">
        <v>1432.0</v>
      </c>
      <c r="BC152" s="3">
        <v>1451.0</v>
      </c>
      <c r="BD152" s="3" t="s">
        <v>1324</v>
      </c>
      <c r="BE152" s="3" t="s">
        <v>1528</v>
      </c>
      <c r="BF152" s="25" t="str">
        <f>HYPERLINK("http://dx.doi.org/10.1139/F05-061","http://dx.doi.org/10.1139/F05-061")</f>
        <v>http://dx.doi.org/10.1139/F05-061</v>
      </c>
      <c r="BG152" s="3" t="s">
        <v>1324</v>
      </c>
      <c r="BH152" s="3" t="s">
        <v>1324</v>
      </c>
      <c r="BI152" s="3">
        <v>20.0</v>
      </c>
      <c r="BJ152" s="3" t="s">
        <v>4918</v>
      </c>
      <c r="BK152" s="3" t="s">
        <v>2407</v>
      </c>
      <c r="BL152" s="3" t="s">
        <v>4918</v>
      </c>
      <c r="BM152" s="3" t="s">
        <v>4919</v>
      </c>
      <c r="BN152" s="3" t="s">
        <v>1324</v>
      </c>
      <c r="BO152" s="3" t="s">
        <v>1324</v>
      </c>
      <c r="BP152" s="3" t="s">
        <v>1324</v>
      </c>
      <c r="BQ152" s="3" t="s">
        <v>1324</v>
      </c>
      <c r="BR152" s="3" t="s">
        <v>2383</v>
      </c>
      <c r="BS152" s="3" t="s">
        <v>4920</v>
      </c>
      <c r="BT152" s="3" t="str">
        <f>HYPERLINK("https%3A%2F%2Fwww.webofscience.com%2Fwos%2Fwoscc%2Ffull-record%2FWOS:000230500400020","View Full Record in Web of Science")</f>
        <v>View Full Record in Web of Science</v>
      </c>
    </row>
    <row r="153" ht="12.75" customHeight="1">
      <c r="A153" s="3" t="s">
        <v>26</v>
      </c>
      <c r="B153" s="3" t="s">
        <v>1866</v>
      </c>
      <c r="C153" s="3" t="s">
        <v>1324</v>
      </c>
      <c r="D153" s="3" t="s">
        <v>1324</v>
      </c>
      <c r="E153" s="3" t="s">
        <v>1324</v>
      </c>
      <c r="F153" s="3" t="s">
        <v>1866</v>
      </c>
      <c r="G153" s="3" t="s">
        <v>1324</v>
      </c>
      <c r="H153" s="3" t="s">
        <v>1324</v>
      </c>
      <c r="I153" s="3" t="s">
        <v>4921</v>
      </c>
      <c r="J153" s="3" t="s">
        <v>1867</v>
      </c>
      <c r="K153" s="3" t="s">
        <v>1324</v>
      </c>
      <c r="L153" s="3" t="s">
        <v>1324</v>
      </c>
      <c r="M153" s="3" t="s">
        <v>2364</v>
      </c>
      <c r="N153" s="3" t="s">
        <v>38</v>
      </c>
      <c r="O153" s="3" t="s">
        <v>1324</v>
      </c>
      <c r="P153" s="3" t="s">
        <v>1324</v>
      </c>
      <c r="Q153" s="3" t="s">
        <v>1324</v>
      </c>
      <c r="R153" s="3" t="s">
        <v>1324</v>
      </c>
      <c r="S153" s="3" t="s">
        <v>1324</v>
      </c>
      <c r="T153" s="3" t="s">
        <v>4922</v>
      </c>
      <c r="U153" s="3" t="s">
        <v>4923</v>
      </c>
      <c r="V153" s="3" t="s">
        <v>1869</v>
      </c>
      <c r="W153" s="3" t="s">
        <v>4924</v>
      </c>
      <c r="X153" s="3" t="s">
        <v>4925</v>
      </c>
      <c r="Y153" s="3" t="s">
        <v>4926</v>
      </c>
      <c r="Z153" s="3" t="s">
        <v>4927</v>
      </c>
      <c r="AA153" s="3" t="s">
        <v>1324</v>
      </c>
      <c r="AB153" s="3" t="s">
        <v>1324</v>
      </c>
      <c r="AC153" s="3" t="s">
        <v>1324</v>
      </c>
      <c r="AD153" s="3" t="s">
        <v>1324</v>
      </c>
      <c r="AE153" s="3" t="s">
        <v>1324</v>
      </c>
      <c r="AF153" s="3" t="s">
        <v>1324</v>
      </c>
      <c r="AG153" s="3">
        <v>58.0</v>
      </c>
      <c r="AH153" s="3">
        <v>118.0</v>
      </c>
      <c r="AI153" s="3">
        <v>136.0</v>
      </c>
      <c r="AJ153" s="3">
        <v>1.0</v>
      </c>
      <c r="AK153" s="3">
        <v>54.0</v>
      </c>
      <c r="AL153" s="3" t="s">
        <v>4188</v>
      </c>
      <c r="AM153" s="3" t="s">
        <v>4189</v>
      </c>
      <c r="AN153" s="3" t="s">
        <v>4190</v>
      </c>
      <c r="AO153" s="3" t="s">
        <v>4928</v>
      </c>
      <c r="AP153" s="3" t="s">
        <v>4929</v>
      </c>
      <c r="AQ153" s="3" t="s">
        <v>1324</v>
      </c>
      <c r="AR153" s="3" t="s">
        <v>4930</v>
      </c>
      <c r="AS153" s="3" t="s">
        <v>4931</v>
      </c>
      <c r="AT153" s="3" t="s">
        <v>3208</v>
      </c>
      <c r="AU153" s="3">
        <v>2005.0</v>
      </c>
      <c r="AV153" s="3">
        <v>21.0</v>
      </c>
      <c r="AW153" s="3" t="s">
        <v>1324</v>
      </c>
      <c r="AX153" s="3">
        <v>1.0</v>
      </c>
      <c r="AY153" s="3" t="s">
        <v>1324</v>
      </c>
      <c r="AZ153" s="3" t="s">
        <v>1324</v>
      </c>
      <c r="BA153" s="3" t="s">
        <v>1324</v>
      </c>
      <c r="BB153" s="3">
        <v>9.0</v>
      </c>
      <c r="BC153" s="3">
        <v>19.0</v>
      </c>
      <c r="BD153" s="3" t="s">
        <v>1324</v>
      </c>
      <c r="BE153" s="3" t="s">
        <v>1870</v>
      </c>
      <c r="BF153" s="25" t="str">
        <f>HYPERLINK("http://dx.doi.org/10.1017/S0266467404001683","http://dx.doi.org/10.1017/S0266467404001683")</f>
        <v>http://dx.doi.org/10.1017/S0266467404001683</v>
      </c>
      <c r="BG153" s="3" t="s">
        <v>1324</v>
      </c>
      <c r="BH153" s="3" t="s">
        <v>1324</v>
      </c>
      <c r="BI153" s="3">
        <v>11.0</v>
      </c>
      <c r="BJ153" s="3" t="s">
        <v>817</v>
      </c>
      <c r="BK153" s="3" t="s">
        <v>2407</v>
      </c>
      <c r="BL153" s="3" t="s">
        <v>2472</v>
      </c>
      <c r="BM153" s="3" t="s">
        <v>4932</v>
      </c>
      <c r="BN153" s="3" t="s">
        <v>1324</v>
      </c>
      <c r="BO153" s="3" t="s">
        <v>1324</v>
      </c>
      <c r="BP153" s="3" t="s">
        <v>1324</v>
      </c>
      <c r="BQ153" s="3" t="s">
        <v>1324</v>
      </c>
      <c r="BR153" s="3" t="s">
        <v>2383</v>
      </c>
      <c r="BS153" s="3" t="s">
        <v>4933</v>
      </c>
      <c r="BT153" s="3" t="str">
        <f>HYPERLINK("https%3A%2F%2Fwww.webofscience.com%2Fwos%2Fwoscc%2Ffull-record%2FWOS:000227083400002","View Full Record in Web of Science")</f>
        <v>View Full Record in Web of Science</v>
      </c>
    </row>
    <row r="154" ht="12.75" customHeight="1">
      <c r="A154" s="3" t="s">
        <v>26</v>
      </c>
      <c r="B154" s="3" t="s">
        <v>1889</v>
      </c>
      <c r="C154" s="3" t="s">
        <v>1324</v>
      </c>
      <c r="D154" s="3" t="s">
        <v>1324</v>
      </c>
      <c r="E154" s="3" t="s">
        <v>1324</v>
      </c>
      <c r="F154" s="3" t="s">
        <v>1889</v>
      </c>
      <c r="G154" s="3" t="s">
        <v>1324</v>
      </c>
      <c r="H154" s="3" t="s">
        <v>1324</v>
      </c>
      <c r="I154" s="3" t="s">
        <v>1890</v>
      </c>
      <c r="J154" s="3" t="s">
        <v>251</v>
      </c>
      <c r="K154" s="3" t="s">
        <v>1324</v>
      </c>
      <c r="L154" s="3" t="s">
        <v>1324</v>
      </c>
      <c r="M154" s="3" t="s">
        <v>2364</v>
      </c>
      <c r="N154" s="3" t="s">
        <v>38</v>
      </c>
      <c r="O154" s="3" t="s">
        <v>1324</v>
      </c>
      <c r="P154" s="3" t="s">
        <v>1324</v>
      </c>
      <c r="Q154" s="3" t="s">
        <v>1324</v>
      </c>
      <c r="R154" s="3" t="s">
        <v>1324</v>
      </c>
      <c r="S154" s="3" t="s">
        <v>1324</v>
      </c>
      <c r="T154" s="3" t="s">
        <v>4934</v>
      </c>
      <c r="U154" s="3" t="s">
        <v>4935</v>
      </c>
      <c r="V154" s="3" t="s">
        <v>1891</v>
      </c>
      <c r="W154" s="3" t="s">
        <v>4936</v>
      </c>
      <c r="X154" s="3" t="s">
        <v>4937</v>
      </c>
      <c r="Y154" s="3" t="s">
        <v>4938</v>
      </c>
      <c r="Z154" s="3" t="s">
        <v>4939</v>
      </c>
      <c r="AA154" s="3" t="s">
        <v>4940</v>
      </c>
      <c r="AB154" s="3" t="s">
        <v>4941</v>
      </c>
      <c r="AC154" s="3" t="s">
        <v>1324</v>
      </c>
      <c r="AD154" s="3" t="s">
        <v>1324</v>
      </c>
      <c r="AE154" s="3" t="s">
        <v>1324</v>
      </c>
      <c r="AF154" s="3" t="s">
        <v>1324</v>
      </c>
      <c r="AG154" s="3">
        <v>35.0</v>
      </c>
      <c r="AH154" s="3">
        <v>205.0</v>
      </c>
      <c r="AI154" s="3">
        <v>254.0</v>
      </c>
      <c r="AJ154" s="3">
        <v>1.0</v>
      </c>
      <c r="AK154" s="3">
        <v>63.0</v>
      </c>
      <c r="AL154" s="3" t="s">
        <v>2530</v>
      </c>
      <c r="AM154" s="3" t="s">
        <v>2531</v>
      </c>
      <c r="AN154" s="3" t="s">
        <v>2532</v>
      </c>
      <c r="AO154" s="3" t="s">
        <v>2939</v>
      </c>
      <c r="AP154" s="3" t="s">
        <v>2940</v>
      </c>
      <c r="AQ154" s="3" t="s">
        <v>1324</v>
      </c>
      <c r="AR154" s="3" t="s">
        <v>2941</v>
      </c>
      <c r="AS154" s="3" t="s">
        <v>2942</v>
      </c>
      <c r="AT154" s="3" t="s">
        <v>2908</v>
      </c>
      <c r="AU154" s="3">
        <v>2003.0</v>
      </c>
      <c r="AV154" s="3">
        <v>114.0</v>
      </c>
      <c r="AW154" s="3">
        <v>3.0</v>
      </c>
      <c r="AX154" s="3" t="s">
        <v>1324</v>
      </c>
      <c r="AY154" s="3" t="s">
        <v>1324</v>
      </c>
      <c r="AZ154" s="3" t="s">
        <v>1324</v>
      </c>
      <c r="BA154" s="3" t="s">
        <v>1324</v>
      </c>
      <c r="BB154" s="3">
        <v>317.0</v>
      </c>
      <c r="BC154" s="3">
        <v>326.0</v>
      </c>
      <c r="BD154" s="3" t="s">
        <v>1324</v>
      </c>
      <c r="BE154" s="3" t="s">
        <v>1892</v>
      </c>
      <c r="BF154" s="25" t="str">
        <f>HYPERLINK("http://dx.doi.org/10.1016/S0006-3207(03)00051-X","http://dx.doi.org/10.1016/S0006-3207(03)00051-X")</f>
        <v>http://dx.doi.org/10.1016/S0006-3207(03)00051-X</v>
      </c>
      <c r="BG154" s="3" t="s">
        <v>1324</v>
      </c>
      <c r="BH154" s="3" t="s">
        <v>1324</v>
      </c>
      <c r="BI154" s="3">
        <v>10.0</v>
      </c>
      <c r="BJ154" s="3" t="s">
        <v>255</v>
      </c>
      <c r="BK154" s="3" t="s">
        <v>2407</v>
      </c>
      <c r="BL154" s="3" t="s">
        <v>2577</v>
      </c>
      <c r="BM154" s="3" t="s">
        <v>4942</v>
      </c>
      <c r="BN154" s="3" t="s">
        <v>1324</v>
      </c>
      <c r="BO154" s="3" t="s">
        <v>1324</v>
      </c>
      <c r="BP154" s="3" t="s">
        <v>1324</v>
      </c>
      <c r="BQ154" s="3" t="s">
        <v>1324</v>
      </c>
      <c r="BR154" s="3" t="s">
        <v>2383</v>
      </c>
      <c r="BS154" s="3" t="s">
        <v>4943</v>
      </c>
      <c r="BT154" s="3" t="str">
        <f>HYPERLINK("https%3A%2F%2Fwww.webofscience.com%2Fwos%2Fwoscc%2Ffull-record%2FWOS:000185371200002","View Full Record in Web of Science")</f>
        <v>View Full Record in Web of Science</v>
      </c>
    </row>
    <row r="155" ht="12.75" customHeight="1">
      <c r="A155" s="3" t="s">
        <v>26</v>
      </c>
      <c r="B155" s="3" t="s">
        <v>1823</v>
      </c>
      <c r="C155" s="3" t="s">
        <v>1324</v>
      </c>
      <c r="D155" s="3" t="s">
        <v>1324</v>
      </c>
      <c r="E155" s="3" t="s">
        <v>1324</v>
      </c>
      <c r="F155" s="3" t="s">
        <v>1823</v>
      </c>
      <c r="G155" s="3" t="s">
        <v>1324</v>
      </c>
      <c r="H155" s="3" t="s">
        <v>1324</v>
      </c>
      <c r="I155" s="3" t="s">
        <v>1825</v>
      </c>
      <c r="J155" s="3" t="s">
        <v>1824</v>
      </c>
      <c r="K155" s="3" t="s">
        <v>1324</v>
      </c>
      <c r="L155" s="3" t="s">
        <v>1324</v>
      </c>
      <c r="M155" s="3" t="s">
        <v>2364</v>
      </c>
      <c r="N155" s="3" t="s">
        <v>38</v>
      </c>
      <c r="O155" s="3" t="s">
        <v>1324</v>
      </c>
      <c r="P155" s="3" t="s">
        <v>1324</v>
      </c>
      <c r="Q155" s="3" t="s">
        <v>1324</v>
      </c>
      <c r="R155" s="3" t="s">
        <v>1324</v>
      </c>
      <c r="S155" s="3" t="s">
        <v>1324</v>
      </c>
      <c r="T155" s="3" t="s">
        <v>4944</v>
      </c>
      <c r="U155" s="3" t="s">
        <v>4945</v>
      </c>
      <c r="V155" s="3" t="s">
        <v>1826</v>
      </c>
      <c r="W155" s="3" t="s">
        <v>4946</v>
      </c>
      <c r="X155" s="3" t="s">
        <v>4947</v>
      </c>
      <c r="Y155" s="3" t="s">
        <v>4948</v>
      </c>
      <c r="Z155" s="3" t="s">
        <v>1324</v>
      </c>
      <c r="AA155" s="3" t="s">
        <v>4949</v>
      </c>
      <c r="AB155" s="3" t="s">
        <v>1324</v>
      </c>
      <c r="AC155" s="3" t="s">
        <v>1324</v>
      </c>
      <c r="AD155" s="3" t="s">
        <v>1324</v>
      </c>
      <c r="AE155" s="3" t="s">
        <v>1324</v>
      </c>
      <c r="AF155" s="3" t="s">
        <v>1324</v>
      </c>
      <c r="AG155" s="3">
        <v>84.0</v>
      </c>
      <c r="AH155" s="3">
        <v>24.0</v>
      </c>
      <c r="AI155" s="3">
        <v>28.0</v>
      </c>
      <c r="AJ155" s="3">
        <v>0.0</v>
      </c>
      <c r="AK155" s="3">
        <v>20.0</v>
      </c>
      <c r="AL155" s="3" t="s">
        <v>4950</v>
      </c>
      <c r="AM155" s="3" t="s">
        <v>3251</v>
      </c>
      <c r="AN155" s="3" t="s">
        <v>3252</v>
      </c>
      <c r="AO155" s="3" t="s">
        <v>3253</v>
      </c>
      <c r="AP155" s="3" t="s">
        <v>1324</v>
      </c>
      <c r="AQ155" s="3" t="s">
        <v>1324</v>
      </c>
      <c r="AR155" s="3" t="s">
        <v>3255</v>
      </c>
      <c r="AS155" s="3" t="s">
        <v>3256</v>
      </c>
      <c r="AT155" s="3" t="s">
        <v>2471</v>
      </c>
      <c r="AU155" s="3">
        <v>2003.0</v>
      </c>
      <c r="AV155" s="3">
        <v>12.0</v>
      </c>
      <c r="AW155" s="3">
        <v>9.0</v>
      </c>
      <c r="AX155" s="3" t="s">
        <v>1324</v>
      </c>
      <c r="AY155" s="3" t="s">
        <v>1324</v>
      </c>
      <c r="AZ155" s="3" t="s">
        <v>1324</v>
      </c>
      <c r="BA155" s="3" t="s">
        <v>1324</v>
      </c>
      <c r="BB155" s="3">
        <v>1921.0</v>
      </c>
      <c r="BC155" s="3">
        <v>1936.0</v>
      </c>
      <c r="BD155" s="3" t="s">
        <v>1324</v>
      </c>
      <c r="BE155" s="3" t="s">
        <v>1827</v>
      </c>
      <c r="BF155" s="25" t="str">
        <f>HYPERLINK("http://dx.doi.org/10.1023/A:1024147529295","http://dx.doi.org/10.1023/A:1024147529295")</f>
        <v>http://dx.doi.org/10.1023/A:1024147529295</v>
      </c>
      <c r="BG155" s="3" t="s">
        <v>1324</v>
      </c>
      <c r="BH155" s="3" t="s">
        <v>1324</v>
      </c>
      <c r="BI155" s="3">
        <v>16.0</v>
      </c>
      <c r="BJ155" s="3" t="s">
        <v>255</v>
      </c>
      <c r="BK155" s="3" t="s">
        <v>2407</v>
      </c>
      <c r="BL155" s="3" t="s">
        <v>2577</v>
      </c>
      <c r="BM155" s="3" t="s">
        <v>4951</v>
      </c>
      <c r="BN155" s="3" t="s">
        <v>1324</v>
      </c>
      <c r="BO155" s="3" t="s">
        <v>1324</v>
      </c>
      <c r="BP155" s="3" t="s">
        <v>1324</v>
      </c>
      <c r="BQ155" s="3" t="s">
        <v>1324</v>
      </c>
      <c r="BR155" s="3" t="s">
        <v>2383</v>
      </c>
      <c r="BS155" s="3" t="s">
        <v>4952</v>
      </c>
      <c r="BT155" s="3" t="str">
        <f>HYPERLINK("https%3A%2F%2Fwww.webofscience.com%2Fwos%2Fwoscc%2Ffull-record%2FWOS:000183444300010","View Full Record in Web of Science")</f>
        <v>View Full Record in Web of Science</v>
      </c>
    </row>
    <row r="156" ht="12.75" customHeight="1">
      <c r="A156" s="3" t="s">
        <v>26</v>
      </c>
      <c r="B156" s="3" t="s">
        <v>1785</v>
      </c>
      <c r="C156" s="3" t="s">
        <v>1324</v>
      </c>
      <c r="D156" s="3" t="s">
        <v>1324</v>
      </c>
      <c r="E156" s="3" t="s">
        <v>1324</v>
      </c>
      <c r="F156" s="3" t="s">
        <v>1785</v>
      </c>
      <c r="G156" s="3" t="s">
        <v>1324</v>
      </c>
      <c r="H156" s="3" t="s">
        <v>1324</v>
      </c>
      <c r="I156" s="3" t="s">
        <v>1786</v>
      </c>
      <c r="J156" s="3" t="s">
        <v>774</v>
      </c>
      <c r="K156" s="3" t="s">
        <v>1324</v>
      </c>
      <c r="L156" s="3" t="s">
        <v>1324</v>
      </c>
      <c r="M156" s="3" t="s">
        <v>2364</v>
      </c>
      <c r="N156" s="3" t="s">
        <v>38</v>
      </c>
      <c r="O156" s="3" t="s">
        <v>1324</v>
      </c>
      <c r="P156" s="3" t="s">
        <v>1324</v>
      </c>
      <c r="Q156" s="3" t="s">
        <v>1324</v>
      </c>
      <c r="R156" s="3" t="s">
        <v>1324</v>
      </c>
      <c r="S156" s="3" t="s">
        <v>1324</v>
      </c>
      <c r="T156" s="3" t="s">
        <v>4953</v>
      </c>
      <c r="U156" s="3" t="s">
        <v>4954</v>
      </c>
      <c r="V156" s="3" t="s">
        <v>4955</v>
      </c>
      <c r="W156" s="3" t="s">
        <v>4956</v>
      </c>
      <c r="X156" s="3" t="s">
        <v>4957</v>
      </c>
      <c r="Y156" s="3" t="s">
        <v>4958</v>
      </c>
      <c r="Z156" s="3" t="s">
        <v>4959</v>
      </c>
      <c r="AA156" s="3" t="s">
        <v>4960</v>
      </c>
      <c r="AB156" s="3" t="s">
        <v>4961</v>
      </c>
      <c r="AC156" s="3" t="s">
        <v>1324</v>
      </c>
      <c r="AD156" s="3" t="s">
        <v>1324</v>
      </c>
      <c r="AE156" s="3" t="s">
        <v>1324</v>
      </c>
      <c r="AF156" s="3" t="s">
        <v>1324</v>
      </c>
      <c r="AG156" s="3">
        <v>55.0</v>
      </c>
      <c r="AH156" s="3">
        <v>213.0</v>
      </c>
      <c r="AI156" s="3">
        <v>254.0</v>
      </c>
      <c r="AJ156" s="3">
        <v>2.0</v>
      </c>
      <c r="AK156" s="3">
        <v>120.0</v>
      </c>
      <c r="AL156" s="3" t="s">
        <v>2464</v>
      </c>
      <c r="AM156" s="3" t="s">
        <v>2465</v>
      </c>
      <c r="AN156" s="3" t="s">
        <v>2466</v>
      </c>
      <c r="AO156" s="3" t="s">
        <v>2923</v>
      </c>
      <c r="AP156" s="3" t="s">
        <v>2924</v>
      </c>
      <c r="AQ156" s="3" t="s">
        <v>1324</v>
      </c>
      <c r="AR156" s="3" t="s">
        <v>2925</v>
      </c>
      <c r="AS156" s="3" t="s">
        <v>2926</v>
      </c>
      <c r="AT156" s="3" t="s">
        <v>2632</v>
      </c>
      <c r="AU156" s="3">
        <v>2002.0</v>
      </c>
      <c r="AV156" s="3">
        <v>8.0</v>
      </c>
      <c r="AW156" s="3">
        <v>6.0</v>
      </c>
      <c r="AX156" s="3" t="s">
        <v>1324</v>
      </c>
      <c r="AY156" s="3" t="s">
        <v>1324</v>
      </c>
      <c r="AZ156" s="3" t="s">
        <v>1324</v>
      </c>
      <c r="BA156" s="3" t="s">
        <v>1324</v>
      </c>
      <c r="BB156" s="3">
        <v>545.0</v>
      </c>
      <c r="BC156" s="3">
        <v>562.0</v>
      </c>
      <c r="BD156" s="3" t="s">
        <v>1324</v>
      </c>
      <c r="BE156" s="3" t="s">
        <v>1788</v>
      </c>
      <c r="BF156" s="25" t="str">
        <f>HYPERLINK("http://dx.doi.org/10.1046/j.1365-2486.2002.00482.x","http://dx.doi.org/10.1046/j.1365-2486.2002.00482.x")</f>
        <v>http://dx.doi.org/10.1046/j.1365-2486.2002.00482.x</v>
      </c>
      <c r="BG156" s="3" t="s">
        <v>1324</v>
      </c>
      <c r="BH156" s="3" t="s">
        <v>1324</v>
      </c>
      <c r="BI156" s="3">
        <v>18.0</v>
      </c>
      <c r="BJ156" s="3" t="s">
        <v>255</v>
      </c>
      <c r="BK156" s="3" t="s">
        <v>2407</v>
      </c>
      <c r="BL156" s="3" t="s">
        <v>2577</v>
      </c>
      <c r="BM156" s="3" t="s">
        <v>4962</v>
      </c>
      <c r="BN156" s="3" t="s">
        <v>1324</v>
      </c>
      <c r="BO156" s="3" t="s">
        <v>1324</v>
      </c>
      <c r="BP156" s="3" t="s">
        <v>1324</v>
      </c>
      <c r="BQ156" s="3" t="s">
        <v>1324</v>
      </c>
      <c r="BR156" s="3" t="s">
        <v>2383</v>
      </c>
      <c r="BS156" s="3" t="s">
        <v>4963</v>
      </c>
      <c r="BT156" s="3" t="str">
        <f>HYPERLINK("https%3A%2F%2Fwww.webofscience.com%2Fwos%2Fwoscc%2Ffull-record%2FWOS:000175749000004","View Full Record in Web of Science")</f>
        <v>View Full Record in Web of Science</v>
      </c>
    </row>
    <row r="157" ht="12.75" customHeight="1">
      <c r="A157" s="3" t="s">
        <v>26</v>
      </c>
      <c r="B157" s="3" t="s">
        <v>1829</v>
      </c>
      <c r="C157" s="3" t="s">
        <v>1324</v>
      </c>
      <c r="D157" s="3" t="s">
        <v>1324</v>
      </c>
      <c r="E157" s="3" t="s">
        <v>1324</v>
      </c>
      <c r="F157" s="3" t="s">
        <v>1829</v>
      </c>
      <c r="G157" s="3" t="s">
        <v>1324</v>
      </c>
      <c r="H157" s="3" t="s">
        <v>1324</v>
      </c>
      <c r="I157" s="3" t="s">
        <v>1831</v>
      </c>
      <c r="J157" s="3" t="s">
        <v>1830</v>
      </c>
      <c r="K157" s="3" t="s">
        <v>1324</v>
      </c>
      <c r="L157" s="3" t="s">
        <v>1324</v>
      </c>
      <c r="M157" s="3" t="s">
        <v>2364</v>
      </c>
      <c r="N157" s="3" t="s">
        <v>38</v>
      </c>
      <c r="O157" s="3" t="s">
        <v>1324</v>
      </c>
      <c r="P157" s="3" t="s">
        <v>1324</v>
      </c>
      <c r="Q157" s="3" t="s">
        <v>1324</v>
      </c>
      <c r="R157" s="3" t="s">
        <v>1324</v>
      </c>
      <c r="S157" s="3" t="s">
        <v>1324</v>
      </c>
      <c r="T157" s="3" t="s">
        <v>4964</v>
      </c>
      <c r="U157" s="3" t="s">
        <v>4965</v>
      </c>
      <c r="V157" s="3" t="s">
        <v>1832</v>
      </c>
      <c r="W157" s="3" t="s">
        <v>4966</v>
      </c>
      <c r="X157" s="3" t="s">
        <v>4967</v>
      </c>
      <c r="Y157" s="3" t="s">
        <v>4968</v>
      </c>
      <c r="Z157" s="3" t="s">
        <v>4969</v>
      </c>
      <c r="AA157" s="3" t="s">
        <v>4970</v>
      </c>
      <c r="AB157" s="3" t="s">
        <v>4971</v>
      </c>
      <c r="AC157" s="3" t="s">
        <v>1324</v>
      </c>
      <c r="AD157" s="3" t="s">
        <v>1324</v>
      </c>
      <c r="AE157" s="3" t="s">
        <v>1324</v>
      </c>
      <c r="AF157" s="3" t="s">
        <v>1324</v>
      </c>
      <c r="AG157" s="3">
        <v>93.0</v>
      </c>
      <c r="AH157" s="3">
        <v>101.0</v>
      </c>
      <c r="AI157" s="3">
        <v>136.0</v>
      </c>
      <c r="AJ157" s="3">
        <v>0.0</v>
      </c>
      <c r="AK157" s="3">
        <v>66.0</v>
      </c>
      <c r="AL157" s="3" t="s">
        <v>3250</v>
      </c>
      <c r="AM157" s="3" t="s">
        <v>3251</v>
      </c>
      <c r="AN157" s="3" t="s">
        <v>3252</v>
      </c>
      <c r="AO157" s="3" t="s">
        <v>4972</v>
      </c>
      <c r="AP157" s="3" t="s">
        <v>1324</v>
      </c>
      <c r="AQ157" s="3" t="s">
        <v>1324</v>
      </c>
      <c r="AR157" s="3" t="s">
        <v>4973</v>
      </c>
      <c r="AS157" s="3" t="s">
        <v>4974</v>
      </c>
      <c r="AT157" s="3" t="s">
        <v>2651</v>
      </c>
      <c r="AU157" s="3">
        <v>2001.0</v>
      </c>
      <c r="AV157" s="3">
        <v>16.0</v>
      </c>
      <c r="AW157" s="3">
        <v>4.0</v>
      </c>
      <c r="AX157" s="3" t="s">
        <v>1324</v>
      </c>
      <c r="AY157" s="3" t="s">
        <v>1324</v>
      </c>
      <c r="AZ157" s="3" t="s">
        <v>1324</v>
      </c>
      <c r="BA157" s="3" t="s">
        <v>1324</v>
      </c>
      <c r="BB157" s="3">
        <v>327.0</v>
      </c>
      <c r="BC157" s="3">
        <v>349.0</v>
      </c>
      <c r="BD157" s="3" t="s">
        <v>1324</v>
      </c>
      <c r="BE157" s="3" t="s">
        <v>1833</v>
      </c>
      <c r="BF157" s="25" t="str">
        <f>HYPERLINK("http://dx.doi.org/10.1023/A:1011185409347","http://dx.doi.org/10.1023/A:1011185409347")</f>
        <v>http://dx.doi.org/10.1023/A:1011185409347</v>
      </c>
      <c r="BG157" s="3" t="s">
        <v>1324</v>
      </c>
      <c r="BH157" s="3" t="s">
        <v>1324</v>
      </c>
      <c r="BI157" s="3">
        <v>23.0</v>
      </c>
      <c r="BJ157" s="3" t="s">
        <v>4975</v>
      </c>
      <c r="BK157" s="3" t="s">
        <v>2407</v>
      </c>
      <c r="BL157" s="3" t="s">
        <v>4704</v>
      </c>
      <c r="BM157" s="3" t="s">
        <v>4976</v>
      </c>
      <c r="BN157" s="3" t="s">
        <v>1324</v>
      </c>
      <c r="BO157" s="3" t="s">
        <v>1324</v>
      </c>
      <c r="BP157" s="3" t="s">
        <v>1324</v>
      </c>
      <c r="BQ157" s="3" t="s">
        <v>1324</v>
      </c>
      <c r="BR157" s="3" t="s">
        <v>2383</v>
      </c>
      <c r="BS157" s="3" t="s">
        <v>4977</v>
      </c>
      <c r="BT157" s="3" t="str">
        <f>HYPERLINK("https%3A%2F%2Fwww.webofscience.com%2Fwos%2Fwoscc%2Ffull-record%2FWOS:000169516300004","View Full Record in Web of Science")</f>
        <v>View Full Record in Web of Science</v>
      </c>
    </row>
    <row r="158" ht="12.75" customHeight="1">
      <c r="A158" s="3" t="s">
        <v>26</v>
      </c>
      <c r="B158" s="3" t="s">
        <v>1836</v>
      </c>
      <c r="C158" s="3" t="s">
        <v>1324</v>
      </c>
      <c r="D158" s="3" t="s">
        <v>1324</v>
      </c>
      <c r="E158" s="3" t="s">
        <v>1324</v>
      </c>
      <c r="F158" s="3" t="s">
        <v>1836</v>
      </c>
      <c r="G158" s="3" t="s">
        <v>1324</v>
      </c>
      <c r="H158" s="3" t="s">
        <v>1324</v>
      </c>
      <c r="I158" s="3" t="s">
        <v>1838</v>
      </c>
      <c r="J158" s="3" t="s">
        <v>1837</v>
      </c>
      <c r="K158" s="3" t="s">
        <v>1324</v>
      </c>
      <c r="L158" s="3" t="s">
        <v>1324</v>
      </c>
      <c r="M158" s="3" t="s">
        <v>2364</v>
      </c>
      <c r="N158" s="3" t="s">
        <v>30</v>
      </c>
      <c r="O158" s="3" t="s">
        <v>1324</v>
      </c>
      <c r="P158" s="3" t="s">
        <v>1324</v>
      </c>
      <c r="Q158" s="3" t="s">
        <v>1324</v>
      </c>
      <c r="R158" s="3" t="s">
        <v>1324</v>
      </c>
      <c r="S158" s="3" t="s">
        <v>1324</v>
      </c>
      <c r="T158" s="3" t="s">
        <v>4978</v>
      </c>
      <c r="U158" s="3" t="s">
        <v>4979</v>
      </c>
      <c r="V158" s="3" t="s">
        <v>1839</v>
      </c>
      <c r="W158" s="3" t="s">
        <v>4980</v>
      </c>
      <c r="X158" s="3" t="s">
        <v>4981</v>
      </c>
      <c r="Y158" s="3" t="s">
        <v>4982</v>
      </c>
      <c r="Z158" s="3" t="s">
        <v>1324</v>
      </c>
      <c r="AA158" s="3" t="s">
        <v>1324</v>
      </c>
      <c r="AB158" s="3" t="s">
        <v>1324</v>
      </c>
      <c r="AC158" s="3" t="s">
        <v>1324</v>
      </c>
      <c r="AD158" s="3" t="s">
        <v>1324</v>
      </c>
      <c r="AE158" s="3" t="s">
        <v>1324</v>
      </c>
      <c r="AF158" s="3" t="s">
        <v>1324</v>
      </c>
      <c r="AG158" s="3">
        <v>71.0</v>
      </c>
      <c r="AH158" s="3">
        <v>91.0</v>
      </c>
      <c r="AI158" s="3">
        <v>115.0</v>
      </c>
      <c r="AJ158" s="3">
        <v>0.0</v>
      </c>
      <c r="AK158" s="3">
        <v>96.0</v>
      </c>
      <c r="AL158" s="3" t="s">
        <v>3250</v>
      </c>
      <c r="AM158" s="3" t="s">
        <v>3872</v>
      </c>
      <c r="AN158" s="3" t="s">
        <v>4831</v>
      </c>
      <c r="AO158" s="3" t="s">
        <v>4983</v>
      </c>
      <c r="AP158" s="3" t="s">
        <v>4984</v>
      </c>
      <c r="AQ158" s="3" t="s">
        <v>1324</v>
      </c>
      <c r="AR158" s="3" t="s">
        <v>4985</v>
      </c>
      <c r="AS158" s="3" t="s">
        <v>4986</v>
      </c>
      <c r="AT158" s="3" t="s">
        <v>3518</v>
      </c>
      <c r="AU158" s="3">
        <v>1997.0</v>
      </c>
      <c r="AV158" s="3">
        <v>50.0</v>
      </c>
      <c r="AW158" s="3">
        <v>2.0</v>
      </c>
      <c r="AX158" s="3" t="s">
        <v>1324</v>
      </c>
      <c r="AY158" s="3" t="s">
        <v>1324</v>
      </c>
      <c r="AZ158" s="3" t="s">
        <v>1324</v>
      </c>
      <c r="BA158" s="3" t="s">
        <v>1324</v>
      </c>
      <c r="BB158" s="3">
        <v>117.0</v>
      </c>
      <c r="BC158" s="3">
        <v>131.0</v>
      </c>
      <c r="BD158" s="3" t="s">
        <v>1324</v>
      </c>
      <c r="BE158" s="3" t="s">
        <v>1840</v>
      </c>
      <c r="BF158" s="25" t="str">
        <f>HYPERLINK("http://dx.doi.org/10.1023/A:1007320932349","http://dx.doi.org/10.1023/A:1007320932349")</f>
        <v>http://dx.doi.org/10.1023/A:1007320932349</v>
      </c>
      <c r="BG158" s="3" t="s">
        <v>1324</v>
      </c>
      <c r="BH158" s="3" t="s">
        <v>1324</v>
      </c>
      <c r="BI158" s="3">
        <v>15.0</v>
      </c>
      <c r="BJ158" s="3" t="s">
        <v>130</v>
      </c>
      <c r="BK158" s="3" t="s">
        <v>2407</v>
      </c>
      <c r="BL158" s="3" t="s">
        <v>2516</v>
      </c>
      <c r="BM158" s="3" t="s">
        <v>4987</v>
      </c>
      <c r="BN158" s="3" t="s">
        <v>1324</v>
      </c>
      <c r="BO158" s="3" t="s">
        <v>1324</v>
      </c>
      <c r="BP158" s="3" t="s">
        <v>1324</v>
      </c>
      <c r="BQ158" s="3" t="s">
        <v>1324</v>
      </c>
      <c r="BR158" s="3" t="s">
        <v>2383</v>
      </c>
      <c r="BS158" s="3" t="s">
        <v>4988</v>
      </c>
      <c r="BT158" s="3" t="str">
        <f>HYPERLINK("https%3A%2F%2Fwww.webofscience.com%2Fwos%2Fwoscc%2Ffull-record%2FWOS:A1997XW48900001","View Full Record in Web of Science")</f>
        <v>View Full Record in Web of Science</v>
      </c>
    </row>
    <row r="159" ht="12.75" customHeight="1">
      <c r="A159" s="3" t="s">
        <v>26</v>
      </c>
      <c r="B159" s="3" t="s">
        <v>1800</v>
      </c>
      <c r="C159" s="3" t="s">
        <v>1324</v>
      </c>
      <c r="D159" s="3" t="s">
        <v>1324</v>
      </c>
      <c r="E159" s="3" t="s">
        <v>1324</v>
      </c>
      <c r="F159" s="3" t="s">
        <v>1800</v>
      </c>
      <c r="G159" s="3" t="s">
        <v>1324</v>
      </c>
      <c r="H159" s="3" t="s">
        <v>1324</v>
      </c>
      <c r="I159" s="3" t="s">
        <v>1802</v>
      </c>
      <c r="J159" s="3" t="s">
        <v>1801</v>
      </c>
      <c r="K159" s="3" t="s">
        <v>1324</v>
      </c>
      <c r="L159" s="3" t="s">
        <v>1324</v>
      </c>
      <c r="M159" s="3" t="s">
        <v>2364</v>
      </c>
      <c r="N159" s="3" t="s">
        <v>38</v>
      </c>
      <c r="O159" s="3" t="s">
        <v>1324</v>
      </c>
      <c r="P159" s="3" t="s">
        <v>1324</v>
      </c>
      <c r="Q159" s="3" t="s">
        <v>1324</v>
      </c>
      <c r="R159" s="3" t="s">
        <v>1324</v>
      </c>
      <c r="S159" s="3" t="s">
        <v>1324</v>
      </c>
      <c r="T159" s="3" t="s">
        <v>1324</v>
      </c>
      <c r="U159" s="3" t="s">
        <v>4989</v>
      </c>
      <c r="V159" s="3" t="s">
        <v>1803</v>
      </c>
      <c r="W159" s="3" t="s">
        <v>4990</v>
      </c>
      <c r="X159" s="3" t="s">
        <v>4991</v>
      </c>
      <c r="Y159" s="3" t="s">
        <v>4992</v>
      </c>
      <c r="Z159" s="3" t="s">
        <v>1324</v>
      </c>
      <c r="AA159" s="3" t="s">
        <v>4993</v>
      </c>
      <c r="AB159" s="3" t="s">
        <v>1324</v>
      </c>
      <c r="AC159" s="3" t="s">
        <v>1324</v>
      </c>
      <c r="AD159" s="3" t="s">
        <v>1324</v>
      </c>
      <c r="AE159" s="3" t="s">
        <v>1324</v>
      </c>
      <c r="AF159" s="3" t="s">
        <v>1324</v>
      </c>
      <c r="AG159" s="3">
        <v>46.0</v>
      </c>
      <c r="AH159" s="3">
        <v>92.0</v>
      </c>
      <c r="AI159" s="3">
        <v>106.0</v>
      </c>
      <c r="AJ159" s="3">
        <v>0.0</v>
      </c>
      <c r="AK159" s="3">
        <v>28.0</v>
      </c>
      <c r="AL159" s="3" t="s">
        <v>4266</v>
      </c>
      <c r="AM159" s="3" t="s">
        <v>2792</v>
      </c>
      <c r="AN159" s="3" t="s">
        <v>4267</v>
      </c>
      <c r="AO159" s="3" t="s">
        <v>4994</v>
      </c>
      <c r="AP159" s="3" t="s">
        <v>1324</v>
      </c>
      <c r="AQ159" s="3" t="s">
        <v>1324</v>
      </c>
      <c r="AR159" s="3" t="s">
        <v>4995</v>
      </c>
      <c r="AS159" s="3" t="s">
        <v>4996</v>
      </c>
      <c r="AT159" s="3" t="s">
        <v>4997</v>
      </c>
      <c r="AU159" s="3">
        <v>1996.0</v>
      </c>
      <c r="AV159" s="3">
        <v>101.0</v>
      </c>
      <c r="AW159" s="3" t="s">
        <v>4998</v>
      </c>
      <c r="AX159" s="3" t="s">
        <v>1324</v>
      </c>
      <c r="AY159" s="3" t="s">
        <v>1324</v>
      </c>
      <c r="AZ159" s="3" t="s">
        <v>1324</v>
      </c>
      <c r="BA159" s="3" t="s">
        <v>1324</v>
      </c>
      <c r="BB159" s="3">
        <v>7157.0</v>
      </c>
      <c r="BC159" s="3">
        <v>7162.0</v>
      </c>
      <c r="BD159" s="3" t="s">
        <v>1324</v>
      </c>
      <c r="BE159" s="3" t="s">
        <v>1804</v>
      </c>
      <c r="BF159" s="25" t="str">
        <f>HYPERLINK("http://dx.doi.org/10.1029/95JD02138","http://dx.doi.org/10.1029/95JD02138")</f>
        <v>http://dx.doi.org/10.1029/95JD02138</v>
      </c>
      <c r="BG159" s="3" t="s">
        <v>1324</v>
      </c>
      <c r="BH159" s="3" t="s">
        <v>1324</v>
      </c>
      <c r="BI159" s="3">
        <v>6.0</v>
      </c>
      <c r="BJ159" s="3" t="s">
        <v>50</v>
      </c>
      <c r="BK159" s="3" t="s">
        <v>2407</v>
      </c>
      <c r="BL159" s="3" t="s">
        <v>50</v>
      </c>
      <c r="BM159" s="3" t="s">
        <v>4999</v>
      </c>
      <c r="BN159" s="3" t="s">
        <v>1324</v>
      </c>
      <c r="BO159" s="3" t="s">
        <v>1324</v>
      </c>
      <c r="BP159" s="3" t="s">
        <v>1324</v>
      </c>
      <c r="BQ159" s="3" t="s">
        <v>1324</v>
      </c>
      <c r="BR159" s="3" t="s">
        <v>2383</v>
      </c>
      <c r="BS159" s="3" t="s">
        <v>5000</v>
      </c>
      <c r="BT159" s="3" t="str">
        <f>HYPERLINK("https%3A%2F%2Fwww.webofscience.com%2Fwos%2Fwoscc%2Ffull-record%2FWOS:A1996UB98600039","View Full Record in Web of Science")</f>
        <v>View Full Record in Web of Science</v>
      </c>
    </row>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3.0" ySplit="1.0" topLeftCell="N2" activePane="bottomRight" state="frozen"/>
      <selection activeCell="N1" sqref="N1" pane="topRight"/>
      <selection activeCell="A2" sqref="A2" pane="bottomLeft"/>
      <selection activeCell="N2" sqref="N2" pane="bottomRight"/>
    </sheetView>
  </sheetViews>
  <sheetFormatPr customHeight="1" defaultColWidth="12.63" defaultRowHeight="15.0"/>
  <cols>
    <col customWidth="1" min="1" max="9" width="7.5"/>
    <col customWidth="1" min="10" max="10" width="4.63"/>
    <col customWidth="1" min="11" max="11" width="10.88"/>
    <col customWidth="1" min="12" max="12" width="9.75"/>
    <col customWidth="1" min="13" max="13" width="20.88"/>
    <col customWidth="1" min="14" max="14" width="14.75"/>
    <col customWidth="1" min="15" max="15" width="10.13"/>
    <col customWidth="1" min="16" max="16" width="18.75"/>
    <col customWidth="1" min="17" max="17" width="13.13"/>
    <col customWidth="1" min="18" max="18" width="15.88"/>
    <col customWidth="1" min="19" max="20" width="14.63"/>
    <col customWidth="1" min="21" max="21" width="14.75"/>
    <col customWidth="1" min="22" max="22" width="10.5"/>
    <col customWidth="1" min="23" max="23" width="13.88"/>
    <col customWidth="1" min="24" max="24" width="15.88"/>
    <col customWidth="1" min="25" max="25" width="24.38"/>
    <col customWidth="1" min="26" max="26" width="27.0"/>
    <col customWidth="1" min="27" max="27" width="22.63"/>
    <col customWidth="1" min="28" max="28" width="16.63"/>
    <col customWidth="1" min="29" max="29" width="29.38"/>
    <col customWidth="1" min="30" max="31" width="24.0"/>
    <col customWidth="1" min="32" max="37" width="18.75"/>
    <col customWidth="1" min="38" max="38" width="25.25"/>
    <col customWidth="1" min="39" max="41" width="29.38"/>
    <col customWidth="1" min="42" max="42" width="18.13"/>
    <col customWidth="1" min="43" max="43" width="13.63"/>
    <col customWidth="1" min="44" max="44" width="100.63"/>
  </cols>
  <sheetData>
    <row r="1" ht="59.25" customHeight="1">
      <c r="A1" s="11" t="s">
        <v>1277</v>
      </c>
      <c r="B1" s="12" t="s">
        <v>1278</v>
      </c>
      <c r="C1" s="11" t="s">
        <v>1279</v>
      </c>
      <c r="D1" s="12" t="s">
        <v>1280</v>
      </c>
      <c r="E1" s="12" t="s">
        <v>1281</v>
      </c>
      <c r="F1" s="11" t="s">
        <v>1282</v>
      </c>
      <c r="G1" s="11" t="s">
        <v>1283</v>
      </c>
      <c r="H1" s="11" t="s">
        <v>1284</v>
      </c>
      <c r="I1" s="11" t="s">
        <v>1285</v>
      </c>
      <c r="J1" s="12" t="s">
        <v>1286</v>
      </c>
      <c r="K1" s="12" t="s">
        <v>1287</v>
      </c>
      <c r="L1" s="12" t="s">
        <v>5001</v>
      </c>
      <c r="M1" s="13" t="s">
        <v>1288</v>
      </c>
      <c r="N1" s="14" t="s">
        <v>1289</v>
      </c>
      <c r="O1" s="12" t="s">
        <v>1290</v>
      </c>
      <c r="P1" s="12" t="s">
        <v>1291</v>
      </c>
      <c r="Q1" s="12" t="s">
        <v>1292</v>
      </c>
      <c r="R1" s="12" t="s">
        <v>1293</v>
      </c>
      <c r="S1" s="12" t="s">
        <v>1294</v>
      </c>
      <c r="T1" s="12" t="s">
        <v>1295</v>
      </c>
      <c r="U1" s="13" t="s">
        <v>1296</v>
      </c>
      <c r="V1" s="14" t="s">
        <v>1297</v>
      </c>
      <c r="W1" s="12" t="s">
        <v>1296</v>
      </c>
      <c r="X1" s="12" t="s">
        <v>1298</v>
      </c>
      <c r="Y1" s="15" t="s">
        <v>5002</v>
      </c>
      <c r="Z1" s="15" t="s">
        <v>5003</v>
      </c>
      <c r="AA1" s="15" t="s">
        <v>1301</v>
      </c>
      <c r="AB1" s="12" t="s">
        <v>1302</v>
      </c>
      <c r="AC1" s="12" t="s">
        <v>1303</v>
      </c>
      <c r="AD1" s="12" t="s">
        <v>1304</v>
      </c>
      <c r="AE1" s="12" t="s">
        <v>1305</v>
      </c>
      <c r="AF1" s="12" t="s">
        <v>5004</v>
      </c>
      <c r="AG1" s="12" t="s">
        <v>5005</v>
      </c>
      <c r="AH1" s="12" t="s">
        <v>5006</v>
      </c>
      <c r="AI1" s="12" t="s">
        <v>5007</v>
      </c>
      <c r="AJ1" s="12" t="s">
        <v>5008</v>
      </c>
      <c r="AK1" s="12" t="s">
        <v>5009</v>
      </c>
      <c r="AL1" s="12" t="s">
        <v>1312</v>
      </c>
      <c r="AM1" s="12" t="s">
        <v>1313</v>
      </c>
      <c r="AN1" s="12" t="s">
        <v>1314</v>
      </c>
      <c r="AO1" s="12" t="s">
        <v>1315</v>
      </c>
      <c r="AP1" s="12" t="s">
        <v>1316</v>
      </c>
      <c r="AQ1" s="12" t="s">
        <v>1317</v>
      </c>
      <c r="AR1" s="13" t="s">
        <v>1318</v>
      </c>
    </row>
    <row r="2" ht="15.75" customHeight="1">
      <c r="A2" s="16" t="s">
        <v>1914</v>
      </c>
      <c r="B2" s="16" t="s">
        <v>64</v>
      </c>
      <c r="C2" s="16">
        <v>2016.0</v>
      </c>
      <c r="D2" s="16" t="s">
        <v>1915</v>
      </c>
      <c r="E2" s="16" t="s">
        <v>1916</v>
      </c>
      <c r="F2" s="16" t="s">
        <v>1917</v>
      </c>
      <c r="G2" s="16" t="str">
        <f t="shared" ref="G2:G167" si="1">IF(H2="Yes","Yes",IF(I2="Yes","Yes","No"))</f>
        <v>No</v>
      </c>
      <c r="H2" s="16" t="s">
        <v>1324</v>
      </c>
      <c r="I2" s="16" t="s">
        <v>1324</v>
      </c>
      <c r="J2" s="16">
        <v>165.0</v>
      </c>
      <c r="K2" s="17" t="s">
        <v>1918</v>
      </c>
      <c r="L2" s="17" t="s">
        <v>5010</v>
      </c>
      <c r="M2" s="18" t="str">
        <f t="shared" ref="M2:M167" si="2">IF(F2&lt;&gt;"",HYPERLINK(CONCATENATE("http://dx.doi.org/",F2)),"")</f>
        <v>http://dx.doi.org/10.1016/j.scitotenv.2016.03.055</v>
      </c>
      <c r="N2" s="19" t="s">
        <v>1835</v>
      </c>
      <c r="O2" s="17" t="s">
        <v>1387</v>
      </c>
      <c r="P2" s="17" t="s">
        <v>1328</v>
      </c>
      <c r="Q2" s="17" t="s">
        <v>1328</v>
      </c>
      <c r="R2" s="17" t="s">
        <v>1328</v>
      </c>
      <c r="S2" s="17" t="s">
        <v>1328</v>
      </c>
      <c r="T2" s="17" t="s">
        <v>1328</v>
      </c>
      <c r="U2" s="20" t="str">
        <f t="shared" ref="U2:U167" si="3">IF(T2="Yes",IF(P2&lt;&gt;"",IF(Q2&lt;&gt;"",IF(R2&lt;&gt;"",IF(S2&lt;&gt;"",IF(P2="Yes",IF(Q2="Yes",IF(R2="Yes",IF(S2="Yes","Yes","No"),"No"),"No"),"No"),"incomplete"),"incomplete"),"incomplete"),"incomplete"),"")</f>
        <v>Yes</v>
      </c>
      <c r="V2" s="19" t="str">
        <f t="shared" ref="V2:V167" si="4">O2</f>
        <v>MW</v>
      </c>
      <c r="W2" s="17" t="str">
        <f t="shared" ref="W2:W167" si="5">U2</f>
        <v>Yes</v>
      </c>
      <c r="X2" s="17" t="s">
        <v>1329</v>
      </c>
      <c r="Y2" s="17" t="s">
        <v>1330</v>
      </c>
      <c r="Z2" s="17" t="s">
        <v>1331</v>
      </c>
      <c r="AA2" s="17" t="s">
        <v>1347</v>
      </c>
      <c r="AB2" s="17" t="s">
        <v>1333</v>
      </c>
      <c r="AC2" s="17" t="s">
        <v>1361</v>
      </c>
      <c r="AD2" s="17" t="s">
        <v>1362</v>
      </c>
      <c r="AE2" s="17">
        <f t="shared" ref="AE2:AE167" si="6">COUNTIF(AF2:AK2,"Yes")</f>
        <v>2</v>
      </c>
      <c r="AF2" s="17" t="s">
        <v>1336</v>
      </c>
      <c r="AG2" s="17" t="s">
        <v>1328</v>
      </c>
      <c r="AH2" s="17" t="s">
        <v>1336</v>
      </c>
      <c r="AI2" s="17" t="s">
        <v>1336</v>
      </c>
      <c r="AJ2" s="17" t="s">
        <v>1328</v>
      </c>
      <c r="AK2" s="17" t="s">
        <v>1336</v>
      </c>
      <c r="AL2" s="17" t="s">
        <v>1350</v>
      </c>
      <c r="AM2" s="17" t="s">
        <v>1351</v>
      </c>
      <c r="AN2" s="17" t="s">
        <v>1363</v>
      </c>
      <c r="AO2" s="17" t="s">
        <v>1388</v>
      </c>
      <c r="AP2" s="17" t="s">
        <v>1328</v>
      </c>
      <c r="AQ2" s="17" t="str">
        <f t="shared" ref="AQ2:AQ167" si="7">IF(AP2="Yes",IF(W2="No","not suitable",IF(X2&lt;&gt;"",IF(Y2&lt;&gt;"",IF(Z2&lt;&gt;"",IF(AA2&lt;&gt;"",IF(AB2&lt;&gt;"",IF(AC2&lt;&gt;"",IF(AD2&lt;&gt;"",IF(AE2&lt;&gt;"",IF(AF2&lt;&gt;"",IF(AG2&lt;&gt;"",IF(AH2&lt;&gt;"",IF(AI2&lt;&gt;"",IF(AJ2&lt;&gt;"",IF(AK2&lt;&gt;"",IF(AL2&lt;&gt;"",IF(AM2&lt;&gt;"",IF(AN2&lt;&gt;"",IF(AO2&lt;&gt;"",IF(AE2&gt;=2,IF(AM2="none","low",IF(AN2="ordinal scale",IF(AB2="local",IF(X2="empirical data",IF(AA2="none","low","intermediate"),"intermediate"),IF(C2&lt;2005, IF(X2="empirical data",IF(AA2="none","low","intermediate"),"intermediate"),IF(Y2="none",IF(Z2="none","low",IF(Z2="unclear","low",IF(X2="empirical data",IF(AA2="none","low","intermediate"),"intermediate"))),IF(Y2="unclear",IF(Z2="none","low",IF(Z2="unclear","low",IF(X2="empirical data",IF(AA2="none","low","intermediate"),"intermediate"))),IF(X2="empirical data",IF(AA2="none","low","high"),"high"))))),IF(AN2="ratio scale",IF(AB2="local",IF(X2="empirical data",IF(AA2="none","low","intermediate"),"intermediate"),IF(C2&lt;2005, IF(X2="empirical data",IF(AA2="none","low","intermediate"),"intermediate"),IF(Y2="none",IF(Z2="none","low",IF(Z2="unclear","low",IF(X2="empirical data",IF(AA2="none","low","intermediate"),"intermediate"))),IF(Y2="unclear",IF(Z2="none","low",IF(Z2="unclear","low","intermediate")), IF(X2="empirical data",IF(AA2="none","low","high"),"high"))))),"low"))),"low"),"incomplete"),"incomplete"),"incomplete"),"incomplete"),"incomplete"),"incomplete"),"incomplete"),"incomplete"),"incomplete"),"incomplete"),"incomplete"),"incomplete"),"incomplete"),"incomplete"),"incomplete"),"incomplete"),"incomplete"),"incomplete")),"")</f>
        <v>intermediate</v>
      </c>
      <c r="AR2" s="20"/>
    </row>
    <row r="3" ht="15.75" customHeight="1">
      <c r="A3" s="16" t="s">
        <v>1645</v>
      </c>
      <c r="B3" s="16" t="s">
        <v>774</v>
      </c>
      <c r="C3" s="16">
        <v>2017.0</v>
      </c>
      <c r="D3" s="16" t="s">
        <v>1646</v>
      </c>
      <c r="E3" s="16" t="s">
        <v>1647</v>
      </c>
      <c r="F3" s="16" t="s">
        <v>1648</v>
      </c>
      <c r="G3" s="16" t="str">
        <f t="shared" si="1"/>
        <v>No</v>
      </c>
      <c r="H3" s="16" t="s">
        <v>1324</v>
      </c>
      <c r="I3" s="16" t="s">
        <v>1324</v>
      </c>
      <c r="J3" s="16">
        <v>115.0</v>
      </c>
      <c r="K3" s="17" t="s">
        <v>1649</v>
      </c>
      <c r="L3" s="17" t="s">
        <v>5010</v>
      </c>
      <c r="M3" s="18" t="str">
        <f t="shared" si="2"/>
        <v>http://dx.doi.org/10.1111/gcb.13714</v>
      </c>
      <c r="N3" s="19" t="s">
        <v>1346</v>
      </c>
      <c r="O3" s="17" t="s">
        <v>1470</v>
      </c>
      <c r="P3" s="17" t="s">
        <v>1328</v>
      </c>
      <c r="Q3" s="17" t="s">
        <v>1328</v>
      </c>
      <c r="R3" s="17" t="s">
        <v>1328</v>
      </c>
      <c r="S3" s="17" t="s">
        <v>1328</v>
      </c>
      <c r="T3" s="17" t="s">
        <v>1328</v>
      </c>
      <c r="U3" s="20" t="str">
        <f t="shared" si="3"/>
        <v>Yes</v>
      </c>
      <c r="V3" s="19" t="str">
        <f t="shared" si="4"/>
        <v>AG</v>
      </c>
      <c r="W3" s="17" t="str">
        <f t="shared" si="5"/>
        <v>Yes</v>
      </c>
      <c r="X3" s="17" t="s">
        <v>1463</v>
      </c>
      <c r="Y3" s="17" t="s">
        <v>1372</v>
      </c>
      <c r="Z3" s="17" t="s">
        <v>1331</v>
      </c>
      <c r="AA3" s="17" t="s">
        <v>1331</v>
      </c>
      <c r="AB3" s="17" t="s">
        <v>1444</v>
      </c>
      <c r="AC3" s="17" t="s">
        <v>1445</v>
      </c>
      <c r="AD3" s="17" t="s">
        <v>1362</v>
      </c>
      <c r="AE3" s="17">
        <f t="shared" si="6"/>
        <v>3</v>
      </c>
      <c r="AF3" s="17" t="s">
        <v>1336</v>
      </c>
      <c r="AG3" s="17" t="s">
        <v>1328</v>
      </c>
      <c r="AH3" s="17" t="s">
        <v>1336</v>
      </c>
      <c r="AI3" s="17" t="s">
        <v>1336</v>
      </c>
      <c r="AJ3" s="17" t="s">
        <v>1328</v>
      </c>
      <c r="AK3" s="17" t="s">
        <v>1328</v>
      </c>
      <c r="AL3" s="17" t="s">
        <v>1350</v>
      </c>
      <c r="AM3" s="17" t="s">
        <v>1351</v>
      </c>
      <c r="AN3" s="17" t="s">
        <v>1339</v>
      </c>
      <c r="AO3" s="17" t="s">
        <v>1374</v>
      </c>
      <c r="AP3" s="17" t="s">
        <v>1328</v>
      </c>
      <c r="AQ3" s="17" t="str">
        <f t="shared" si="7"/>
        <v>high</v>
      </c>
      <c r="AR3" s="20"/>
    </row>
    <row r="4" ht="15.75" customHeight="1">
      <c r="A4" s="16" t="s">
        <v>1736</v>
      </c>
      <c r="B4" s="16" t="s">
        <v>1731</v>
      </c>
      <c r="C4" s="16">
        <v>2012.0</v>
      </c>
      <c r="D4" s="16" t="s">
        <v>1737</v>
      </c>
      <c r="E4" s="16" t="s">
        <v>1738</v>
      </c>
      <c r="F4" s="16" t="s">
        <v>1739</v>
      </c>
      <c r="G4" s="16" t="str">
        <f t="shared" si="1"/>
        <v>No</v>
      </c>
      <c r="H4" s="16" t="s">
        <v>1324</v>
      </c>
      <c r="I4" s="16" t="s">
        <v>1324</v>
      </c>
      <c r="J4" s="16">
        <v>28.0</v>
      </c>
      <c r="K4" s="17" t="s">
        <v>1740</v>
      </c>
      <c r="L4" s="17" t="s">
        <v>5010</v>
      </c>
      <c r="M4" s="18" t="str">
        <f t="shared" si="2"/>
        <v>http://dx.doi.org/10.1093/icesjms/fss072</v>
      </c>
      <c r="N4" s="19" t="s">
        <v>1545</v>
      </c>
      <c r="O4" s="17" t="s">
        <v>1470</v>
      </c>
      <c r="P4" s="17" t="s">
        <v>1328</v>
      </c>
      <c r="Q4" s="17" t="s">
        <v>1328</v>
      </c>
      <c r="R4" s="17" t="s">
        <v>1328</v>
      </c>
      <c r="S4" s="17" t="s">
        <v>1328</v>
      </c>
      <c r="T4" s="17" t="s">
        <v>1328</v>
      </c>
      <c r="U4" s="20" t="str">
        <f t="shared" si="3"/>
        <v>Yes</v>
      </c>
      <c r="V4" s="19" t="str">
        <f t="shared" si="4"/>
        <v>AG</v>
      </c>
      <c r="W4" s="17" t="str">
        <f t="shared" si="5"/>
        <v>Yes</v>
      </c>
      <c r="X4" s="17" t="s">
        <v>1329</v>
      </c>
      <c r="Y4" s="17" t="s">
        <v>1330</v>
      </c>
      <c r="Z4" s="17" t="s">
        <v>1331</v>
      </c>
      <c r="AA4" s="17" t="s">
        <v>1347</v>
      </c>
      <c r="AB4" s="17" t="s">
        <v>1360</v>
      </c>
      <c r="AC4" s="17" t="s">
        <v>1361</v>
      </c>
      <c r="AD4" s="17" t="s">
        <v>1349</v>
      </c>
      <c r="AE4" s="17">
        <f t="shared" si="6"/>
        <v>2</v>
      </c>
      <c r="AF4" s="17" t="s">
        <v>1328</v>
      </c>
      <c r="AG4" s="17" t="s">
        <v>1336</v>
      </c>
      <c r="AH4" s="17" t="s">
        <v>1336</v>
      </c>
      <c r="AI4" s="17" t="s">
        <v>1336</v>
      </c>
      <c r="AJ4" s="17" t="s">
        <v>1328</v>
      </c>
      <c r="AK4" s="17" t="s">
        <v>1336</v>
      </c>
      <c r="AL4" s="17" t="s">
        <v>1350</v>
      </c>
      <c r="AM4" s="17" t="s">
        <v>1351</v>
      </c>
      <c r="AN4" s="17" t="s">
        <v>1339</v>
      </c>
      <c r="AO4" s="17" t="s">
        <v>1331</v>
      </c>
      <c r="AP4" s="17" t="s">
        <v>1328</v>
      </c>
      <c r="AQ4" s="17" t="str">
        <f t="shared" si="7"/>
        <v>high</v>
      </c>
      <c r="AR4" s="20"/>
    </row>
    <row r="5" ht="15.75" customHeight="1">
      <c r="A5" s="16" t="s">
        <v>2114</v>
      </c>
      <c r="B5" s="16" t="s">
        <v>251</v>
      </c>
      <c r="C5" s="16">
        <v>2012.0</v>
      </c>
      <c r="D5" s="16" t="s">
        <v>2115</v>
      </c>
      <c r="E5" s="16" t="s">
        <v>2116</v>
      </c>
      <c r="F5" s="16" t="s">
        <v>2117</v>
      </c>
      <c r="G5" s="16" t="str">
        <f t="shared" si="1"/>
        <v>Yes</v>
      </c>
      <c r="H5" s="16" t="s">
        <v>1324</v>
      </c>
      <c r="I5" s="16" t="s">
        <v>1328</v>
      </c>
      <c r="J5" s="16">
        <v>63.0</v>
      </c>
      <c r="K5" s="17" t="s">
        <v>2118</v>
      </c>
      <c r="L5" s="17" t="s">
        <v>5010</v>
      </c>
      <c r="M5" s="18" t="str">
        <f t="shared" si="2"/>
        <v>http://dx.doi.org/10.1016/j.biocon.2012.01.062</v>
      </c>
      <c r="N5" s="19" t="s">
        <v>1442</v>
      </c>
      <c r="O5" s="17" t="s">
        <v>1327</v>
      </c>
      <c r="P5" s="17" t="s">
        <v>1328</v>
      </c>
      <c r="Q5" s="17" t="s">
        <v>1328</v>
      </c>
      <c r="R5" s="17" t="s">
        <v>1328</v>
      </c>
      <c r="S5" s="17" t="s">
        <v>1328</v>
      </c>
      <c r="T5" s="17" t="s">
        <v>1328</v>
      </c>
      <c r="U5" s="20" t="str">
        <f t="shared" si="3"/>
        <v>Yes</v>
      </c>
      <c r="V5" s="19" t="str">
        <f t="shared" si="4"/>
        <v>PJ</v>
      </c>
      <c r="W5" s="17" t="str">
        <f t="shared" si="5"/>
        <v>Yes</v>
      </c>
      <c r="X5" s="17" t="s">
        <v>1443</v>
      </c>
      <c r="Y5" s="17" t="s">
        <v>1330</v>
      </c>
      <c r="Z5" s="17" t="s">
        <v>1331</v>
      </c>
      <c r="AA5" s="17" t="s">
        <v>1347</v>
      </c>
      <c r="AB5" s="17" t="s">
        <v>1660</v>
      </c>
      <c r="AC5" s="17" t="s">
        <v>1381</v>
      </c>
      <c r="AD5" s="17" t="s">
        <v>1446</v>
      </c>
      <c r="AE5" s="17">
        <f t="shared" si="6"/>
        <v>6</v>
      </c>
      <c r="AF5" s="17" t="s">
        <v>1328</v>
      </c>
      <c r="AG5" s="17" t="s">
        <v>1328</v>
      </c>
      <c r="AH5" s="17" t="s">
        <v>1328</v>
      </c>
      <c r="AI5" s="17" t="s">
        <v>1328</v>
      </c>
      <c r="AJ5" s="17" t="s">
        <v>1328</v>
      </c>
      <c r="AK5" s="17" t="s">
        <v>1328</v>
      </c>
      <c r="AL5" s="17" t="s">
        <v>1395</v>
      </c>
      <c r="AM5" s="17" t="s">
        <v>1351</v>
      </c>
      <c r="AN5" s="17" t="s">
        <v>1363</v>
      </c>
      <c r="AO5" s="17" t="s">
        <v>1331</v>
      </c>
      <c r="AP5" s="17" t="s">
        <v>1328</v>
      </c>
      <c r="AQ5" s="17" t="str">
        <f t="shared" si="7"/>
        <v>high</v>
      </c>
      <c r="AR5" s="20" t="s">
        <v>2119</v>
      </c>
    </row>
    <row r="6" ht="15.75" customHeight="1">
      <c r="A6" s="16" t="s">
        <v>2205</v>
      </c>
      <c r="B6" s="16" t="s">
        <v>1824</v>
      </c>
      <c r="C6" s="16">
        <v>2016.0</v>
      </c>
      <c r="D6" s="16" t="s">
        <v>2206</v>
      </c>
      <c r="E6" s="16" t="s">
        <v>2207</v>
      </c>
      <c r="F6" s="16" t="s">
        <v>2208</v>
      </c>
      <c r="G6" s="16" t="str">
        <f t="shared" si="1"/>
        <v>No</v>
      </c>
      <c r="H6" s="16" t="s">
        <v>1324</v>
      </c>
      <c r="I6" s="16" t="s">
        <v>1324</v>
      </c>
      <c r="J6" s="16">
        <v>88.0</v>
      </c>
      <c r="K6" s="17" t="s">
        <v>2209</v>
      </c>
      <c r="L6" s="17" t="s">
        <v>5010</v>
      </c>
      <c r="M6" s="18" t="str">
        <f t="shared" si="2"/>
        <v>http://dx.doi.org/10.1007/s10531-016-1172-0</v>
      </c>
      <c r="N6" s="19" t="s">
        <v>1482</v>
      </c>
      <c r="O6" s="17" t="s">
        <v>1327</v>
      </c>
      <c r="P6" s="17" t="s">
        <v>1328</v>
      </c>
      <c r="Q6" s="17" t="s">
        <v>1328</v>
      </c>
      <c r="R6" s="17" t="s">
        <v>1328</v>
      </c>
      <c r="S6" s="17" t="s">
        <v>1328</v>
      </c>
      <c r="T6" s="17" t="s">
        <v>1328</v>
      </c>
      <c r="U6" s="20" t="str">
        <f t="shared" si="3"/>
        <v>Yes</v>
      </c>
      <c r="V6" s="19" t="str">
        <f t="shared" si="4"/>
        <v>PJ</v>
      </c>
      <c r="W6" s="17" t="str">
        <f t="shared" si="5"/>
        <v>Yes</v>
      </c>
      <c r="X6" s="17" t="s">
        <v>1443</v>
      </c>
      <c r="Y6" s="17" t="s">
        <v>1330</v>
      </c>
      <c r="Z6" s="17" t="s">
        <v>1523</v>
      </c>
      <c r="AA6" s="17" t="s">
        <v>1332</v>
      </c>
      <c r="AB6" s="17" t="s">
        <v>1360</v>
      </c>
      <c r="AC6" s="17" t="s">
        <v>1361</v>
      </c>
      <c r="AD6" s="17" t="s">
        <v>1362</v>
      </c>
      <c r="AE6" s="17">
        <f t="shared" si="6"/>
        <v>3</v>
      </c>
      <c r="AF6" s="17" t="s">
        <v>1328</v>
      </c>
      <c r="AG6" s="17" t="s">
        <v>1328</v>
      </c>
      <c r="AH6" s="17" t="s">
        <v>1328</v>
      </c>
      <c r="AI6" s="17" t="s">
        <v>1336</v>
      </c>
      <c r="AJ6" s="17" t="s">
        <v>1336</v>
      </c>
      <c r="AK6" s="17" t="s">
        <v>1336</v>
      </c>
      <c r="AL6" s="17" t="s">
        <v>1395</v>
      </c>
      <c r="AM6" s="17" t="s">
        <v>1351</v>
      </c>
      <c r="AN6" s="17" t="s">
        <v>1339</v>
      </c>
      <c r="AO6" s="17" t="s">
        <v>1331</v>
      </c>
      <c r="AP6" s="17" t="s">
        <v>1328</v>
      </c>
      <c r="AQ6" s="17" t="str">
        <f t="shared" si="7"/>
        <v>high</v>
      </c>
      <c r="AR6" s="20"/>
    </row>
    <row r="7" ht="15.75" customHeight="1">
      <c r="A7" s="16" t="s">
        <v>2288</v>
      </c>
      <c r="B7" s="16" t="s">
        <v>2289</v>
      </c>
      <c r="C7" s="16">
        <v>2006.0</v>
      </c>
      <c r="D7" s="16" t="s">
        <v>2290</v>
      </c>
      <c r="E7" s="16" t="s">
        <v>2291</v>
      </c>
      <c r="F7" s="23" t="s">
        <v>1324</v>
      </c>
      <c r="G7" s="16" t="str">
        <f t="shared" si="1"/>
        <v>No</v>
      </c>
      <c r="H7" s="16" t="s">
        <v>1324</v>
      </c>
      <c r="I7" s="16" t="s">
        <v>1324</v>
      </c>
      <c r="J7" s="16">
        <v>145.0</v>
      </c>
      <c r="K7" s="17" t="s">
        <v>2292</v>
      </c>
      <c r="L7" s="17" t="s">
        <v>5010</v>
      </c>
      <c r="M7" s="18" t="str">
        <f t="shared" si="2"/>
        <v/>
      </c>
      <c r="N7" s="19" t="s">
        <v>1370</v>
      </c>
      <c r="O7" s="17" t="s">
        <v>1371</v>
      </c>
      <c r="P7" s="17" t="s">
        <v>1328</v>
      </c>
      <c r="Q7" s="17" t="s">
        <v>1328</v>
      </c>
      <c r="R7" s="17" t="s">
        <v>1328</v>
      </c>
      <c r="S7" s="17" t="s">
        <v>1328</v>
      </c>
      <c r="T7" s="17" t="s">
        <v>1328</v>
      </c>
      <c r="U7" s="20" t="str">
        <f t="shared" si="3"/>
        <v>Yes</v>
      </c>
      <c r="V7" s="19" t="str">
        <f t="shared" si="4"/>
        <v>LC</v>
      </c>
      <c r="W7" s="17" t="str">
        <f t="shared" si="5"/>
        <v>Yes</v>
      </c>
      <c r="X7" s="17" t="s">
        <v>1329</v>
      </c>
      <c r="Y7" s="17" t="s">
        <v>1372</v>
      </c>
      <c r="Z7" s="17" t="s">
        <v>1331</v>
      </c>
      <c r="AA7" s="17" t="s">
        <v>1347</v>
      </c>
      <c r="AB7" s="17" t="s">
        <v>1333</v>
      </c>
      <c r="AC7" s="17" t="s">
        <v>1381</v>
      </c>
      <c r="AD7" s="17" t="s">
        <v>1373</v>
      </c>
      <c r="AE7" s="17">
        <f t="shared" si="6"/>
        <v>3</v>
      </c>
      <c r="AF7" s="17" t="s">
        <v>1336</v>
      </c>
      <c r="AG7" s="17" t="s">
        <v>1328</v>
      </c>
      <c r="AH7" s="17" t="s">
        <v>1328</v>
      </c>
      <c r="AI7" s="17" t="s">
        <v>1336</v>
      </c>
      <c r="AJ7" s="17" t="s">
        <v>1328</v>
      </c>
      <c r="AK7" s="17" t="s">
        <v>1336</v>
      </c>
      <c r="AL7" s="17" t="s">
        <v>1395</v>
      </c>
      <c r="AM7" s="17" t="s">
        <v>1338</v>
      </c>
      <c r="AN7" s="17" t="s">
        <v>1363</v>
      </c>
      <c r="AO7" s="17" t="s">
        <v>1374</v>
      </c>
      <c r="AP7" s="17" t="s">
        <v>1328</v>
      </c>
      <c r="AQ7" s="17" t="str">
        <f t="shared" si="7"/>
        <v>intermediate</v>
      </c>
      <c r="AR7" s="20"/>
    </row>
    <row r="8" ht="15.75" customHeight="1">
      <c r="A8" s="16" t="s">
        <v>2076</v>
      </c>
      <c r="B8" s="16" t="s">
        <v>2077</v>
      </c>
      <c r="C8" s="16">
        <v>2009.0</v>
      </c>
      <c r="D8" s="16" t="s">
        <v>2078</v>
      </c>
      <c r="E8" s="16" t="s">
        <v>2079</v>
      </c>
      <c r="F8" s="16" t="s">
        <v>2080</v>
      </c>
      <c r="G8" s="16" t="str">
        <f t="shared" si="1"/>
        <v>No</v>
      </c>
      <c r="H8" s="16" t="s">
        <v>1324</v>
      </c>
      <c r="I8" s="16" t="s">
        <v>1324</v>
      </c>
      <c r="J8" s="16">
        <v>45.0</v>
      </c>
      <c r="K8" s="17" t="s">
        <v>2081</v>
      </c>
      <c r="L8" s="17" t="s">
        <v>5010</v>
      </c>
      <c r="M8" s="18" t="str">
        <f t="shared" si="2"/>
        <v>http://dx.doi.org/10.1016/j.ecolecon.2009.07.001</v>
      </c>
      <c r="N8" s="19" t="s">
        <v>1358</v>
      </c>
      <c r="O8" s="17" t="s">
        <v>1371</v>
      </c>
      <c r="P8" s="17" t="s">
        <v>1328</v>
      </c>
      <c r="Q8" s="17" t="s">
        <v>1328</v>
      </c>
      <c r="R8" s="17" t="s">
        <v>1328</v>
      </c>
      <c r="S8" s="17" t="s">
        <v>1328</v>
      </c>
      <c r="T8" s="17" t="s">
        <v>1328</v>
      </c>
      <c r="U8" s="20" t="str">
        <f t="shared" si="3"/>
        <v>Yes</v>
      </c>
      <c r="V8" s="19" t="str">
        <f t="shared" si="4"/>
        <v>LC</v>
      </c>
      <c r="W8" s="17" t="str">
        <f t="shared" si="5"/>
        <v>Yes</v>
      </c>
      <c r="X8" s="17" t="s">
        <v>1443</v>
      </c>
      <c r="Y8" s="17" t="s">
        <v>1330</v>
      </c>
      <c r="Z8" s="17" t="s">
        <v>1331</v>
      </c>
      <c r="AA8" s="17" t="s">
        <v>1332</v>
      </c>
      <c r="AB8" s="17" t="s">
        <v>1444</v>
      </c>
      <c r="AC8" s="17" t="s">
        <v>1445</v>
      </c>
      <c r="AD8" s="17" t="s">
        <v>1362</v>
      </c>
      <c r="AE8" s="17">
        <f t="shared" si="6"/>
        <v>2</v>
      </c>
      <c r="AF8" s="17" t="s">
        <v>1336</v>
      </c>
      <c r="AG8" s="17" t="s">
        <v>1328</v>
      </c>
      <c r="AH8" s="17" t="s">
        <v>1328</v>
      </c>
      <c r="AI8" s="17" t="s">
        <v>1336</v>
      </c>
      <c r="AJ8" s="17" t="s">
        <v>1336</v>
      </c>
      <c r="AK8" s="17" t="s">
        <v>1336</v>
      </c>
      <c r="AL8" s="17" t="s">
        <v>1350</v>
      </c>
      <c r="AM8" s="17" t="s">
        <v>1351</v>
      </c>
      <c r="AN8" s="17" t="s">
        <v>1363</v>
      </c>
      <c r="AO8" s="17" t="s">
        <v>1374</v>
      </c>
      <c r="AP8" s="17" t="s">
        <v>1328</v>
      </c>
      <c r="AQ8" s="17" t="str">
        <f t="shared" si="7"/>
        <v>high</v>
      </c>
      <c r="AR8" s="20"/>
    </row>
    <row r="9" ht="15.75" customHeight="1">
      <c r="A9" s="16" t="s">
        <v>1719</v>
      </c>
      <c r="B9" s="16" t="s">
        <v>460</v>
      </c>
      <c r="C9" s="16">
        <v>2010.0</v>
      </c>
      <c r="D9" s="16" t="s">
        <v>1720</v>
      </c>
      <c r="E9" s="16" t="s">
        <v>1721</v>
      </c>
      <c r="F9" s="16" t="s">
        <v>1722</v>
      </c>
      <c r="G9" s="16" t="str">
        <f t="shared" si="1"/>
        <v>No</v>
      </c>
      <c r="H9" s="16" t="s">
        <v>1324</v>
      </c>
      <c r="I9" s="16" t="s">
        <v>1324</v>
      </c>
      <c r="J9" s="16">
        <v>6.0</v>
      </c>
      <c r="K9" s="17" t="s">
        <v>1723</v>
      </c>
      <c r="L9" s="17" t="s">
        <v>5010</v>
      </c>
      <c r="M9" s="18" t="str">
        <f t="shared" si="2"/>
        <v>http://dx.doi.org/10.1098/rstb.2010.0273</v>
      </c>
      <c r="N9" s="19" t="s">
        <v>1482</v>
      </c>
      <c r="O9" s="17" t="s">
        <v>1417</v>
      </c>
      <c r="P9" s="17" t="s">
        <v>1328</v>
      </c>
      <c r="Q9" s="17" t="s">
        <v>1328</v>
      </c>
      <c r="R9" s="17" t="s">
        <v>1328</v>
      </c>
      <c r="S9" s="17" t="s">
        <v>1328</v>
      </c>
      <c r="T9" s="17" t="s">
        <v>1328</v>
      </c>
      <c r="U9" s="20" t="str">
        <f t="shared" si="3"/>
        <v>Yes</v>
      </c>
      <c r="V9" s="19" t="str">
        <f t="shared" si="4"/>
        <v>NT</v>
      </c>
      <c r="W9" s="17" t="str">
        <f t="shared" si="5"/>
        <v>Yes</v>
      </c>
      <c r="X9" s="17" t="s">
        <v>1443</v>
      </c>
      <c r="Y9" s="17" t="s">
        <v>1331</v>
      </c>
      <c r="Z9" s="17" t="s">
        <v>1372</v>
      </c>
      <c r="AA9" s="17" t="s">
        <v>1337</v>
      </c>
      <c r="AB9" s="17" t="s">
        <v>1444</v>
      </c>
      <c r="AC9" s="17" t="s">
        <v>1476</v>
      </c>
      <c r="AD9" s="17" t="s">
        <v>1362</v>
      </c>
      <c r="AE9" s="17">
        <f t="shared" si="6"/>
        <v>4</v>
      </c>
      <c r="AF9" s="17" t="s">
        <v>1328</v>
      </c>
      <c r="AG9" s="17" t="s">
        <v>1328</v>
      </c>
      <c r="AH9" s="17" t="s">
        <v>1328</v>
      </c>
      <c r="AI9" s="17" t="s">
        <v>1328</v>
      </c>
      <c r="AJ9" s="17" t="s">
        <v>1336</v>
      </c>
      <c r="AK9" s="17" t="s">
        <v>1336</v>
      </c>
      <c r="AL9" s="17" t="s">
        <v>1337</v>
      </c>
      <c r="AM9" s="17" t="s">
        <v>1338</v>
      </c>
      <c r="AN9" s="17" t="s">
        <v>1339</v>
      </c>
      <c r="AO9" s="17" t="s">
        <v>1331</v>
      </c>
      <c r="AP9" s="17" t="s">
        <v>1328</v>
      </c>
      <c r="AQ9" s="17" t="str">
        <f t="shared" si="7"/>
        <v>intermediate</v>
      </c>
      <c r="AR9" s="20"/>
    </row>
    <row r="10" ht="15.75" customHeight="1">
      <c r="A10" s="16" t="s">
        <v>1682</v>
      </c>
      <c r="B10" s="16" t="s">
        <v>126</v>
      </c>
      <c r="C10" s="16">
        <v>2014.0</v>
      </c>
      <c r="D10" s="16" t="s">
        <v>1683</v>
      </c>
      <c r="E10" s="16" t="s">
        <v>1684</v>
      </c>
      <c r="F10" s="16" t="s">
        <v>1685</v>
      </c>
      <c r="G10" s="16" t="str">
        <f t="shared" si="1"/>
        <v>No</v>
      </c>
      <c r="H10" s="16" t="s">
        <v>1324</v>
      </c>
      <c r="I10" s="16" t="s">
        <v>1324</v>
      </c>
      <c r="J10" s="16">
        <v>42.0</v>
      </c>
      <c r="K10" s="17" t="s">
        <v>1686</v>
      </c>
      <c r="L10" s="17" t="s">
        <v>5010</v>
      </c>
      <c r="M10" s="18" t="str">
        <f t="shared" si="2"/>
        <v>http://dx.doi.org/10.1111/fwb.12353</v>
      </c>
      <c r="N10" s="19" t="s">
        <v>1580</v>
      </c>
      <c r="O10" s="17" t="s">
        <v>1371</v>
      </c>
      <c r="P10" s="17" t="s">
        <v>1328</v>
      </c>
      <c r="Q10" s="17" t="s">
        <v>1328</v>
      </c>
      <c r="R10" s="17" t="s">
        <v>1328</v>
      </c>
      <c r="S10" s="17" t="s">
        <v>1328</v>
      </c>
      <c r="T10" s="17" t="s">
        <v>1328</v>
      </c>
      <c r="U10" s="20" t="str">
        <f t="shared" si="3"/>
        <v>Yes</v>
      </c>
      <c r="V10" s="19" t="str">
        <f t="shared" si="4"/>
        <v>LC</v>
      </c>
      <c r="W10" s="17" t="str">
        <f t="shared" si="5"/>
        <v>Yes</v>
      </c>
      <c r="X10" s="17" t="s">
        <v>1329</v>
      </c>
      <c r="Y10" s="17" t="s">
        <v>1372</v>
      </c>
      <c r="Z10" s="17" t="s">
        <v>1330</v>
      </c>
      <c r="AA10" s="17" t="s">
        <v>1347</v>
      </c>
      <c r="AB10" s="17" t="s">
        <v>1333</v>
      </c>
      <c r="AC10" s="17" t="s">
        <v>1348</v>
      </c>
      <c r="AD10" s="17" t="s">
        <v>1464</v>
      </c>
      <c r="AE10" s="17">
        <f t="shared" si="6"/>
        <v>2</v>
      </c>
      <c r="AF10" s="17" t="s">
        <v>1336</v>
      </c>
      <c r="AG10" s="17" t="s">
        <v>1328</v>
      </c>
      <c r="AH10" s="17" t="s">
        <v>1336</v>
      </c>
      <c r="AI10" s="17" t="s">
        <v>1336</v>
      </c>
      <c r="AJ10" s="17" t="s">
        <v>1328</v>
      </c>
      <c r="AK10" s="17" t="s">
        <v>1336</v>
      </c>
      <c r="AL10" s="17" t="s">
        <v>1350</v>
      </c>
      <c r="AM10" s="17" t="s">
        <v>1351</v>
      </c>
      <c r="AN10" s="17" t="s">
        <v>1363</v>
      </c>
      <c r="AO10" s="17" t="s">
        <v>1388</v>
      </c>
      <c r="AP10" s="17" t="s">
        <v>1328</v>
      </c>
      <c r="AQ10" s="17" t="str">
        <f t="shared" si="7"/>
        <v>intermediate</v>
      </c>
      <c r="AR10" s="20"/>
    </row>
    <row r="11" ht="15.75" customHeight="1">
      <c r="A11" s="16" t="s">
        <v>2002</v>
      </c>
      <c r="B11" s="16" t="s">
        <v>1055</v>
      </c>
      <c r="C11" s="16">
        <v>2013.0</v>
      </c>
      <c r="D11" s="16" t="s">
        <v>2003</v>
      </c>
      <c r="E11" s="16" t="s">
        <v>2004</v>
      </c>
      <c r="F11" s="16" t="s">
        <v>2005</v>
      </c>
      <c r="G11" s="16" t="str">
        <f t="shared" si="1"/>
        <v>No</v>
      </c>
      <c r="H11" s="16" t="s">
        <v>1324</v>
      </c>
      <c r="I11" s="16" t="s">
        <v>1324</v>
      </c>
      <c r="J11" s="16">
        <v>151.0</v>
      </c>
      <c r="K11" s="17" t="s">
        <v>2006</v>
      </c>
      <c r="L11" s="17" t="s">
        <v>5010</v>
      </c>
      <c r="M11" s="18" t="str">
        <f t="shared" si="2"/>
        <v>http://dx.doi.org/10.1016/j.gloplacha.2013.06.007</v>
      </c>
      <c r="N11" s="19" t="s">
        <v>1358</v>
      </c>
      <c r="O11" s="17" t="s">
        <v>1403</v>
      </c>
      <c r="P11" s="17" t="s">
        <v>1328</v>
      </c>
      <c r="Q11" s="17" t="s">
        <v>1328</v>
      </c>
      <c r="R11" s="17" t="s">
        <v>1328</v>
      </c>
      <c r="S11" s="17" t="s">
        <v>1328</v>
      </c>
      <c r="T11" s="17" t="s">
        <v>1328</v>
      </c>
      <c r="U11" s="20" t="str">
        <f t="shared" si="3"/>
        <v>Yes</v>
      </c>
      <c r="V11" s="19" t="str">
        <f t="shared" si="4"/>
        <v>DB</v>
      </c>
      <c r="W11" s="17" t="str">
        <f t="shared" si="5"/>
        <v>Yes</v>
      </c>
      <c r="X11" s="17" t="s">
        <v>1631</v>
      </c>
      <c r="Y11" s="17" t="s">
        <v>1330</v>
      </c>
      <c r="Z11" s="17" t="s">
        <v>1331</v>
      </c>
      <c r="AA11" s="17" t="s">
        <v>1347</v>
      </c>
      <c r="AB11" s="17" t="s">
        <v>1333</v>
      </c>
      <c r="AC11" s="17" t="s">
        <v>1381</v>
      </c>
      <c r="AD11" s="17" t="s">
        <v>1362</v>
      </c>
      <c r="AE11" s="17">
        <f t="shared" si="6"/>
        <v>2</v>
      </c>
      <c r="AF11" s="17" t="s">
        <v>1328</v>
      </c>
      <c r="AG11" s="17" t="s">
        <v>1328</v>
      </c>
      <c r="AH11" s="17" t="s">
        <v>1336</v>
      </c>
      <c r="AI11" s="17" t="s">
        <v>1336</v>
      </c>
      <c r="AJ11" s="17" t="s">
        <v>1336</v>
      </c>
      <c r="AK11" s="17" t="s">
        <v>1336</v>
      </c>
      <c r="AL11" s="17" t="s">
        <v>1350</v>
      </c>
      <c r="AM11" s="17" t="s">
        <v>1351</v>
      </c>
      <c r="AN11" s="17" t="s">
        <v>1363</v>
      </c>
      <c r="AO11" s="17" t="s">
        <v>1331</v>
      </c>
      <c r="AP11" s="17" t="s">
        <v>1328</v>
      </c>
      <c r="AQ11" s="17" t="str">
        <f t="shared" si="7"/>
        <v>intermediate</v>
      </c>
      <c r="AR11" s="20" t="s">
        <v>1639</v>
      </c>
    </row>
    <row r="12" ht="15.75" customHeight="1">
      <c r="A12" s="16" t="s">
        <v>2088</v>
      </c>
      <c r="B12" s="16" t="s">
        <v>251</v>
      </c>
      <c r="C12" s="16">
        <v>2017.0</v>
      </c>
      <c r="D12" s="16" t="s">
        <v>2089</v>
      </c>
      <c r="E12" s="16" t="s">
        <v>2090</v>
      </c>
      <c r="F12" s="16" t="s">
        <v>2091</v>
      </c>
      <c r="G12" s="16" t="str">
        <f t="shared" si="1"/>
        <v>No</v>
      </c>
      <c r="H12" s="16" t="s">
        <v>1324</v>
      </c>
      <c r="I12" s="16" t="s">
        <v>1324</v>
      </c>
      <c r="J12" s="16">
        <v>32.0</v>
      </c>
      <c r="K12" s="17" t="s">
        <v>2092</v>
      </c>
      <c r="L12" s="17" t="s">
        <v>5010</v>
      </c>
      <c r="M12" s="18" t="str">
        <f t="shared" si="2"/>
        <v>http://dx.doi.org/10.1016/j.biocon.2017.08.032</v>
      </c>
      <c r="N12" s="19" t="s">
        <v>1835</v>
      </c>
      <c r="O12" s="17" t="s">
        <v>1327</v>
      </c>
      <c r="P12" s="17" t="s">
        <v>1328</v>
      </c>
      <c r="Q12" s="17" t="s">
        <v>1328</v>
      </c>
      <c r="R12" s="17" t="s">
        <v>1328</v>
      </c>
      <c r="S12" s="17" t="s">
        <v>1328</v>
      </c>
      <c r="T12" s="17" t="s">
        <v>1328</v>
      </c>
      <c r="U12" s="20" t="str">
        <f t="shared" si="3"/>
        <v>Yes</v>
      </c>
      <c r="V12" s="19" t="str">
        <f t="shared" si="4"/>
        <v>PJ</v>
      </c>
      <c r="W12" s="17" t="str">
        <f t="shared" si="5"/>
        <v>Yes</v>
      </c>
      <c r="X12" s="17" t="s">
        <v>1443</v>
      </c>
      <c r="Y12" s="17" t="s">
        <v>1523</v>
      </c>
      <c r="Z12" s="17" t="s">
        <v>1330</v>
      </c>
      <c r="AA12" s="17" t="s">
        <v>1332</v>
      </c>
      <c r="AB12" s="17" t="s">
        <v>1360</v>
      </c>
      <c r="AC12" s="17" t="s">
        <v>1381</v>
      </c>
      <c r="AD12" s="17" t="s">
        <v>1362</v>
      </c>
      <c r="AE12" s="17">
        <f t="shared" si="6"/>
        <v>4</v>
      </c>
      <c r="AF12" s="17" t="s">
        <v>1328</v>
      </c>
      <c r="AG12" s="17" t="s">
        <v>1328</v>
      </c>
      <c r="AH12" s="17" t="s">
        <v>1328</v>
      </c>
      <c r="AI12" s="17" t="s">
        <v>1336</v>
      </c>
      <c r="AJ12" s="17" t="s">
        <v>1336</v>
      </c>
      <c r="AK12" s="17" t="s">
        <v>1328</v>
      </c>
      <c r="AL12" s="17" t="s">
        <v>1395</v>
      </c>
      <c r="AM12" s="17" t="s">
        <v>1338</v>
      </c>
      <c r="AN12" s="17" t="s">
        <v>1339</v>
      </c>
      <c r="AO12" s="17" t="s">
        <v>1331</v>
      </c>
      <c r="AP12" s="17" t="s">
        <v>1328</v>
      </c>
      <c r="AQ12" s="17" t="str">
        <f t="shared" si="7"/>
        <v>intermediate</v>
      </c>
      <c r="AR12" s="20"/>
    </row>
    <row r="13" ht="15.75" customHeight="1">
      <c r="A13" s="16" t="s">
        <v>1382</v>
      </c>
      <c r="B13" s="16" t="s">
        <v>1376</v>
      </c>
      <c r="C13" s="16">
        <v>2013.0</v>
      </c>
      <c r="D13" s="16" t="s">
        <v>1383</v>
      </c>
      <c r="E13" s="16" t="s">
        <v>1384</v>
      </c>
      <c r="F13" s="16" t="s">
        <v>1385</v>
      </c>
      <c r="G13" s="16" t="str">
        <f t="shared" si="1"/>
        <v>No</v>
      </c>
      <c r="H13" s="16" t="s">
        <v>1324</v>
      </c>
      <c r="I13" s="16" t="s">
        <v>1324</v>
      </c>
      <c r="J13" s="16">
        <v>37.0</v>
      </c>
      <c r="K13" s="17" t="s">
        <v>1386</v>
      </c>
      <c r="L13" s="17" t="s">
        <v>5010</v>
      </c>
      <c r="M13" s="18" t="str">
        <f t="shared" si="2"/>
        <v>http://dx.doi.org/10.3390/rs5084125</v>
      </c>
      <c r="N13" s="19" t="s">
        <v>1358</v>
      </c>
      <c r="O13" s="17" t="s">
        <v>1387</v>
      </c>
      <c r="P13" s="17" t="s">
        <v>1328</v>
      </c>
      <c r="Q13" s="17" t="s">
        <v>1328</v>
      </c>
      <c r="R13" s="17" t="s">
        <v>1328</v>
      </c>
      <c r="S13" s="17" t="s">
        <v>1328</v>
      </c>
      <c r="T13" s="17" t="s">
        <v>1328</v>
      </c>
      <c r="U13" s="20" t="str">
        <f t="shared" si="3"/>
        <v>Yes</v>
      </c>
      <c r="V13" s="19" t="str">
        <f t="shared" si="4"/>
        <v>MW</v>
      </c>
      <c r="W13" s="17" t="str">
        <f t="shared" si="5"/>
        <v>Yes</v>
      </c>
      <c r="X13" s="17" t="s">
        <v>1329</v>
      </c>
      <c r="Y13" s="17" t="s">
        <v>1330</v>
      </c>
      <c r="Z13" s="17" t="s">
        <v>1331</v>
      </c>
      <c r="AA13" s="17" t="s">
        <v>1347</v>
      </c>
      <c r="AB13" s="17" t="s">
        <v>1333</v>
      </c>
      <c r="AC13" s="17" t="s">
        <v>1381</v>
      </c>
      <c r="AD13" s="17" t="s">
        <v>1362</v>
      </c>
      <c r="AE13" s="17">
        <f t="shared" si="6"/>
        <v>2</v>
      </c>
      <c r="AF13" s="17" t="s">
        <v>1328</v>
      </c>
      <c r="AG13" s="17" t="s">
        <v>1328</v>
      </c>
      <c r="AH13" s="17" t="s">
        <v>1336</v>
      </c>
      <c r="AI13" s="17" t="s">
        <v>1336</v>
      </c>
      <c r="AJ13" s="17" t="s">
        <v>1336</v>
      </c>
      <c r="AK13" s="17" t="s">
        <v>1336</v>
      </c>
      <c r="AL13" s="17" t="s">
        <v>1350</v>
      </c>
      <c r="AM13" s="17" t="s">
        <v>1351</v>
      </c>
      <c r="AN13" s="17" t="s">
        <v>1339</v>
      </c>
      <c r="AO13" s="17" t="s">
        <v>1388</v>
      </c>
      <c r="AP13" s="17" t="s">
        <v>1328</v>
      </c>
      <c r="AQ13" s="17" t="str">
        <f t="shared" si="7"/>
        <v>intermediate</v>
      </c>
      <c r="AR13" s="20"/>
    </row>
    <row r="14" ht="15.75" customHeight="1">
      <c r="A14" s="16" t="s">
        <v>1806</v>
      </c>
      <c r="B14" s="16" t="s">
        <v>1807</v>
      </c>
      <c r="C14" s="16">
        <v>2012.0</v>
      </c>
      <c r="D14" s="16" t="s">
        <v>1808</v>
      </c>
      <c r="E14" s="16" t="s">
        <v>1809</v>
      </c>
      <c r="F14" s="16" t="s">
        <v>1810</v>
      </c>
      <c r="G14" s="16" t="str">
        <f t="shared" si="1"/>
        <v>No</v>
      </c>
      <c r="H14" s="16" t="s">
        <v>1324</v>
      </c>
      <c r="I14" s="16" t="s">
        <v>1324</v>
      </c>
      <c r="J14" s="16">
        <v>20.0</v>
      </c>
      <c r="K14" s="17" t="s">
        <v>1811</v>
      </c>
      <c r="L14" s="17" t="s">
        <v>5010</v>
      </c>
      <c r="M14" s="18" t="str">
        <f t="shared" si="2"/>
        <v>http://dx.doi.org/10.1029/2011JG001930</v>
      </c>
      <c r="N14" s="19" t="s">
        <v>1358</v>
      </c>
      <c r="O14" s="17" t="s">
        <v>1417</v>
      </c>
      <c r="P14" s="17" t="s">
        <v>1328</v>
      </c>
      <c r="Q14" s="17" t="s">
        <v>1328</v>
      </c>
      <c r="R14" s="17" t="s">
        <v>1328</v>
      </c>
      <c r="S14" s="17" t="s">
        <v>1328</v>
      </c>
      <c r="T14" s="17" t="s">
        <v>1328</v>
      </c>
      <c r="U14" s="20" t="str">
        <f t="shared" si="3"/>
        <v>Yes</v>
      </c>
      <c r="V14" s="19" t="str">
        <f t="shared" si="4"/>
        <v>NT</v>
      </c>
      <c r="W14" s="17" t="str">
        <f t="shared" si="5"/>
        <v>Yes</v>
      </c>
      <c r="X14" s="17" t="s">
        <v>1329</v>
      </c>
      <c r="Y14" s="17" t="s">
        <v>1330</v>
      </c>
      <c r="Z14" s="17" t="s">
        <v>1331</v>
      </c>
      <c r="AA14" s="17" t="s">
        <v>1347</v>
      </c>
      <c r="AB14" s="17" t="s">
        <v>1660</v>
      </c>
      <c r="AC14" s="17" t="s">
        <v>1348</v>
      </c>
      <c r="AD14" s="17" t="s">
        <v>1362</v>
      </c>
      <c r="AE14" s="17">
        <f t="shared" si="6"/>
        <v>4</v>
      </c>
      <c r="AF14" s="17" t="s">
        <v>1328</v>
      </c>
      <c r="AG14" s="17" t="s">
        <v>1328</v>
      </c>
      <c r="AH14" s="17" t="s">
        <v>1336</v>
      </c>
      <c r="AI14" s="17" t="s">
        <v>1328</v>
      </c>
      <c r="AJ14" s="17" t="s">
        <v>1328</v>
      </c>
      <c r="AK14" s="17" t="s">
        <v>1336</v>
      </c>
      <c r="AL14" s="17" t="s">
        <v>1350</v>
      </c>
      <c r="AM14" s="17" t="s">
        <v>1351</v>
      </c>
      <c r="AN14" s="17" t="s">
        <v>1363</v>
      </c>
      <c r="AO14" s="17" t="s">
        <v>1331</v>
      </c>
      <c r="AP14" s="17" t="s">
        <v>1328</v>
      </c>
      <c r="AQ14" s="17" t="str">
        <f t="shared" si="7"/>
        <v>high</v>
      </c>
      <c r="AR14" s="20"/>
    </row>
    <row r="15" ht="15.75" customHeight="1">
      <c r="A15" s="16" t="s">
        <v>2232</v>
      </c>
      <c r="B15" s="16" t="s">
        <v>2233</v>
      </c>
      <c r="C15" s="16">
        <v>2013.0</v>
      </c>
      <c r="D15" s="16" t="s">
        <v>2234</v>
      </c>
      <c r="E15" s="16" t="s">
        <v>2235</v>
      </c>
      <c r="F15" s="16" t="s">
        <v>2236</v>
      </c>
      <c r="G15" s="16" t="str">
        <f t="shared" si="1"/>
        <v>No</v>
      </c>
      <c r="H15" s="16" t="s">
        <v>1324</v>
      </c>
      <c r="I15" s="16" t="s">
        <v>1324</v>
      </c>
      <c r="J15" s="16">
        <v>144.0</v>
      </c>
      <c r="K15" s="17" t="s">
        <v>2237</v>
      </c>
      <c r="L15" s="17" t="s">
        <v>5010</v>
      </c>
      <c r="M15" s="18" t="str">
        <f t="shared" si="2"/>
        <v>http://dx.doi.org/10.1002/wene.41</v>
      </c>
      <c r="N15" s="19" t="s">
        <v>1358</v>
      </c>
      <c r="O15" s="17" t="s">
        <v>1371</v>
      </c>
      <c r="P15" s="17" t="s">
        <v>1328</v>
      </c>
      <c r="Q15" s="17" t="s">
        <v>1328</v>
      </c>
      <c r="R15" s="17" t="s">
        <v>1328</v>
      </c>
      <c r="S15" s="17" t="s">
        <v>1328</v>
      </c>
      <c r="T15" s="17" t="s">
        <v>1328</v>
      </c>
      <c r="U15" s="20" t="str">
        <f t="shared" si="3"/>
        <v>Yes</v>
      </c>
      <c r="V15" s="19" t="str">
        <f t="shared" si="4"/>
        <v>LC</v>
      </c>
      <c r="W15" s="17" t="str">
        <f t="shared" si="5"/>
        <v>Yes</v>
      </c>
      <c r="X15" s="17" t="s">
        <v>1443</v>
      </c>
      <c r="Y15" s="17" t="s">
        <v>1330</v>
      </c>
      <c r="Z15" s="17" t="s">
        <v>1330</v>
      </c>
      <c r="AA15" s="17" t="s">
        <v>1347</v>
      </c>
      <c r="AB15" s="17" t="s">
        <v>1444</v>
      </c>
      <c r="AC15" s="17" t="s">
        <v>1445</v>
      </c>
      <c r="AD15" s="17" t="s">
        <v>1362</v>
      </c>
      <c r="AE15" s="17">
        <f t="shared" si="6"/>
        <v>2</v>
      </c>
      <c r="AF15" s="17" t="s">
        <v>1328</v>
      </c>
      <c r="AG15" s="17" t="s">
        <v>1328</v>
      </c>
      <c r="AH15" s="17" t="s">
        <v>1336</v>
      </c>
      <c r="AI15" s="17" t="s">
        <v>1336</v>
      </c>
      <c r="AJ15" s="17" t="s">
        <v>1336</v>
      </c>
      <c r="AK15" s="17" t="s">
        <v>1336</v>
      </c>
      <c r="AL15" s="17" t="s">
        <v>1350</v>
      </c>
      <c r="AM15" s="17" t="s">
        <v>1351</v>
      </c>
      <c r="AN15" s="17" t="s">
        <v>1363</v>
      </c>
      <c r="AO15" s="17" t="s">
        <v>1388</v>
      </c>
      <c r="AP15" s="17" t="s">
        <v>1328</v>
      </c>
      <c r="AQ15" s="17" t="str">
        <f t="shared" si="7"/>
        <v>high</v>
      </c>
      <c r="AR15" s="20"/>
    </row>
    <row r="16" ht="15.75" customHeight="1">
      <c r="A16" s="16" t="s">
        <v>1883</v>
      </c>
      <c r="B16" s="16" t="s">
        <v>1884</v>
      </c>
      <c r="C16" s="16">
        <v>2006.0</v>
      </c>
      <c r="D16" s="16" t="s">
        <v>1885</v>
      </c>
      <c r="E16" s="16" t="s">
        <v>1886</v>
      </c>
      <c r="F16" s="16" t="s">
        <v>1887</v>
      </c>
      <c r="G16" s="16" t="str">
        <f t="shared" si="1"/>
        <v>No</v>
      </c>
      <c r="H16" s="16" t="s">
        <v>1324</v>
      </c>
      <c r="I16" s="16" t="s">
        <v>1324</v>
      </c>
      <c r="J16" s="16">
        <v>1.0</v>
      </c>
      <c r="K16" s="17" t="s">
        <v>1888</v>
      </c>
      <c r="L16" s="17" t="s">
        <v>5010</v>
      </c>
      <c r="M16" s="18" t="str">
        <f t="shared" si="2"/>
        <v>http://dx.doi.org/10.1016/S0065-2881(05)50001-4</v>
      </c>
      <c r="N16" s="19" t="s">
        <v>1402</v>
      </c>
      <c r="O16" s="17" t="s">
        <v>1327</v>
      </c>
      <c r="P16" s="17" t="s">
        <v>1328</v>
      </c>
      <c r="Q16" s="17" t="s">
        <v>1328</v>
      </c>
      <c r="R16" s="17" t="s">
        <v>1328</v>
      </c>
      <c r="S16" s="17" t="s">
        <v>1328</v>
      </c>
      <c r="T16" s="17" t="s">
        <v>1328</v>
      </c>
      <c r="U16" s="20" t="str">
        <f t="shared" si="3"/>
        <v>Yes</v>
      </c>
      <c r="V16" s="19" t="str">
        <f t="shared" si="4"/>
        <v>PJ</v>
      </c>
      <c r="W16" s="17" t="str">
        <f t="shared" si="5"/>
        <v>Yes</v>
      </c>
      <c r="X16" s="17" t="s">
        <v>1443</v>
      </c>
      <c r="Y16" s="17" t="s">
        <v>1330</v>
      </c>
      <c r="Z16" s="17" t="s">
        <v>1523</v>
      </c>
      <c r="AA16" s="17" t="s">
        <v>1347</v>
      </c>
      <c r="AB16" s="17" t="s">
        <v>1444</v>
      </c>
      <c r="AC16" s="17" t="s">
        <v>1445</v>
      </c>
      <c r="AD16" s="17" t="s">
        <v>1349</v>
      </c>
      <c r="AE16" s="17">
        <f t="shared" si="6"/>
        <v>3</v>
      </c>
      <c r="AF16" s="17" t="s">
        <v>1328</v>
      </c>
      <c r="AG16" s="17" t="s">
        <v>1336</v>
      </c>
      <c r="AH16" s="17" t="s">
        <v>1336</v>
      </c>
      <c r="AI16" s="17" t="s">
        <v>1328</v>
      </c>
      <c r="AJ16" s="17" t="s">
        <v>1328</v>
      </c>
      <c r="AK16" s="17" t="s">
        <v>1336</v>
      </c>
      <c r="AL16" s="17" t="s">
        <v>1395</v>
      </c>
      <c r="AM16" s="17" t="s">
        <v>1338</v>
      </c>
      <c r="AN16" s="17" t="s">
        <v>1339</v>
      </c>
      <c r="AO16" s="17" t="s">
        <v>1331</v>
      </c>
      <c r="AP16" s="17" t="s">
        <v>1328</v>
      </c>
      <c r="AQ16" s="17" t="str">
        <f t="shared" si="7"/>
        <v>high</v>
      </c>
      <c r="AR16" s="20"/>
    </row>
    <row r="17" ht="15.75" customHeight="1">
      <c r="A17" s="16" t="s">
        <v>1581</v>
      </c>
      <c r="B17" s="16" t="s">
        <v>1575</v>
      </c>
      <c r="C17" s="16">
        <v>2013.0</v>
      </c>
      <c r="D17" s="16" t="s">
        <v>1582</v>
      </c>
      <c r="E17" s="16" t="s">
        <v>1583</v>
      </c>
      <c r="F17" s="16" t="s">
        <v>1584</v>
      </c>
      <c r="G17" s="16" t="str">
        <f t="shared" si="1"/>
        <v>No</v>
      </c>
      <c r="H17" s="16" t="s">
        <v>1324</v>
      </c>
      <c r="I17" s="16" t="s">
        <v>1324</v>
      </c>
      <c r="J17" s="16">
        <v>15.0</v>
      </c>
      <c r="K17" s="17" t="s">
        <v>1585</v>
      </c>
      <c r="L17" s="17" t="s">
        <v>5010</v>
      </c>
      <c r="M17" s="18" t="str">
        <f t="shared" si="2"/>
        <v>http://dx.doi.org/10.1111/j.1600-0706.2012.19858.x</v>
      </c>
      <c r="N17" s="19" t="s">
        <v>1416</v>
      </c>
      <c r="O17" s="17" t="s">
        <v>1403</v>
      </c>
      <c r="P17" s="17" t="s">
        <v>1328</v>
      </c>
      <c r="Q17" s="17" t="s">
        <v>1328</v>
      </c>
      <c r="R17" s="17" t="s">
        <v>1328</v>
      </c>
      <c r="S17" s="17" t="s">
        <v>1328</v>
      </c>
      <c r="T17" s="17" t="s">
        <v>1328</v>
      </c>
      <c r="U17" s="20" t="str">
        <f t="shared" si="3"/>
        <v>Yes</v>
      </c>
      <c r="V17" s="19" t="str">
        <f t="shared" si="4"/>
        <v>DB</v>
      </c>
      <c r="W17" s="17" t="str">
        <f t="shared" si="5"/>
        <v>Yes</v>
      </c>
      <c r="X17" s="17" t="s">
        <v>1329</v>
      </c>
      <c r="Y17" s="17" t="s">
        <v>1330</v>
      </c>
      <c r="Z17" s="17" t="s">
        <v>1331</v>
      </c>
      <c r="AA17" s="17" t="s">
        <v>1347</v>
      </c>
      <c r="AB17" s="17" t="s">
        <v>1333</v>
      </c>
      <c r="AC17" s="17" t="s">
        <v>1361</v>
      </c>
      <c r="AD17" s="17" t="s">
        <v>1530</v>
      </c>
      <c r="AE17" s="17">
        <f t="shared" si="6"/>
        <v>2</v>
      </c>
      <c r="AF17" s="17" t="s">
        <v>1328</v>
      </c>
      <c r="AG17" s="17" t="s">
        <v>1336</v>
      </c>
      <c r="AH17" s="17" t="s">
        <v>1336</v>
      </c>
      <c r="AI17" s="17" t="s">
        <v>1336</v>
      </c>
      <c r="AJ17" s="17" t="s">
        <v>1328</v>
      </c>
      <c r="AK17" s="17" t="s">
        <v>1336</v>
      </c>
      <c r="AL17" s="17" t="s">
        <v>1350</v>
      </c>
      <c r="AM17" s="17" t="s">
        <v>1351</v>
      </c>
      <c r="AN17" s="17" t="s">
        <v>1363</v>
      </c>
      <c r="AO17" s="17" t="s">
        <v>1374</v>
      </c>
      <c r="AP17" s="17" t="s">
        <v>1328</v>
      </c>
      <c r="AQ17" s="17" t="str">
        <f t="shared" si="7"/>
        <v>intermediate</v>
      </c>
      <c r="AR17" s="20"/>
    </row>
    <row r="18" ht="15.75" customHeight="1">
      <c r="A18" s="16" t="s">
        <v>1650</v>
      </c>
      <c r="B18" s="16" t="s">
        <v>774</v>
      </c>
      <c r="C18" s="16">
        <v>2016.0</v>
      </c>
      <c r="D18" s="16" t="s">
        <v>1651</v>
      </c>
      <c r="E18" s="16" t="s">
        <v>1652</v>
      </c>
      <c r="F18" s="16" t="s">
        <v>1653</v>
      </c>
      <c r="G18" s="16" t="str">
        <f t="shared" si="1"/>
        <v>No</v>
      </c>
      <c r="H18" s="16" t="s">
        <v>1324</v>
      </c>
      <c r="I18" s="16" t="s">
        <v>1324</v>
      </c>
      <c r="J18" s="16">
        <v>190.0</v>
      </c>
      <c r="K18" s="17" t="s">
        <v>1654</v>
      </c>
      <c r="L18" s="17" t="s">
        <v>5010</v>
      </c>
      <c r="M18" s="18" t="str">
        <f t="shared" si="2"/>
        <v>http://dx.doi.org/10.1111/gcb.13091</v>
      </c>
      <c r="N18" s="19" t="s">
        <v>1482</v>
      </c>
      <c r="O18" s="17" t="s">
        <v>1470</v>
      </c>
      <c r="P18" s="17" t="s">
        <v>1328</v>
      </c>
      <c r="Q18" s="17" t="s">
        <v>1328</v>
      </c>
      <c r="R18" s="17" t="s">
        <v>1328</v>
      </c>
      <c r="S18" s="17" t="s">
        <v>1328</v>
      </c>
      <c r="T18" s="17" t="s">
        <v>1328</v>
      </c>
      <c r="U18" s="20" t="str">
        <f t="shared" si="3"/>
        <v>Yes</v>
      </c>
      <c r="V18" s="19" t="str">
        <f t="shared" si="4"/>
        <v>AG</v>
      </c>
      <c r="W18" s="17" t="str">
        <f t="shared" si="5"/>
        <v>Yes</v>
      </c>
      <c r="X18" s="17" t="s">
        <v>1329</v>
      </c>
      <c r="Y18" s="17" t="s">
        <v>1330</v>
      </c>
      <c r="Z18" s="17" t="s">
        <v>1331</v>
      </c>
      <c r="AA18" s="17" t="s">
        <v>1332</v>
      </c>
      <c r="AB18" s="17" t="s">
        <v>1333</v>
      </c>
      <c r="AC18" s="17" t="s">
        <v>1361</v>
      </c>
      <c r="AD18" s="17" t="s">
        <v>1362</v>
      </c>
      <c r="AE18" s="17">
        <f t="shared" si="6"/>
        <v>2</v>
      </c>
      <c r="AF18" s="17" t="s">
        <v>1336</v>
      </c>
      <c r="AG18" s="17" t="s">
        <v>1328</v>
      </c>
      <c r="AH18" s="17" t="s">
        <v>1336</v>
      </c>
      <c r="AI18" s="17" t="s">
        <v>1328</v>
      </c>
      <c r="AJ18" s="17" t="s">
        <v>1336</v>
      </c>
      <c r="AK18" s="17" t="s">
        <v>1336</v>
      </c>
      <c r="AL18" s="17" t="s">
        <v>1404</v>
      </c>
      <c r="AM18" s="17" t="s">
        <v>1338</v>
      </c>
      <c r="AN18" s="17" t="s">
        <v>1339</v>
      </c>
      <c r="AO18" s="17" t="s">
        <v>1331</v>
      </c>
      <c r="AP18" s="17" t="s">
        <v>1328</v>
      </c>
      <c r="AQ18" s="17" t="str">
        <f t="shared" si="7"/>
        <v>intermediate</v>
      </c>
      <c r="AR18" s="20"/>
    </row>
    <row r="19" ht="15.75" customHeight="1">
      <c r="A19" s="16" t="s">
        <v>1823</v>
      </c>
      <c r="B19" s="16" t="s">
        <v>1824</v>
      </c>
      <c r="C19" s="16">
        <v>2003.0</v>
      </c>
      <c r="D19" s="16" t="s">
        <v>1825</v>
      </c>
      <c r="E19" s="16" t="s">
        <v>1826</v>
      </c>
      <c r="F19" s="16" t="s">
        <v>1827</v>
      </c>
      <c r="G19" s="16" t="str">
        <f t="shared" si="1"/>
        <v>No</v>
      </c>
      <c r="H19" s="16" t="s">
        <v>1324</v>
      </c>
      <c r="I19" s="16" t="s">
        <v>1324</v>
      </c>
      <c r="J19" s="16">
        <v>97.0</v>
      </c>
      <c r="K19" s="17" t="s">
        <v>1828</v>
      </c>
      <c r="L19" s="17" t="s">
        <v>5010</v>
      </c>
      <c r="M19" s="18" t="str">
        <f t="shared" si="2"/>
        <v>http://dx.doi.org/10.1023/A:1024147529295</v>
      </c>
      <c r="N19" s="19" t="s">
        <v>1614</v>
      </c>
      <c r="O19" s="17" t="s">
        <v>1371</v>
      </c>
      <c r="P19" s="17" t="s">
        <v>1328</v>
      </c>
      <c r="Q19" s="17" t="s">
        <v>1328</v>
      </c>
      <c r="R19" s="17" t="s">
        <v>1328</v>
      </c>
      <c r="S19" s="17" t="s">
        <v>1328</v>
      </c>
      <c r="T19" s="17" t="s">
        <v>1328</v>
      </c>
      <c r="U19" s="20" t="str">
        <f t="shared" si="3"/>
        <v>Yes</v>
      </c>
      <c r="V19" s="19" t="str">
        <f t="shared" si="4"/>
        <v>LC</v>
      </c>
      <c r="W19" s="17" t="str">
        <f t="shared" si="5"/>
        <v>Yes</v>
      </c>
      <c r="X19" s="17" t="s">
        <v>1329</v>
      </c>
      <c r="Y19" s="17" t="s">
        <v>1372</v>
      </c>
      <c r="Z19" s="17" t="s">
        <v>1330</v>
      </c>
      <c r="AA19" s="17" t="s">
        <v>1347</v>
      </c>
      <c r="AB19" s="17" t="s">
        <v>1333</v>
      </c>
      <c r="AC19" s="17" t="s">
        <v>1348</v>
      </c>
      <c r="AD19" s="17" t="s">
        <v>1362</v>
      </c>
      <c r="AE19" s="17">
        <f t="shared" si="6"/>
        <v>2</v>
      </c>
      <c r="AF19" s="17" t="s">
        <v>1336</v>
      </c>
      <c r="AG19" s="17" t="s">
        <v>1336</v>
      </c>
      <c r="AH19" s="17" t="s">
        <v>1328</v>
      </c>
      <c r="AI19" s="17" t="s">
        <v>1336</v>
      </c>
      <c r="AJ19" s="17" t="s">
        <v>1336</v>
      </c>
      <c r="AK19" s="17" t="s">
        <v>1328</v>
      </c>
      <c r="AL19" s="17" t="s">
        <v>1350</v>
      </c>
      <c r="AM19" s="17" t="s">
        <v>1351</v>
      </c>
      <c r="AN19" s="17" t="s">
        <v>1363</v>
      </c>
      <c r="AO19" s="17" t="s">
        <v>1331</v>
      </c>
      <c r="AP19" s="17" t="s">
        <v>1328</v>
      </c>
      <c r="AQ19" s="17" t="str">
        <f t="shared" si="7"/>
        <v>intermediate</v>
      </c>
      <c r="AR19" s="20"/>
    </row>
    <row r="20" ht="15.75" customHeight="1">
      <c r="A20" s="16" t="s">
        <v>1667</v>
      </c>
      <c r="B20" s="16" t="s">
        <v>774</v>
      </c>
      <c r="C20" s="16">
        <v>2014.0</v>
      </c>
      <c r="D20" s="16" t="s">
        <v>1668</v>
      </c>
      <c r="E20" s="16" t="s">
        <v>1669</v>
      </c>
      <c r="F20" s="16" t="s">
        <v>1670</v>
      </c>
      <c r="G20" s="16" t="str">
        <f t="shared" si="1"/>
        <v>No</v>
      </c>
      <c r="H20" s="16" t="s">
        <v>1324</v>
      </c>
      <c r="I20" s="16" t="s">
        <v>1324</v>
      </c>
      <c r="J20" s="16">
        <v>142.0</v>
      </c>
      <c r="K20" s="17" t="s">
        <v>1671</v>
      </c>
      <c r="L20" s="17" t="s">
        <v>5010</v>
      </c>
      <c r="M20" s="18" t="str">
        <f t="shared" si="2"/>
        <v>http://dx.doi.org/10.1111/gcb.12588</v>
      </c>
      <c r="N20" s="19" t="s">
        <v>1358</v>
      </c>
      <c r="O20" s="17" t="s">
        <v>1436</v>
      </c>
      <c r="P20" s="17" t="s">
        <v>1328</v>
      </c>
      <c r="Q20" s="17" t="s">
        <v>1328</v>
      </c>
      <c r="R20" s="17" t="s">
        <v>1328</v>
      </c>
      <c r="S20" s="17" t="s">
        <v>1328</v>
      </c>
      <c r="T20" s="17" t="s">
        <v>1328</v>
      </c>
      <c r="U20" s="20" t="str">
        <f t="shared" si="3"/>
        <v>Yes</v>
      </c>
      <c r="V20" s="19" t="str">
        <f t="shared" si="4"/>
        <v>CG</v>
      </c>
      <c r="W20" s="17" t="str">
        <f t="shared" si="5"/>
        <v>Yes</v>
      </c>
      <c r="X20" s="17" t="s">
        <v>1329</v>
      </c>
      <c r="Y20" s="17" t="s">
        <v>1330</v>
      </c>
      <c r="Z20" s="17" t="s">
        <v>1331</v>
      </c>
      <c r="AA20" s="17" t="s">
        <v>1347</v>
      </c>
      <c r="AB20" s="17" t="s">
        <v>1333</v>
      </c>
      <c r="AC20" s="17" t="s">
        <v>1381</v>
      </c>
      <c r="AD20" s="17" t="s">
        <v>1362</v>
      </c>
      <c r="AE20" s="17">
        <f t="shared" si="6"/>
        <v>2</v>
      </c>
      <c r="AF20" s="17" t="s">
        <v>1328</v>
      </c>
      <c r="AG20" s="17" t="s">
        <v>1328</v>
      </c>
      <c r="AH20" s="17" t="s">
        <v>1336</v>
      </c>
      <c r="AI20" s="17" t="s">
        <v>1336</v>
      </c>
      <c r="AJ20" s="17" t="s">
        <v>1336</v>
      </c>
      <c r="AK20" s="17" t="s">
        <v>1336</v>
      </c>
      <c r="AL20" s="17" t="s">
        <v>1350</v>
      </c>
      <c r="AM20" s="17" t="s">
        <v>1351</v>
      </c>
      <c r="AN20" s="17" t="s">
        <v>1339</v>
      </c>
      <c r="AO20" s="17" t="s">
        <v>1388</v>
      </c>
      <c r="AP20" s="17" t="s">
        <v>1328</v>
      </c>
      <c r="AQ20" s="17" t="str">
        <f t="shared" si="7"/>
        <v>intermediate</v>
      </c>
      <c r="AR20" s="20"/>
    </row>
    <row r="21" ht="15.75" customHeight="1">
      <c r="A21" s="16" t="s">
        <v>1424</v>
      </c>
      <c r="B21" s="16" t="s">
        <v>1425</v>
      </c>
      <c r="C21" s="16">
        <v>2007.0</v>
      </c>
      <c r="D21" s="16" t="s">
        <v>1426</v>
      </c>
      <c r="E21" s="16" t="s">
        <v>1427</v>
      </c>
      <c r="F21" s="23" t="s">
        <v>1428</v>
      </c>
      <c r="G21" s="16" t="str">
        <f t="shared" si="1"/>
        <v>No</v>
      </c>
      <c r="H21" s="16" t="s">
        <v>1324</v>
      </c>
      <c r="I21" s="16" t="s">
        <v>1324</v>
      </c>
      <c r="J21" s="16">
        <v>37.0</v>
      </c>
      <c r="K21" s="17" t="s">
        <v>1429</v>
      </c>
      <c r="L21" s="17"/>
      <c r="M21" s="18" t="str">
        <f t="shared" si="2"/>
        <v>http://dx.doi.org/10.1590/S1676-06032007000300007</v>
      </c>
      <c r="N21" s="19" t="s">
        <v>1370</v>
      </c>
      <c r="O21" s="17" t="s">
        <v>1371</v>
      </c>
      <c r="P21" s="17" t="s">
        <v>1328</v>
      </c>
      <c r="Q21" s="17" t="s">
        <v>1328</v>
      </c>
      <c r="R21" s="17" t="s">
        <v>1328</v>
      </c>
      <c r="S21" s="17" t="s">
        <v>1328</v>
      </c>
      <c r="T21" s="17" t="s">
        <v>1328</v>
      </c>
      <c r="U21" s="20" t="str">
        <f t="shared" si="3"/>
        <v>Yes</v>
      </c>
      <c r="V21" s="19" t="str">
        <f t="shared" si="4"/>
        <v>LC</v>
      </c>
      <c r="W21" s="17" t="str">
        <f t="shared" si="5"/>
        <v>Yes</v>
      </c>
      <c r="X21" s="17" t="s">
        <v>1329</v>
      </c>
      <c r="Y21" s="17" t="s">
        <v>1330</v>
      </c>
      <c r="Z21" s="17" t="s">
        <v>1330</v>
      </c>
      <c r="AA21" s="17" t="s">
        <v>1347</v>
      </c>
      <c r="AB21" s="17" t="s">
        <v>1333</v>
      </c>
      <c r="AC21" s="17" t="s">
        <v>1348</v>
      </c>
      <c r="AD21" s="17" t="s">
        <v>1373</v>
      </c>
      <c r="AE21" s="17">
        <f t="shared" si="6"/>
        <v>2</v>
      </c>
      <c r="AF21" s="17" t="s">
        <v>1328</v>
      </c>
      <c r="AG21" s="17" t="s">
        <v>1328</v>
      </c>
      <c r="AH21" s="17" t="s">
        <v>1336</v>
      </c>
      <c r="AI21" s="17" t="s">
        <v>1336</v>
      </c>
      <c r="AJ21" s="17" t="s">
        <v>1336</v>
      </c>
      <c r="AK21" s="17" t="s">
        <v>1336</v>
      </c>
      <c r="AL21" s="17" t="s">
        <v>1350</v>
      </c>
      <c r="AM21" s="17" t="s">
        <v>1351</v>
      </c>
      <c r="AN21" s="17" t="s">
        <v>1339</v>
      </c>
      <c r="AO21" s="17" t="s">
        <v>1331</v>
      </c>
      <c r="AP21" s="17" t="s">
        <v>1328</v>
      </c>
      <c r="AQ21" s="17" t="str">
        <f t="shared" si="7"/>
        <v>intermediate</v>
      </c>
      <c r="AR21" s="20"/>
    </row>
    <row r="22" ht="15.75" customHeight="1">
      <c r="A22" s="16" t="s">
        <v>1551</v>
      </c>
      <c r="B22" s="16" t="s">
        <v>1552</v>
      </c>
      <c r="C22" s="16">
        <v>2017.0</v>
      </c>
      <c r="D22" s="16" t="s">
        <v>1553</v>
      </c>
      <c r="E22" s="16" t="s">
        <v>1554</v>
      </c>
      <c r="F22" s="16" t="s">
        <v>1555</v>
      </c>
      <c r="G22" s="16" t="str">
        <f t="shared" si="1"/>
        <v>No</v>
      </c>
      <c r="H22" s="16" t="s">
        <v>1324</v>
      </c>
      <c r="I22" s="16" t="s">
        <v>1324</v>
      </c>
      <c r="J22" s="16">
        <v>87.0</v>
      </c>
      <c r="K22" s="17" t="s">
        <v>1556</v>
      </c>
      <c r="L22" s="17" t="s">
        <v>5010</v>
      </c>
      <c r="M22" s="18" t="str">
        <f t="shared" si="2"/>
        <v>http://dx.doi.org/10.1111/jofo.12204</v>
      </c>
      <c r="N22" s="19" t="s">
        <v>1482</v>
      </c>
      <c r="O22" s="17" t="s">
        <v>1417</v>
      </c>
      <c r="P22" s="17" t="s">
        <v>1328</v>
      </c>
      <c r="Q22" s="17" t="s">
        <v>1328</v>
      </c>
      <c r="R22" s="17" t="s">
        <v>1328</v>
      </c>
      <c r="S22" s="17" t="s">
        <v>1328</v>
      </c>
      <c r="T22" s="17" t="s">
        <v>1328</v>
      </c>
      <c r="U22" s="20" t="str">
        <f t="shared" si="3"/>
        <v>Yes</v>
      </c>
      <c r="V22" s="19" t="str">
        <f t="shared" si="4"/>
        <v>NT</v>
      </c>
      <c r="W22" s="17" t="str">
        <f t="shared" si="5"/>
        <v>Yes</v>
      </c>
      <c r="X22" s="17" t="s">
        <v>1329</v>
      </c>
      <c r="Y22" s="17" t="s">
        <v>1331</v>
      </c>
      <c r="Z22" s="17" t="s">
        <v>1330</v>
      </c>
      <c r="AA22" s="17" t="s">
        <v>1347</v>
      </c>
      <c r="AB22" s="17" t="s">
        <v>1333</v>
      </c>
      <c r="AC22" s="17" t="s">
        <v>1348</v>
      </c>
      <c r="AD22" s="17" t="s">
        <v>1362</v>
      </c>
      <c r="AE22" s="17">
        <f t="shared" si="6"/>
        <v>2</v>
      </c>
      <c r="AF22" s="17" t="s">
        <v>1328</v>
      </c>
      <c r="AG22" s="17" t="s">
        <v>1328</v>
      </c>
      <c r="AH22" s="17" t="s">
        <v>1336</v>
      </c>
      <c r="AI22" s="17" t="s">
        <v>1336</v>
      </c>
      <c r="AJ22" s="17" t="s">
        <v>1336</v>
      </c>
      <c r="AK22" s="17" t="s">
        <v>1336</v>
      </c>
      <c r="AL22" s="17" t="s">
        <v>1395</v>
      </c>
      <c r="AM22" s="17" t="s">
        <v>1338</v>
      </c>
      <c r="AN22" s="17" t="s">
        <v>1339</v>
      </c>
      <c r="AO22" s="17" t="s">
        <v>1331</v>
      </c>
      <c r="AP22" s="17" t="s">
        <v>1328</v>
      </c>
      <c r="AQ22" s="17" t="str">
        <f t="shared" si="7"/>
        <v>intermediate</v>
      </c>
      <c r="AR22" s="20"/>
    </row>
    <row r="23" ht="15.75" customHeight="1">
      <c r="A23" s="16" t="s">
        <v>1779</v>
      </c>
      <c r="B23" s="16" t="s">
        <v>1780</v>
      </c>
      <c r="C23" s="16">
        <v>2011.0</v>
      </c>
      <c r="D23" s="16" t="s">
        <v>1781</v>
      </c>
      <c r="E23" s="16" t="s">
        <v>1782</v>
      </c>
      <c r="F23" s="16" t="s">
        <v>1783</v>
      </c>
      <c r="G23" s="16" t="str">
        <f t="shared" si="1"/>
        <v>No</v>
      </c>
      <c r="H23" s="16" t="s">
        <v>1324</v>
      </c>
      <c r="I23" s="16" t="s">
        <v>1324</v>
      </c>
      <c r="J23" s="16">
        <v>138.0</v>
      </c>
      <c r="K23" s="17" t="s">
        <v>1784</v>
      </c>
      <c r="L23" s="17" t="s">
        <v>5010</v>
      </c>
      <c r="M23" s="18" t="str">
        <f t="shared" si="2"/>
        <v>http://dx.doi.org/10.1071/MU10009</v>
      </c>
      <c r="N23" s="19" t="s">
        <v>1482</v>
      </c>
      <c r="O23" s="17" t="s">
        <v>1403</v>
      </c>
      <c r="P23" s="17" t="s">
        <v>1328</v>
      </c>
      <c r="Q23" s="17" t="s">
        <v>1328</v>
      </c>
      <c r="R23" s="17" t="s">
        <v>1328</v>
      </c>
      <c r="S23" s="17" t="s">
        <v>1328</v>
      </c>
      <c r="T23" s="17" t="s">
        <v>1328</v>
      </c>
      <c r="U23" s="20" t="str">
        <f t="shared" si="3"/>
        <v>Yes</v>
      </c>
      <c r="V23" s="19" t="str">
        <f t="shared" si="4"/>
        <v>DB</v>
      </c>
      <c r="W23" s="17" t="str">
        <f t="shared" si="5"/>
        <v>Yes</v>
      </c>
      <c r="X23" s="17" t="s">
        <v>1329</v>
      </c>
      <c r="Y23" s="17" t="s">
        <v>1330</v>
      </c>
      <c r="Z23" s="17" t="s">
        <v>1331</v>
      </c>
      <c r="AA23" s="17" t="s">
        <v>1347</v>
      </c>
      <c r="AB23" s="17" t="s">
        <v>1333</v>
      </c>
      <c r="AC23" s="17" t="s">
        <v>1381</v>
      </c>
      <c r="AD23" s="17" t="s">
        <v>1362</v>
      </c>
      <c r="AE23" s="17">
        <f t="shared" si="6"/>
        <v>3</v>
      </c>
      <c r="AF23" s="17" t="s">
        <v>1328</v>
      </c>
      <c r="AG23" s="17" t="s">
        <v>1328</v>
      </c>
      <c r="AH23" s="17" t="s">
        <v>1336</v>
      </c>
      <c r="AI23" s="17" t="s">
        <v>1336</v>
      </c>
      <c r="AJ23" s="17" t="s">
        <v>1336</v>
      </c>
      <c r="AK23" s="17" t="s">
        <v>1328</v>
      </c>
      <c r="AL23" s="17" t="s">
        <v>1350</v>
      </c>
      <c r="AM23" s="17" t="s">
        <v>1351</v>
      </c>
      <c r="AN23" s="17" t="s">
        <v>1363</v>
      </c>
      <c r="AO23" s="17" t="s">
        <v>1331</v>
      </c>
      <c r="AP23" s="17" t="s">
        <v>1328</v>
      </c>
      <c r="AQ23" s="17" t="str">
        <f t="shared" si="7"/>
        <v>intermediate</v>
      </c>
      <c r="AR23" s="20"/>
    </row>
    <row r="24" ht="15.75" customHeight="1">
      <c r="A24" s="16" t="s">
        <v>1981</v>
      </c>
      <c r="B24" s="16" t="s">
        <v>1976</v>
      </c>
      <c r="C24" s="16">
        <v>2012.0</v>
      </c>
      <c r="D24" s="16" t="s">
        <v>1982</v>
      </c>
      <c r="E24" s="16" t="s">
        <v>1983</v>
      </c>
      <c r="F24" s="16" t="s">
        <v>1984</v>
      </c>
      <c r="G24" s="16" t="str">
        <f t="shared" si="1"/>
        <v>No</v>
      </c>
      <c r="H24" s="16" t="s">
        <v>1324</v>
      </c>
      <c r="I24" s="16" t="s">
        <v>1324</v>
      </c>
      <c r="J24" s="16">
        <v>43.0</v>
      </c>
      <c r="K24" s="17" t="s">
        <v>1985</v>
      </c>
      <c r="L24" s="17" t="s">
        <v>5010</v>
      </c>
      <c r="M24" s="18" t="str">
        <f t="shared" si="2"/>
        <v>http://dx.doi.org/10.1016/j.jglr.2012.09.022</v>
      </c>
      <c r="N24" s="19" t="s">
        <v>1522</v>
      </c>
      <c r="O24" s="17" t="s">
        <v>1436</v>
      </c>
      <c r="P24" s="17" t="s">
        <v>1328</v>
      </c>
      <c r="Q24" s="17" t="s">
        <v>1328</v>
      </c>
      <c r="R24" s="17" t="s">
        <v>1328</v>
      </c>
      <c r="S24" s="17" t="s">
        <v>1328</v>
      </c>
      <c r="T24" s="17" t="s">
        <v>1328</v>
      </c>
      <c r="U24" s="20" t="str">
        <f t="shared" si="3"/>
        <v>Yes</v>
      </c>
      <c r="V24" s="19" t="str">
        <f t="shared" si="4"/>
        <v>CG</v>
      </c>
      <c r="W24" s="17" t="str">
        <f t="shared" si="5"/>
        <v>Yes</v>
      </c>
      <c r="X24" s="17" t="s">
        <v>1329</v>
      </c>
      <c r="Y24" s="17" t="s">
        <v>1330</v>
      </c>
      <c r="Z24" s="17" t="s">
        <v>1330</v>
      </c>
      <c r="AA24" s="17" t="s">
        <v>1347</v>
      </c>
      <c r="AB24" s="17" t="s">
        <v>1333</v>
      </c>
      <c r="AC24" s="17" t="s">
        <v>1334</v>
      </c>
      <c r="AD24" s="17" t="s">
        <v>1530</v>
      </c>
      <c r="AE24" s="17">
        <f t="shared" si="6"/>
        <v>2</v>
      </c>
      <c r="AF24" s="17" t="s">
        <v>1328</v>
      </c>
      <c r="AG24" s="17" t="s">
        <v>1336</v>
      </c>
      <c r="AH24" s="17" t="s">
        <v>1328</v>
      </c>
      <c r="AI24" s="17" t="s">
        <v>1336</v>
      </c>
      <c r="AJ24" s="17" t="s">
        <v>1336</v>
      </c>
      <c r="AK24" s="17" t="s">
        <v>1336</v>
      </c>
      <c r="AL24" s="17" t="s">
        <v>1350</v>
      </c>
      <c r="AM24" s="17" t="s">
        <v>1351</v>
      </c>
      <c r="AN24" s="17" t="s">
        <v>1339</v>
      </c>
      <c r="AO24" s="17" t="s">
        <v>1388</v>
      </c>
      <c r="AP24" s="17" t="s">
        <v>1328</v>
      </c>
      <c r="AQ24" s="17" t="str">
        <f t="shared" si="7"/>
        <v>intermediate</v>
      </c>
      <c r="AR24" s="20"/>
    </row>
    <row r="25" ht="15.75" customHeight="1">
      <c r="A25" s="16" t="s">
        <v>1812</v>
      </c>
      <c r="B25" s="16" t="s">
        <v>1813</v>
      </c>
      <c r="C25" s="16">
        <v>2011.0</v>
      </c>
      <c r="D25" s="16" t="s">
        <v>1814</v>
      </c>
      <c r="E25" s="16" t="s">
        <v>1815</v>
      </c>
      <c r="F25" s="16" t="s">
        <v>1816</v>
      </c>
      <c r="G25" s="16" t="str">
        <f t="shared" si="1"/>
        <v>No</v>
      </c>
      <c r="H25" s="16" t="s">
        <v>1324</v>
      </c>
      <c r="I25" s="16" t="s">
        <v>1324</v>
      </c>
      <c r="J25" s="16">
        <v>168.0</v>
      </c>
      <c r="K25" s="17" t="s">
        <v>1817</v>
      </c>
      <c r="L25" s="17" t="s">
        <v>5010</v>
      </c>
      <c r="M25" s="18" t="str">
        <f t="shared" si="2"/>
        <v>http://dx.doi.org/10.1029/2010GB003838</v>
      </c>
      <c r="N25" s="19" t="s">
        <v>1358</v>
      </c>
      <c r="O25" s="17" t="s">
        <v>1436</v>
      </c>
      <c r="P25" s="17" t="s">
        <v>1328</v>
      </c>
      <c r="Q25" s="17" t="s">
        <v>1328</v>
      </c>
      <c r="R25" s="17" t="s">
        <v>1328</v>
      </c>
      <c r="S25" s="17" t="s">
        <v>1328</v>
      </c>
      <c r="T25" s="17" t="s">
        <v>1328</v>
      </c>
      <c r="U25" s="20" t="str">
        <f t="shared" si="3"/>
        <v>Yes</v>
      </c>
      <c r="V25" s="19" t="str">
        <f t="shared" si="4"/>
        <v>CG</v>
      </c>
      <c r="W25" s="17" t="str">
        <f t="shared" si="5"/>
        <v>Yes</v>
      </c>
      <c r="X25" s="17" t="s">
        <v>1329</v>
      </c>
      <c r="Y25" s="17" t="s">
        <v>1330</v>
      </c>
      <c r="Z25" s="17" t="s">
        <v>1331</v>
      </c>
      <c r="AA25" s="17" t="s">
        <v>1347</v>
      </c>
      <c r="AB25" s="17" t="s">
        <v>1333</v>
      </c>
      <c r="AC25" s="17" t="s">
        <v>1381</v>
      </c>
      <c r="AD25" s="17" t="s">
        <v>1362</v>
      </c>
      <c r="AE25" s="17">
        <f t="shared" si="6"/>
        <v>3</v>
      </c>
      <c r="AF25" s="17" t="s">
        <v>1328</v>
      </c>
      <c r="AG25" s="17" t="s">
        <v>1328</v>
      </c>
      <c r="AH25" s="17" t="s">
        <v>1336</v>
      </c>
      <c r="AI25" s="17" t="s">
        <v>1336</v>
      </c>
      <c r="AJ25" s="17" t="s">
        <v>1328</v>
      </c>
      <c r="AK25" s="17" t="s">
        <v>1336</v>
      </c>
      <c r="AL25" s="17" t="s">
        <v>1350</v>
      </c>
      <c r="AM25" s="17" t="s">
        <v>1351</v>
      </c>
      <c r="AN25" s="17" t="s">
        <v>1339</v>
      </c>
      <c r="AO25" s="17" t="s">
        <v>1388</v>
      </c>
      <c r="AP25" s="17" t="s">
        <v>1328</v>
      </c>
      <c r="AQ25" s="17" t="str">
        <f t="shared" si="7"/>
        <v>intermediate</v>
      </c>
      <c r="AR25" s="20"/>
    </row>
    <row r="26" ht="15.75" customHeight="1">
      <c r="A26" s="16" t="s">
        <v>1774</v>
      </c>
      <c r="B26" s="16" t="s">
        <v>37</v>
      </c>
      <c r="C26" s="16">
        <v>2018.0</v>
      </c>
      <c r="D26" s="16" t="s">
        <v>1775</v>
      </c>
      <c r="E26" s="16" t="s">
        <v>1776</v>
      </c>
      <c r="F26" s="16" t="s">
        <v>1777</v>
      </c>
      <c r="G26" s="16" t="str">
        <f t="shared" si="1"/>
        <v>No</v>
      </c>
      <c r="H26" s="16" t="s">
        <v>1324</v>
      </c>
      <c r="I26" s="16" t="s">
        <v>1324</v>
      </c>
      <c r="J26" s="16">
        <v>52.0</v>
      </c>
      <c r="K26" s="17" t="s">
        <v>1778</v>
      </c>
      <c r="L26" s="17" t="s">
        <v>5010</v>
      </c>
      <c r="M26" s="18" t="str">
        <f t="shared" si="2"/>
        <v>http://dx.doi.org/10.1073/pnas.1711122115</v>
      </c>
      <c r="N26" s="19" t="s">
        <v>1580</v>
      </c>
      <c r="O26" s="17" t="s">
        <v>1387</v>
      </c>
      <c r="P26" s="17" t="s">
        <v>1328</v>
      </c>
      <c r="Q26" s="17" t="s">
        <v>1328</v>
      </c>
      <c r="R26" s="17" t="s">
        <v>1328</v>
      </c>
      <c r="S26" s="17" t="s">
        <v>1328</v>
      </c>
      <c r="T26" s="17" t="s">
        <v>1328</v>
      </c>
      <c r="U26" s="20" t="str">
        <f t="shared" si="3"/>
        <v>Yes</v>
      </c>
      <c r="V26" s="19" t="str">
        <f t="shared" si="4"/>
        <v>MW</v>
      </c>
      <c r="W26" s="17" t="str">
        <f t="shared" si="5"/>
        <v>Yes</v>
      </c>
      <c r="X26" s="17" t="s">
        <v>1329</v>
      </c>
      <c r="Y26" s="17" t="s">
        <v>1330</v>
      </c>
      <c r="Z26" s="17" t="s">
        <v>1331</v>
      </c>
      <c r="AA26" s="17" t="s">
        <v>1347</v>
      </c>
      <c r="AB26" s="17" t="s">
        <v>1360</v>
      </c>
      <c r="AC26" s="17" t="s">
        <v>1348</v>
      </c>
      <c r="AD26" s="17" t="s">
        <v>1349</v>
      </c>
      <c r="AE26" s="17">
        <f t="shared" si="6"/>
        <v>3</v>
      </c>
      <c r="AF26" s="17" t="s">
        <v>1328</v>
      </c>
      <c r="AG26" s="17" t="s">
        <v>1336</v>
      </c>
      <c r="AH26" s="17" t="s">
        <v>1328</v>
      </c>
      <c r="AI26" s="17" t="s">
        <v>1336</v>
      </c>
      <c r="AJ26" s="17" t="s">
        <v>1336</v>
      </c>
      <c r="AK26" s="17" t="s">
        <v>1328</v>
      </c>
      <c r="AL26" s="17" t="s">
        <v>1350</v>
      </c>
      <c r="AM26" s="17" t="s">
        <v>1351</v>
      </c>
      <c r="AN26" s="17" t="s">
        <v>1363</v>
      </c>
      <c r="AO26" s="17" t="s">
        <v>1388</v>
      </c>
      <c r="AP26" s="17" t="s">
        <v>1328</v>
      </c>
      <c r="AQ26" s="17" t="str">
        <f t="shared" si="7"/>
        <v>high</v>
      </c>
      <c r="AR26" s="20"/>
    </row>
    <row r="27" ht="15.75" customHeight="1">
      <c r="A27" s="16" t="s">
        <v>1490</v>
      </c>
      <c r="B27" s="16" t="s">
        <v>365</v>
      </c>
      <c r="C27" s="16">
        <v>2008.0</v>
      </c>
      <c r="D27" s="16" t="s">
        <v>1491</v>
      </c>
      <c r="E27" s="16" t="s">
        <v>1492</v>
      </c>
      <c r="F27" s="16" t="s">
        <v>1493</v>
      </c>
      <c r="G27" s="16" t="str">
        <f t="shared" si="1"/>
        <v>No</v>
      </c>
      <c r="H27" s="16" t="s">
        <v>1324</v>
      </c>
      <c r="I27" s="16" t="s">
        <v>1324</v>
      </c>
      <c r="J27" s="16">
        <v>95.0</v>
      </c>
      <c r="K27" s="17" t="s">
        <v>1494</v>
      </c>
      <c r="L27" s="17" t="s">
        <v>5010</v>
      </c>
      <c r="M27" s="18" t="str">
        <f t="shared" si="2"/>
        <v>http://dx.doi.org/10.1371/journal.pone.0003039</v>
      </c>
      <c r="N27" s="19" t="s">
        <v>1495</v>
      </c>
      <c r="O27" s="17" t="s">
        <v>1436</v>
      </c>
      <c r="P27" s="17" t="s">
        <v>1328</v>
      </c>
      <c r="Q27" s="17" t="s">
        <v>1328</v>
      </c>
      <c r="R27" s="17" t="s">
        <v>1328</v>
      </c>
      <c r="S27" s="17" t="s">
        <v>1328</v>
      </c>
      <c r="T27" s="17" t="s">
        <v>1328</v>
      </c>
      <c r="U27" s="20" t="str">
        <f t="shared" si="3"/>
        <v>Yes</v>
      </c>
      <c r="V27" s="19" t="str">
        <f t="shared" si="4"/>
        <v>CG</v>
      </c>
      <c r="W27" s="17" t="str">
        <f t="shared" si="5"/>
        <v>Yes</v>
      </c>
      <c r="X27" s="17" t="s">
        <v>1329</v>
      </c>
      <c r="Y27" s="17" t="s">
        <v>1372</v>
      </c>
      <c r="Z27" s="17" t="s">
        <v>1331</v>
      </c>
      <c r="AA27" s="17" t="s">
        <v>1347</v>
      </c>
      <c r="AB27" s="17" t="s">
        <v>1360</v>
      </c>
      <c r="AC27" s="17" t="s">
        <v>1496</v>
      </c>
      <c r="AD27" s="17" t="s">
        <v>1349</v>
      </c>
      <c r="AE27" s="17">
        <f t="shared" si="6"/>
        <v>2</v>
      </c>
      <c r="AF27" s="17" t="s">
        <v>1328</v>
      </c>
      <c r="AG27" s="17" t="s">
        <v>1328</v>
      </c>
      <c r="AH27" s="17" t="s">
        <v>1336</v>
      </c>
      <c r="AI27" s="17" t="s">
        <v>1336</v>
      </c>
      <c r="AJ27" s="17" t="s">
        <v>1336</v>
      </c>
      <c r="AK27" s="17" t="s">
        <v>1336</v>
      </c>
      <c r="AL27" s="17" t="s">
        <v>1350</v>
      </c>
      <c r="AM27" s="17" t="s">
        <v>1351</v>
      </c>
      <c r="AN27" s="17" t="s">
        <v>1339</v>
      </c>
      <c r="AO27" s="17" t="s">
        <v>1374</v>
      </c>
      <c r="AP27" s="17" t="s">
        <v>1328</v>
      </c>
      <c r="AQ27" s="17" t="str">
        <f t="shared" si="7"/>
        <v>high</v>
      </c>
      <c r="AR27" s="20"/>
    </row>
    <row r="28" ht="15.75" customHeight="1">
      <c r="A28" s="16" t="s">
        <v>1909</v>
      </c>
      <c r="B28" s="16" t="s">
        <v>64</v>
      </c>
      <c r="C28" s="16">
        <v>2017.0</v>
      </c>
      <c r="D28" s="16" t="s">
        <v>1910</v>
      </c>
      <c r="E28" s="16" t="s">
        <v>1911</v>
      </c>
      <c r="F28" s="16" t="s">
        <v>1912</v>
      </c>
      <c r="G28" s="16" t="str">
        <f t="shared" si="1"/>
        <v>No</v>
      </c>
      <c r="H28" s="16" t="s">
        <v>1324</v>
      </c>
      <c r="I28" s="16" t="s">
        <v>1324</v>
      </c>
      <c r="J28" s="16">
        <v>74.0</v>
      </c>
      <c r="K28" s="17" t="s">
        <v>1913</v>
      </c>
      <c r="L28" s="17" t="s">
        <v>5010</v>
      </c>
      <c r="M28" s="18" t="str">
        <f t="shared" si="2"/>
        <v>http://dx.doi.org/10.1016/j.scitotenv.2017.02.210</v>
      </c>
      <c r="N28" s="19" t="s">
        <v>1666</v>
      </c>
      <c r="O28" s="17" t="s">
        <v>1436</v>
      </c>
      <c r="P28" s="17" t="s">
        <v>1328</v>
      </c>
      <c r="Q28" s="17" t="s">
        <v>1328</v>
      </c>
      <c r="R28" s="17" t="s">
        <v>1328</v>
      </c>
      <c r="S28" s="17" t="s">
        <v>1328</v>
      </c>
      <c r="T28" s="17" t="s">
        <v>1328</v>
      </c>
      <c r="U28" s="20" t="str">
        <f t="shared" si="3"/>
        <v>Yes</v>
      </c>
      <c r="V28" s="19" t="str">
        <f t="shared" si="4"/>
        <v>CG</v>
      </c>
      <c r="W28" s="17" t="str">
        <f t="shared" si="5"/>
        <v>Yes</v>
      </c>
      <c r="X28" s="17" t="s">
        <v>1329</v>
      </c>
      <c r="Y28" s="17" t="s">
        <v>1330</v>
      </c>
      <c r="Z28" s="17" t="s">
        <v>1330</v>
      </c>
      <c r="AA28" s="17" t="s">
        <v>1347</v>
      </c>
      <c r="AB28" s="17" t="s">
        <v>1333</v>
      </c>
      <c r="AC28" s="17" t="s">
        <v>1381</v>
      </c>
      <c r="AD28" s="17" t="s">
        <v>1464</v>
      </c>
      <c r="AE28" s="17">
        <f t="shared" si="6"/>
        <v>2</v>
      </c>
      <c r="AF28" s="17" t="s">
        <v>1328</v>
      </c>
      <c r="AG28" s="17" t="s">
        <v>1328</v>
      </c>
      <c r="AH28" s="17" t="s">
        <v>1336</v>
      </c>
      <c r="AI28" s="17" t="s">
        <v>1336</v>
      </c>
      <c r="AJ28" s="17" t="s">
        <v>1336</v>
      </c>
      <c r="AK28" s="17" t="s">
        <v>1336</v>
      </c>
      <c r="AL28" s="17" t="s">
        <v>1350</v>
      </c>
      <c r="AM28" s="17" t="s">
        <v>1351</v>
      </c>
      <c r="AN28" s="17" t="s">
        <v>1339</v>
      </c>
      <c r="AO28" s="17" t="s">
        <v>1374</v>
      </c>
      <c r="AP28" s="17" t="s">
        <v>1328</v>
      </c>
      <c r="AQ28" s="17" t="str">
        <f t="shared" si="7"/>
        <v>intermediate</v>
      </c>
      <c r="AR28" s="20"/>
    </row>
    <row r="29" ht="15.75" customHeight="1">
      <c r="A29" s="16" t="s">
        <v>1992</v>
      </c>
      <c r="B29" s="16" t="s">
        <v>193</v>
      </c>
      <c r="C29" s="16">
        <v>2012.0</v>
      </c>
      <c r="D29" s="16" t="s">
        <v>1993</v>
      </c>
      <c r="E29" s="16" t="s">
        <v>1994</v>
      </c>
      <c r="F29" s="16" t="s">
        <v>1995</v>
      </c>
      <c r="G29" s="16" t="str">
        <f t="shared" si="1"/>
        <v>No</v>
      </c>
      <c r="H29" s="16" t="s">
        <v>1324</v>
      </c>
      <c r="I29" s="16" t="s">
        <v>1324</v>
      </c>
      <c r="J29" s="16">
        <v>14.0</v>
      </c>
      <c r="K29" s="17" t="s">
        <v>1996</v>
      </c>
      <c r="L29" s="17" t="s">
        <v>5010</v>
      </c>
      <c r="M29" s="18" t="str">
        <f t="shared" si="2"/>
        <v>http://dx.doi.org/10.1016/j.jclepro.2012.06.016</v>
      </c>
      <c r="N29" s="19" t="s">
        <v>1462</v>
      </c>
      <c r="O29" s="17" t="s">
        <v>1387</v>
      </c>
      <c r="P29" s="17" t="s">
        <v>1328</v>
      </c>
      <c r="Q29" s="17" t="s">
        <v>1328</v>
      </c>
      <c r="R29" s="17" t="s">
        <v>1328</v>
      </c>
      <c r="S29" s="17" t="s">
        <v>1328</v>
      </c>
      <c r="T29" s="17" t="s">
        <v>1328</v>
      </c>
      <c r="U29" s="20" t="str">
        <f t="shared" si="3"/>
        <v>Yes</v>
      </c>
      <c r="V29" s="19" t="str">
        <f t="shared" si="4"/>
        <v>MW</v>
      </c>
      <c r="W29" s="17" t="str">
        <f t="shared" si="5"/>
        <v>Yes</v>
      </c>
      <c r="X29" s="17" t="s">
        <v>1329</v>
      </c>
      <c r="Y29" s="17" t="s">
        <v>1372</v>
      </c>
      <c r="Z29" s="17" t="s">
        <v>1331</v>
      </c>
      <c r="AA29" s="17" t="s">
        <v>1337</v>
      </c>
      <c r="AB29" s="17" t="s">
        <v>1444</v>
      </c>
      <c r="AC29" s="17" t="s">
        <v>1864</v>
      </c>
      <c r="AD29" s="17" t="s">
        <v>1446</v>
      </c>
      <c r="AE29" s="17">
        <f t="shared" si="6"/>
        <v>3</v>
      </c>
      <c r="AF29" s="17" t="s">
        <v>1328</v>
      </c>
      <c r="AG29" s="17" t="s">
        <v>1328</v>
      </c>
      <c r="AH29" s="17" t="s">
        <v>1328</v>
      </c>
      <c r="AI29" s="17" t="s">
        <v>1336</v>
      </c>
      <c r="AJ29" s="17" t="s">
        <v>1336</v>
      </c>
      <c r="AK29" s="17" t="s">
        <v>1336</v>
      </c>
      <c r="AL29" s="17" t="s">
        <v>1404</v>
      </c>
      <c r="AM29" s="17" t="s">
        <v>1351</v>
      </c>
      <c r="AN29" s="17" t="s">
        <v>1363</v>
      </c>
      <c r="AO29" s="17" t="s">
        <v>1331</v>
      </c>
      <c r="AP29" s="17" t="s">
        <v>1328</v>
      </c>
      <c r="AQ29" s="17" t="str">
        <f t="shared" si="7"/>
        <v>high</v>
      </c>
      <c r="AR29" s="20"/>
    </row>
    <row r="30" ht="15.75" customHeight="1">
      <c r="A30" s="21" t="s">
        <v>1640</v>
      </c>
      <c r="B30" s="21" t="s">
        <v>1253</v>
      </c>
      <c r="C30" s="21">
        <v>2018.0</v>
      </c>
      <c r="D30" s="21" t="s">
        <v>1641</v>
      </c>
      <c r="E30" s="21" t="s">
        <v>1642</v>
      </c>
      <c r="F30" s="21" t="s">
        <v>1643</v>
      </c>
      <c r="G30" s="16" t="str">
        <f t="shared" si="1"/>
        <v>No</v>
      </c>
      <c r="H30" s="16" t="s">
        <v>1324</v>
      </c>
      <c r="I30" s="16" t="s">
        <v>1324</v>
      </c>
      <c r="J30" s="16">
        <v>28.0</v>
      </c>
      <c r="K30" s="17" t="s">
        <v>1644</v>
      </c>
      <c r="L30" s="17" t="s">
        <v>5010</v>
      </c>
      <c r="M30" s="18" t="str">
        <f t="shared" si="2"/>
        <v>http://dx.doi.org/10.1111/geb.12690</v>
      </c>
      <c r="N30" s="19" t="s">
        <v>1346</v>
      </c>
      <c r="O30" s="17" t="s">
        <v>1371</v>
      </c>
      <c r="P30" s="17" t="s">
        <v>1328</v>
      </c>
      <c r="Q30" s="17" t="s">
        <v>1328</v>
      </c>
      <c r="R30" s="17" t="s">
        <v>1328</v>
      </c>
      <c r="S30" s="17" t="s">
        <v>1328</v>
      </c>
      <c r="T30" s="17" t="s">
        <v>1328</v>
      </c>
      <c r="U30" s="20" t="str">
        <f t="shared" si="3"/>
        <v>Yes</v>
      </c>
      <c r="V30" s="19" t="str">
        <f t="shared" si="4"/>
        <v>LC</v>
      </c>
      <c r="W30" s="17" t="str">
        <f t="shared" si="5"/>
        <v>Yes</v>
      </c>
      <c r="X30" s="17" t="s">
        <v>1329</v>
      </c>
      <c r="Y30" s="17" t="s">
        <v>1372</v>
      </c>
      <c r="Z30" s="17" t="s">
        <v>1331</v>
      </c>
      <c r="AA30" s="17" t="s">
        <v>1347</v>
      </c>
      <c r="AB30" s="17" t="s">
        <v>1360</v>
      </c>
      <c r="AC30" s="17" t="s">
        <v>1361</v>
      </c>
      <c r="AD30" s="17" t="s">
        <v>1530</v>
      </c>
      <c r="AE30" s="22">
        <f t="shared" si="6"/>
        <v>3</v>
      </c>
      <c r="AF30" s="17" t="s">
        <v>1328</v>
      </c>
      <c r="AG30" s="17" t="s">
        <v>1328</v>
      </c>
      <c r="AH30" s="17" t="s">
        <v>1336</v>
      </c>
      <c r="AI30" s="17" t="s">
        <v>1328</v>
      </c>
      <c r="AJ30" s="17" t="s">
        <v>1336</v>
      </c>
      <c r="AK30" s="17" t="s">
        <v>1336</v>
      </c>
      <c r="AL30" s="17" t="s">
        <v>1350</v>
      </c>
      <c r="AM30" s="17" t="s">
        <v>1351</v>
      </c>
      <c r="AN30" s="17" t="s">
        <v>1363</v>
      </c>
      <c r="AO30" s="17" t="s">
        <v>1388</v>
      </c>
      <c r="AP30" s="17" t="s">
        <v>1328</v>
      </c>
      <c r="AQ30" s="17" t="str">
        <f t="shared" si="7"/>
        <v>high</v>
      </c>
      <c r="AR30" s="20"/>
    </row>
    <row r="31" ht="15.75" customHeight="1">
      <c r="A31" s="16" t="s">
        <v>2041</v>
      </c>
      <c r="B31" s="16" t="s">
        <v>2030</v>
      </c>
      <c r="C31" s="16">
        <v>2015.0</v>
      </c>
      <c r="D31" s="16" t="s">
        <v>2042</v>
      </c>
      <c r="E31" s="16" t="s">
        <v>2043</v>
      </c>
      <c r="F31" s="16" t="s">
        <v>2044</v>
      </c>
      <c r="G31" s="16" t="str">
        <f t="shared" si="1"/>
        <v>No</v>
      </c>
      <c r="H31" s="16" t="s">
        <v>1324</v>
      </c>
      <c r="I31" s="16" t="s">
        <v>1324</v>
      </c>
      <c r="J31" s="16">
        <v>3.0</v>
      </c>
      <c r="K31" s="17" t="s">
        <v>2045</v>
      </c>
      <c r="L31" s="17" t="s">
        <v>5010</v>
      </c>
      <c r="M31" s="18" t="str">
        <f t="shared" si="2"/>
        <v>http://dx.doi.org/10.1016/j.fishres.2014.12.016</v>
      </c>
      <c r="N31" s="19" t="s">
        <v>1410</v>
      </c>
      <c r="O31" s="17" t="s">
        <v>1327</v>
      </c>
      <c r="P31" s="17" t="s">
        <v>1328</v>
      </c>
      <c r="Q31" s="17" t="s">
        <v>1328</v>
      </c>
      <c r="R31" s="17" t="s">
        <v>1328</v>
      </c>
      <c r="S31" s="17" t="s">
        <v>1328</v>
      </c>
      <c r="T31" s="17" t="s">
        <v>1328</v>
      </c>
      <c r="U31" s="20" t="str">
        <f t="shared" si="3"/>
        <v>Yes</v>
      </c>
      <c r="V31" s="19" t="str">
        <f t="shared" si="4"/>
        <v>PJ</v>
      </c>
      <c r="W31" s="17" t="str">
        <f t="shared" si="5"/>
        <v>Yes</v>
      </c>
      <c r="X31" s="17" t="s">
        <v>1329</v>
      </c>
      <c r="Y31" s="17" t="s">
        <v>1330</v>
      </c>
      <c r="Z31" s="17" t="s">
        <v>1331</v>
      </c>
      <c r="AA31" s="17" t="s">
        <v>1347</v>
      </c>
      <c r="AB31" s="17" t="s">
        <v>1333</v>
      </c>
      <c r="AC31" s="17" t="s">
        <v>1361</v>
      </c>
      <c r="AD31" s="17" t="s">
        <v>2046</v>
      </c>
      <c r="AE31" s="17">
        <f t="shared" si="6"/>
        <v>2</v>
      </c>
      <c r="AF31" s="17" t="s">
        <v>1328</v>
      </c>
      <c r="AG31" s="17" t="s">
        <v>1336</v>
      </c>
      <c r="AH31" s="17" t="s">
        <v>1328</v>
      </c>
      <c r="AI31" s="17" t="s">
        <v>1336</v>
      </c>
      <c r="AJ31" s="17" t="s">
        <v>1336</v>
      </c>
      <c r="AK31" s="17" t="s">
        <v>1336</v>
      </c>
      <c r="AL31" s="17" t="s">
        <v>1350</v>
      </c>
      <c r="AM31" s="17" t="s">
        <v>1351</v>
      </c>
      <c r="AN31" s="17" t="s">
        <v>1363</v>
      </c>
      <c r="AO31" s="17" t="s">
        <v>1331</v>
      </c>
      <c r="AP31" s="17" t="s">
        <v>1328</v>
      </c>
      <c r="AQ31" s="17" t="str">
        <f t="shared" si="7"/>
        <v>intermediate</v>
      </c>
      <c r="AR31" s="20"/>
    </row>
    <row r="32" ht="15.75" customHeight="1">
      <c r="A32" s="16" t="s">
        <v>2249</v>
      </c>
      <c r="B32" s="16" t="s">
        <v>2244</v>
      </c>
      <c r="C32" s="16">
        <v>2016.0</v>
      </c>
      <c r="D32" s="16" t="s">
        <v>2250</v>
      </c>
      <c r="E32" s="16" t="s">
        <v>2251</v>
      </c>
      <c r="F32" s="16" t="s">
        <v>2252</v>
      </c>
      <c r="G32" s="16" t="str">
        <f t="shared" si="1"/>
        <v>No</v>
      </c>
      <c r="H32" s="16" t="s">
        <v>1324</v>
      </c>
      <c r="I32" s="16" t="s">
        <v>1324</v>
      </c>
      <c r="J32" s="16">
        <v>9.0</v>
      </c>
      <c r="K32" s="17" t="s">
        <v>2253</v>
      </c>
      <c r="L32" s="17" t="s">
        <v>5010</v>
      </c>
      <c r="M32" s="18" t="str">
        <f t="shared" si="2"/>
        <v>http://dx.doi.org/10.1002/aqc.2710</v>
      </c>
      <c r="N32" s="19" t="s">
        <v>1326</v>
      </c>
      <c r="O32" s="17" t="s">
        <v>1327</v>
      </c>
      <c r="P32" s="17" t="s">
        <v>1328</v>
      </c>
      <c r="Q32" s="17" t="s">
        <v>1328</v>
      </c>
      <c r="R32" s="17" t="s">
        <v>1328</v>
      </c>
      <c r="S32" s="17" t="s">
        <v>1328</v>
      </c>
      <c r="T32" s="17" t="s">
        <v>1328</v>
      </c>
      <c r="U32" s="20" t="str">
        <f t="shared" si="3"/>
        <v>Yes</v>
      </c>
      <c r="V32" s="19" t="str">
        <f t="shared" si="4"/>
        <v>PJ</v>
      </c>
      <c r="W32" s="17" t="str">
        <f t="shared" si="5"/>
        <v>Yes</v>
      </c>
      <c r="X32" s="17" t="s">
        <v>1443</v>
      </c>
      <c r="Y32" s="17" t="s">
        <v>1330</v>
      </c>
      <c r="Z32" s="17" t="s">
        <v>1331</v>
      </c>
      <c r="AA32" s="17" t="s">
        <v>1347</v>
      </c>
      <c r="AB32" s="17" t="s">
        <v>1444</v>
      </c>
      <c r="AC32" s="17" t="s">
        <v>1445</v>
      </c>
      <c r="AD32" s="17" t="s">
        <v>1335</v>
      </c>
      <c r="AE32" s="17">
        <f t="shared" si="6"/>
        <v>5</v>
      </c>
      <c r="AF32" s="17" t="s">
        <v>1328</v>
      </c>
      <c r="AG32" s="17" t="s">
        <v>1328</v>
      </c>
      <c r="AH32" s="17" t="s">
        <v>1328</v>
      </c>
      <c r="AI32" s="17" t="s">
        <v>1328</v>
      </c>
      <c r="AJ32" s="17" t="s">
        <v>1328</v>
      </c>
      <c r="AK32" s="17" t="s">
        <v>1336</v>
      </c>
      <c r="AL32" s="17" t="s">
        <v>1395</v>
      </c>
      <c r="AM32" s="17" t="s">
        <v>1351</v>
      </c>
      <c r="AN32" s="17" t="s">
        <v>1363</v>
      </c>
      <c r="AO32" s="17" t="s">
        <v>1331</v>
      </c>
      <c r="AP32" s="17" t="s">
        <v>1328</v>
      </c>
      <c r="AQ32" s="17" t="str">
        <f t="shared" si="7"/>
        <v>high</v>
      </c>
      <c r="AR32" s="20"/>
    </row>
    <row r="33" ht="15.75" customHeight="1">
      <c r="A33" s="16" t="s">
        <v>1889</v>
      </c>
      <c r="B33" s="16" t="s">
        <v>251</v>
      </c>
      <c r="C33" s="16">
        <v>2003.0</v>
      </c>
      <c r="D33" s="16" t="s">
        <v>1890</v>
      </c>
      <c r="E33" s="16" t="s">
        <v>1891</v>
      </c>
      <c r="F33" s="16" t="s">
        <v>1892</v>
      </c>
      <c r="G33" s="16" t="str">
        <f t="shared" si="1"/>
        <v>No</v>
      </c>
      <c r="H33" s="16" t="s">
        <v>1324</v>
      </c>
      <c r="I33" s="16" t="s">
        <v>1324</v>
      </c>
      <c r="J33" s="16">
        <v>194.0</v>
      </c>
      <c r="K33" s="17" t="s">
        <v>1893</v>
      </c>
      <c r="L33" s="17" t="s">
        <v>5010</v>
      </c>
      <c r="M33" s="18" t="str">
        <f t="shared" si="2"/>
        <v>http://dx.doi.org/10.1016/S0006-3207(03)00051-X</v>
      </c>
      <c r="N33" s="19" t="s">
        <v>1580</v>
      </c>
      <c r="O33" s="17" t="s">
        <v>1371</v>
      </c>
      <c r="P33" s="17" t="s">
        <v>1328</v>
      </c>
      <c r="Q33" s="17" t="s">
        <v>1328</v>
      </c>
      <c r="R33" s="17" t="s">
        <v>1328</v>
      </c>
      <c r="S33" s="17" t="s">
        <v>1328</v>
      </c>
      <c r="T33" s="17" t="s">
        <v>1328</v>
      </c>
      <c r="U33" s="20" t="str">
        <f t="shared" si="3"/>
        <v>Yes</v>
      </c>
      <c r="V33" s="19" t="str">
        <f t="shared" si="4"/>
        <v>LC</v>
      </c>
      <c r="W33" s="17" t="str">
        <f t="shared" si="5"/>
        <v>Yes</v>
      </c>
      <c r="X33" s="17" t="s">
        <v>1329</v>
      </c>
      <c r="Y33" s="17" t="s">
        <v>1372</v>
      </c>
      <c r="Z33" s="17" t="s">
        <v>1331</v>
      </c>
      <c r="AA33" s="17" t="s">
        <v>1332</v>
      </c>
      <c r="AB33" s="17" t="s">
        <v>1333</v>
      </c>
      <c r="AC33" s="17" t="s">
        <v>1361</v>
      </c>
      <c r="AD33" s="17" t="s">
        <v>1464</v>
      </c>
      <c r="AE33" s="17">
        <f t="shared" si="6"/>
        <v>2</v>
      </c>
      <c r="AF33" s="17" t="s">
        <v>1336</v>
      </c>
      <c r="AG33" s="17" t="s">
        <v>1328</v>
      </c>
      <c r="AH33" s="17" t="s">
        <v>1336</v>
      </c>
      <c r="AI33" s="17" t="s">
        <v>1328</v>
      </c>
      <c r="AJ33" s="17" t="s">
        <v>1336</v>
      </c>
      <c r="AK33" s="17" t="s">
        <v>1336</v>
      </c>
      <c r="AL33" s="17" t="s">
        <v>1350</v>
      </c>
      <c r="AM33" s="17" t="s">
        <v>1351</v>
      </c>
      <c r="AN33" s="17" t="s">
        <v>1339</v>
      </c>
      <c r="AO33" s="17" t="s">
        <v>1388</v>
      </c>
      <c r="AP33" s="17" t="s">
        <v>1328</v>
      </c>
      <c r="AQ33" s="17" t="str">
        <f t="shared" si="7"/>
        <v>intermediate</v>
      </c>
      <c r="AR33" s="20"/>
    </row>
    <row r="34" ht="15.75" customHeight="1">
      <c r="A34" s="16" t="s">
        <v>2259</v>
      </c>
      <c r="B34" s="16" t="s">
        <v>2244</v>
      </c>
      <c r="C34" s="16">
        <v>2010.0</v>
      </c>
      <c r="D34" s="16" t="s">
        <v>2260</v>
      </c>
      <c r="E34" s="16" t="s">
        <v>2261</v>
      </c>
      <c r="F34" s="16" t="s">
        <v>2262</v>
      </c>
      <c r="G34" s="16" t="str">
        <f t="shared" si="1"/>
        <v>No</v>
      </c>
      <c r="H34" s="16" t="s">
        <v>1324</v>
      </c>
      <c r="I34" s="16" t="s">
        <v>1324</v>
      </c>
      <c r="J34" s="16">
        <v>10.0</v>
      </c>
      <c r="K34" s="17" t="s">
        <v>2263</v>
      </c>
      <c r="L34" s="17" t="s">
        <v>5010</v>
      </c>
      <c r="M34" s="18" t="str">
        <f t="shared" si="2"/>
        <v>http://dx.doi.org/10.1002/aqc.1079</v>
      </c>
      <c r="N34" s="19" t="s">
        <v>1835</v>
      </c>
      <c r="O34" s="17" t="s">
        <v>1403</v>
      </c>
      <c r="P34" s="17" t="s">
        <v>1328</v>
      </c>
      <c r="Q34" s="17" t="s">
        <v>1328</v>
      </c>
      <c r="R34" s="17" t="s">
        <v>1328</v>
      </c>
      <c r="S34" s="17" t="s">
        <v>1328</v>
      </c>
      <c r="T34" s="17" t="s">
        <v>1328</v>
      </c>
      <c r="U34" s="20" t="str">
        <f t="shared" si="3"/>
        <v>Yes</v>
      </c>
      <c r="V34" s="19" t="str">
        <f t="shared" si="4"/>
        <v>DB</v>
      </c>
      <c r="W34" s="17" t="str">
        <f t="shared" si="5"/>
        <v>Yes</v>
      </c>
      <c r="X34" s="17" t="s">
        <v>1443</v>
      </c>
      <c r="Y34" s="17" t="s">
        <v>1331</v>
      </c>
      <c r="Z34" s="17" t="s">
        <v>1330</v>
      </c>
      <c r="AA34" s="17" t="s">
        <v>1337</v>
      </c>
      <c r="AB34" s="17" t="s">
        <v>1333</v>
      </c>
      <c r="AC34" s="17" t="s">
        <v>1381</v>
      </c>
      <c r="AD34" s="17" t="s">
        <v>1349</v>
      </c>
      <c r="AE34" s="17">
        <f t="shared" si="6"/>
        <v>6</v>
      </c>
      <c r="AF34" s="17" t="s">
        <v>1328</v>
      </c>
      <c r="AG34" s="17" t="s">
        <v>1328</v>
      </c>
      <c r="AH34" s="17" t="s">
        <v>1328</v>
      </c>
      <c r="AI34" s="17" t="s">
        <v>1328</v>
      </c>
      <c r="AJ34" s="17" t="s">
        <v>1328</v>
      </c>
      <c r="AK34" s="17" t="s">
        <v>1328</v>
      </c>
      <c r="AL34" s="17" t="s">
        <v>1395</v>
      </c>
      <c r="AM34" s="17" t="s">
        <v>1351</v>
      </c>
      <c r="AN34" s="17" t="s">
        <v>1339</v>
      </c>
      <c r="AO34" s="17" t="s">
        <v>1331</v>
      </c>
      <c r="AP34" s="17" t="s">
        <v>1328</v>
      </c>
      <c r="AQ34" s="17" t="str">
        <f t="shared" si="7"/>
        <v>intermediate</v>
      </c>
      <c r="AR34" s="20"/>
    </row>
    <row r="35" ht="15.75" customHeight="1">
      <c r="A35" s="16" t="s">
        <v>1829</v>
      </c>
      <c r="B35" s="16" t="s">
        <v>1830</v>
      </c>
      <c r="C35" s="16">
        <v>2001.0</v>
      </c>
      <c r="D35" s="16" t="s">
        <v>1831</v>
      </c>
      <c r="E35" s="16" t="s">
        <v>1832</v>
      </c>
      <c r="F35" s="16" t="s">
        <v>1833</v>
      </c>
      <c r="G35" s="16" t="str">
        <f t="shared" si="1"/>
        <v>No</v>
      </c>
      <c r="H35" s="16" t="s">
        <v>1324</v>
      </c>
      <c r="I35" s="16" t="s">
        <v>1324</v>
      </c>
      <c r="J35" s="16">
        <v>121.0</v>
      </c>
      <c r="K35" s="17" t="s">
        <v>1834</v>
      </c>
      <c r="L35" s="17" t="s">
        <v>5010</v>
      </c>
      <c r="M35" s="18" t="str">
        <f t="shared" si="2"/>
        <v>http://dx.doi.org/10.1023/A:1011185409347</v>
      </c>
      <c r="N35" s="19" t="s">
        <v>1835</v>
      </c>
      <c r="O35" s="17" t="s">
        <v>1417</v>
      </c>
      <c r="P35" s="17" t="s">
        <v>1328</v>
      </c>
      <c r="Q35" s="17" t="s">
        <v>1328</v>
      </c>
      <c r="R35" s="17" t="s">
        <v>1328</v>
      </c>
      <c r="S35" s="17" t="s">
        <v>1328</v>
      </c>
      <c r="T35" s="17" t="s">
        <v>1328</v>
      </c>
      <c r="U35" s="20" t="str">
        <f t="shared" si="3"/>
        <v>Yes</v>
      </c>
      <c r="V35" s="19" t="str">
        <f t="shared" si="4"/>
        <v>NT</v>
      </c>
      <c r="W35" s="17" t="str">
        <f t="shared" si="5"/>
        <v>Yes</v>
      </c>
      <c r="X35" s="17" t="s">
        <v>1329</v>
      </c>
      <c r="Y35" s="17" t="s">
        <v>1331</v>
      </c>
      <c r="Z35" s="17" t="s">
        <v>1330</v>
      </c>
      <c r="AA35" s="17" t="s">
        <v>1347</v>
      </c>
      <c r="AB35" s="17" t="s">
        <v>1333</v>
      </c>
      <c r="AC35" s="17" t="s">
        <v>1348</v>
      </c>
      <c r="AD35" s="17" t="s">
        <v>1362</v>
      </c>
      <c r="AE35" s="17">
        <f t="shared" si="6"/>
        <v>2</v>
      </c>
      <c r="AF35" s="17" t="s">
        <v>1336</v>
      </c>
      <c r="AG35" s="17" t="s">
        <v>1328</v>
      </c>
      <c r="AH35" s="17" t="s">
        <v>1328</v>
      </c>
      <c r="AI35" s="17" t="s">
        <v>1336</v>
      </c>
      <c r="AJ35" s="17" t="s">
        <v>1336</v>
      </c>
      <c r="AK35" s="17" t="s">
        <v>1336</v>
      </c>
      <c r="AL35" s="17" t="s">
        <v>1350</v>
      </c>
      <c r="AM35" s="17" t="s">
        <v>1351</v>
      </c>
      <c r="AN35" s="17" t="s">
        <v>1339</v>
      </c>
      <c r="AO35" s="17" t="s">
        <v>1331</v>
      </c>
      <c r="AP35" s="17" t="s">
        <v>1328</v>
      </c>
      <c r="AQ35" s="17" t="str">
        <f t="shared" si="7"/>
        <v>intermediate</v>
      </c>
      <c r="AR35" s="20"/>
    </row>
    <row r="36" ht="15.75" customHeight="1">
      <c r="A36" s="16" t="s">
        <v>1447</v>
      </c>
      <c r="B36" s="16" t="s">
        <v>365</v>
      </c>
      <c r="C36" s="16">
        <v>2015.0</v>
      </c>
      <c r="D36" s="16" t="s">
        <v>1448</v>
      </c>
      <c r="E36" s="16" t="s">
        <v>1449</v>
      </c>
      <c r="F36" s="16" t="s">
        <v>1450</v>
      </c>
      <c r="G36" s="16" t="str">
        <f t="shared" si="1"/>
        <v>No</v>
      </c>
      <c r="H36" s="16" t="s">
        <v>1324</v>
      </c>
      <c r="I36" s="16" t="s">
        <v>1324</v>
      </c>
      <c r="J36" s="16">
        <v>14.0</v>
      </c>
      <c r="K36" s="17" t="s">
        <v>1451</v>
      </c>
      <c r="L36" s="17" t="s">
        <v>5010</v>
      </c>
      <c r="M36" s="18" t="str">
        <f t="shared" si="2"/>
        <v>http://dx.doi.org/10.1371/journal.pone.0120198</v>
      </c>
      <c r="N36" s="19" t="s">
        <v>1326</v>
      </c>
      <c r="O36" s="17" t="s">
        <v>1327</v>
      </c>
      <c r="P36" s="17" t="s">
        <v>1328</v>
      </c>
      <c r="Q36" s="17" t="s">
        <v>1328</v>
      </c>
      <c r="R36" s="17" t="s">
        <v>1328</v>
      </c>
      <c r="S36" s="17" t="s">
        <v>1328</v>
      </c>
      <c r="T36" s="17" t="s">
        <v>1328</v>
      </c>
      <c r="U36" s="20" t="str">
        <f t="shared" si="3"/>
        <v>Yes</v>
      </c>
      <c r="V36" s="19" t="str">
        <f t="shared" si="4"/>
        <v>PJ</v>
      </c>
      <c r="W36" s="17" t="str">
        <f t="shared" si="5"/>
        <v>Yes</v>
      </c>
      <c r="X36" s="17" t="s">
        <v>1443</v>
      </c>
      <c r="Y36" s="17" t="s">
        <v>1330</v>
      </c>
      <c r="Z36" s="17" t="s">
        <v>1331</v>
      </c>
      <c r="AA36" s="17" t="s">
        <v>1347</v>
      </c>
      <c r="AB36" s="17" t="s">
        <v>1444</v>
      </c>
      <c r="AC36" s="17" t="s">
        <v>1445</v>
      </c>
      <c r="AD36" s="17" t="s">
        <v>1335</v>
      </c>
      <c r="AE36" s="17">
        <f t="shared" si="6"/>
        <v>5</v>
      </c>
      <c r="AF36" s="17" t="s">
        <v>1328</v>
      </c>
      <c r="AG36" s="17" t="s">
        <v>1328</v>
      </c>
      <c r="AH36" s="17" t="s">
        <v>1328</v>
      </c>
      <c r="AI36" s="17" t="s">
        <v>1328</v>
      </c>
      <c r="AJ36" s="17" t="s">
        <v>1328</v>
      </c>
      <c r="AK36" s="17" t="s">
        <v>1336</v>
      </c>
      <c r="AL36" s="17" t="s">
        <v>1395</v>
      </c>
      <c r="AM36" s="17" t="s">
        <v>1351</v>
      </c>
      <c r="AN36" s="17" t="s">
        <v>1363</v>
      </c>
      <c r="AO36" s="17" t="s">
        <v>1331</v>
      </c>
      <c r="AP36" s="17" t="s">
        <v>1328</v>
      </c>
      <c r="AQ36" s="17" t="str">
        <f t="shared" si="7"/>
        <v>high</v>
      </c>
      <c r="AR36" s="20"/>
    </row>
    <row r="37" ht="15.75" customHeight="1">
      <c r="A37" s="16" t="s">
        <v>1724</v>
      </c>
      <c r="B37" s="16" t="s">
        <v>1725</v>
      </c>
      <c r="C37" s="16">
        <v>2010.0</v>
      </c>
      <c r="D37" s="16" t="s">
        <v>1726</v>
      </c>
      <c r="E37" s="16" t="s">
        <v>1727</v>
      </c>
      <c r="F37" s="16" t="s">
        <v>1728</v>
      </c>
      <c r="G37" s="16" t="str">
        <f t="shared" si="1"/>
        <v>No</v>
      </c>
      <c r="H37" s="16" t="s">
        <v>1324</v>
      </c>
      <c r="I37" s="16" t="s">
        <v>1324</v>
      </c>
      <c r="J37" s="16">
        <v>41.0</v>
      </c>
      <c r="K37" s="17" t="s">
        <v>1729</v>
      </c>
      <c r="L37" s="17" t="s">
        <v>5010</v>
      </c>
      <c r="M37" s="18" t="str">
        <f t="shared" si="2"/>
        <v>http://dx.doi.org/10.1098/rspb.2009.1020</v>
      </c>
      <c r="N37" s="19" t="s">
        <v>1410</v>
      </c>
      <c r="O37" s="17" t="s">
        <v>1359</v>
      </c>
      <c r="P37" s="17" t="s">
        <v>1328</v>
      </c>
      <c r="Q37" s="17" t="s">
        <v>1328</v>
      </c>
      <c r="R37" s="17" t="s">
        <v>1328</v>
      </c>
      <c r="S37" s="17" t="s">
        <v>1328</v>
      </c>
      <c r="T37" s="17" t="s">
        <v>1328</v>
      </c>
      <c r="U37" s="20" t="str">
        <f t="shared" si="3"/>
        <v>Yes</v>
      </c>
      <c r="V37" s="19" t="str">
        <f t="shared" si="4"/>
        <v>YT</v>
      </c>
      <c r="W37" s="17" t="str">
        <f t="shared" si="5"/>
        <v>Yes</v>
      </c>
      <c r="X37" s="17" t="s">
        <v>1329</v>
      </c>
      <c r="Y37" s="17" t="s">
        <v>1330</v>
      </c>
      <c r="Z37" s="17" t="s">
        <v>1330</v>
      </c>
      <c r="AA37" s="17" t="s">
        <v>1347</v>
      </c>
      <c r="AB37" s="17" t="s">
        <v>1333</v>
      </c>
      <c r="AC37" s="17" t="s">
        <v>1361</v>
      </c>
      <c r="AD37" s="17" t="s">
        <v>1349</v>
      </c>
      <c r="AE37" s="17">
        <f t="shared" si="6"/>
        <v>2</v>
      </c>
      <c r="AF37" s="17" t="s">
        <v>1328</v>
      </c>
      <c r="AG37" s="17" t="s">
        <v>1336</v>
      </c>
      <c r="AH37" s="17" t="s">
        <v>1328</v>
      </c>
      <c r="AI37" s="17" t="s">
        <v>1336</v>
      </c>
      <c r="AJ37" s="17" t="s">
        <v>1336</v>
      </c>
      <c r="AK37" s="17" t="s">
        <v>1336</v>
      </c>
      <c r="AL37" s="17" t="s">
        <v>1350</v>
      </c>
      <c r="AM37" s="17" t="s">
        <v>1351</v>
      </c>
      <c r="AN37" s="17" t="s">
        <v>1339</v>
      </c>
      <c r="AO37" s="17" t="s">
        <v>1331</v>
      </c>
      <c r="AP37" s="17" t="s">
        <v>1328</v>
      </c>
      <c r="AQ37" s="17" t="str">
        <f t="shared" si="7"/>
        <v>intermediate</v>
      </c>
      <c r="AR37" s="20"/>
    </row>
    <row r="38" ht="15.75" customHeight="1">
      <c r="A38" s="16" t="s">
        <v>1935</v>
      </c>
      <c r="B38" s="16" t="s">
        <v>1936</v>
      </c>
      <c r="C38" s="16">
        <v>2018.0</v>
      </c>
      <c r="D38" s="16" t="s">
        <v>1937</v>
      </c>
      <c r="E38" s="16" t="s">
        <v>1938</v>
      </c>
      <c r="F38" s="16" t="s">
        <v>1939</v>
      </c>
      <c r="G38" s="16" t="str">
        <f t="shared" si="1"/>
        <v>No</v>
      </c>
      <c r="H38" s="16" t="s">
        <v>1324</v>
      </c>
      <c r="I38" s="16" t="s">
        <v>1324</v>
      </c>
      <c r="J38" s="16">
        <v>184.0</v>
      </c>
      <c r="K38" s="17" t="s">
        <v>1940</v>
      </c>
      <c r="L38" s="17" t="s">
        <v>5010</v>
      </c>
      <c r="M38" s="18" t="str">
        <f t="shared" si="2"/>
        <v>http://dx.doi.org/10.1016/j.rama.2018.02.008</v>
      </c>
      <c r="N38" s="19" t="s">
        <v>1482</v>
      </c>
      <c r="O38" s="17" t="s">
        <v>1371</v>
      </c>
      <c r="P38" s="17" t="s">
        <v>1328</v>
      </c>
      <c r="Q38" s="17" t="s">
        <v>1328</v>
      </c>
      <c r="R38" s="17" t="s">
        <v>1328</v>
      </c>
      <c r="S38" s="17" t="s">
        <v>1328</v>
      </c>
      <c r="T38" s="17" t="s">
        <v>1328</v>
      </c>
      <c r="U38" s="20" t="str">
        <f t="shared" si="3"/>
        <v>Yes</v>
      </c>
      <c r="V38" s="19" t="str">
        <f t="shared" si="4"/>
        <v>LC</v>
      </c>
      <c r="W38" s="17" t="str">
        <f t="shared" si="5"/>
        <v>Yes</v>
      </c>
      <c r="X38" s="17" t="s">
        <v>1329</v>
      </c>
      <c r="Y38" s="17" t="s">
        <v>1330</v>
      </c>
      <c r="Z38" s="17" t="s">
        <v>1372</v>
      </c>
      <c r="AA38" s="17" t="s">
        <v>1347</v>
      </c>
      <c r="AB38" s="17" t="s">
        <v>1333</v>
      </c>
      <c r="AC38" s="17" t="s">
        <v>1348</v>
      </c>
      <c r="AD38" s="17" t="s">
        <v>1362</v>
      </c>
      <c r="AE38" s="17">
        <f t="shared" si="6"/>
        <v>2</v>
      </c>
      <c r="AF38" s="17" t="s">
        <v>1336</v>
      </c>
      <c r="AG38" s="17" t="s">
        <v>1328</v>
      </c>
      <c r="AH38" s="17" t="s">
        <v>1328</v>
      </c>
      <c r="AI38" s="17" t="s">
        <v>1336</v>
      </c>
      <c r="AJ38" s="17" t="s">
        <v>1336</v>
      </c>
      <c r="AK38" s="17" t="s">
        <v>1336</v>
      </c>
      <c r="AL38" s="17" t="s">
        <v>1350</v>
      </c>
      <c r="AM38" s="17" t="s">
        <v>1351</v>
      </c>
      <c r="AN38" s="17" t="s">
        <v>1363</v>
      </c>
      <c r="AO38" s="17" t="s">
        <v>1388</v>
      </c>
      <c r="AP38" s="17" t="s">
        <v>1328</v>
      </c>
      <c r="AQ38" s="17" t="str">
        <f t="shared" si="7"/>
        <v>intermediate</v>
      </c>
      <c r="AR38" s="20"/>
    </row>
    <row r="39" ht="15.75" customHeight="1">
      <c r="A39" s="16" t="s">
        <v>1574</v>
      </c>
      <c r="B39" s="16" t="s">
        <v>1575</v>
      </c>
      <c r="C39" s="16">
        <v>2013.0</v>
      </c>
      <c r="D39" s="16" t="s">
        <v>1576</v>
      </c>
      <c r="E39" s="16" t="s">
        <v>1577</v>
      </c>
      <c r="F39" s="16" t="s">
        <v>1578</v>
      </c>
      <c r="G39" s="16" t="str">
        <f t="shared" si="1"/>
        <v>No</v>
      </c>
      <c r="H39" s="16" t="s">
        <v>1324</v>
      </c>
      <c r="I39" s="16" t="s">
        <v>1324</v>
      </c>
      <c r="J39" s="16">
        <v>16.0</v>
      </c>
      <c r="K39" s="17" t="s">
        <v>1579</v>
      </c>
      <c r="L39" s="17" t="s">
        <v>5010</v>
      </c>
      <c r="M39" s="18" t="str">
        <f t="shared" si="2"/>
        <v>http://dx.doi.org/10.1111/j.1600-0706.2012.20696.x</v>
      </c>
      <c r="N39" s="19" t="s">
        <v>1580</v>
      </c>
      <c r="O39" s="17" t="s">
        <v>1387</v>
      </c>
      <c r="P39" s="17" t="s">
        <v>1328</v>
      </c>
      <c r="Q39" s="17" t="s">
        <v>1328</v>
      </c>
      <c r="R39" s="17" t="s">
        <v>1328</v>
      </c>
      <c r="S39" s="17" t="s">
        <v>1328</v>
      </c>
      <c r="T39" s="17" t="s">
        <v>1328</v>
      </c>
      <c r="U39" s="20" t="str">
        <f t="shared" si="3"/>
        <v>Yes</v>
      </c>
      <c r="V39" s="19" t="str">
        <f t="shared" si="4"/>
        <v>MW</v>
      </c>
      <c r="W39" s="17" t="str">
        <f t="shared" si="5"/>
        <v>Yes</v>
      </c>
      <c r="X39" s="17" t="s">
        <v>1329</v>
      </c>
      <c r="Y39" s="17" t="s">
        <v>1330</v>
      </c>
      <c r="Z39" s="17" t="s">
        <v>1331</v>
      </c>
      <c r="AA39" s="17" t="s">
        <v>1332</v>
      </c>
      <c r="AB39" s="17" t="s">
        <v>1333</v>
      </c>
      <c r="AC39" s="17" t="s">
        <v>1348</v>
      </c>
      <c r="AD39" s="17" t="s">
        <v>1530</v>
      </c>
      <c r="AE39" s="17">
        <f t="shared" si="6"/>
        <v>4</v>
      </c>
      <c r="AF39" s="17" t="s">
        <v>1336</v>
      </c>
      <c r="AG39" s="17" t="s">
        <v>1328</v>
      </c>
      <c r="AH39" s="17" t="s">
        <v>1336</v>
      </c>
      <c r="AI39" s="17" t="s">
        <v>1328</v>
      </c>
      <c r="AJ39" s="17" t="s">
        <v>1328</v>
      </c>
      <c r="AK39" s="17" t="s">
        <v>1328</v>
      </c>
      <c r="AL39" s="17" t="s">
        <v>1350</v>
      </c>
      <c r="AM39" s="17" t="s">
        <v>1351</v>
      </c>
      <c r="AN39" s="17" t="s">
        <v>1363</v>
      </c>
      <c r="AO39" s="17" t="s">
        <v>1388</v>
      </c>
      <c r="AP39" s="17" t="s">
        <v>1328</v>
      </c>
      <c r="AQ39" s="17" t="str">
        <f t="shared" si="7"/>
        <v>intermediate</v>
      </c>
      <c r="AR39" s="20"/>
    </row>
    <row r="40" ht="15.75" customHeight="1">
      <c r="A40" s="16" t="s">
        <v>2165</v>
      </c>
      <c r="B40" s="16" t="s">
        <v>2166</v>
      </c>
      <c r="C40" s="16">
        <v>2013.0</v>
      </c>
      <c r="D40" s="16" t="s">
        <v>2167</v>
      </c>
      <c r="E40" s="16" t="s">
        <v>2168</v>
      </c>
      <c r="F40" s="16" t="s">
        <v>2169</v>
      </c>
      <c r="G40" s="16" t="str">
        <f t="shared" si="1"/>
        <v>No</v>
      </c>
      <c r="H40" s="16" t="s">
        <v>1324</v>
      </c>
      <c r="I40" s="16" t="s">
        <v>1324</v>
      </c>
      <c r="J40" s="16">
        <v>17.0</v>
      </c>
      <c r="K40" s="17" t="s">
        <v>2170</v>
      </c>
      <c r="L40" s="17" t="s">
        <v>5010</v>
      </c>
      <c r="M40" s="18" t="str">
        <f t="shared" si="2"/>
        <v>http://dx.doi.org/10.1007/s40333-013-0181-z</v>
      </c>
      <c r="N40" s="19" t="s">
        <v>1358</v>
      </c>
      <c r="O40" s="17" t="s">
        <v>1403</v>
      </c>
      <c r="P40" s="17" t="s">
        <v>1328</v>
      </c>
      <c r="Q40" s="17" t="s">
        <v>1328</v>
      </c>
      <c r="R40" s="17" t="s">
        <v>1328</v>
      </c>
      <c r="S40" s="17" t="s">
        <v>1328</v>
      </c>
      <c r="T40" s="17" t="s">
        <v>1328</v>
      </c>
      <c r="U40" s="20" t="str">
        <f t="shared" si="3"/>
        <v>Yes</v>
      </c>
      <c r="V40" s="19" t="str">
        <f t="shared" si="4"/>
        <v>DB</v>
      </c>
      <c r="W40" s="17" t="str">
        <f t="shared" si="5"/>
        <v>Yes</v>
      </c>
      <c r="X40" s="17" t="s">
        <v>1631</v>
      </c>
      <c r="Y40" s="17" t="s">
        <v>1330</v>
      </c>
      <c r="Z40" s="17" t="s">
        <v>1331</v>
      </c>
      <c r="AA40" s="17" t="s">
        <v>1347</v>
      </c>
      <c r="AB40" s="17" t="s">
        <v>1333</v>
      </c>
      <c r="AC40" s="17" t="s">
        <v>1381</v>
      </c>
      <c r="AD40" s="17" t="s">
        <v>1362</v>
      </c>
      <c r="AE40" s="17">
        <f t="shared" si="6"/>
        <v>2</v>
      </c>
      <c r="AF40" s="17" t="s">
        <v>1328</v>
      </c>
      <c r="AG40" s="17" t="s">
        <v>1328</v>
      </c>
      <c r="AH40" s="17" t="s">
        <v>1336</v>
      </c>
      <c r="AI40" s="17" t="s">
        <v>1336</v>
      </c>
      <c r="AJ40" s="17" t="s">
        <v>1336</v>
      </c>
      <c r="AK40" s="17" t="s">
        <v>1336</v>
      </c>
      <c r="AL40" s="17" t="s">
        <v>1350</v>
      </c>
      <c r="AM40" s="17" t="s">
        <v>1351</v>
      </c>
      <c r="AN40" s="17" t="s">
        <v>1363</v>
      </c>
      <c r="AO40" s="17" t="s">
        <v>1331</v>
      </c>
      <c r="AP40" s="17" t="s">
        <v>1328</v>
      </c>
      <c r="AQ40" s="17" t="str">
        <f t="shared" si="7"/>
        <v>intermediate</v>
      </c>
      <c r="AR40" s="20" t="s">
        <v>1639</v>
      </c>
    </row>
    <row r="41" ht="15.75" customHeight="1">
      <c r="A41" s="16" t="s">
        <v>1661</v>
      </c>
      <c r="B41" s="16" t="s">
        <v>774</v>
      </c>
      <c r="C41" s="16">
        <v>2015.0</v>
      </c>
      <c r="D41" s="16" t="s">
        <v>1662</v>
      </c>
      <c r="E41" s="16" t="s">
        <v>1663</v>
      </c>
      <c r="F41" s="16" t="s">
        <v>1664</v>
      </c>
      <c r="G41" s="16" t="str">
        <f t="shared" si="1"/>
        <v>No</v>
      </c>
      <c r="H41" s="16" t="s">
        <v>1324</v>
      </c>
      <c r="I41" s="16" t="s">
        <v>1324</v>
      </c>
      <c r="J41" s="16">
        <v>195.0</v>
      </c>
      <c r="K41" s="17" t="s">
        <v>1665</v>
      </c>
      <c r="L41" s="17" t="s">
        <v>5010</v>
      </c>
      <c r="M41" s="18" t="str">
        <f t="shared" si="2"/>
        <v>http://dx.doi.org/10.1111/gcb.12795</v>
      </c>
      <c r="N41" s="19" t="s">
        <v>1666</v>
      </c>
      <c r="O41" s="17" t="s">
        <v>1417</v>
      </c>
      <c r="P41" s="17" t="s">
        <v>1328</v>
      </c>
      <c r="Q41" s="17" t="s">
        <v>1328</v>
      </c>
      <c r="R41" s="17" t="s">
        <v>1328</v>
      </c>
      <c r="S41" s="17" t="s">
        <v>1328</v>
      </c>
      <c r="T41" s="17" t="s">
        <v>1328</v>
      </c>
      <c r="U41" s="20" t="str">
        <f t="shared" si="3"/>
        <v>Yes</v>
      </c>
      <c r="V41" s="19" t="str">
        <f t="shared" si="4"/>
        <v>NT</v>
      </c>
      <c r="W41" s="17" t="str">
        <f t="shared" si="5"/>
        <v>Yes</v>
      </c>
      <c r="X41" s="17" t="s">
        <v>1329</v>
      </c>
      <c r="Y41" s="17" t="s">
        <v>1330</v>
      </c>
      <c r="Z41" s="17" t="s">
        <v>1331</v>
      </c>
      <c r="AA41" s="17" t="s">
        <v>1347</v>
      </c>
      <c r="AB41" s="17" t="s">
        <v>1360</v>
      </c>
      <c r="AC41" s="17" t="s">
        <v>1381</v>
      </c>
      <c r="AD41" s="17" t="s">
        <v>1362</v>
      </c>
      <c r="AE41" s="17">
        <f t="shared" si="6"/>
        <v>3</v>
      </c>
      <c r="AF41" s="17" t="s">
        <v>1328</v>
      </c>
      <c r="AG41" s="17" t="s">
        <v>1328</v>
      </c>
      <c r="AH41" s="17" t="s">
        <v>1336</v>
      </c>
      <c r="AI41" s="17" t="s">
        <v>1336</v>
      </c>
      <c r="AJ41" s="17" t="s">
        <v>1328</v>
      </c>
      <c r="AK41" s="17" t="s">
        <v>1336</v>
      </c>
      <c r="AL41" s="17" t="s">
        <v>1350</v>
      </c>
      <c r="AM41" s="17" t="s">
        <v>1351</v>
      </c>
      <c r="AN41" s="17" t="s">
        <v>1339</v>
      </c>
      <c r="AO41" s="17" t="s">
        <v>1331</v>
      </c>
      <c r="AP41" s="17" t="s">
        <v>1328</v>
      </c>
      <c r="AQ41" s="17" t="str">
        <f t="shared" si="7"/>
        <v>high</v>
      </c>
      <c r="AR41" s="20"/>
    </row>
    <row r="42" ht="15.75" customHeight="1">
      <c r="A42" s="16" t="s">
        <v>1919</v>
      </c>
      <c r="B42" s="16" t="s">
        <v>64</v>
      </c>
      <c r="C42" s="16">
        <v>2014.0</v>
      </c>
      <c r="D42" s="16" t="s">
        <v>1920</v>
      </c>
      <c r="E42" s="16" t="s">
        <v>1921</v>
      </c>
      <c r="F42" s="16" t="s">
        <v>1922</v>
      </c>
      <c r="G42" s="16" t="str">
        <f t="shared" si="1"/>
        <v>No</v>
      </c>
      <c r="H42" s="16" t="s">
        <v>1324</v>
      </c>
      <c r="I42" s="16" t="s">
        <v>1324</v>
      </c>
      <c r="J42" s="16">
        <v>73.0</v>
      </c>
      <c r="K42" s="17" t="s">
        <v>1923</v>
      </c>
      <c r="L42" s="17" t="s">
        <v>5010</v>
      </c>
      <c r="M42" s="18" t="str">
        <f t="shared" si="2"/>
        <v>http://dx.doi.org/10.1016/j.scitotenv.2013.10.128</v>
      </c>
      <c r="N42" s="19" t="s">
        <v>1358</v>
      </c>
      <c r="O42" s="17" t="s">
        <v>1387</v>
      </c>
      <c r="P42" s="17" t="s">
        <v>1328</v>
      </c>
      <c r="Q42" s="17" t="s">
        <v>1328</v>
      </c>
      <c r="R42" s="17" t="s">
        <v>1328</v>
      </c>
      <c r="S42" s="17" t="s">
        <v>1328</v>
      </c>
      <c r="T42" s="17" t="s">
        <v>1328</v>
      </c>
      <c r="U42" s="20" t="str">
        <f t="shared" si="3"/>
        <v>Yes</v>
      </c>
      <c r="V42" s="19" t="str">
        <f t="shared" si="4"/>
        <v>MW</v>
      </c>
      <c r="W42" s="17" t="str">
        <f t="shared" si="5"/>
        <v>Yes</v>
      </c>
      <c r="X42" s="17" t="s">
        <v>1329</v>
      </c>
      <c r="Y42" s="17" t="s">
        <v>1330</v>
      </c>
      <c r="Z42" s="17" t="s">
        <v>1331</v>
      </c>
      <c r="AA42" s="17" t="s">
        <v>1347</v>
      </c>
      <c r="AB42" s="17" t="s">
        <v>1333</v>
      </c>
      <c r="AC42" s="17" t="s">
        <v>1381</v>
      </c>
      <c r="AD42" s="17" t="s">
        <v>1362</v>
      </c>
      <c r="AE42" s="17">
        <f t="shared" si="6"/>
        <v>2</v>
      </c>
      <c r="AF42" s="17" t="s">
        <v>1328</v>
      </c>
      <c r="AG42" s="17" t="s">
        <v>1328</v>
      </c>
      <c r="AH42" s="17" t="s">
        <v>1336</v>
      </c>
      <c r="AI42" s="17" t="s">
        <v>1336</v>
      </c>
      <c r="AJ42" s="17" t="s">
        <v>1336</v>
      </c>
      <c r="AK42" s="17" t="s">
        <v>1336</v>
      </c>
      <c r="AL42" s="17" t="s">
        <v>1404</v>
      </c>
      <c r="AM42" s="17" t="s">
        <v>1351</v>
      </c>
      <c r="AN42" s="17" t="s">
        <v>1363</v>
      </c>
      <c r="AO42" s="17" t="s">
        <v>1331</v>
      </c>
      <c r="AP42" s="17" t="s">
        <v>1328</v>
      </c>
      <c r="AQ42" s="17" t="str">
        <f t="shared" si="7"/>
        <v>intermediate</v>
      </c>
      <c r="AR42" s="20"/>
    </row>
    <row r="43" ht="15.75" customHeight="1">
      <c r="A43" s="16" t="s">
        <v>1986</v>
      </c>
      <c r="B43" s="16" t="s">
        <v>1987</v>
      </c>
      <c r="C43" s="16">
        <v>2015.0</v>
      </c>
      <c r="D43" s="16" t="s">
        <v>1988</v>
      </c>
      <c r="E43" s="16" t="s">
        <v>1989</v>
      </c>
      <c r="F43" s="16" t="s">
        <v>1990</v>
      </c>
      <c r="G43" s="16" t="str">
        <f t="shared" si="1"/>
        <v>No</v>
      </c>
      <c r="H43" s="16" t="s">
        <v>1324</v>
      </c>
      <c r="I43" s="16" t="s">
        <v>1324</v>
      </c>
      <c r="J43" s="16">
        <v>85.0</v>
      </c>
      <c r="K43" s="17" t="s">
        <v>1991</v>
      </c>
      <c r="L43" s="17" t="s">
        <v>5010</v>
      </c>
      <c r="M43" s="18" t="str">
        <f t="shared" si="2"/>
        <v>http://dx.doi.org/10.1016/j.jenvman.2014.01.020</v>
      </c>
      <c r="N43" s="19" t="s">
        <v>1370</v>
      </c>
      <c r="O43" s="17" t="s">
        <v>1327</v>
      </c>
      <c r="P43" s="17" t="s">
        <v>1328</v>
      </c>
      <c r="Q43" s="17" t="s">
        <v>1328</v>
      </c>
      <c r="R43" s="17" t="s">
        <v>1328</v>
      </c>
      <c r="S43" s="17" t="s">
        <v>1328</v>
      </c>
      <c r="T43" s="17" t="s">
        <v>1328</v>
      </c>
      <c r="U43" s="20" t="str">
        <f t="shared" si="3"/>
        <v>Yes</v>
      </c>
      <c r="V43" s="19" t="str">
        <f t="shared" si="4"/>
        <v>PJ</v>
      </c>
      <c r="W43" s="17" t="str">
        <f t="shared" si="5"/>
        <v>Yes</v>
      </c>
      <c r="X43" s="17" t="s">
        <v>1329</v>
      </c>
      <c r="Y43" s="17" t="s">
        <v>1330</v>
      </c>
      <c r="Z43" s="17" t="s">
        <v>1331</v>
      </c>
      <c r="AA43" s="17" t="s">
        <v>1347</v>
      </c>
      <c r="AB43" s="17" t="s">
        <v>1360</v>
      </c>
      <c r="AC43" s="17" t="s">
        <v>1381</v>
      </c>
      <c r="AD43" s="17" t="s">
        <v>1335</v>
      </c>
      <c r="AE43" s="17">
        <f t="shared" si="6"/>
        <v>3</v>
      </c>
      <c r="AF43" s="17" t="s">
        <v>1336</v>
      </c>
      <c r="AG43" s="17" t="s">
        <v>1328</v>
      </c>
      <c r="AH43" s="17" t="s">
        <v>1328</v>
      </c>
      <c r="AI43" s="17" t="s">
        <v>1336</v>
      </c>
      <c r="AJ43" s="17" t="s">
        <v>1328</v>
      </c>
      <c r="AK43" s="17" t="s">
        <v>1336</v>
      </c>
      <c r="AL43" s="17" t="s">
        <v>1350</v>
      </c>
      <c r="AM43" s="17" t="s">
        <v>1351</v>
      </c>
      <c r="AN43" s="17" t="s">
        <v>1339</v>
      </c>
      <c r="AO43" s="17" t="s">
        <v>1331</v>
      </c>
      <c r="AP43" s="17" t="s">
        <v>1328</v>
      </c>
      <c r="AQ43" s="17" t="str">
        <f t="shared" si="7"/>
        <v>high</v>
      </c>
      <c r="AR43" s="20"/>
    </row>
    <row r="44" ht="15.75" customHeight="1">
      <c r="A44" s="16" t="s">
        <v>1872</v>
      </c>
      <c r="B44" s="16" t="s">
        <v>1873</v>
      </c>
      <c r="C44" s="16">
        <v>2012.0</v>
      </c>
      <c r="D44" s="16" t="s">
        <v>1874</v>
      </c>
      <c r="E44" s="16" t="s">
        <v>1875</v>
      </c>
      <c r="F44" s="16" t="s">
        <v>1876</v>
      </c>
      <c r="G44" s="16" t="str">
        <f t="shared" si="1"/>
        <v>No</v>
      </c>
      <c r="H44" s="16" t="s">
        <v>1324</v>
      </c>
      <c r="I44" s="16" t="s">
        <v>1324</v>
      </c>
      <c r="J44" s="16">
        <v>28.0</v>
      </c>
      <c r="K44" s="17" t="s">
        <v>1877</v>
      </c>
      <c r="L44" s="17" t="s">
        <v>5010</v>
      </c>
      <c r="M44" s="18" t="str">
        <f t="shared" si="2"/>
        <v>http://dx.doi.org/10.1017/S0030605311000937</v>
      </c>
      <c r="N44" s="19" t="s">
        <v>1482</v>
      </c>
      <c r="O44" s="17" t="s">
        <v>1470</v>
      </c>
      <c r="P44" s="17" t="s">
        <v>1328</v>
      </c>
      <c r="Q44" s="17" t="s">
        <v>1328</v>
      </c>
      <c r="R44" s="17" t="s">
        <v>1328</v>
      </c>
      <c r="S44" s="17" t="s">
        <v>1328</v>
      </c>
      <c r="T44" s="17" t="s">
        <v>1328</v>
      </c>
      <c r="U44" s="20" t="str">
        <f t="shared" si="3"/>
        <v>Yes</v>
      </c>
      <c r="V44" s="19" t="str">
        <f t="shared" si="4"/>
        <v>AG</v>
      </c>
      <c r="W44" s="17" t="str">
        <f t="shared" si="5"/>
        <v>Yes</v>
      </c>
      <c r="X44" s="17" t="s">
        <v>1329</v>
      </c>
      <c r="Y44" s="17" t="s">
        <v>1330</v>
      </c>
      <c r="Z44" s="17" t="s">
        <v>1331</v>
      </c>
      <c r="AA44" s="17" t="s">
        <v>1332</v>
      </c>
      <c r="AB44" s="17" t="s">
        <v>1333</v>
      </c>
      <c r="AC44" s="17" t="s">
        <v>1381</v>
      </c>
      <c r="AD44" s="17" t="s">
        <v>1530</v>
      </c>
      <c r="AE44" s="17">
        <f t="shared" si="6"/>
        <v>5</v>
      </c>
      <c r="AF44" s="17" t="s">
        <v>1336</v>
      </c>
      <c r="AG44" s="17" t="s">
        <v>1328</v>
      </c>
      <c r="AH44" s="17" t="s">
        <v>1328</v>
      </c>
      <c r="AI44" s="17" t="s">
        <v>1328</v>
      </c>
      <c r="AJ44" s="17" t="s">
        <v>1328</v>
      </c>
      <c r="AK44" s="17" t="s">
        <v>1328</v>
      </c>
      <c r="AL44" s="17" t="s">
        <v>1395</v>
      </c>
      <c r="AM44" s="17" t="s">
        <v>1351</v>
      </c>
      <c r="AN44" s="17" t="s">
        <v>1339</v>
      </c>
      <c r="AO44" s="17" t="s">
        <v>1388</v>
      </c>
      <c r="AP44" s="17" t="s">
        <v>1328</v>
      </c>
      <c r="AQ44" s="17" t="str">
        <f t="shared" si="7"/>
        <v>intermediate</v>
      </c>
      <c r="AR44" s="20"/>
    </row>
    <row r="45" ht="15.75" customHeight="1">
      <c r="A45" s="16" t="s">
        <v>1546</v>
      </c>
      <c r="B45" s="16" t="s">
        <v>1540</v>
      </c>
      <c r="C45" s="16">
        <v>2016.0</v>
      </c>
      <c r="D45" s="16" t="s">
        <v>1547</v>
      </c>
      <c r="E45" s="16" t="s">
        <v>1548</v>
      </c>
      <c r="F45" s="16" t="s">
        <v>1549</v>
      </c>
      <c r="G45" s="16" t="str">
        <f t="shared" si="1"/>
        <v>No</v>
      </c>
      <c r="H45" s="16" t="s">
        <v>1324</v>
      </c>
      <c r="I45" s="16" t="s">
        <v>1324</v>
      </c>
      <c r="J45" s="16">
        <v>199.0</v>
      </c>
      <c r="K45" s="17" t="s">
        <v>1550</v>
      </c>
      <c r="L45" s="17" t="s">
        <v>5010</v>
      </c>
      <c r="M45" s="18" t="str">
        <f t="shared" si="2"/>
        <v>http://dx.doi.org/10.1111/jvs.12423</v>
      </c>
      <c r="N45" s="19" t="s">
        <v>1346</v>
      </c>
      <c r="O45" s="17" t="s">
        <v>1387</v>
      </c>
      <c r="P45" s="17" t="s">
        <v>1328</v>
      </c>
      <c r="Q45" s="17" t="s">
        <v>1328</v>
      </c>
      <c r="R45" s="17" t="s">
        <v>1328</v>
      </c>
      <c r="S45" s="17" t="s">
        <v>1328</v>
      </c>
      <c r="T45" s="17" t="s">
        <v>1328</v>
      </c>
      <c r="U45" s="20" t="str">
        <f t="shared" si="3"/>
        <v>Yes</v>
      </c>
      <c r="V45" s="19" t="str">
        <f t="shared" si="4"/>
        <v>MW</v>
      </c>
      <c r="W45" s="17" t="str">
        <f t="shared" si="5"/>
        <v>Yes</v>
      </c>
      <c r="X45" s="17" t="s">
        <v>1329</v>
      </c>
      <c r="Y45" s="17" t="s">
        <v>1330</v>
      </c>
      <c r="Z45" s="17" t="s">
        <v>1331</v>
      </c>
      <c r="AA45" s="17" t="s">
        <v>1347</v>
      </c>
      <c r="AB45" s="17" t="s">
        <v>1333</v>
      </c>
      <c r="AC45" s="17" t="s">
        <v>1381</v>
      </c>
      <c r="AD45" s="17" t="s">
        <v>1362</v>
      </c>
      <c r="AE45" s="17">
        <f t="shared" si="6"/>
        <v>2</v>
      </c>
      <c r="AF45" s="17" t="s">
        <v>1328</v>
      </c>
      <c r="AG45" s="17" t="s">
        <v>1328</v>
      </c>
      <c r="AH45" s="17" t="s">
        <v>1336</v>
      </c>
      <c r="AI45" s="17" t="s">
        <v>1336</v>
      </c>
      <c r="AJ45" s="17" t="s">
        <v>1336</v>
      </c>
      <c r="AK45" s="17" t="s">
        <v>1336</v>
      </c>
      <c r="AL45" s="17" t="s">
        <v>1350</v>
      </c>
      <c r="AM45" s="17" t="s">
        <v>1351</v>
      </c>
      <c r="AN45" s="17" t="s">
        <v>1339</v>
      </c>
      <c r="AO45" s="17" t="s">
        <v>1331</v>
      </c>
      <c r="AP45" s="17" t="s">
        <v>1328</v>
      </c>
      <c r="AQ45" s="17" t="str">
        <f t="shared" si="7"/>
        <v>intermediate</v>
      </c>
      <c r="AR45" s="20"/>
    </row>
    <row r="46" ht="15.75" customHeight="1">
      <c r="A46" s="16" t="s">
        <v>1698</v>
      </c>
      <c r="B46" s="16" t="s">
        <v>1699</v>
      </c>
      <c r="C46" s="16">
        <v>2017.0</v>
      </c>
      <c r="D46" s="16" t="s">
        <v>1700</v>
      </c>
      <c r="E46" s="16" t="s">
        <v>1701</v>
      </c>
      <c r="F46" s="16" t="s">
        <v>1702</v>
      </c>
      <c r="G46" s="16" t="str">
        <f t="shared" si="1"/>
        <v>No</v>
      </c>
      <c r="H46" s="16" t="s">
        <v>1324</v>
      </c>
      <c r="I46" s="16" t="s">
        <v>1324</v>
      </c>
      <c r="J46" s="16">
        <v>40.0</v>
      </c>
      <c r="K46" s="17" t="s">
        <v>1703</v>
      </c>
      <c r="L46" s="17" t="s">
        <v>5010</v>
      </c>
      <c r="M46" s="18" t="str">
        <f t="shared" si="2"/>
        <v>http://dx.doi.org/10.1111/conl.12258</v>
      </c>
      <c r="N46" s="19" t="s">
        <v>1326</v>
      </c>
      <c r="O46" s="17" t="s">
        <v>1327</v>
      </c>
      <c r="P46" s="17" t="s">
        <v>1328</v>
      </c>
      <c r="Q46" s="17" t="s">
        <v>1328</v>
      </c>
      <c r="R46" s="17" t="s">
        <v>1328</v>
      </c>
      <c r="S46" s="17" t="s">
        <v>1328</v>
      </c>
      <c r="T46" s="17" t="s">
        <v>1328</v>
      </c>
      <c r="U46" s="20" t="str">
        <f t="shared" si="3"/>
        <v>Yes</v>
      </c>
      <c r="V46" s="19" t="str">
        <f t="shared" si="4"/>
        <v>PJ</v>
      </c>
      <c r="W46" s="17" t="str">
        <f t="shared" si="5"/>
        <v>Yes</v>
      </c>
      <c r="X46" s="17" t="s">
        <v>1443</v>
      </c>
      <c r="Y46" s="17" t="s">
        <v>1330</v>
      </c>
      <c r="Z46" s="17" t="s">
        <v>1331</v>
      </c>
      <c r="AA46" s="17" t="s">
        <v>1347</v>
      </c>
      <c r="AB46" s="17" t="s">
        <v>1444</v>
      </c>
      <c r="AC46" s="17" t="s">
        <v>1445</v>
      </c>
      <c r="AD46" s="17" t="s">
        <v>1446</v>
      </c>
      <c r="AE46" s="17">
        <f t="shared" si="6"/>
        <v>5</v>
      </c>
      <c r="AF46" s="17" t="s">
        <v>1328</v>
      </c>
      <c r="AG46" s="17" t="s">
        <v>1328</v>
      </c>
      <c r="AH46" s="17" t="s">
        <v>1328</v>
      </c>
      <c r="AI46" s="17" t="s">
        <v>1328</v>
      </c>
      <c r="AJ46" s="17" t="s">
        <v>1328</v>
      </c>
      <c r="AK46" s="17" t="s">
        <v>1336</v>
      </c>
      <c r="AL46" s="17" t="s">
        <v>1395</v>
      </c>
      <c r="AM46" s="17" t="s">
        <v>1351</v>
      </c>
      <c r="AN46" s="17" t="s">
        <v>1363</v>
      </c>
      <c r="AO46" s="17" t="s">
        <v>1331</v>
      </c>
      <c r="AP46" s="17" t="s">
        <v>1328</v>
      </c>
      <c r="AQ46" s="17" t="str">
        <f t="shared" si="7"/>
        <v>high</v>
      </c>
      <c r="AR46" s="20"/>
    </row>
    <row r="47" ht="15.75" customHeight="1">
      <c r="A47" s="16" t="s">
        <v>1655</v>
      </c>
      <c r="B47" s="16" t="s">
        <v>774</v>
      </c>
      <c r="C47" s="16">
        <v>2015.0</v>
      </c>
      <c r="D47" s="16" t="s">
        <v>1656</v>
      </c>
      <c r="E47" s="16" t="s">
        <v>1657</v>
      </c>
      <c r="F47" s="16" t="s">
        <v>1658</v>
      </c>
      <c r="G47" s="16" t="str">
        <f t="shared" si="1"/>
        <v>No</v>
      </c>
      <c r="H47" s="16" t="s">
        <v>1324</v>
      </c>
      <c r="I47" s="16" t="s">
        <v>1324</v>
      </c>
      <c r="J47" s="16">
        <v>58.0</v>
      </c>
      <c r="K47" s="17" t="s">
        <v>1659</v>
      </c>
      <c r="L47" s="17" t="s">
        <v>5010</v>
      </c>
      <c r="M47" s="18" t="str">
        <f t="shared" si="2"/>
        <v>http://dx.doi.org/10.1111/gcb.12993</v>
      </c>
      <c r="N47" s="19" t="s">
        <v>1495</v>
      </c>
      <c r="O47" s="17" t="s">
        <v>1470</v>
      </c>
      <c r="P47" s="17" t="s">
        <v>1328</v>
      </c>
      <c r="Q47" s="17" t="s">
        <v>1328</v>
      </c>
      <c r="R47" s="17" t="s">
        <v>1328</v>
      </c>
      <c r="S47" s="17" t="s">
        <v>1328</v>
      </c>
      <c r="T47" s="17" t="s">
        <v>1328</v>
      </c>
      <c r="U47" s="20" t="str">
        <f t="shared" si="3"/>
        <v>Yes</v>
      </c>
      <c r="V47" s="19" t="str">
        <f t="shared" si="4"/>
        <v>AG</v>
      </c>
      <c r="W47" s="17" t="str">
        <f t="shared" si="5"/>
        <v>Yes</v>
      </c>
      <c r="X47" s="17" t="s">
        <v>1463</v>
      </c>
      <c r="Y47" s="17" t="s">
        <v>1372</v>
      </c>
      <c r="Z47" s="17" t="s">
        <v>1331</v>
      </c>
      <c r="AA47" s="17" t="s">
        <v>1347</v>
      </c>
      <c r="AB47" s="17" t="s">
        <v>1660</v>
      </c>
      <c r="AC47" s="17" t="s">
        <v>1361</v>
      </c>
      <c r="AD47" s="17" t="s">
        <v>1362</v>
      </c>
      <c r="AE47" s="17">
        <f t="shared" si="6"/>
        <v>3</v>
      </c>
      <c r="AF47" s="17" t="s">
        <v>1328</v>
      </c>
      <c r="AG47" s="17" t="s">
        <v>1336</v>
      </c>
      <c r="AH47" s="17" t="s">
        <v>1328</v>
      </c>
      <c r="AI47" s="17" t="s">
        <v>1336</v>
      </c>
      <c r="AJ47" s="17" t="s">
        <v>1328</v>
      </c>
      <c r="AK47" s="17" t="s">
        <v>1336</v>
      </c>
      <c r="AL47" s="17" t="s">
        <v>1350</v>
      </c>
      <c r="AM47" s="17" t="s">
        <v>1351</v>
      </c>
      <c r="AN47" s="17" t="s">
        <v>1339</v>
      </c>
      <c r="AO47" s="17" t="s">
        <v>1331</v>
      </c>
      <c r="AP47" s="17" t="s">
        <v>1328</v>
      </c>
      <c r="AQ47" s="17" t="str">
        <f t="shared" si="7"/>
        <v>high</v>
      </c>
      <c r="AR47" s="20"/>
    </row>
    <row r="48" ht="15.75" customHeight="1">
      <c r="A48" s="16" t="s">
        <v>1457</v>
      </c>
      <c r="B48" s="16" t="s">
        <v>365</v>
      </c>
      <c r="C48" s="16">
        <v>2013.0</v>
      </c>
      <c r="D48" s="16" t="s">
        <v>1458</v>
      </c>
      <c r="E48" s="16" t="s">
        <v>1459</v>
      </c>
      <c r="F48" s="16" t="s">
        <v>1460</v>
      </c>
      <c r="G48" s="16" t="str">
        <f t="shared" si="1"/>
        <v>No</v>
      </c>
      <c r="H48" s="16" t="s">
        <v>1324</v>
      </c>
      <c r="I48" s="16" t="s">
        <v>1324</v>
      </c>
      <c r="J48" s="16">
        <v>31.0</v>
      </c>
      <c r="K48" s="17" t="s">
        <v>1461</v>
      </c>
      <c r="L48" s="17" t="s">
        <v>5010</v>
      </c>
      <c r="M48" s="18" t="str">
        <f t="shared" si="2"/>
        <v>http://dx.doi.org/10.1371/journal.pone.0081292</v>
      </c>
      <c r="N48" s="19" t="s">
        <v>1462</v>
      </c>
      <c r="O48" s="17" t="s">
        <v>1371</v>
      </c>
      <c r="P48" s="17" t="s">
        <v>1328</v>
      </c>
      <c r="Q48" s="17" t="s">
        <v>1328</v>
      </c>
      <c r="R48" s="17" t="s">
        <v>1328</v>
      </c>
      <c r="S48" s="17" t="s">
        <v>1328</v>
      </c>
      <c r="T48" s="17" t="s">
        <v>1328</v>
      </c>
      <c r="U48" s="20" t="str">
        <f t="shared" si="3"/>
        <v>Yes</v>
      </c>
      <c r="V48" s="19" t="str">
        <f t="shared" si="4"/>
        <v>LC</v>
      </c>
      <c r="W48" s="17" t="str">
        <f t="shared" si="5"/>
        <v>Yes</v>
      </c>
      <c r="X48" s="17" t="s">
        <v>1463</v>
      </c>
      <c r="Y48" s="17" t="s">
        <v>1331</v>
      </c>
      <c r="Z48" s="17" t="s">
        <v>1372</v>
      </c>
      <c r="AA48" s="17" t="s">
        <v>1347</v>
      </c>
      <c r="AB48" s="17" t="s">
        <v>1444</v>
      </c>
      <c r="AC48" s="17" t="s">
        <v>1445</v>
      </c>
      <c r="AD48" s="17" t="s">
        <v>1464</v>
      </c>
      <c r="AE48" s="17">
        <f t="shared" si="6"/>
        <v>4</v>
      </c>
      <c r="AF48" s="17" t="s">
        <v>1328</v>
      </c>
      <c r="AG48" s="17" t="s">
        <v>1328</v>
      </c>
      <c r="AH48" s="17" t="s">
        <v>1328</v>
      </c>
      <c r="AI48" s="17" t="s">
        <v>1336</v>
      </c>
      <c r="AJ48" s="17" t="s">
        <v>1336</v>
      </c>
      <c r="AK48" s="17" t="s">
        <v>1328</v>
      </c>
      <c r="AL48" s="17" t="s">
        <v>1350</v>
      </c>
      <c r="AM48" s="17" t="s">
        <v>1351</v>
      </c>
      <c r="AN48" s="17" t="s">
        <v>1339</v>
      </c>
      <c r="AO48" s="17" t="s">
        <v>1388</v>
      </c>
      <c r="AP48" s="17" t="s">
        <v>1328</v>
      </c>
      <c r="AQ48" s="17" t="str">
        <f t="shared" si="7"/>
        <v>intermediate</v>
      </c>
      <c r="AR48" s="20"/>
    </row>
    <row r="49" ht="15.75" customHeight="1">
      <c r="A49" s="16" t="s">
        <v>1866</v>
      </c>
      <c r="B49" s="16" t="s">
        <v>1867</v>
      </c>
      <c r="C49" s="16">
        <v>2005.0</v>
      </c>
      <c r="D49" s="16" t="s">
        <v>1868</v>
      </c>
      <c r="E49" s="16" t="s">
        <v>1869</v>
      </c>
      <c r="F49" s="16" t="s">
        <v>1870</v>
      </c>
      <c r="G49" s="16" t="str">
        <f t="shared" si="1"/>
        <v>No</v>
      </c>
      <c r="H49" s="16" t="s">
        <v>1324</v>
      </c>
      <c r="I49" s="16" t="s">
        <v>1324</v>
      </c>
      <c r="J49" s="16">
        <v>157.0</v>
      </c>
      <c r="K49" s="17" t="s">
        <v>1871</v>
      </c>
      <c r="L49" s="17" t="s">
        <v>5010</v>
      </c>
      <c r="M49" s="18" t="str">
        <f t="shared" si="2"/>
        <v>http://dx.doi.org/10.1017/S0266467404001683</v>
      </c>
      <c r="N49" s="19" t="s">
        <v>1614</v>
      </c>
      <c r="O49" s="17" t="s">
        <v>1470</v>
      </c>
      <c r="P49" s="17" t="s">
        <v>1328</v>
      </c>
      <c r="Q49" s="17" t="s">
        <v>1328</v>
      </c>
      <c r="R49" s="17" t="s">
        <v>1328</v>
      </c>
      <c r="S49" s="17" t="s">
        <v>1328</v>
      </c>
      <c r="T49" s="17" t="s">
        <v>1328</v>
      </c>
      <c r="U49" s="20" t="str">
        <f t="shared" si="3"/>
        <v>Yes</v>
      </c>
      <c r="V49" s="19" t="str">
        <f t="shared" si="4"/>
        <v>AG</v>
      </c>
      <c r="W49" s="17" t="str">
        <f t="shared" si="5"/>
        <v>Yes</v>
      </c>
      <c r="X49" s="17" t="s">
        <v>1329</v>
      </c>
      <c r="Y49" s="17" t="s">
        <v>1330</v>
      </c>
      <c r="Z49" s="17" t="s">
        <v>1331</v>
      </c>
      <c r="AA49" s="17" t="s">
        <v>1332</v>
      </c>
      <c r="AB49" s="17" t="s">
        <v>1333</v>
      </c>
      <c r="AC49" s="17" t="s">
        <v>1348</v>
      </c>
      <c r="AD49" s="17" t="s">
        <v>1362</v>
      </c>
      <c r="AE49" s="17">
        <f t="shared" si="6"/>
        <v>2</v>
      </c>
      <c r="AF49" s="17" t="s">
        <v>1336</v>
      </c>
      <c r="AG49" s="17" t="s">
        <v>1328</v>
      </c>
      <c r="AH49" s="17" t="s">
        <v>1328</v>
      </c>
      <c r="AI49" s="17" t="s">
        <v>1336</v>
      </c>
      <c r="AJ49" s="17" t="s">
        <v>1336</v>
      </c>
      <c r="AK49" s="17" t="s">
        <v>1336</v>
      </c>
      <c r="AL49" s="17" t="s">
        <v>1350</v>
      </c>
      <c r="AM49" s="17" t="s">
        <v>1351</v>
      </c>
      <c r="AN49" s="17" t="s">
        <v>1339</v>
      </c>
      <c r="AO49" s="17" t="s">
        <v>1331</v>
      </c>
      <c r="AP49" s="17" t="s">
        <v>1328</v>
      </c>
      <c r="AQ49" s="17" t="str">
        <f t="shared" si="7"/>
        <v>intermediate</v>
      </c>
      <c r="AR49" s="20"/>
    </row>
    <row r="50" ht="15.75" customHeight="1">
      <c r="A50" s="16" t="s">
        <v>2147</v>
      </c>
      <c r="B50" s="16" t="s">
        <v>2148</v>
      </c>
      <c r="C50" s="16">
        <v>2014.0</v>
      </c>
      <c r="D50" s="16" t="s">
        <v>2149</v>
      </c>
      <c r="E50" s="16" t="s">
        <v>2150</v>
      </c>
      <c r="F50" s="16" t="s">
        <v>2151</v>
      </c>
      <c r="G50" s="16" t="str">
        <f t="shared" si="1"/>
        <v>No</v>
      </c>
      <c r="H50" s="16" t="s">
        <v>1324</v>
      </c>
      <c r="I50" s="16" t="s">
        <v>1324</v>
      </c>
      <c r="J50" s="16">
        <v>35.0</v>
      </c>
      <c r="K50" s="17" t="s">
        <v>2152</v>
      </c>
      <c r="L50" s="17" t="s">
        <v>5010</v>
      </c>
      <c r="M50" s="18" t="str">
        <f t="shared" si="2"/>
        <v>http://dx.doi.org/10.1016/j.actao.2013.12.006</v>
      </c>
      <c r="N50" s="19" t="s">
        <v>1358</v>
      </c>
      <c r="O50" s="17" t="s">
        <v>1403</v>
      </c>
      <c r="P50" s="17" t="s">
        <v>1328</v>
      </c>
      <c r="Q50" s="17" t="s">
        <v>1328</v>
      </c>
      <c r="R50" s="17" t="s">
        <v>1328</v>
      </c>
      <c r="S50" s="17" t="s">
        <v>1328</v>
      </c>
      <c r="T50" s="17" t="s">
        <v>1328</v>
      </c>
      <c r="U50" s="20" t="str">
        <f t="shared" si="3"/>
        <v>Yes</v>
      </c>
      <c r="V50" s="19" t="str">
        <f t="shared" si="4"/>
        <v>DB</v>
      </c>
      <c r="W50" s="17" t="str">
        <f t="shared" si="5"/>
        <v>Yes</v>
      </c>
      <c r="X50" s="17" t="s">
        <v>1631</v>
      </c>
      <c r="Y50" s="17" t="s">
        <v>1330</v>
      </c>
      <c r="Z50" s="17" t="s">
        <v>1331</v>
      </c>
      <c r="AA50" s="17" t="s">
        <v>1347</v>
      </c>
      <c r="AB50" s="17" t="s">
        <v>1333</v>
      </c>
      <c r="AC50" s="17" t="s">
        <v>1381</v>
      </c>
      <c r="AD50" s="17" t="s">
        <v>1362</v>
      </c>
      <c r="AE50" s="17">
        <f t="shared" si="6"/>
        <v>2</v>
      </c>
      <c r="AF50" s="17" t="s">
        <v>1328</v>
      </c>
      <c r="AG50" s="17" t="s">
        <v>1328</v>
      </c>
      <c r="AH50" s="17" t="s">
        <v>1336</v>
      </c>
      <c r="AI50" s="17" t="s">
        <v>1336</v>
      </c>
      <c r="AJ50" s="17" t="s">
        <v>1336</v>
      </c>
      <c r="AK50" s="17" t="s">
        <v>1336</v>
      </c>
      <c r="AL50" s="17" t="s">
        <v>1350</v>
      </c>
      <c r="AM50" s="17" t="s">
        <v>1351</v>
      </c>
      <c r="AN50" s="17" t="s">
        <v>1363</v>
      </c>
      <c r="AO50" s="17" t="s">
        <v>1331</v>
      </c>
      <c r="AP50" s="17" t="s">
        <v>1328</v>
      </c>
      <c r="AQ50" s="17" t="str">
        <f t="shared" si="7"/>
        <v>intermediate</v>
      </c>
      <c r="AR50" s="20" t="s">
        <v>1639</v>
      </c>
    </row>
    <row r="51" ht="15.75" customHeight="1">
      <c r="A51" s="16" t="s">
        <v>2215</v>
      </c>
      <c r="B51" s="16" t="s">
        <v>1824</v>
      </c>
      <c r="C51" s="16">
        <v>2016.0</v>
      </c>
      <c r="D51" s="16" t="s">
        <v>2216</v>
      </c>
      <c r="E51" s="16" t="s">
        <v>2217</v>
      </c>
      <c r="F51" s="16" t="s">
        <v>2218</v>
      </c>
      <c r="G51" s="16" t="str">
        <f t="shared" si="1"/>
        <v>Yes</v>
      </c>
      <c r="H51" s="16" t="s">
        <v>1324</v>
      </c>
      <c r="I51" s="16" t="s">
        <v>1328</v>
      </c>
      <c r="J51" s="16">
        <v>48.0</v>
      </c>
      <c r="K51" s="17" t="s">
        <v>2219</v>
      </c>
      <c r="L51" s="17" t="s">
        <v>5010</v>
      </c>
      <c r="M51" s="18" t="str">
        <f t="shared" si="2"/>
        <v>http://dx.doi.org/10.1007/s10531-015-1036-z</v>
      </c>
      <c r="N51" s="19" t="s">
        <v>1442</v>
      </c>
      <c r="O51" s="17" t="s">
        <v>1327</v>
      </c>
      <c r="P51" s="17" t="s">
        <v>1328</v>
      </c>
      <c r="Q51" s="17" t="s">
        <v>1328</v>
      </c>
      <c r="R51" s="17" t="s">
        <v>1328</v>
      </c>
      <c r="S51" s="17" t="s">
        <v>1328</v>
      </c>
      <c r="T51" s="17" t="s">
        <v>1328</v>
      </c>
      <c r="U51" s="20" t="str">
        <f t="shared" si="3"/>
        <v>Yes</v>
      </c>
      <c r="V51" s="19" t="str">
        <f t="shared" si="4"/>
        <v>PJ</v>
      </c>
      <c r="W51" s="17" t="str">
        <f t="shared" si="5"/>
        <v>Yes</v>
      </c>
      <c r="X51" s="17" t="s">
        <v>1443</v>
      </c>
      <c r="Y51" s="17" t="s">
        <v>1330</v>
      </c>
      <c r="Z51" s="17" t="s">
        <v>1331</v>
      </c>
      <c r="AA51" s="17" t="s">
        <v>1347</v>
      </c>
      <c r="AB51" s="17" t="s">
        <v>1444</v>
      </c>
      <c r="AC51" s="17" t="s">
        <v>1445</v>
      </c>
      <c r="AD51" s="17" t="s">
        <v>1446</v>
      </c>
      <c r="AE51" s="17">
        <f t="shared" si="6"/>
        <v>6</v>
      </c>
      <c r="AF51" s="17" t="s">
        <v>1328</v>
      </c>
      <c r="AG51" s="17" t="s">
        <v>1328</v>
      </c>
      <c r="AH51" s="17" t="s">
        <v>1328</v>
      </c>
      <c r="AI51" s="17" t="s">
        <v>1328</v>
      </c>
      <c r="AJ51" s="17" t="s">
        <v>1328</v>
      </c>
      <c r="AK51" s="17" t="s">
        <v>1328</v>
      </c>
      <c r="AL51" s="17" t="s">
        <v>1395</v>
      </c>
      <c r="AM51" s="17" t="s">
        <v>1351</v>
      </c>
      <c r="AN51" s="17" t="s">
        <v>1363</v>
      </c>
      <c r="AO51" s="17" t="s">
        <v>1331</v>
      </c>
      <c r="AP51" s="17" t="s">
        <v>1328</v>
      </c>
      <c r="AQ51" s="17" t="str">
        <f t="shared" si="7"/>
        <v>high</v>
      </c>
      <c r="AR51" s="20"/>
    </row>
    <row r="52" ht="15.75" customHeight="1">
      <c r="A52" s="16" t="s">
        <v>1524</v>
      </c>
      <c r="B52" s="16" t="s">
        <v>1525</v>
      </c>
      <c r="C52" s="16">
        <v>2005.0</v>
      </c>
      <c r="D52" s="16" t="s">
        <v>1526</v>
      </c>
      <c r="E52" s="16" t="s">
        <v>1527</v>
      </c>
      <c r="F52" s="16" t="s">
        <v>1528</v>
      </c>
      <c r="G52" s="16" t="str">
        <f t="shared" si="1"/>
        <v>No</v>
      </c>
      <c r="H52" s="16" t="s">
        <v>1324</v>
      </c>
      <c r="I52" s="16" t="s">
        <v>1324</v>
      </c>
      <c r="J52" s="16">
        <v>9.0</v>
      </c>
      <c r="K52" s="17" t="s">
        <v>1529</v>
      </c>
      <c r="L52" s="17" t="s">
        <v>5010</v>
      </c>
      <c r="M52" s="18" t="str">
        <f t="shared" si="2"/>
        <v>http://dx.doi.org/10.1139/F05-061</v>
      </c>
      <c r="N52" s="19" t="s">
        <v>1410</v>
      </c>
      <c r="O52" s="17" t="s">
        <v>1371</v>
      </c>
      <c r="P52" s="17" t="s">
        <v>1328</v>
      </c>
      <c r="Q52" s="17" t="s">
        <v>1328</v>
      </c>
      <c r="R52" s="17" t="s">
        <v>1328</v>
      </c>
      <c r="S52" s="17" t="s">
        <v>1328</v>
      </c>
      <c r="T52" s="17" t="s">
        <v>1328</v>
      </c>
      <c r="U52" s="20" t="str">
        <f t="shared" si="3"/>
        <v>Yes</v>
      </c>
      <c r="V52" s="19" t="str">
        <f t="shared" si="4"/>
        <v>LC</v>
      </c>
      <c r="W52" s="17" t="str">
        <f t="shared" si="5"/>
        <v>Yes</v>
      </c>
      <c r="X52" s="17" t="s">
        <v>1329</v>
      </c>
      <c r="Y52" s="17" t="s">
        <v>1372</v>
      </c>
      <c r="Z52" s="17" t="s">
        <v>1331</v>
      </c>
      <c r="AA52" s="17" t="s">
        <v>1347</v>
      </c>
      <c r="AB52" s="17" t="s">
        <v>1333</v>
      </c>
      <c r="AC52" s="17" t="s">
        <v>1348</v>
      </c>
      <c r="AD52" s="17" t="s">
        <v>1530</v>
      </c>
      <c r="AE52" s="17">
        <f t="shared" si="6"/>
        <v>4</v>
      </c>
      <c r="AF52" s="17" t="s">
        <v>1336</v>
      </c>
      <c r="AG52" s="17" t="s">
        <v>1328</v>
      </c>
      <c r="AH52" s="17" t="s">
        <v>1328</v>
      </c>
      <c r="AI52" s="17" t="s">
        <v>1328</v>
      </c>
      <c r="AJ52" s="17" t="s">
        <v>1328</v>
      </c>
      <c r="AK52" s="17" t="s">
        <v>1336</v>
      </c>
      <c r="AL52" s="17" t="s">
        <v>1350</v>
      </c>
      <c r="AM52" s="17" t="s">
        <v>1351</v>
      </c>
      <c r="AN52" s="17" t="s">
        <v>1339</v>
      </c>
      <c r="AO52" s="17" t="s">
        <v>1374</v>
      </c>
      <c r="AP52" s="17" t="s">
        <v>1328</v>
      </c>
      <c r="AQ52" s="17" t="str">
        <f t="shared" si="7"/>
        <v>intermediate</v>
      </c>
      <c r="AR52" s="20"/>
    </row>
    <row r="53" ht="15.75" customHeight="1">
      <c r="A53" s="16" t="s">
        <v>1633</v>
      </c>
      <c r="B53" s="16" t="s">
        <v>1634</v>
      </c>
      <c r="C53" s="16">
        <v>2014.0</v>
      </c>
      <c r="D53" s="16" t="s">
        <v>1635</v>
      </c>
      <c r="E53" s="16" t="s">
        <v>1636</v>
      </c>
      <c r="F53" s="16" t="s">
        <v>1637</v>
      </c>
      <c r="G53" s="16" t="str">
        <f t="shared" si="1"/>
        <v>No</v>
      </c>
      <c r="H53" s="16" t="s">
        <v>1324</v>
      </c>
      <c r="I53" s="16" t="s">
        <v>1324</v>
      </c>
      <c r="J53" s="16">
        <v>143.0</v>
      </c>
      <c r="K53" s="17" t="s">
        <v>1638</v>
      </c>
      <c r="L53" s="17" t="s">
        <v>5010</v>
      </c>
      <c r="M53" s="18" t="str">
        <f t="shared" si="2"/>
        <v>http://dx.doi.org/10.1111/gfs.12073</v>
      </c>
      <c r="N53" s="19" t="s">
        <v>1358</v>
      </c>
      <c r="O53" s="17" t="s">
        <v>1403</v>
      </c>
      <c r="P53" s="17" t="s">
        <v>1328</v>
      </c>
      <c r="Q53" s="17" t="s">
        <v>1328</v>
      </c>
      <c r="R53" s="17" t="s">
        <v>1328</v>
      </c>
      <c r="S53" s="17" t="s">
        <v>1328</v>
      </c>
      <c r="T53" s="17" t="s">
        <v>1328</v>
      </c>
      <c r="U53" s="20" t="str">
        <f t="shared" si="3"/>
        <v>Yes</v>
      </c>
      <c r="V53" s="19" t="str">
        <f t="shared" si="4"/>
        <v>DB</v>
      </c>
      <c r="W53" s="17" t="str">
        <f t="shared" si="5"/>
        <v>Yes</v>
      </c>
      <c r="X53" s="17" t="s">
        <v>1631</v>
      </c>
      <c r="Y53" s="17" t="s">
        <v>1330</v>
      </c>
      <c r="Z53" s="17" t="s">
        <v>1331</v>
      </c>
      <c r="AA53" s="17" t="s">
        <v>1347</v>
      </c>
      <c r="AB53" s="17" t="s">
        <v>1333</v>
      </c>
      <c r="AC53" s="17" t="s">
        <v>1381</v>
      </c>
      <c r="AD53" s="17" t="s">
        <v>1362</v>
      </c>
      <c r="AE53" s="17">
        <f t="shared" si="6"/>
        <v>2</v>
      </c>
      <c r="AF53" s="17" t="s">
        <v>1328</v>
      </c>
      <c r="AG53" s="17" t="s">
        <v>1328</v>
      </c>
      <c r="AH53" s="17" t="s">
        <v>1336</v>
      </c>
      <c r="AI53" s="17" t="s">
        <v>1336</v>
      </c>
      <c r="AJ53" s="17" t="s">
        <v>1336</v>
      </c>
      <c r="AK53" s="17" t="s">
        <v>1336</v>
      </c>
      <c r="AL53" s="17" t="s">
        <v>1350</v>
      </c>
      <c r="AM53" s="17" t="s">
        <v>1351</v>
      </c>
      <c r="AN53" s="17" t="s">
        <v>1363</v>
      </c>
      <c r="AO53" s="17" t="s">
        <v>1331</v>
      </c>
      <c r="AP53" s="17" t="s">
        <v>1328</v>
      </c>
      <c r="AQ53" s="17" t="str">
        <f t="shared" si="7"/>
        <v>intermediate</v>
      </c>
      <c r="AR53" s="20" t="s">
        <v>1639</v>
      </c>
    </row>
    <row r="54" ht="15.75" customHeight="1">
      <c r="A54" s="16" t="s">
        <v>2104</v>
      </c>
      <c r="B54" s="16" t="s">
        <v>251</v>
      </c>
      <c r="C54" s="16">
        <v>2016.0</v>
      </c>
      <c r="D54" s="16" t="s">
        <v>2105</v>
      </c>
      <c r="E54" s="16" t="s">
        <v>2106</v>
      </c>
      <c r="F54" s="16" t="s">
        <v>2107</v>
      </c>
      <c r="G54" s="16" t="str">
        <f t="shared" si="1"/>
        <v>No</v>
      </c>
      <c r="H54" s="16" t="s">
        <v>1324</v>
      </c>
      <c r="I54" s="16" t="s">
        <v>1324</v>
      </c>
      <c r="J54" s="16">
        <v>61.0</v>
      </c>
      <c r="K54" s="17" t="s">
        <v>2108</v>
      </c>
      <c r="L54" s="17" t="s">
        <v>5010</v>
      </c>
      <c r="M54" s="18" t="str">
        <f t="shared" si="2"/>
        <v>http://dx.doi.org/10.1016/j.biocon.2016.04.013</v>
      </c>
      <c r="N54" s="19" t="s">
        <v>1614</v>
      </c>
      <c r="O54" s="17" t="s">
        <v>1371</v>
      </c>
      <c r="P54" s="17" t="s">
        <v>1328</v>
      </c>
      <c r="Q54" s="17" t="s">
        <v>1328</v>
      </c>
      <c r="R54" s="17" t="s">
        <v>1328</v>
      </c>
      <c r="S54" s="17" t="s">
        <v>1328</v>
      </c>
      <c r="T54" s="17" t="s">
        <v>1328</v>
      </c>
      <c r="U54" s="20" t="str">
        <f t="shared" si="3"/>
        <v>Yes</v>
      </c>
      <c r="V54" s="19" t="str">
        <f t="shared" si="4"/>
        <v>LC</v>
      </c>
      <c r="W54" s="17" t="str">
        <f t="shared" si="5"/>
        <v>Yes</v>
      </c>
      <c r="X54" s="17" t="s">
        <v>1329</v>
      </c>
      <c r="Y54" s="17" t="s">
        <v>1330</v>
      </c>
      <c r="Z54" s="17" t="s">
        <v>1330</v>
      </c>
      <c r="AA54" s="17" t="s">
        <v>1332</v>
      </c>
      <c r="AB54" s="17" t="s">
        <v>1333</v>
      </c>
      <c r="AC54" s="17" t="s">
        <v>1334</v>
      </c>
      <c r="AD54" s="17" t="s">
        <v>1362</v>
      </c>
      <c r="AE54" s="17">
        <f t="shared" si="6"/>
        <v>2</v>
      </c>
      <c r="AF54" s="17" t="s">
        <v>1336</v>
      </c>
      <c r="AG54" s="17" t="s">
        <v>1328</v>
      </c>
      <c r="AH54" s="17" t="s">
        <v>1328</v>
      </c>
      <c r="AI54" s="17" t="s">
        <v>1336</v>
      </c>
      <c r="AJ54" s="17" t="s">
        <v>1336</v>
      </c>
      <c r="AK54" s="17" t="s">
        <v>1336</v>
      </c>
      <c r="AL54" s="17" t="s">
        <v>1395</v>
      </c>
      <c r="AM54" s="17" t="s">
        <v>1351</v>
      </c>
      <c r="AN54" s="17" t="s">
        <v>1363</v>
      </c>
      <c r="AO54" s="17" t="s">
        <v>1374</v>
      </c>
      <c r="AP54" s="17" t="s">
        <v>1328</v>
      </c>
      <c r="AQ54" s="17" t="str">
        <f t="shared" si="7"/>
        <v>intermediate</v>
      </c>
      <c r="AR54" s="20"/>
    </row>
    <row r="55" ht="15.75" customHeight="1">
      <c r="A55" s="16" t="s">
        <v>2136</v>
      </c>
      <c r="B55" s="16" t="s">
        <v>2131</v>
      </c>
      <c r="C55" s="16">
        <v>2012.0</v>
      </c>
      <c r="D55" s="16" t="s">
        <v>2137</v>
      </c>
      <c r="E55" s="16" t="s">
        <v>2138</v>
      </c>
      <c r="F55" s="16" t="s">
        <v>2139</v>
      </c>
      <c r="G55" s="16" t="str">
        <f t="shared" si="1"/>
        <v>No</v>
      </c>
      <c r="H55" s="16" t="s">
        <v>1324</v>
      </c>
      <c r="I55" s="16" t="s">
        <v>1324</v>
      </c>
      <c r="J55" s="16">
        <v>49.0</v>
      </c>
      <c r="K55" s="17" t="s">
        <v>2140</v>
      </c>
      <c r="L55" s="17" t="s">
        <v>5010</v>
      </c>
      <c r="M55" s="18" t="str">
        <f t="shared" si="2"/>
        <v>http://dx.doi.org/10.1016/j.agrformet.2012.07.007</v>
      </c>
      <c r="N55" s="19" t="s">
        <v>1666</v>
      </c>
      <c r="O55" s="17" t="s">
        <v>1371</v>
      </c>
      <c r="P55" s="17" t="s">
        <v>1328</v>
      </c>
      <c r="Q55" s="17" t="s">
        <v>1328</v>
      </c>
      <c r="R55" s="17" t="s">
        <v>1328</v>
      </c>
      <c r="S55" s="17" t="s">
        <v>1328</v>
      </c>
      <c r="T55" s="17" t="s">
        <v>1328</v>
      </c>
      <c r="U55" s="20" t="str">
        <f t="shared" si="3"/>
        <v>Yes</v>
      </c>
      <c r="V55" s="19" t="str">
        <f t="shared" si="4"/>
        <v>LC</v>
      </c>
      <c r="W55" s="17" t="str">
        <f t="shared" si="5"/>
        <v>Yes</v>
      </c>
      <c r="X55" s="17" t="s">
        <v>1329</v>
      </c>
      <c r="Y55" s="17" t="s">
        <v>1372</v>
      </c>
      <c r="Z55" s="17" t="s">
        <v>1372</v>
      </c>
      <c r="AA55" s="17" t="s">
        <v>1347</v>
      </c>
      <c r="AB55" s="17" t="s">
        <v>1333</v>
      </c>
      <c r="AC55" s="17" t="s">
        <v>1348</v>
      </c>
      <c r="AD55" s="17" t="s">
        <v>1362</v>
      </c>
      <c r="AE55" s="17">
        <f t="shared" si="6"/>
        <v>2</v>
      </c>
      <c r="AF55" s="17" t="s">
        <v>1336</v>
      </c>
      <c r="AG55" s="17" t="s">
        <v>1336</v>
      </c>
      <c r="AH55" s="17" t="s">
        <v>1336</v>
      </c>
      <c r="AI55" s="17" t="s">
        <v>1328</v>
      </c>
      <c r="AJ55" s="17" t="s">
        <v>1336</v>
      </c>
      <c r="AK55" s="17" t="s">
        <v>1328</v>
      </c>
      <c r="AL55" s="17" t="s">
        <v>1350</v>
      </c>
      <c r="AM55" s="17" t="s">
        <v>1351</v>
      </c>
      <c r="AN55" s="17" t="s">
        <v>1363</v>
      </c>
      <c r="AO55" s="17" t="s">
        <v>1388</v>
      </c>
      <c r="AP55" s="17" t="s">
        <v>1328</v>
      </c>
      <c r="AQ55" s="17" t="str">
        <f t="shared" si="7"/>
        <v>intermediate</v>
      </c>
      <c r="AR55" s="20"/>
    </row>
    <row r="56" ht="15.75" customHeight="1">
      <c r="A56" s="16" t="s">
        <v>1704</v>
      </c>
      <c r="B56" s="16" t="s">
        <v>1587</v>
      </c>
      <c r="C56" s="16">
        <v>2016.0</v>
      </c>
      <c r="D56" s="16" t="s">
        <v>1705</v>
      </c>
      <c r="E56" s="16" t="s">
        <v>1706</v>
      </c>
      <c r="F56" s="16" t="s">
        <v>1707</v>
      </c>
      <c r="G56" s="16" t="str">
        <f t="shared" si="1"/>
        <v>No</v>
      </c>
      <c r="H56" s="16" t="s">
        <v>1324</v>
      </c>
      <c r="I56" s="16" t="s">
        <v>1324</v>
      </c>
      <c r="J56" s="16">
        <v>33.0</v>
      </c>
      <c r="K56" s="17" t="s">
        <v>1708</v>
      </c>
      <c r="L56" s="17" t="s">
        <v>5010</v>
      </c>
      <c r="M56" s="18" t="str">
        <f t="shared" si="2"/>
        <v>http://dx.doi.org/10.1111/cobi.12576</v>
      </c>
      <c r="N56" s="19" t="s">
        <v>1402</v>
      </c>
      <c r="O56" s="17" t="s">
        <v>1403</v>
      </c>
      <c r="P56" s="17" t="s">
        <v>1328</v>
      </c>
      <c r="Q56" s="17" t="s">
        <v>1328</v>
      </c>
      <c r="R56" s="17" t="s">
        <v>1328</v>
      </c>
      <c r="S56" s="17" t="s">
        <v>1328</v>
      </c>
      <c r="T56" s="17" t="s">
        <v>1328</v>
      </c>
      <c r="U56" s="20" t="str">
        <f t="shared" si="3"/>
        <v>Yes</v>
      </c>
      <c r="V56" s="19" t="str">
        <f t="shared" si="4"/>
        <v>DB</v>
      </c>
      <c r="W56" s="17" t="str">
        <f t="shared" si="5"/>
        <v>Yes</v>
      </c>
      <c r="X56" s="17" t="s">
        <v>1329</v>
      </c>
      <c r="Y56" s="17" t="s">
        <v>1330</v>
      </c>
      <c r="Z56" s="17" t="s">
        <v>1331</v>
      </c>
      <c r="AA56" s="17" t="s">
        <v>1347</v>
      </c>
      <c r="AB56" s="17" t="s">
        <v>1333</v>
      </c>
      <c r="AC56" s="17" t="s">
        <v>1381</v>
      </c>
      <c r="AD56" s="17" t="s">
        <v>1349</v>
      </c>
      <c r="AE56" s="17">
        <f t="shared" si="6"/>
        <v>2</v>
      </c>
      <c r="AF56" s="17" t="s">
        <v>1336</v>
      </c>
      <c r="AG56" s="17" t="s">
        <v>1336</v>
      </c>
      <c r="AH56" s="17" t="s">
        <v>1328</v>
      </c>
      <c r="AI56" s="17" t="s">
        <v>1336</v>
      </c>
      <c r="AJ56" s="17" t="s">
        <v>1328</v>
      </c>
      <c r="AK56" s="17" t="s">
        <v>1336</v>
      </c>
      <c r="AL56" s="17" t="s">
        <v>1350</v>
      </c>
      <c r="AM56" s="17" t="s">
        <v>1351</v>
      </c>
      <c r="AN56" s="17" t="s">
        <v>1363</v>
      </c>
      <c r="AO56" s="17" t="s">
        <v>1388</v>
      </c>
      <c r="AP56" s="17" t="s">
        <v>1328</v>
      </c>
      <c r="AQ56" s="17" t="str">
        <f t="shared" si="7"/>
        <v>intermediate</v>
      </c>
      <c r="AR56" s="20"/>
    </row>
    <row r="57" ht="15.75" customHeight="1">
      <c r="A57" s="16" t="s">
        <v>2278</v>
      </c>
      <c r="B57" s="16" t="s">
        <v>2279</v>
      </c>
      <c r="C57" s="16">
        <v>2009.0</v>
      </c>
      <c r="D57" s="16" t="s">
        <v>2280</v>
      </c>
      <c r="E57" s="16" t="s">
        <v>2281</v>
      </c>
      <c r="F57" s="23" t="s">
        <v>1324</v>
      </c>
      <c r="G57" s="16" t="str">
        <f t="shared" si="1"/>
        <v>No</v>
      </c>
      <c r="H57" s="16" t="s">
        <v>1324</v>
      </c>
      <c r="I57" s="16" t="s">
        <v>1324</v>
      </c>
      <c r="J57" s="16">
        <v>18.0</v>
      </c>
      <c r="K57" s="17" t="s">
        <v>2282</v>
      </c>
      <c r="L57" s="17" t="s">
        <v>1324</v>
      </c>
      <c r="M57" s="18" t="str">
        <f t="shared" si="2"/>
        <v/>
      </c>
      <c r="N57" s="19" t="s">
        <v>1462</v>
      </c>
      <c r="O57" s="17" t="s">
        <v>1359</v>
      </c>
      <c r="P57" s="17" t="s">
        <v>1328</v>
      </c>
      <c r="Q57" s="17" t="s">
        <v>1328</v>
      </c>
      <c r="R57" s="17" t="s">
        <v>1328</v>
      </c>
      <c r="S57" s="17" t="s">
        <v>1328</v>
      </c>
      <c r="T57" s="17" t="s">
        <v>1328</v>
      </c>
      <c r="U57" s="20" t="str">
        <f t="shared" si="3"/>
        <v>Yes</v>
      </c>
      <c r="V57" s="19" t="str">
        <f t="shared" si="4"/>
        <v>YT</v>
      </c>
      <c r="W57" s="17" t="str">
        <f t="shared" si="5"/>
        <v>Yes</v>
      </c>
      <c r="X57" s="17" t="s">
        <v>1463</v>
      </c>
      <c r="Y57" s="17" t="s">
        <v>1330</v>
      </c>
      <c r="Z57" s="17" t="s">
        <v>1331</v>
      </c>
      <c r="AA57" s="17" t="s">
        <v>1347</v>
      </c>
      <c r="AB57" s="17" t="s">
        <v>1360</v>
      </c>
      <c r="AC57" s="17" t="s">
        <v>1381</v>
      </c>
      <c r="AD57" s="17" t="s">
        <v>1362</v>
      </c>
      <c r="AE57" s="17">
        <f t="shared" si="6"/>
        <v>3</v>
      </c>
      <c r="AF57" s="17" t="s">
        <v>1328</v>
      </c>
      <c r="AG57" s="17" t="s">
        <v>1328</v>
      </c>
      <c r="AH57" s="17" t="s">
        <v>1336</v>
      </c>
      <c r="AI57" s="17" t="s">
        <v>1336</v>
      </c>
      <c r="AJ57" s="17" t="s">
        <v>1328</v>
      </c>
      <c r="AK57" s="17" t="s">
        <v>1336</v>
      </c>
      <c r="AL57" s="17" t="s">
        <v>1350</v>
      </c>
      <c r="AM57" s="17" t="s">
        <v>1351</v>
      </c>
      <c r="AN57" s="17" t="s">
        <v>1363</v>
      </c>
      <c r="AO57" s="17" t="s">
        <v>1331</v>
      </c>
      <c r="AP57" s="17" t="s">
        <v>1328</v>
      </c>
      <c r="AQ57" s="17" t="str">
        <f t="shared" si="7"/>
        <v>high</v>
      </c>
      <c r="AR57" s="20" t="s">
        <v>2283</v>
      </c>
    </row>
    <row r="58" ht="15.75" customHeight="1">
      <c r="A58" s="16" t="s">
        <v>1586</v>
      </c>
      <c r="B58" s="16" t="s">
        <v>1587</v>
      </c>
      <c r="C58" s="16">
        <v>2009.0</v>
      </c>
      <c r="D58" s="16" t="s">
        <v>1588</v>
      </c>
      <c r="E58" s="16" t="s">
        <v>1589</v>
      </c>
      <c r="F58" s="16" t="s">
        <v>1590</v>
      </c>
      <c r="G58" s="16" t="str">
        <f t="shared" si="1"/>
        <v>No</v>
      </c>
      <c r="H58" s="16" t="s">
        <v>1324</v>
      </c>
      <c r="I58" s="16" t="s">
        <v>1324</v>
      </c>
      <c r="J58" s="16">
        <v>3.0</v>
      </c>
      <c r="K58" s="17" t="s">
        <v>1591</v>
      </c>
      <c r="L58" s="17" t="s">
        <v>5010</v>
      </c>
      <c r="M58" s="18" t="str">
        <f t="shared" si="2"/>
        <v>http://dx.doi.org/10.1111/j.1523-1739.2009.01336.x</v>
      </c>
      <c r="N58" s="19" t="s">
        <v>1326</v>
      </c>
      <c r="O58" s="17" t="s">
        <v>1327</v>
      </c>
      <c r="P58" s="17" t="s">
        <v>1328</v>
      </c>
      <c r="Q58" s="17" t="s">
        <v>1328</v>
      </c>
      <c r="R58" s="17" t="s">
        <v>1328</v>
      </c>
      <c r="S58" s="17" t="s">
        <v>1328</v>
      </c>
      <c r="T58" s="17" t="s">
        <v>1328</v>
      </c>
      <c r="U58" s="20" t="str">
        <f t="shared" si="3"/>
        <v>Yes</v>
      </c>
      <c r="V58" s="19" t="str">
        <f t="shared" si="4"/>
        <v>PJ</v>
      </c>
      <c r="W58" s="17" t="str">
        <f t="shared" si="5"/>
        <v>Yes</v>
      </c>
      <c r="X58" s="17" t="s">
        <v>1329</v>
      </c>
      <c r="Y58" s="17" t="s">
        <v>1330</v>
      </c>
      <c r="Z58" s="17" t="s">
        <v>1331</v>
      </c>
      <c r="AA58" s="17" t="s">
        <v>1347</v>
      </c>
      <c r="AB58" s="17" t="s">
        <v>1444</v>
      </c>
      <c r="AC58" s="17" t="s">
        <v>1476</v>
      </c>
      <c r="AD58" s="17" t="s">
        <v>1446</v>
      </c>
      <c r="AE58" s="17">
        <f t="shared" si="6"/>
        <v>6</v>
      </c>
      <c r="AF58" s="17" t="s">
        <v>1328</v>
      </c>
      <c r="AG58" s="17" t="s">
        <v>1328</v>
      </c>
      <c r="AH58" s="17" t="s">
        <v>1328</v>
      </c>
      <c r="AI58" s="17" t="s">
        <v>1328</v>
      </c>
      <c r="AJ58" s="17" t="s">
        <v>1328</v>
      </c>
      <c r="AK58" s="17" t="s">
        <v>1328</v>
      </c>
      <c r="AL58" s="17" t="s">
        <v>1395</v>
      </c>
      <c r="AM58" s="17" t="s">
        <v>1351</v>
      </c>
      <c r="AN58" s="17" t="s">
        <v>1363</v>
      </c>
      <c r="AO58" s="17" t="s">
        <v>1374</v>
      </c>
      <c r="AP58" s="17" t="s">
        <v>1328</v>
      </c>
      <c r="AQ58" s="17" t="str">
        <f t="shared" si="7"/>
        <v>high</v>
      </c>
      <c r="AR58" s="20"/>
    </row>
    <row r="59" ht="15.75" customHeight="1">
      <c r="A59" s="16" t="s">
        <v>2064</v>
      </c>
      <c r="B59" s="16" t="s">
        <v>2059</v>
      </c>
      <c r="C59" s="16">
        <v>2011.0</v>
      </c>
      <c r="D59" s="16" t="s">
        <v>2065</v>
      </c>
      <c r="E59" s="16" t="s">
        <v>2066</v>
      </c>
      <c r="F59" s="16" t="s">
        <v>2067</v>
      </c>
      <c r="G59" s="16" t="str">
        <f t="shared" si="1"/>
        <v>No</v>
      </c>
      <c r="H59" s="16" t="s">
        <v>1324</v>
      </c>
      <c r="I59" s="16" t="s">
        <v>1324</v>
      </c>
      <c r="J59" s="16">
        <v>21.0</v>
      </c>
      <c r="K59" s="17" t="s">
        <v>2068</v>
      </c>
      <c r="L59" s="17" t="s">
        <v>5010</v>
      </c>
      <c r="M59" s="18" t="str">
        <f t="shared" si="2"/>
        <v>http://dx.doi.org/10.1016/j.ecolmodel.2011.03.042</v>
      </c>
      <c r="N59" s="19" t="s">
        <v>1358</v>
      </c>
      <c r="O59" s="17" t="s">
        <v>1327</v>
      </c>
      <c r="P59" s="17" t="s">
        <v>1328</v>
      </c>
      <c r="Q59" s="17" t="s">
        <v>1328</v>
      </c>
      <c r="R59" s="17" t="s">
        <v>1328</v>
      </c>
      <c r="S59" s="17" t="s">
        <v>1328</v>
      </c>
      <c r="T59" s="17" t="s">
        <v>1328</v>
      </c>
      <c r="U59" s="20" t="str">
        <f t="shared" si="3"/>
        <v>Yes</v>
      </c>
      <c r="V59" s="19" t="str">
        <f t="shared" si="4"/>
        <v>PJ</v>
      </c>
      <c r="W59" s="17" t="str">
        <f t="shared" si="5"/>
        <v>Yes</v>
      </c>
      <c r="X59" s="17" t="s">
        <v>1329</v>
      </c>
      <c r="Y59" s="17" t="s">
        <v>1330</v>
      </c>
      <c r="Z59" s="17" t="s">
        <v>1331</v>
      </c>
      <c r="AA59" s="17" t="s">
        <v>1347</v>
      </c>
      <c r="AB59" s="17" t="s">
        <v>1360</v>
      </c>
      <c r="AC59" s="17" t="s">
        <v>1348</v>
      </c>
      <c r="AD59" s="17" t="s">
        <v>2069</v>
      </c>
      <c r="AE59" s="17">
        <f t="shared" si="6"/>
        <v>3</v>
      </c>
      <c r="AF59" s="17" t="s">
        <v>1336</v>
      </c>
      <c r="AG59" s="17" t="s">
        <v>1328</v>
      </c>
      <c r="AH59" s="17" t="s">
        <v>1328</v>
      </c>
      <c r="AI59" s="17" t="s">
        <v>1336</v>
      </c>
      <c r="AJ59" s="17" t="s">
        <v>1336</v>
      </c>
      <c r="AK59" s="17" t="s">
        <v>1328</v>
      </c>
      <c r="AL59" s="17" t="s">
        <v>1350</v>
      </c>
      <c r="AM59" s="17" t="s">
        <v>1351</v>
      </c>
      <c r="AN59" s="17" t="s">
        <v>1363</v>
      </c>
      <c r="AO59" s="17" t="s">
        <v>1331</v>
      </c>
      <c r="AP59" s="17" t="s">
        <v>1328</v>
      </c>
      <c r="AQ59" s="17" t="str">
        <f t="shared" si="7"/>
        <v>high</v>
      </c>
      <c r="AR59" s="20"/>
    </row>
    <row r="60" ht="15.75" customHeight="1">
      <c r="A60" s="16" t="s">
        <v>1364</v>
      </c>
      <c r="B60" s="16" t="s">
        <v>1365</v>
      </c>
      <c r="C60" s="16">
        <v>2013.0</v>
      </c>
      <c r="D60" s="16" t="s">
        <v>1366</v>
      </c>
      <c r="E60" s="16" t="s">
        <v>1367</v>
      </c>
      <c r="F60" s="23" t="s">
        <v>1368</v>
      </c>
      <c r="G60" s="16" t="str">
        <f t="shared" si="1"/>
        <v>No</v>
      </c>
      <c r="H60" s="16" t="s">
        <v>1324</v>
      </c>
      <c r="I60" s="16" t="s">
        <v>1324</v>
      </c>
      <c r="J60" s="16">
        <v>28.0</v>
      </c>
      <c r="K60" s="17" t="s">
        <v>1369</v>
      </c>
      <c r="L60" s="17"/>
      <c r="M60" s="18" t="str">
        <f t="shared" si="2"/>
        <v>http://dx.doi.org/10.4236/jep.2013.412168</v>
      </c>
      <c r="N60" s="19" t="s">
        <v>1370</v>
      </c>
      <c r="O60" s="17" t="s">
        <v>1371</v>
      </c>
      <c r="P60" s="17" t="s">
        <v>1328</v>
      </c>
      <c r="Q60" s="17" t="s">
        <v>1328</v>
      </c>
      <c r="R60" s="17" t="s">
        <v>1328</v>
      </c>
      <c r="S60" s="17" t="s">
        <v>1328</v>
      </c>
      <c r="T60" s="17" t="s">
        <v>1328</v>
      </c>
      <c r="U60" s="20" t="str">
        <f t="shared" si="3"/>
        <v>Yes</v>
      </c>
      <c r="V60" s="19" t="str">
        <f t="shared" si="4"/>
        <v>LC</v>
      </c>
      <c r="W60" s="17" t="str">
        <f t="shared" si="5"/>
        <v>Yes</v>
      </c>
      <c r="X60" s="17" t="s">
        <v>1329</v>
      </c>
      <c r="Y60" s="17" t="s">
        <v>1372</v>
      </c>
      <c r="Z60" s="17" t="s">
        <v>1331</v>
      </c>
      <c r="AA60" s="17" t="s">
        <v>1332</v>
      </c>
      <c r="AB60" s="17" t="s">
        <v>1333</v>
      </c>
      <c r="AC60" s="17" t="s">
        <v>1334</v>
      </c>
      <c r="AD60" s="17" t="s">
        <v>1373</v>
      </c>
      <c r="AE60" s="17">
        <f t="shared" si="6"/>
        <v>2</v>
      </c>
      <c r="AF60" s="17" t="s">
        <v>1336</v>
      </c>
      <c r="AG60" s="17" t="s">
        <v>1328</v>
      </c>
      <c r="AH60" s="17" t="s">
        <v>1328</v>
      </c>
      <c r="AI60" s="17" t="s">
        <v>1336</v>
      </c>
      <c r="AJ60" s="17" t="s">
        <v>1336</v>
      </c>
      <c r="AK60" s="17" t="s">
        <v>1336</v>
      </c>
      <c r="AL60" s="17" t="s">
        <v>1350</v>
      </c>
      <c r="AM60" s="17" t="s">
        <v>1338</v>
      </c>
      <c r="AN60" s="17" t="s">
        <v>1339</v>
      </c>
      <c r="AO60" s="17" t="s">
        <v>1374</v>
      </c>
      <c r="AP60" s="17" t="s">
        <v>1328</v>
      </c>
      <c r="AQ60" s="17" t="str">
        <f t="shared" si="7"/>
        <v>intermediate</v>
      </c>
      <c r="AR60" s="20"/>
    </row>
    <row r="61" ht="15.75" customHeight="1">
      <c r="A61" s="16" t="s">
        <v>2153</v>
      </c>
      <c r="B61" s="16" t="s">
        <v>2154</v>
      </c>
      <c r="C61" s="16">
        <v>2008.0</v>
      </c>
      <c r="D61" s="16" t="s">
        <v>2155</v>
      </c>
      <c r="E61" s="16" t="s">
        <v>2156</v>
      </c>
      <c r="F61" s="16" t="s">
        <v>2157</v>
      </c>
      <c r="G61" s="16" t="str">
        <f t="shared" si="1"/>
        <v>No</v>
      </c>
      <c r="H61" s="16" t="s">
        <v>1324</v>
      </c>
      <c r="I61" s="16" t="s">
        <v>1324</v>
      </c>
      <c r="J61" s="16">
        <v>46.0</v>
      </c>
      <c r="K61" s="17" t="s">
        <v>2158</v>
      </c>
      <c r="L61" s="17" t="s">
        <v>5010</v>
      </c>
      <c r="M61" s="18" t="str">
        <f t="shared" si="2"/>
        <v>http://dx.doi.org/10.1016/B978-012088449-0.50007-8</v>
      </c>
      <c r="N61" s="19" t="s">
        <v>1495</v>
      </c>
      <c r="O61" s="17" t="s">
        <v>1327</v>
      </c>
      <c r="P61" s="17" t="s">
        <v>1328</v>
      </c>
      <c r="Q61" s="17" t="s">
        <v>1328</v>
      </c>
      <c r="R61" s="17" t="s">
        <v>1328</v>
      </c>
      <c r="S61" s="17" t="s">
        <v>1328</v>
      </c>
      <c r="T61" s="17" t="s">
        <v>1328</v>
      </c>
      <c r="U61" s="20" t="str">
        <f t="shared" si="3"/>
        <v>Yes</v>
      </c>
      <c r="V61" s="19" t="str">
        <f t="shared" si="4"/>
        <v>PJ</v>
      </c>
      <c r="W61" s="17" t="str">
        <f t="shared" si="5"/>
        <v>Yes</v>
      </c>
      <c r="X61" s="17" t="s">
        <v>1443</v>
      </c>
      <c r="Y61" s="17" t="s">
        <v>1372</v>
      </c>
      <c r="Z61" s="17" t="s">
        <v>1331</v>
      </c>
      <c r="AA61" s="17" t="s">
        <v>1332</v>
      </c>
      <c r="AB61" s="17" t="s">
        <v>1444</v>
      </c>
      <c r="AC61" s="17" t="s">
        <v>1476</v>
      </c>
      <c r="AD61" s="17" t="s">
        <v>1530</v>
      </c>
      <c r="AE61" s="17">
        <f t="shared" si="6"/>
        <v>5</v>
      </c>
      <c r="AF61" s="17" t="s">
        <v>1336</v>
      </c>
      <c r="AG61" s="17" t="s">
        <v>1328</v>
      </c>
      <c r="AH61" s="17" t="s">
        <v>1328</v>
      </c>
      <c r="AI61" s="17" t="s">
        <v>1328</v>
      </c>
      <c r="AJ61" s="17" t="s">
        <v>1328</v>
      </c>
      <c r="AK61" s="17" t="s">
        <v>1328</v>
      </c>
      <c r="AL61" s="17" t="s">
        <v>1350</v>
      </c>
      <c r="AM61" s="17" t="s">
        <v>1351</v>
      </c>
      <c r="AN61" s="17" t="s">
        <v>1339</v>
      </c>
      <c r="AO61" s="17" t="s">
        <v>1331</v>
      </c>
      <c r="AP61" s="17" t="s">
        <v>1328</v>
      </c>
      <c r="AQ61" s="17" t="str">
        <f t="shared" si="7"/>
        <v>high</v>
      </c>
      <c r="AR61" s="20"/>
    </row>
    <row r="62" ht="15.75" customHeight="1">
      <c r="A62" s="16" t="s">
        <v>1340</v>
      </c>
      <c r="B62" s="16" t="s">
        <v>1341</v>
      </c>
      <c r="C62" s="16">
        <v>2018.0</v>
      </c>
      <c r="D62" s="16" t="s">
        <v>1342</v>
      </c>
      <c r="E62" s="16" t="s">
        <v>1343</v>
      </c>
      <c r="F62" s="16" t="s">
        <v>1344</v>
      </c>
      <c r="G62" s="16" t="str">
        <f t="shared" si="1"/>
        <v>No</v>
      </c>
      <c r="H62" s="16" t="s">
        <v>1324</v>
      </c>
      <c r="I62" s="16" t="s">
        <v>1324</v>
      </c>
      <c r="J62" s="16">
        <v>85.0</v>
      </c>
      <c r="K62" s="17" t="s">
        <v>1345</v>
      </c>
      <c r="L62" s="17" t="s">
        <v>5010</v>
      </c>
      <c r="M62" s="18" t="str">
        <f t="shared" si="2"/>
        <v>http://dx.doi.org/10.5343/bms.2017.1061</v>
      </c>
      <c r="N62" s="19" t="s">
        <v>1346</v>
      </c>
      <c r="O62" s="17" t="s">
        <v>1327</v>
      </c>
      <c r="P62" s="17" t="s">
        <v>1328</v>
      </c>
      <c r="Q62" s="17" t="s">
        <v>1328</v>
      </c>
      <c r="R62" s="17" t="s">
        <v>1328</v>
      </c>
      <c r="S62" s="17" t="s">
        <v>1328</v>
      </c>
      <c r="T62" s="17" t="s">
        <v>1328</v>
      </c>
      <c r="U62" s="20" t="str">
        <f t="shared" si="3"/>
        <v>Yes</v>
      </c>
      <c r="V62" s="19" t="str">
        <f t="shared" si="4"/>
        <v>PJ</v>
      </c>
      <c r="W62" s="17" t="str">
        <f t="shared" si="5"/>
        <v>Yes</v>
      </c>
      <c r="X62" s="17" t="s">
        <v>1329</v>
      </c>
      <c r="Y62" s="17" t="s">
        <v>1330</v>
      </c>
      <c r="Z62" s="17" t="s">
        <v>1331</v>
      </c>
      <c r="AA62" s="17" t="s">
        <v>1347</v>
      </c>
      <c r="AB62" s="17" t="s">
        <v>1333</v>
      </c>
      <c r="AC62" s="17" t="s">
        <v>1348</v>
      </c>
      <c r="AD62" s="17" t="s">
        <v>1349</v>
      </c>
      <c r="AE62" s="17">
        <f t="shared" si="6"/>
        <v>3</v>
      </c>
      <c r="AF62" s="17" t="s">
        <v>1328</v>
      </c>
      <c r="AG62" s="17" t="s">
        <v>1336</v>
      </c>
      <c r="AH62" s="17" t="s">
        <v>1328</v>
      </c>
      <c r="AI62" s="17" t="s">
        <v>1336</v>
      </c>
      <c r="AJ62" s="17" t="s">
        <v>1328</v>
      </c>
      <c r="AK62" s="17" t="s">
        <v>1336</v>
      </c>
      <c r="AL62" s="17" t="s">
        <v>1350</v>
      </c>
      <c r="AM62" s="17" t="s">
        <v>1351</v>
      </c>
      <c r="AN62" s="17" t="s">
        <v>1339</v>
      </c>
      <c r="AO62" s="17" t="s">
        <v>1331</v>
      </c>
      <c r="AP62" s="17" t="s">
        <v>1328</v>
      </c>
      <c r="AQ62" s="17" t="str">
        <f t="shared" si="7"/>
        <v>intermediate</v>
      </c>
      <c r="AR62" s="20"/>
    </row>
    <row r="63" ht="15.75" customHeight="1">
      <c r="A63" s="16" t="s">
        <v>1319</v>
      </c>
      <c r="B63" s="16" t="s">
        <v>1320</v>
      </c>
      <c r="C63" s="16">
        <v>2016.0</v>
      </c>
      <c r="D63" s="16" t="s">
        <v>1321</v>
      </c>
      <c r="E63" s="16" t="s">
        <v>1322</v>
      </c>
      <c r="F63" s="23" t="s">
        <v>1323</v>
      </c>
      <c r="G63" s="16" t="str">
        <f t="shared" si="1"/>
        <v>No</v>
      </c>
      <c r="H63" s="16" t="s">
        <v>1324</v>
      </c>
      <c r="I63" s="16" t="s">
        <v>1324</v>
      </c>
      <c r="J63" s="16">
        <v>11.0</v>
      </c>
      <c r="K63" s="17" t="s">
        <v>1325</v>
      </c>
      <c r="L63" s="17"/>
      <c r="M63" s="18" t="str">
        <f t="shared" si="2"/>
        <v>http://dx.doi.org/10.5897/IJBC2016.1027</v>
      </c>
      <c r="N63" s="19" t="s">
        <v>1326</v>
      </c>
      <c r="O63" s="17" t="s">
        <v>1327</v>
      </c>
      <c r="P63" s="17" t="s">
        <v>1328</v>
      </c>
      <c r="Q63" s="17" t="s">
        <v>1328</v>
      </c>
      <c r="R63" s="17" t="s">
        <v>1328</v>
      </c>
      <c r="S63" s="17" t="s">
        <v>1328</v>
      </c>
      <c r="T63" s="17" t="s">
        <v>1328</v>
      </c>
      <c r="U63" s="20" t="str">
        <f t="shared" si="3"/>
        <v>Yes</v>
      </c>
      <c r="V63" s="19" t="str">
        <f t="shared" si="4"/>
        <v>PJ</v>
      </c>
      <c r="W63" s="17" t="str">
        <f t="shared" si="5"/>
        <v>Yes</v>
      </c>
      <c r="X63" s="17" t="s">
        <v>1329</v>
      </c>
      <c r="Y63" s="17" t="s">
        <v>1330</v>
      </c>
      <c r="Z63" s="17" t="s">
        <v>1331</v>
      </c>
      <c r="AA63" s="17" t="s">
        <v>1332</v>
      </c>
      <c r="AB63" s="17" t="s">
        <v>1333</v>
      </c>
      <c r="AC63" s="17" t="s">
        <v>1334</v>
      </c>
      <c r="AD63" s="17" t="s">
        <v>1335</v>
      </c>
      <c r="AE63" s="17">
        <f t="shared" si="6"/>
        <v>4</v>
      </c>
      <c r="AF63" s="17" t="s">
        <v>1336</v>
      </c>
      <c r="AG63" s="17" t="s">
        <v>1328</v>
      </c>
      <c r="AH63" s="17" t="s">
        <v>1328</v>
      </c>
      <c r="AI63" s="17" t="s">
        <v>1328</v>
      </c>
      <c r="AJ63" s="17" t="s">
        <v>1328</v>
      </c>
      <c r="AK63" s="17" t="s">
        <v>1336</v>
      </c>
      <c r="AL63" s="17" t="s">
        <v>1337</v>
      </c>
      <c r="AM63" s="17" t="s">
        <v>1338</v>
      </c>
      <c r="AN63" s="17" t="s">
        <v>1339</v>
      </c>
      <c r="AO63" s="17" t="s">
        <v>1331</v>
      </c>
      <c r="AP63" s="17" t="s">
        <v>1328</v>
      </c>
      <c r="AQ63" s="17" t="str">
        <f t="shared" si="7"/>
        <v>intermediate</v>
      </c>
      <c r="AR63" s="20"/>
    </row>
    <row r="64" ht="15.75" customHeight="1">
      <c r="A64" s="16" t="s">
        <v>1818</v>
      </c>
      <c r="B64" s="16" t="s">
        <v>1807</v>
      </c>
      <c r="C64" s="16">
        <v>2009.0</v>
      </c>
      <c r="D64" s="16" t="s">
        <v>1819</v>
      </c>
      <c r="E64" s="16" t="s">
        <v>1820</v>
      </c>
      <c r="F64" s="16" t="s">
        <v>1821</v>
      </c>
      <c r="G64" s="16" t="str">
        <f t="shared" si="1"/>
        <v>No</v>
      </c>
      <c r="H64" s="16" t="s">
        <v>1324</v>
      </c>
      <c r="I64" s="16" t="s">
        <v>1324</v>
      </c>
      <c r="J64" s="16">
        <v>47.0</v>
      </c>
      <c r="K64" s="17" t="s">
        <v>1822</v>
      </c>
      <c r="L64" s="17" t="s">
        <v>5010</v>
      </c>
      <c r="M64" s="18" t="str">
        <f t="shared" si="2"/>
        <v>http://dx.doi.org/10.1029/2008JG000911</v>
      </c>
      <c r="N64" s="19" t="s">
        <v>1358</v>
      </c>
      <c r="O64" s="17" t="s">
        <v>1417</v>
      </c>
      <c r="P64" s="17" t="s">
        <v>1328</v>
      </c>
      <c r="Q64" s="17" t="s">
        <v>1328</v>
      </c>
      <c r="R64" s="17" t="s">
        <v>1328</v>
      </c>
      <c r="S64" s="17" t="s">
        <v>1328</v>
      </c>
      <c r="T64" s="17" t="s">
        <v>1328</v>
      </c>
      <c r="U64" s="20" t="str">
        <f t="shared" si="3"/>
        <v>Yes</v>
      </c>
      <c r="V64" s="19" t="str">
        <f t="shared" si="4"/>
        <v>NT</v>
      </c>
      <c r="W64" s="17" t="str">
        <f t="shared" si="5"/>
        <v>Yes</v>
      </c>
      <c r="X64" s="17" t="s">
        <v>1443</v>
      </c>
      <c r="Y64" s="17" t="s">
        <v>1331</v>
      </c>
      <c r="Z64" s="17" t="s">
        <v>1330</v>
      </c>
      <c r="AA64" s="17" t="s">
        <v>1337</v>
      </c>
      <c r="AB64" s="17" t="s">
        <v>1444</v>
      </c>
      <c r="AC64" s="17" t="s">
        <v>1445</v>
      </c>
      <c r="AD64" s="17" t="s">
        <v>1362</v>
      </c>
      <c r="AE64" s="17">
        <f t="shared" si="6"/>
        <v>6</v>
      </c>
      <c r="AF64" s="17" t="s">
        <v>1328</v>
      </c>
      <c r="AG64" s="17" t="s">
        <v>1328</v>
      </c>
      <c r="AH64" s="17" t="s">
        <v>1328</v>
      </c>
      <c r="AI64" s="17" t="s">
        <v>1328</v>
      </c>
      <c r="AJ64" s="17" t="s">
        <v>1328</v>
      </c>
      <c r="AK64" s="17" t="s">
        <v>1328</v>
      </c>
      <c r="AL64" s="17" t="s">
        <v>1337</v>
      </c>
      <c r="AM64" s="17" t="s">
        <v>1338</v>
      </c>
      <c r="AN64" s="17" t="s">
        <v>1339</v>
      </c>
      <c r="AO64" s="17" t="s">
        <v>1331</v>
      </c>
      <c r="AP64" s="17" t="s">
        <v>1328</v>
      </c>
      <c r="AQ64" s="17" t="str">
        <f t="shared" si="7"/>
        <v>intermediate</v>
      </c>
      <c r="AR64" s="20"/>
    </row>
    <row r="65" ht="15.75" customHeight="1">
      <c r="A65" s="16" t="s">
        <v>2120</v>
      </c>
      <c r="B65" s="16" t="s">
        <v>251</v>
      </c>
      <c r="C65" s="16">
        <v>2008.0</v>
      </c>
      <c r="D65" s="16" t="s">
        <v>2121</v>
      </c>
      <c r="E65" s="16" t="s">
        <v>2122</v>
      </c>
      <c r="F65" s="16" t="s">
        <v>2123</v>
      </c>
      <c r="G65" s="16" t="str">
        <f t="shared" si="1"/>
        <v>No</v>
      </c>
      <c r="H65" s="16" t="s">
        <v>1324</v>
      </c>
      <c r="I65" s="16" t="s">
        <v>1324</v>
      </c>
      <c r="J65" s="16">
        <v>40.0</v>
      </c>
      <c r="K65" s="17" t="s">
        <v>2124</v>
      </c>
      <c r="L65" s="17" t="s">
        <v>5010</v>
      </c>
      <c r="M65" s="18" t="str">
        <f t="shared" si="2"/>
        <v>http://dx.doi.org/10.1016/j.biocon.2008.04.024</v>
      </c>
      <c r="N65" s="19" t="s">
        <v>1614</v>
      </c>
      <c r="O65" s="17" t="s">
        <v>1470</v>
      </c>
      <c r="P65" s="17" t="s">
        <v>1328</v>
      </c>
      <c r="Q65" s="17" t="s">
        <v>1328</v>
      </c>
      <c r="R65" s="17" t="s">
        <v>1328</v>
      </c>
      <c r="S65" s="17" t="s">
        <v>1328</v>
      </c>
      <c r="T65" s="17" t="s">
        <v>1328</v>
      </c>
      <c r="U65" s="20" t="str">
        <f t="shared" si="3"/>
        <v>Yes</v>
      </c>
      <c r="V65" s="19" t="str">
        <f t="shared" si="4"/>
        <v>AG</v>
      </c>
      <c r="W65" s="17" t="str">
        <f t="shared" si="5"/>
        <v>Yes</v>
      </c>
      <c r="X65" s="17" t="s">
        <v>1329</v>
      </c>
      <c r="Y65" s="17" t="s">
        <v>1331</v>
      </c>
      <c r="Z65" s="17" t="s">
        <v>1330</v>
      </c>
      <c r="AA65" s="17" t="s">
        <v>1347</v>
      </c>
      <c r="AB65" s="17" t="s">
        <v>1333</v>
      </c>
      <c r="AC65" s="17" t="s">
        <v>1348</v>
      </c>
      <c r="AD65" s="17" t="s">
        <v>1362</v>
      </c>
      <c r="AE65" s="17">
        <f t="shared" si="6"/>
        <v>2</v>
      </c>
      <c r="AF65" s="17" t="s">
        <v>1336</v>
      </c>
      <c r="AG65" s="17" t="s">
        <v>1328</v>
      </c>
      <c r="AH65" s="17" t="s">
        <v>1328</v>
      </c>
      <c r="AI65" s="17" t="s">
        <v>1336</v>
      </c>
      <c r="AJ65" s="17" t="s">
        <v>1336</v>
      </c>
      <c r="AK65" s="17" t="s">
        <v>1336</v>
      </c>
      <c r="AL65" s="17" t="s">
        <v>1350</v>
      </c>
      <c r="AM65" s="17" t="s">
        <v>1351</v>
      </c>
      <c r="AN65" s="17" t="s">
        <v>1363</v>
      </c>
      <c r="AO65" s="17" t="s">
        <v>1388</v>
      </c>
      <c r="AP65" s="17" t="s">
        <v>1328</v>
      </c>
      <c r="AQ65" s="17" t="str">
        <f t="shared" si="7"/>
        <v>intermediate</v>
      </c>
      <c r="AR65" s="20"/>
    </row>
    <row r="66" ht="15.75" customHeight="1">
      <c r="A66" s="16" t="s">
        <v>1477</v>
      </c>
      <c r="B66" s="16" t="s">
        <v>365</v>
      </c>
      <c r="C66" s="16">
        <v>2011.0</v>
      </c>
      <c r="D66" s="16" t="s">
        <v>1478</v>
      </c>
      <c r="E66" s="16" t="s">
        <v>1479</v>
      </c>
      <c r="F66" s="16" t="s">
        <v>1480</v>
      </c>
      <c r="G66" s="16" t="str">
        <f t="shared" si="1"/>
        <v>No</v>
      </c>
      <c r="H66" s="16" t="s">
        <v>1324</v>
      </c>
      <c r="I66" s="16" t="s">
        <v>1324</v>
      </c>
      <c r="J66" s="16">
        <v>140.0</v>
      </c>
      <c r="K66" s="17" t="s">
        <v>1481</v>
      </c>
      <c r="L66" s="17" t="s">
        <v>5010</v>
      </c>
      <c r="M66" s="18" t="str">
        <f t="shared" si="2"/>
        <v>http://dx.doi.org/10.1371/journal.pone.0027785</v>
      </c>
      <c r="N66" s="19" t="s">
        <v>1482</v>
      </c>
      <c r="O66" s="17" t="s">
        <v>1387</v>
      </c>
      <c r="P66" s="17" t="s">
        <v>1328</v>
      </c>
      <c r="Q66" s="17" t="s">
        <v>1328</v>
      </c>
      <c r="R66" s="17" t="s">
        <v>1328</v>
      </c>
      <c r="S66" s="17" t="s">
        <v>1328</v>
      </c>
      <c r="T66" s="17" t="s">
        <v>1328</v>
      </c>
      <c r="U66" s="20" t="str">
        <f t="shared" si="3"/>
        <v>Yes</v>
      </c>
      <c r="V66" s="19" t="str">
        <f t="shared" si="4"/>
        <v>MW</v>
      </c>
      <c r="W66" s="17" t="str">
        <f t="shared" si="5"/>
        <v>Yes</v>
      </c>
      <c r="X66" s="17" t="s">
        <v>1329</v>
      </c>
      <c r="Y66" s="17" t="s">
        <v>1372</v>
      </c>
      <c r="Z66" s="17" t="s">
        <v>1331</v>
      </c>
      <c r="AA66" s="17" t="s">
        <v>1347</v>
      </c>
      <c r="AB66" s="17" t="s">
        <v>1333</v>
      </c>
      <c r="AC66" s="17" t="s">
        <v>1334</v>
      </c>
      <c r="AD66" s="17" t="s">
        <v>1362</v>
      </c>
      <c r="AE66" s="17">
        <f t="shared" si="6"/>
        <v>2</v>
      </c>
      <c r="AF66" s="17" t="s">
        <v>1336</v>
      </c>
      <c r="AG66" s="17" t="s">
        <v>1328</v>
      </c>
      <c r="AH66" s="17" t="s">
        <v>1328</v>
      </c>
      <c r="AI66" s="17" t="s">
        <v>1336</v>
      </c>
      <c r="AJ66" s="17" t="s">
        <v>1336</v>
      </c>
      <c r="AK66" s="17" t="s">
        <v>1336</v>
      </c>
      <c r="AL66" s="17" t="s">
        <v>1350</v>
      </c>
      <c r="AM66" s="17" t="s">
        <v>1351</v>
      </c>
      <c r="AN66" s="17" t="s">
        <v>1363</v>
      </c>
      <c r="AO66" s="17" t="s">
        <v>1388</v>
      </c>
      <c r="AP66" s="17" t="s">
        <v>1328</v>
      </c>
      <c r="AQ66" s="17" t="str">
        <f t="shared" si="7"/>
        <v>intermediate</v>
      </c>
      <c r="AR66" s="20"/>
    </row>
    <row r="67" ht="15.75" customHeight="1">
      <c r="A67" s="16" t="s">
        <v>2284</v>
      </c>
      <c r="B67" s="16" t="s">
        <v>2285</v>
      </c>
      <c r="C67" s="16">
        <v>2011.0</v>
      </c>
      <c r="D67" s="16" t="s">
        <v>2286</v>
      </c>
      <c r="E67" s="16" t="s">
        <v>1479</v>
      </c>
      <c r="F67" s="23" t="s">
        <v>1324</v>
      </c>
      <c r="G67" s="16" t="str">
        <f t="shared" si="1"/>
        <v>No</v>
      </c>
      <c r="H67" s="16" t="s">
        <v>1324</v>
      </c>
      <c r="I67" s="16" t="s">
        <v>1324</v>
      </c>
      <c r="J67" s="16">
        <v>139.0</v>
      </c>
      <c r="K67" s="17" t="s">
        <v>2287</v>
      </c>
      <c r="L67" s="17" t="s">
        <v>5010</v>
      </c>
      <c r="M67" s="18" t="str">
        <f t="shared" si="2"/>
        <v/>
      </c>
      <c r="N67" s="19" t="s">
        <v>1482</v>
      </c>
      <c r="O67" s="17" t="s">
        <v>1371</v>
      </c>
      <c r="P67" s="17" t="s">
        <v>1328</v>
      </c>
      <c r="Q67" s="17" t="s">
        <v>1328</v>
      </c>
      <c r="R67" s="17" t="s">
        <v>1328</v>
      </c>
      <c r="S67" s="17" t="s">
        <v>1328</v>
      </c>
      <c r="T67" s="17" t="s">
        <v>1328</v>
      </c>
      <c r="U67" s="20" t="str">
        <f t="shared" si="3"/>
        <v>Yes</v>
      </c>
      <c r="V67" s="19" t="str">
        <f t="shared" si="4"/>
        <v>LC</v>
      </c>
      <c r="W67" s="17" t="str">
        <f t="shared" si="5"/>
        <v>Yes</v>
      </c>
      <c r="X67" s="17" t="s">
        <v>1329</v>
      </c>
      <c r="Y67" s="17" t="s">
        <v>1372</v>
      </c>
      <c r="Z67" s="17" t="s">
        <v>1331</v>
      </c>
      <c r="AA67" s="17" t="s">
        <v>1332</v>
      </c>
      <c r="AB67" s="17" t="s">
        <v>1333</v>
      </c>
      <c r="AC67" s="17" t="s">
        <v>1334</v>
      </c>
      <c r="AD67" s="17" t="s">
        <v>1362</v>
      </c>
      <c r="AE67" s="17">
        <f t="shared" si="6"/>
        <v>2</v>
      </c>
      <c r="AF67" s="17" t="s">
        <v>1336</v>
      </c>
      <c r="AG67" s="17" t="s">
        <v>1328</v>
      </c>
      <c r="AH67" s="17" t="s">
        <v>1328</v>
      </c>
      <c r="AI67" s="17" t="s">
        <v>1336</v>
      </c>
      <c r="AJ67" s="17" t="s">
        <v>1336</v>
      </c>
      <c r="AK67" s="17" t="s">
        <v>1336</v>
      </c>
      <c r="AL67" s="17" t="s">
        <v>1350</v>
      </c>
      <c r="AM67" s="17" t="s">
        <v>1351</v>
      </c>
      <c r="AN67" s="17" t="s">
        <v>1363</v>
      </c>
      <c r="AO67" s="17" t="s">
        <v>1388</v>
      </c>
      <c r="AP67" s="17" t="s">
        <v>1328</v>
      </c>
      <c r="AQ67" s="17" t="str">
        <f t="shared" si="7"/>
        <v>intermediate</v>
      </c>
      <c r="AR67" s="20"/>
    </row>
    <row r="68" ht="15.75" customHeight="1">
      <c r="A68" s="16" t="s">
        <v>2013</v>
      </c>
      <c r="B68" s="16" t="s">
        <v>2008</v>
      </c>
      <c r="C68" s="16">
        <v>2014.0</v>
      </c>
      <c r="D68" s="16" t="s">
        <v>2014</v>
      </c>
      <c r="E68" s="16" t="s">
        <v>2015</v>
      </c>
      <c r="F68" s="16" t="s">
        <v>2016</v>
      </c>
      <c r="G68" s="16" t="str">
        <f t="shared" si="1"/>
        <v>No</v>
      </c>
      <c r="H68" s="16" t="s">
        <v>1324</v>
      </c>
      <c r="I68" s="16" t="s">
        <v>1324</v>
      </c>
      <c r="J68" s="16">
        <v>189.0</v>
      </c>
      <c r="K68" s="17" t="s">
        <v>2017</v>
      </c>
      <c r="L68" s="17" t="s">
        <v>5010</v>
      </c>
      <c r="M68" s="18" t="str">
        <f t="shared" si="2"/>
        <v>http://dx.doi.org/10.1016/j.foreco.2013.10.039</v>
      </c>
      <c r="N68" s="19" t="s">
        <v>1835</v>
      </c>
      <c r="O68" s="17" t="s">
        <v>1436</v>
      </c>
      <c r="P68" s="17" t="s">
        <v>1328</v>
      </c>
      <c r="Q68" s="17" t="s">
        <v>1328</v>
      </c>
      <c r="R68" s="17" t="s">
        <v>1328</v>
      </c>
      <c r="S68" s="17" t="s">
        <v>1328</v>
      </c>
      <c r="T68" s="17" t="s">
        <v>1328</v>
      </c>
      <c r="U68" s="20" t="str">
        <f t="shared" si="3"/>
        <v>Yes</v>
      </c>
      <c r="V68" s="19" t="str">
        <f t="shared" si="4"/>
        <v>CG</v>
      </c>
      <c r="W68" s="17" t="str">
        <f t="shared" si="5"/>
        <v>Yes</v>
      </c>
      <c r="X68" s="17" t="s">
        <v>1329</v>
      </c>
      <c r="Y68" s="17" t="s">
        <v>1372</v>
      </c>
      <c r="Z68" s="17" t="s">
        <v>1330</v>
      </c>
      <c r="AA68" s="17" t="s">
        <v>1347</v>
      </c>
      <c r="AB68" s="17" t="s">
        <v>1333</v>
      </c>
      <c r="AC68" s="17" t="s">
        <v>1348</v>
      </c>
      <c r="AD68" s="17" t="s">
        <v>1362</v>
      </c>
      <c r="AE68" s="17">
        <f t="shared" si="6"/>
        <v>4</v>
      </c>
      <c r="AF68" s="17" t="s">
        <v>1328</v>
      </c>
      <c r="AG68" s="17" t="s">
        <v>1328</v>
      </c>
      <c r="AH68" s="17" t="s">
        <v>1328</v>
      </c>
      <c r="AI68" s="17" t="s">
        <v>1336</v>
      </c>
      <c r="AJ68" s="17" t="s">
        <v>1336</v>
      </c>
      <c r="AK68" s="17" t="s">
        <v>1328</v>
      </c>
      <c r="AL68" s="17" t="s">
        <v>1350</v>
      </c>
      <c r="AM68" s="17" t="s">
        <v>1351</v>
      </c>
      <c r="AN68" s="17" t="s">
        <v>1339</v>
      </c>
      <c r="AO68" s="17" t="s">
        <v>1388</v>
      </c>
      <c r="AP68" s="17" t="s">
        <v>1328</v>
      </c>
      <c r="AQ68" s="17" t="str">
        <f t="shared" si="7"/>
        <v>intermediate</v>
      </c>
      <c r="AR68" s="20"/>
    </row>
    <row r="69" ht="15.75" customHeight="1">
      <c r="A69" s="16" t="s">
        <v>1709</v>
      </c>
      <c r="B69" s="16" t="s">
        <v>1151</v>
      </c>
      <c r="C69" s="16">
        <v>2018.0</v>
      </c>
      <c r="D69" s="16" t="s">
        <v>1710</v>
      </c>
      <c r="E69" s="16" t="s">
        <v>1711</v>
      </c>
      <c r="F69" s="16" t="s">
        <v>1712</v>
      </c>
      <c r="G69" s="16" t="str">
        <f t="shared" si="1"/>
        <v>No</v>
      </c>
      <c r="H69" s="16" t="s">
        <v>1324</v>
      </c>
      <c r="I69" s="16" t="s">
        <v>1324</v>
      </c>
      <c r="J69" s="16">
        <v>68.0</v>
      </c>
      <c r="K69" s="17" t="s">
        <v>1713</v>
      </c>
      <c r="L69" s="17" t="s">
        <v>5010</v>
      </c>
      <c r="M69" s="18" t="str">
        <f t="shared" si="2"/>
        <v>http://dx.doi.org/10.1111/1365-2664.13137</v>
      </c>
      <c r="N69" s="19" t="s">
        <v>1482</v>
      </c>
      <c r="O69" s="17" t="s">
        <v>1387</v>
      </c>
      <c r="P69" s="17" t="s">
        <v>1328</v>
      </c>
      <c r="Q69" s="17" t="s">
        <v>1328</v>
      </c>
      <c r="R69" s="17" t="s">
        <v>1328</v>
      </c>
      <c r="S69" s="17" t="s">
        <v>1328</v>
      </c>
      <c r="T69" s="17" t="s">
        <v>1328</v>
      </c>
      <c r="U69" s="20" t="str">
        <f t="shared" si="3"/>
        <v>Yes</v>
      </c>
      <c r="V69" s="19" t="str">
        <f t="shared" si="4"/>
        <v>MW</v>
      </c>
      <c r="W69" s="17" t="str">
        <f t="shared" si="5"/>
        <v>Yes</v>
      </c>
      <c r="X69" s="17" t="s">
        <v>1329</v>
      </c>
      <c r="Y69" s="17" t="s">
        <v>1330</v>
      </c>
      <c r="Z69" s="17" t="s">
        <v>1331</v>
      </c>
      <c r="AA69" s="17" t="s">
        <v>1347</v>
      </c>
      <c r="AB69" s="17" t="s">
        <v>1333</v>
      </c>
      <c r="AC69" s="17" t="s">
        <v>1381</v>
      </c>
      <c r="AD69" s="17" t="s">
        <v>1362</v>
      </c>
      <c r="AE69" s="17">
        <f t="shared" si="6"/>
        <v>2</v>
      </c>
      <c r="AF69" s="17" t="s">
        <v>1336</v>
      </c>
      <c r="AG69" s="17" t="s">
        <v>1336</v>
      </c>
      <c r="AH69" s="17" t="s">
        <v>1328</v>
      </c>
      <c r="AI69" s="17" t="s">
        <v>1336</v>
      </c>
      <c r="AJ69" s="17" t="s">
        <v>1336</v>
      </c>
      <c r="AK69" s="17" t="s">
        <v>1328</v>
      </c>
      <c r="AL69" s="17" t="s">
        <v>1350</v>
      </c>
      <c r="AM69" s="17" t="s">
        <v>1351</v>
      </c>
      <c r="AN69" s="17" t="s">
        <v>1363</v>
      </c>
      <c r="AO69" s="17" t="s">
        <v>1388</v>
      </c>
      <c r="AP69" s="17" t="s">
        <v>1328</v>
      </c>
      <c r="AQ69" s="17" t="str">
        <f t="shared" si="7"/>
        <v>intermediate</v>
      </c>
      <c r="AR69" s="20"/>
    </row>
    <row r="70" ht="15.75" customHeight="1">
      <c r="A70" s="16" t="s">
        <v>1531</v>
      </c>
      <c r="B70" s="16" t="s">
        <v>1532</v>
      </c>
      <c r="C70" s="16">
        <v>2017.0</v>
      </c>
      <c r="D70" s="16" t="s">
        <v>1533</v>
      </c>
      <c r="E70" s="16" t="s">
        <v>1534</v>
      </c>
      <c r="F70" s="16" t="s">
        <v>1535</v>
      </c>
      <c r="G70" s="16" t="str">
        <f t="shared" si="1"/>
        <v>No</v>
      </c>
      <c r="H70" s="16" t="s">
        <v>1324</v>
      </c>
      <c r="I70" s="16" t="s">
        <v>1324</v>
      </c>
      <c r="J70" s="16">
        <v>1.0</v>
      </c>
      <c r="K70" s="17" t="s">
        <v>1536</v>
      </c>
      <c r="L70" s="17" t="s">
        <v>5010</v>
      </c>
      <c r="M70" s="18" t="str">
        <f t="shared" si="2"/>
        <v>http://dx.doi.org/10.1139/er-2016-0085</v>
      </c>
      <c r="N70" s="19" t="s">
        <v>1482</v>
      </c>
      <c r="O70" s="17" t="s">
        <v>1470</v>
      </c>
      <c r="P70" s="17" t="s">
        <v>1328</v>
      </c>
      <c r="Q70" s="17" t="s">
        <v>1328</v>
      </c>
      <c r="R70" s="17" t="s">
        <v>1328</v>
      </c>
      <c r="S70" s="17" t="s">
        <v>1328</v>
      </c>
      <c r="T70" s="17" t="s">
        <v>1328</v>
      </c>
      <c r="U70" s="20" t="str">
        <f t="shared" si="3"/>
        <v>Yes</v>
      </c>
      <c r="V70" s="19" t="str">
        <f t="shared" si="4"/>
        <v>AG</v>
      </c>
      <c r="W70" s="17" t="str">
        <f t="shared" si="5"/>
        <v>Yes</v>
      </c>
      <c r="X70" s="17" t="s">
        <v>1443</v>
      </c>
      <c r="Y70" s="17" t="s">
        <v>1330</v>
      </c>
      <c r="Z70" s="17" t="s">
        <v>1331</v>
      </c>
      <c r="AA70" s="17" t="s">
        <v>1537</v>
      </c>
      <c r="AB70" s="17" t="s">
        <v>1360</v>
      </c>
      <c r="AC70" s="17" t="s">
        <v>1538</v>
      </c>
      <c r="AD70" s="17" t="s">
        <v>1446</v>
      </c>
      <c r="AE70" s="17">
        <f t="shared" si="6"/>
        <v>5</v>
      </c>
      <c r="AF70" s="17" t="s">
        <v>1328</v>
      </c>
      <c r="AG70" s="17" t="s">
        <v>1328</v>
      </c>
      <c r="AH70" s="17" t="s">
        <v>1336</v>
      </c>
      <c r="AI70" s="17" t="s">
        <v>1328</v>
      </c>
      <c r="AJ70" s="17" t="s">
        <v>1328</v>
      </c>
      <c r="AK70" s="17" t="s">
        <v>1328</v>
      </c>
      <c r="AL70" s="17" t="s">
        <v>1395</v>
      </c>
      <c r="AM70" s="17" t="s">
        <v>1338</v>
      </c>
      <c r="AN70" s="17" t="s">
        <v>1339</v>
      </c>
      <c r="AO70" s="17" t="s">
        <v>1331</v>
      </c>
      <c r="AP70" s="17" t="s">
        <v>1328</v>
      </c>
      <c r="AQ70" s="17" t="str">
        <f t="shared" si="7"/>
        <v>high</v>
      </c>
      <c r="AR70" s="20"/>
    </row>
    <row r="71" ht="15.75" customHeight="1">
      <c r="A71" s="16" t="s">
        <v>2159</v>
      </c>
      <c r="B71" s="16" t="s">
        <v>2160</v>
      </c>
      <c r="C71" s="16">
        <v>2012.0</v>
      </c>
      <c r="D71" s="16" t="s">
        <v>2161</v>
      </c>
      <c r="E71" s="16" t="s">
        <v>2162</v>
      </c>
      <c r="F71" s="16" t="s">
        <v>2163</v>
      </c>
      <c r="G71" s="16" t="str">
        <f t="shared" si="1"/>
        <v>No</v>
      </c>
      <c r="H71" s="16" t="s">
        <v>1324</v>
      </c>
      <c r="I71" s="16" t="s">
        <v>1324</v>
      </c>
      <c r="J71" s="16">
        <v>61.0</v>
      </c>
      <c r="K71" s="17" t="s">
        <v>2164</v>
      </c>
      <c r="L71" s="17" t="s">
        <v>5010</v>
      </c>
      <c r="M71" s="18" t="str">
        <f t="shared" si="2"/>
        <v>http://dx.doi.org/10.1016/B978-0-12-385140-6.00064-5</v>
      </c>
      <c r="N71" s="19" t="s">
        <v>1402</v>
      </c>
      <c r="O71" s="17" t="s">
        <v>1371</v>
      </c>
      <c r="P71" s="17" t="s">
        <v>1328</v>
      </c>
      <c r="Q71" s="17" t="s">
        <v>1328</v>
      </c>
      <c r="R71" s="17" t="s">
        <v>1328</v>
      </c>
      <c r="S71" s="17" t="s">
        <v>1328</v>
      </c>
      <c r="T71" s="17" t="s">
        <v>1328</v>
      </c>
      <c r="U71" s="20" t="str">
        <f t="shared" si="3"/>
        <v>Yes</v>
      </c>
      <c r="V71" s="19" t="str">
        <f t="shared" si="4"/>
        <v>LC</v>
      </c>
      <c r="W71" s="17" t="str">
        <f t="shared" si="5"/>
        <v>Yes</v>
      </c>
      <c r="X71" s="17" t="s">
        <v>1463</v>
      </c>
      <c r="Y71" s="17" t="s">
        <v>1330</v>
      </c>
      <c r="Z71" s="17" t="s">
        <v>1331</v>
      </c>
      <c r="AA71" s="17" t="s">
        <v>1331</v>
      </c>
      <c r="AB71" s="17" t="s">
        <v>1444</v>
      </c>
      <c r="AC71" s="17" t="s">
        <v>1445</v>
      </c>
      <c r="AD71" s="17" t="s">
        <v>1349</v>
      </c>
      <c r="AE71" s="17">
        <f t="shared" si="6"/>
        <v>6</v>
      </c>
      <c r="AF71" s="17" t="s">
        <v>1328</v>
      </c>
      <c r="AG71" s="17" t="s">
        <v>1328</v>
      </c>
      <c r="AH71" s="17" t="s">
        <v>1328</v>
      </c>
      <c r="AI71" s="17" t="s">
        <v>1328</v>
      </c>
      <c r="AJ71" s="17" t="s">
        <v>1328</v>
      </c>
      <c r="AK71" s="17" t="s">
        <v>1328</v>
      </c>
      <c r="AL71" s="17" t="s">
        <v>1395</v>
      </c>
      <c r="AM71" s="17" t="s">
        <v>1338</v>
      </c>
      <c r="AN71" s="17" t="s">
        <v>1339</v>
      </c>
      <c r="AO71" s="17" t="s">
        <v>1331</v>
      </c>
      <c r="AP71" s="17" t="s">
        <v>1328</v>
      </c>
      <c r="AQ71" s="17" t="str">
        <f t="shared" si="7"/>
        <v>high</v>
      </c>
      <c r="AR71" s="20"/>
    </row>
    <row r="72" ht="15.75" customHeight="1">
      <c r="A72" s="16" t="s">
        <v>1592</v>
      </c>
      <c r="B72" s="16" t="s">
        <v>1593</v>
      </c>
      <c r="C72" s="16">
        <v>2010.0</v>
      </c>
      <c r="D72" s="16" t="s">
        <v>1594</v>
      </c>
      <c r="E72" s="16" t="s">
        <v>1595</v>
      </c>
      <c r="F72" s="16" t="s">
        <v>1596</v>
      </c>
      <c r="G72" s="16" t="str">
        <f t="shared" si="1"/>
        <v>No</v>
      </c>
      <c r="H72" s="16" t="s">
        <v>1324</v>
      </c>
      <c r="I72" s="16" t="s">
        <v>1324</v>
      </c>
      <c r="J72" s="16">
        <v>43.0</v>
      </c>
      <c r="K72" s="17" t="s">
        <v>1597</v>
      </c>
      <c r="L72" s="17" t="s">
        <v>5010</v>
      </c>
      <c r="M72" s="18" t="str">
        <f t="shared" si="2"/>
        <v>http://dx.doi.org/10.1111/j.1472-4642.2009.00633.x</v>
      </c>
      <c r="N72" s="19" t="s">
        <v>1442</v>
      </c>
      <c r="O72" s="17" t="s">
        <v>1327</v>
      </c>
      <c r="P72" s="17" t="s">
        <v>1328</v>
      </c>
      <c r="Q72" s="17" t="s">
        <v>1328</v>
      </c>
      <c r="R72" s="17" t="s">
        <v>1328</v>
      </c>
      <c r="S72" s="17" t="s">
        <v>1328</v>
      </c>
      <c r="T72" s="17" t="s">
        <v>1328</v>
      </c>
      <c r="U72" s="20" t="str">
        <f t="shared" si="3"/>
        <v>Yes</v>
      </c>
      <c r="V72" s="19" t="str">
        <f t="shared" si="4"/>
        <v>PJ</v>
      </c>
      <c r="W72" s="17" t="str">
        <f t="shared" si="5"/>
        <v>Yes</v>
      </c>
      <c r="X72" s="17" t="s">
        <v>1443</v>
      </c>
      <c r="Y72" s="17" t="s">
        <v>1330</v>
      </c>
      <c r="Z72" s="17" t="s">
        <v>1331</v>
      </c>
      <c r="AA72" s="17" t="s">
        <v>1347</v>
      </c>
      <c r="AB72" s="17" t="s">
        <v>1444</v>
      </c>
      <c r="AC72" s="17" t="s">
        <v>1445</v>
      </c>
      <c r="AD72" s="17" t="s">
        <v>1446</v>
      </c>
      <c r="AE72" s="17">
        <f t="shared" si="6"/>
        <v>6</v>
      </c>
      <c r="AF72" s="17" t="s">
        <v>1328</v>
      </c>
      <c r="AG72" s="17" t="s">
        <v>1328</v>
      </c>
      <c r="AH72" s="17" t="s">
        <v>1328</v>
      </c>
      <c r="AI72" s="17" t="s">
        <v>1328</v>
      </c>
      <c r="AJ72" s="17" t="s">
        <v>1328</v>
      </c>
      <c r="AK72" s="17" t="s">
        <v>1328</v>
      </c>
      <c r="AL72" s="17" t="s">
        <v>1395</v>
      </c>
      <c r="AM72" s="17" t="s">
        <v>1351</v>
      </c>
      <c r="AN72" s="17" t="s">
        <v>1363</v>
      </c>
      <c r="AO72" s="17" t="s">
        <v>1331</v>
      </c>
      <c r="AP72" s="17" t="s">
        <v>1328</v>
      </c>
      <c r="AQ72" s="17" t="str">
        <f t="shared" si="7"/>
        <v>high</v>
      </c>
      <c r="AR72" s="20"/>
    </row>
    <row r="73" ht="15.75" customHeight="1">
      <c r="A73" s="16" t="s">
        <v>1516</v>
      </c>
      <c r="B73" s="16" t="s">
        <v>1517</v>
      </c>
      <c r="C73" s="16">
        <v>2015.0</v>
      </c>
      <c r="D73" s="16" t="s">
        <v>1518</v>
      </c>
      <c r="E73" s="16" t="s">
        <v>1519</v>
      </c>
      <c r="F73" s="16" t="s">
        <v>1520</v>
      </c>
      <c r="G73" s="16" t="str">
        <f t="shared" si="1"/>
        <v>No</v>
      </c>
      <c r="H73" s="16" t="s">
        <v>1324</v>
      </c>
      <c r="I73" s="16" t="s">
        <v>1324</v>
      </c>
      <c r="J73" s="16">
        <v>111.0</v>
      </c>
      <c r="K73" s="17" t="s">
        <v>1521</v>
      </c>
      <c r="L73" s="17" t="s">
        <v>5010</v>
      </c>
      <c r="M73" s="18" t="str">
        <f t="shared" si="2"/>
        <v>http://dx.doi.org/10.1153/9789004284081_018</v>
      </c>
      <c r="N73" s="19" t="s">
        <v>1522</v>
      </c>
      <c r="O73" s="17" t="s">
        <v>1327</v>
      </c>
      <c r="P73" s="17" t="s">
        <v>1328</v>
      </c>
      <c r="Q73" s="17" t="s">
        <v>1328</v>
      </c>
      <c r="R73" s="17" t="s">
        <v>1328</v>
      </c>
      <c r="S73" s="17" t="s">
        <v>1328</v>
      </c>
      <c r="T73" s="17" t="s">
        <v>1328</v>
      </c>
      <c r="U73" s="20" t="str">
        <f t="shared" si="3"/>
        <v>Yes</v>
      </c>
      <c r="V73" s="19" t="str">
        <f t="shared" si="4"/>
        <v>PJ</v>
      </c>
      <c r="W73" s="17" t="str">
        <f t="shared" si="5"/>
        <v>Yes</v>
      </c>
      <c r="X73" s="17" t="s">
        <v>1443</v>
      </c>
      <c r="Y73" s="17" t="s">
        <v>1523</v>
      </c>
      <c r="Z73" s="17" t="s">
        <v>1372</v>
      </c>
      <c r="AA73" s="17" t="s">
        <v>1332</v>
      </c>
      <c r="AB73" s="17" t="s">
        <v>1444</v>
      </c>
      <c r="AC73" s="17" t="s">
        <v>1445</v>
      </c>
      <c r="AD73" s="17" t="s">
        <v>1349</v>
      </c>
      <c r="AE73" s="17">
        <f t="shared" si="6"/>
        <v>4</v>
      </c>
      <c r="AF73" s="17" t="s">
        <v>1328</v>
      </c>
      <c r="AG73" s="17" t="s">
        <v>1328</v>
      </c>
      <c r="AH73" s="17" t="s">
        <v>1328</v>
      </c>
      <c r="AI73" s="17" t="s">
        <v>1336</v>
      </c>
      <c r="AJ73" s="17" t="s">
        <v>1328</v>
      </c>
      <c r="AK73" s="17" t="s">
        <v>1336</v>
      </c>
      <c r="AL73" s="17" t="s">
        <v>1337</v>
      </c>
      <c r="AM73" s="17" t="s">
        <v>1338</v>
      </c>
      <c r="AN73" s="17" t="s">
        <v>1339</v>
      </c>
      <c r="AO73" s="17" t="s">
        <v>1331</v>
      </c>
      <c r="AP73" s="17" t="s">
        <v>1328</v>
      </c>
      <c r="AQ73" s="17" t="str">
        <f t="shared" si="7"/>
        <v>intermediate</v>
      </c>
      <c r="AR73" s="20"/>
    </row>
    <row r="74" ht="15.75" customHeight="1">
      <c r="A74" s="16" t="s">
        <v>1800</v>
      </c>
      <c r="B74" s="16" t="s">
        <v>1801</v>
      </c>
      <c r="C74" s="16">
        <v>1996.0</v>
      </c>
      <c r="D74" s="16" t="s">
        <v>1802</v>
      </c>
      <c r="E74" s="16" t="s">
        <v>1803</v>
      </c>
      <c r="F74" s="16" t="s">
        <v>1804</v>
      </c>
      <c r="G74" s="16" t="str">
        <f t="shared" si="1"/>
        <v>No</v>
      </c>
      <c r="H74" s="16" t="s">
        <v>1324</v>
      </c>
      <c r="I74" s="16" t="s">
        <v>1324</v>
      </c>
      <c r="J74" s="16">
        <v>128.0</v>
      </c>
      <c r="K74" s="17" t="s">
        <v>1805</v>
      </c>
      <c r="L74" s="17" t="s">
        <v>5010</v>
      </c>
      <c r="M74" s="18" t="str">
        <f t="shared" si="2"/>
        <v>http://dx.doi.org/10.1029/95JD02138</v>
      </c>
      <c r="N74" s="19" t="s">
        <v>1666</v>
      </c>
      <c r="O74" s="17" t="s">
        <v>1436</v>
      </c>
      <c r="P74" s="17" t="s">
        <v>1328</v>
      </c>
      <c r="Q74" s="17" t="s">
        <v>1328</v>
      </c>
      <c r="R74" s="17" t="s">
        <v>1328</v>
      </c>
      <c r="S74" s="17" t="s">
        <v>1328</v>
      </c>
      <c r="T74" s="17" t="s">
        <v>1328</v>
      </c>
      <c r="U74" s="20" t="str">
        <f t="shared" si="3"/>
        <v>Yes</v>
      </c>
      <c r="V74" s="19" t="str">
        <f t="shared" si="4"/>
        <v>CG</v>
      </c>
      <c r="W74" s="17" t="str">
        <f t="shared" si="5"/>
        <v>Yes</v>
      </c>
      <c r="X74" s="17" t="s">
        <v>1329</v>
      </c>
      <c r="Y74" s="17" t="s">
        <v>1330</v>
      </c>
      <c r="Z74" s="17" t="s">
        <v>1331</v>
      </c>
      <c r="AA74" s="17" t="s">
        <v>1537</v>
      </c>
      <c r="AB74" s="17" t="s">
        <v>1444</v>
      </c>
      <c r="AC74" s="17" t="s">
        <v>1445</v>
      </c>
      <c r="AD74" s="17" t="s">
        <v>1362</v>
      </c>
      <c r="AE74" s="17">
        <f t="shared" si="6"/>
        <v>2</v>
      </c>
      <c r="AF74" s="17" t="s">
        <v>1328</v>
      </c>
      <c r="AG74" s="17" t="s">
        <v>1328</v>
      </c>
      <c r="AH74" s="17" t="s">
        <v>1336</v>
      </c>
      <c r="AI74" s="17" t="s">
        <v>1336</v>
      </c>
      <c r="AJ74" s="17" t="s">
        <v>1336</v>
      </c>
      <c r="AK74" s="17" t="s">
        <v>1336</v>
      </c>
      <c r="AL74" s="17" t="s">
        <v>1350</v>
      </c>
      <c r="AM74" s="17" t="s">
        <v>1351</v>
      </c>
      <c r="AN74" s="17" t="s">
        <v>1339</v>
      </c>
      <c r="AO74" s="17" t="s">
        <v>1374</v>
      </c>
      <c r="AP74" s="17" t="s">
        <v>1328</v>
      </c>
      <c r="AQ74" s="17" t="str">
        <f t="shared" si="7"/>
        <v>intermediate</v>
      </c>
      <c r="AR74" s="20"/>
    </row>
    <row r="75" ht="15.75" customHeight="1">
      <c r="A75" s="16" t="s">
        <v>1437</v>
      </c>
      <c r="B75" s="16" t="s">
        <v>365</v>
      </c>
      <c r="C75" s="16">
        <v>2015.0</v>
      </c>
      <c r="D75" s="16" t="s">
        <v>1438</v>
      </c>
      <c r="E75" s="16" t="s">
        <v>1439</v>
      </c>
      <c r="F75" s="16" t="s">
        <v>1440</v>
      </c>
      <c r="G75" s="16" t="str">
        <f t="shared" si="1"/>
        <v>Yes</v>
      </c>
      <c r="H75" s="16" t="s">
        <v>1324</v>
      </c>
      <c r="I75" s="16" t="s">
        <v>1328</v>
      </c>
      <c r="J75" s="16">
        <v>9.0</v>
      </c>
      <c r="K75" s="17" t="s">
        <v>1441</v>
      </c>
      <c r="L75" s="17" t="s">
        <v>5010</v>
      </c>
      <c r="M75" s="18" t="str">
        <f t="shared" si="2"/>
        <v>http://dx.doi.org/10.1371/journal.pone.0135152</v>
      </c>
      <c r="N75" s="19" t="s">
        <v>1442</v>
      </c>
      <c r="O75" s="17" t="s">
        <v>1327</v>
      </c>
      <c r="P75" s="17" t="s">
        <v>1328</v>
      </c>
      <c r="Q75" s="17" t="s">
        <v>1328</v>
      </c>
      <c r="R75" s="17" t="s">
        <v>1328</v>
      </c>
      <c r="S75" s="17" t="s">
        <v>1328</v>
      </c>
      <c r="T75" s="17" t="s">
        <v>1328</v>
      </c>
      <c r="U75" s="20" t="str">
        <f t="shared" si="3"/>
        <v>Yes</v>
      </c>
      <c r="V75" s="19" t="str">
        <f t="shared" si="4"/>
        <v>PJ</v>
      </c>
      <c r="W75" s="17" t="str">
        <f t="shared" si="5"/>
        <v>Yes</v>
      </c>
      <c r="X75" s="17" t="s">
        <v>1443</v>
      </c>
      <c r="Y75" s="17" t="s">
        <v>1330</v>
      </c>
      <c r="Z75" s="17" t="s">
        <v>1330</v>
      </c>
      <c r="AA75" s="17" t="s">
        <v>1347</v>
      </c>
      <c r="AB75" s="17" t="s">
        <v>1444</v>
      </c>
      <c r="AC75" s="17" t="s">
        <v>1445</v>
      </c>
      <c r="AD75" s="17" t="s">
        <v>1446</v>
      </c>
      <c r="AE75" s="17">
        <f t="shared" si="6"/>
        <v>6</v>
      </c>
      <c r="AF75" s="17" t="s">
        <v>1328</v>
      </c>
      <c r="AG75" s="17" t="s">
        <v>1328</v>
      </c>
      <c r="AH75" s="17" t="s">
        <v>1328</v>
      </c>
      <c r="AI75" s="17" t="s">
        <v>1328</v>
      </c>
      <c r="AJ75" s="17" t="s">
        <v>1328</v>
      </c>
      <c r="AK75" s="17" t="s">
        <v>1328</v>
      </c>
      <c r="AL75" s="17" t="s">
        <v>1395</v>
      </c>
      <c r="AM75" s="17" t="s">
        <v>1351</v>
      </c>
      <c r="AN75" s="17" t="s">
        <v>1363</v>
      </c>
      <c r="AO75" s="17" t="s">
        <v>1331</v>
      </c>
      <c r="AP75" s="17" t="s">
        <v>1328</v>
      </c>
      <c r="AQ75" s="17" t="str">
        <f t="shared" si="7"/>
        <v>high</v>
      </c>
      <c r="AR75" s="20"/>
    </row>
    <row r="76" ht="15.75" customHeight="1">
      <c r="A76" s="16" t="s">
        <v>1405</v>
      </c>
      <c r="B76" s="16" t="s">
        <v>1397</v>
      </c>
      <c r="C76" s="16">
        <v>2017.0</v>
      </c>
      <c r="D76" s="16" t="s">
        <v>1406</v>
      </c>
      <c r="E76" s="16" t="s">
        <v>1407</v>
      </c>
      <c r="F76" s="16" t="s">
        <v>1408</v>
      </c>
      <c r="G76" s="16" t="str">
        <f t="shared" si="1"/>
        <v>No</v>
      </c>
      <c r="H76" s="16" t="s">
        <v>1324</v>
      </c>
      <c r="I76" s="16" t="s">
        <v>1324</v>
      </c>
      <c r="J76" s="16">
        <v>19.0</v>
      </c>
      <c r="K76" s="17" t="s">
        <v>1409</v>
      </c>
      <c r="L76" s="17" t="s">
        <v>5010</v>
      </c>
      <c r="M76" s="18" t="str">
        <f t="shared" si="2"/>
        <v>http://dx.doi.org/10.3354/meps12221</v>
      </c>
      <c r="N76" s="19" t="s">
        <v>1410</v>
      </c>
      <c r="O76" s="17" t="s">
        <v>1387</v>
      </c>
      <c r="P76" s="17" t="s">
        <v>1328</v>
      </c>
      <c r="Q76" s="17" t="s">
        <v>1328</v>
      </c>
      <c r="R76" s="17" t="s">
        <v>1328</v>
      </c>
      <c r="S76" s="17" t="s">
        <v>1328</v>
      </c>
      <c r="T76" s="17" t="s">
        <v>1328</v>
      </c>
      <c r="U76" s="20" t="str">
        <f t="shared" si="3"/>
        <v>Yes</v>
      </c>
      <c r="V76" s="19" t="str">
        <f t="shared" si="4"/>
        <v>MW</v>
      </c>
      <c r="W76" s="17" t="str">
        <f t="shared" si="5"/>
        <v>Yes</v>
      </c>
      <c r="X76" s="17" t="s">
        <v>1329</v>
      </c>
      <c r="Y76" s="17" t="s">
        <v>1330</v>
      </c>
      <c r="Z76" s="17" t="s">
        <v>1331</v>
      </c>
      <c r="AA76" s="17" t="s">
        <v>1332</v>
      </c>
      <c r="AB76" s="17" t="s">
        <v>1333</v>
      </c>
      <c r="AC76" s="17" t="s">
        <v>1381</v>
      </c>
      <c r="AD76" s="17" t="s">
        <v>1349</v>
      </c>
      <c r="AE76" s="17">
        <f t="shared" si="6"/>
        <v>4</v>
      </c>
      <c r="AF76" s="17" t="s">
        <v>1328</v>
      </c>
      <c r="AG76" s="17" t="s">
        <v>1328</v>
      </c>
      <c r="AH76" s="17" t="s">
        <v>1328</v>
      </c>
      <c r="AI76" s="17" t="s">
        <v>1336</v>
      </c>
      <c r="AJ76" s="17" t="s">
        <v>1328</v>
      </c>
      <c r="AK76" s="17" t="s">
        <v>1336</v>
      </c>
      <c r="AL76" s="17" t="s">
        <v>1350</v>
      </c>
      <c r="AM76" s="17" t="s">
        <v>1351</v>
      </c>
      <c r="AN76" s="17" t="s">
        <v>1363</v>
      </c>
      <c r="AO76" s="17" t="s">
        <v>1388</v>
      </c>
      <c r="AP76" s="17" t="s">
        <v>1328</v>
      </c>
      <c r="AQ76" s="17" t="str">
        <f t="shared" si="7"/>
        <v>intermediate</v>
      </c>
      <c r="AR76" s="20"/>
    </row>
    <row r="77" ht="15.75" customHeight="1">
      <c r="A77" s="16" t="s">
        <v>1904</v>
      </c>
      <c r="B77" s="16" t="s">
        <v>629</v>
      </c>
      <c r="C77" s="16">
        <v>2009.0</v>
      </c>
      <c r="D77" s="16" t="s">
        <v>1905</v>
      </c>
      <c r="E77" s="16" t="s">
        <v>1906</v>
      </c>
      <c r="F77" s="16" t="s">
        <v>1907</v>
      </c>
      <c r="G77" s="16" t="str">
        <f t="shared" si="1"/>
        <v>No</v>
      </c>
      <c r="H77" s="16" t="s">
        <v>1324</v>
      </c>
      <c r="I77" s="16" t="s">
        <v>1324</v>
      </c>
      <c r="J77" s="16">
        <v>24.0</v>
      </c>
      <c r="K77" s="17" t="s">
        <v>1908</v>
      </c>
      <c r="L77" s="17" t="s">
        <v>5010</v>
      </c>
      <c r="M77" s="18" t="str">
        <f t="shared" si="2"/>
        <v>http://dx.doi.org/10.1016/j.tree.2008.12.004</v>
      </c>
      <c r="N77" s="19" t="s">
        <v>1580</v>
      </c>
      <c r="O77" s="17" t="s">
        <v>1371</v>
      </c>
      <c r="P77" s="17" t="s">
        <v>1328</v>
      </c>
      <c r="Q77" s="17" t="s">
        <v>1328</v>
      </c>
      <c r="R77" s="17" t="s">
        <v>1328</v>
      </c>
      <c r="S77" s="17" t="s">
        <v>1328</v>
      </c>
      <c r="T77" s="17" t="s">
        <v>1328</v>
      </c>
      <c r="U77" s="20" t="str">
        <f t="shared" si="3"/>
        <v>Yes</v>
      </c>
      <c r="V77" s="19" t="str">
        <f t="shared" si="4"/>
        <v>LC</v>
      </c>
      <c r="W77" s="17" t="str">
        <f t="shared" si="5"/>
        <v>Yes</v>
      </c>
      <c r="X77" s="17" t="s">
        <v>1443</v>
      </c>
      <c r="Y77" s="17" t="s">
        <v>1330</v>
      </c>
      <c r="Z77" s="17" t="s">
        <v>1372</v>
      </c>
      <c r="AA77" s="17" t="s">
        <v>1347</v>
      </c>
      <c r="AB77" s="17" t="s">
        <v>1444</v>
      </c>
      <c r="AC77" s="17" t="s">
        <v>1445</v>
      </c>
      <c r="AD77" s="17" t="s">
        <v>1349</v>
      </c>
      <c r="AE77" s="17">
        <f t="shared" si="6"/>
        <v>2</v>
      </c>
      <c r="AF77" s="17" t="s">
        <v>1328</v>
      </c>
      <c r="AG77" s="17" t="s">
        <v>1336</v>
      </c>
      <c r="AH77" s="17" t="s">
        <v>1328</v>
      </c>
      <c r="AI77" s="17" t="s">
        <v>1336</v>
      </c>
      <c r="AJ77" s="17" t="s">
        <v>1336</v>
      </c>
      <c r="AK77" s="17" t="s">
        <v>1336</v>
      </c>
      <c r="AL77" s="17" t="s">
        <v>1350</v>
      </c>
      <c r="AM77" s="17" t="s">
        <v>1338</v>
      </c>
      <c r="AN77" s="17" t="s">
        <v>1339</v>
      </c>
      <c r="AO77" s="17" t="s">
        <v>1331</v>
      </c>
      <c r="AP77" s="17" t="s">
        <v>1328</v>
      </c>
      <c r="AQ77" s="17" t="str">
        <f t="shared" si="7"/>
        <v>high</v>
      </c>
      <c r="AR77" s="20"/>
    </row>
    <row r="78" ht="15.75" customHeight="1">
      <c r="A78" s="16" t="s">
        <v>1924</v>
      </c>
      <c r="B78" s="16" t="s">
        <v>1925</v>
      </c>
      <c r="C78" s="16">
        <v>2016.0</v>
      </c>
      <c r="D78" s="16" t="s">
        <v>1926</v>
      </c>
      <c r="E78" s="16" t="s">
        <v>1927</v>
      </c>
      <c r="F78" s="16" t="s">
        <v>1928</v>
      </c>
      <c r="G78" s="16" t="str">
        <f t="shared" si="1"/>
        <v>No</v>
      </c>
      <c r="H78" s="16" t="s">
        <v>1324</v>
      </c>
      <c r="I78" s="16" t="s">
        <v>1324</v>
      </c>
      <c r="J78" s="16">
        <v>10.0</v>
      </c>
      <c r="K78" s="17" t="s">
        <v>1929</v>
      </c>
      <c r="L78" s="17" t="s">
        <v>5010</v>
      </c>
      <c r="M78" s="18" t="str">
        <f t="shared" si="2"/>
        <v>http://dx.doi.org/10.1016/j.rsma.2016.09.001</v>
      </c>
      <c r="N78" s="19" t="s">
        <v>1326</v>
      </c>
      <c r="O78" s="17" t="s">
        <v>1327</v>
      </c>
      <c r="P78" s="17" t="s">
        <v>1328</v>
      </c>
      <c r="Q78" s="17" t="s">
        <v>1328</v>
      </c>
      <c r="R78" s="17" t="s">
        <v>1328</v>
      </c>
      <c r="S78" s="17" t="s">
        <v>1328</v>
      </c>
      <c r="T78" s="17" t="s">
        <v>1328</v>
      </c>
      <c r="U78" s="20" t="str">
        <f t="shared" si="3"/>
        <v>Yes</v>
      </c>
      <c r="V78" s="19" t="str">
        <f t="shared" si="4"/>
        <v>PJ</v>
      </c>
      <c r="W78" s="17" t="str">
        <f t="shared" si="5"/>
        <v>Yes</v>
      </c>
      <c r="X78" s="17" t="s">
        <v>1443</v>
      </c>
      <c r="Y78" s="17" t="s">
        <v>1330</v>
      </c>
      <c r="Z78" s="17" t="s">
        <v>1331</v>
      </c>
      <c r="AA78" s="17" t="s">
        <v>1347</v>
      </c>
      <c r="AB78" s="17" t="s">
        <v>1360</v>
      </c>
      <c r="AC78" s="17" t="s">
        <v>1381</v>
      </c>
      <c r="AD78" s="17" t="s">
        <v>1349</v>
      </c>
      <c r="AE78" s="17">
        <f t="shared" si="6"/>
        <v>5</v>
      </c>
      <c r="AF78" s="17" t="s">
        <v>1328</v>
      </c>
      <c r="AG78" s="17" t="s">
        <v>1328</v>
      </c>
      <c r="AH78" s="17" t="s">
        <v>1328</v>
      </c>
      <c r="AI78" s="17" t="s">
        <v>1328</v>
      </c>
      <c r="AJ78" s="17" t="s">
        <v>1328</v>
      </c>
      <c r="AK78" s="17" t="s">
        <v>1336</v>
      </c>
      <c r="AL78" s="17" t="s">
        <v>1395</v>
      </c>
      <c r="AM78" s="17" t="s">
        <v>1351</v>
      </c>
      <c r="AN78" s="17" t="s">
        <v>1363</v>
      </c>
      <c r="AO78" s="17" t="s">
        <v>1331</v>
      </c>
      <c r="AP78" s="17" t="s">
        <v>1328</v>
      </c>
      <c r="AQ78" s="17" t="str">
        <f t="shared" si="7"/>
        <v>high</v>
      </c>
      <c r="AR78" s="20"/>
    </row>
    <row r="79" ht="15.75" customHeight="1">
      <c r="A79" s="16" t="s">
        <v>1997</v>
      </c>
      <c r="B79" s="16" t="s">
        <v>1055</v>
      </c>
      <c r="C79" s="16">
        <v>2014.0</v>
      </c>
      <c r="D79" s="16" t="s">
        <v>1998</v>
      </c>
      <c r="E79" s="16" t="s">
        <v>1999</v>
      </c>
      <c r="F79" s="16" t="s">
        <v>2000</v>
      </c>
      <c r="G79" s="16" t="str">
        <f t="shared" si="1"/>
        <v>No</v>
      </c>
      <c r="H79" s="16" t="s">
        <v>1324</v>
      </c>
      <c r="I79" s="16" t="s">
        <v>1324</v>
      </c>
      <c r="J79" s="16">
        <v>72.0</v>
      </c>
      <c r="K79" s="17" t="s">
        <v>2001</v>
      </c>
      <c r="L79" s="17" t="s">
        <v>5010</v>
      </c>
      <c r="M79" s="18" t="str">
        <f t="shared" si="2"/>
        <v>http://dx.doi.org/10.1016/j.gloplacha.2014.07.007</v>
      </c>
      <c r="N79" s="19" t="s">
        <v>1358</v>
      </c>
      <c r="O79" s="17" t="s">
        <v>1371</v>
      </c>
      <c r="P79" s="17" t="s">
        <v>1328</v>
      </c>
      <c r="Q79" s="17" t="s">
        <v>1328</v>
      </c>
      <c r="R79" s="17" t="s">
        <v>1328</v>
      </c>
      <c r="S79" s="17" t="s">
        <v>1328</v>
      </c>
      <c r="T79" s="17" t="s">
        <v>1328</v>
      </c>
      <c r="U79" s="20" t="str">
        <f t="shared" si="3"/>
        <v>Yes</v>
      </c>
      <c r="V79" s="19" t="str">
        <f t="shared" si="4"/>
        <v>LC</v>
      </c>
      <c r="W79" s="17" t="str">
        <f t="shared" si="5"/>
        <v>Yes</v>
      </c>
      <c r="X79" s="17" t="s">
        <v>1329</v>
      </c>
      <c r="Y79" s="17" t="s">
        <v>1330</v>
      </c>
      <c r="Z79" s="17" t="s">
        <v>1330</v>
      </c>
      <c r="AA79" s="17" t="s">
        <v>1347</v>
      </c>
      <c r="AB79" s="17" t="s">
        <v>1333</v>
      </c>
      <c r="AC79" s="17" t="s">
        <v>1381</v>
      </c>
      <c r="AD79" s="17" t="s">
        <v>1362</v>
      </c>
      <c r="AE79" s="17">
        <f t="shared" si="6"/>
        <v>2</v>
      </c>
      <c r="AF79" s="17" t="s">
        <v>1328</v>
      </c>
      <c r="AG79" s="17" t="s">
        <v>1328</v>
      </c>
      <c r="AH79" s="17" t="s">
        <v>1336</v>
      </c>
      <c r="AI79" s="17" t="s">
        <v>1336</v>
      </c>
      <c r="AJ79" s="17" t="s">
        <v>1336</v>
      </c>
      <c r="AK79" s="17" t="s">
        <v>1336</v>
      </c>
      <c r="AL79" s="17" t="s">
        <v>1350</v>
      </c>
      <c r="AM79" s="17" t="s">
        <v>1351</v>
      </c>
      <c r="AN79" s="17" t="s">
        <v>1363</v>
      </c>
      <c r="AO79" s="17" t="s">
        <v>1388</v>
      </c>
      <c r="AP79" s="17" t="s">
        <v>1328</v>
      </c>
      <c r="AQ79" s="17" t="str">
        <f t="shared" si="7"/>
        <v>intermediate</v>
      </c>
      <c r="AR79" s="20"/>
    </row>
    <row r="80" ht="15.75" customHeight="1">
      <c r="A80" s="16" t="s">
        <v>1836</v>
      </c>
      <c r="B80" s="16" t="s">
        <v>1837</v>
      </c>
      <c r="C80" s="16">
        <v>1997.0</v>
      </c>
      <c r="D80" s="16" t="s">
        <v>1838</v>
      </c>
      <c r="E80" s="16" t="s">
        <v>1839</v>
      </c>
      <c r="F80" s="16" t="s">
        <v>1840</v>
      </c>
      <c r="G80" s="16" t="str">
        <f t="shared" si="1"/>
        <v>No</v>
      </c>
      <c r="H80" s="16" t="s">
        <v>1324</v>
      </c>
      <c r="I80" s="16" t="s">
        <v>1324</v>
      </c>
      <c r="J80" s="16">
        <v>11.0</v>
      </c>
      <c r="K80" s="17" t="s">
        <v>1841</v>
      </c>
      <c r="L80" s="17" t="s">
        <v>5010</v>
      </c>
      <c r="M80" s="18" t="str">
        <f t="shared" si="2"/>
        <v>http://dx.doi.org/10.1023/A:1007320932349</v>
      </c>
      <c r="N80" s="19" t="s">
        <v>1522</v>
      </c>
      <c r="O80" s="17" t="s">
        <v>1417</v>
      </c>
      <c r="P80" s="17" t="s">
        <v>1328</v>
      </c>
      <c r="Q80" s="17" t="s">
        <v>1328</v>
      </c>
      <c r="R80" s="17" t="s">
        <v>1328</v>
      </c>
      <c r="S80" s="17" t="s">
        <v>1328</v>
      </c>
      <c r="T80" s="17" t="s">
        <v>1328</v>
      </c>
      <c r="U80" s="20" t="str">
        <f t="shared" si="3"/>
        <v>Yes</v>
      </c>
      <c r="V80" s="19" t="str">
        <f t="shared" si="4"/>
        <v>NT</v>
      </c>
      <c r="W80" s="17" t="str">
        <f t="shared" si="5"/>
        <v>Yes</v>
      </c>
      <c r="X80" s="17" t="s">
        <v>1443</v>
      </c>
      <c r="Y80" s="17" t="s">
        <v>1331</v>
      </c>
      <c r="Z80" s="17" t="s">
        <v>1330</v>
      </c>
      <c r="AA80" s="17" t="s">
        <v>1337</v>
      </c>
      <c r="AB80" s="17" t="s">
        <v>1660</v>
      </c>
      <c r="AC80" s="17" t="s">
        <v>1334</v>
      </c>
      <c r="AD80" s="17" t="s">
        <v>1530</v>
      </c>
      <c r="AE80" s="17">
        <f t="shared" si="6"/>
        <v>5</v>
      </c>
      <c r="AF80" s="17" t="s">
        <v>1328</v>
      </c>
      <c r="AG80" s="17" t="s">
        <v>1328</v>
      </c>
      <c r="AH80" s="17" t="s">
        <v>1328</v>
      </c>
      <c r="AI80" s="17" t="s">
        <v>1328</v>
      </c>
      <c r="AJ80" s="17" t="s">
        <v>1328</v>
      </c>
      <c r="AK80" s="17" t="s">
        <v>1336</v>
      </c>
      <c r="AL80" s="17" t="s">
        <v>1337</v>
      </c>
      <c r="AM80" s="17" t="s">
        <v>1338</v>
      </c>
      <c r="AN80" s="17" t="s">
        <v>1339</v>
      </c>
      <c r="AO80" s="17" t="s">
        <v>1331</v>
      </c>
      <c r="AP80" s="17" t="s">
        <v>1328</v>
      </c>
      <c r="AQ80" s="17" t="str">
        <f t="shared" si="7"/>
        <v>intermediate</v>
      </c>
      <c r="AR80" s="20"/>
    </row>
    <row r="81" ht="15.75" customHeight="1">
      <c r="A81" s="16" t="s">
        <v>1768</v>
      </c>
      <c r="B81" s="16" t="s">
        <v>1769</v>
      </c>
      <c r="C81" s="16">
        <v>2017.0</v>
      </c>
      <c r="D81" s="16" t="s">
        <v>1770</v>
      </c>
      <c r="E81" s="16" t="s">
        <v>1771</v>
      </c>
      <c r="F81" s="16" t="s">
        <v>1772</v>
      </c>
      <c r="G81" s="16" t="str">
        <f t="shared" si="1"/>
        <v>No</v>
      </c>
      <c r="H81" s="16" t="s">
        <v>1324</v>
      </c>
      <c r="I81" s="16" t="s">
        <v>1324</v>
      </c>
      <c r="J81" s="16">
        <v>7.0</v>
      </c>
      <c r="K81" s="17" t="s">
        <v>1773</v>
      </c>
      <c r="L81" s="17" t="s">
        <v>5010</v>
      </c>
      <c r="M81" s="18" t="str">
        <f t="shared" si="2"/>
        <v>http://dx.doi.org/10.1080/02705060.2017.1319431</v>
      </c>
      <c r="N81" s="19" t="s">
        <v>1580</v>
      </c>
      <c r="O81" s="17" t="s">
        <v>1387</v>
      </c>
      <c r="P81" s="17" t="s">
        <v>1328</v>
      </c>
      <c r="Q81" s="17" t="s">
        <v>1328</v>
      </c>
      <c r="R81" s="17" t="s">
        <v>1328</v>
      </c>
      <c r="S81" s="17" t="s">
        <v>1328</v>
      </c>
      <c r="T81" s="17" t="s">
        <v>1328</v>
      </c>
      <c r="U81" s="20" t="str">
        <f t="shared" si="3"/>
        <v>Yes</v>
      </c>
      <c r="V81" s="19" t="str">
        <f t="shared" si="4"/>
        <v>MW</v>
      </c>
      <c r="W81" s="17" t="str">
        <f t="shared" si="5"/>
        <v>Yes</v>
      </c>
      <c r="X81" s="17" t="s">
        <v>1329</v>
      </c>
      <c r="Y81" s="17" t="s">
        <v>1372</v>
      </c>
      <c r="Z81" s="17" t="s">
        <v>1331</v>
      </c>
      <c r="AA81" s="17" t="s">
        <v>1347</v>
      </c>
      <c r="AB81" s="17" t="s">
        <v>1333</v>
      </c>
      <c r="AC81" s="17" t="s">
        <v>1348</v>
      </c>
      <c r="AD81" s="17" t="s">
        <v>1530</v>
      </c>
      <c r="AE81" s="17">
        <f t="shared" si="6"/>
        <v>2</v>
      </c>
      <c r="AF81" s="17" t="s">
        <v>1336</v>
      </c>
      <c r="AG81" s="17" t="s">
        <v>1336</v>
      </c>
      <c r="AH81" s="17" t="s">
        <v>1328</v>
      </c>
      <c r="AI81" s="17" t="s">
        <v>1336</v>
      </c>
      <c r="AJ81" s="17" t="s">
        <v>1328</v>
      </c>
      <c r="AK81" s="17" t="s">
        <v>1336</v>
      </c>
      <c r="AL81" s="17" t="s">
        <v>1350</v>
      </c>
      <c r="AM81" s="17" t="s">
        <v>1351</v>
      </c>
      <c r="AN81" s="17" t="s">
        <v>1363</v>
      </c>
      <c r="AO81" s="17" t="s">
        <v>1374</v>
      </c>
      <c r="AP81" s="17" t="s">
        <v>1328</v>
      </c>
      <c r="AQ81" s="17" t="str">
        <f t="shared" si="7"/>
        <v>intermediate</v>
      </c>
      <c r="AR81" s="20"/>
    </row>
    <row r="82" ht="15.75" customHeight="1">
      <c r="A82" s="16" t="s">
        <v>1693</v>
      </c>
      <c r="B82" s="16" t="s">
        <v>1593</v>
      </c>
      <c r="C82" s="16">
        <v>2018.0</v>
      </c>
      <c r="D82" s="16" t="s">
        <v>1694</v>
      </c>
      <c r="E82" s="16" t="s">
        <v>1695</v>
      </c>
      <c r="F82" s="16" t="s">
        <v>1696</v>
      </c>
      <c r="G82" s="16" t="str">
        <f t="shared" si="1"/>
        <v>No</v>
      </c>
      <c r="H82" s="16" t="s">
        <v>1324</v>
      </c>
      <c r="I82" s="16" t="s">
        <v>1324</v>
      </c>
      <c r="J82" s="16">
        <v>139.0</v>
      </c>
      <c r="K82" s="17" t="s">
        <v>1697</v>
      </c>
      <c r="L82" s="17" t="s">
        <v>5010</v>
      </c>
      <c r="M82" s="18" t="str">
        <f t="shared" si="2"/>
        <v>http://dx.doi.org/10.1111/ddi.12693</v>
      </c>
      <c r="N82" s="19" t="s">
        <v>1666</v>
      </c>
      <c r="O82" s="17" t="s">
        <v>1371</v>
      </c>
      <c r="P82" s="17" t="s">
        <v>1328</v>
      </c>
      <c r="Q82" s="17" t="s">
        <v>1328</v>
      </c>
      <c r="R82" s="17" t="s">
        <v>1328</v>
      </c>
      <c r="S82" s="17" t="s">
        <v>1328</v>
      </c>
      <c r="T82" s="17" t="s">
        <v>1328</v>
      </c>
      <c r="U82" s="20" t="str">
        <f t="shared" si="3"/>
        <v>Yes</v>
      </c>
      <c r="V82" s="19" t="str">
        <f t="shared" si="4"/>
        <v>LC</v>
      </c>
      <c r="W82" s="17" t="str">
        <f t="shared" si="5"/>
        <v>Yes</v>
      </c>
      <c r="X82" s="17" t="s">
        <v>1329</v>
      </c>
      <c r="Y82" s="17" t="s">
        <v>1330</v>
      </c>
      <c r="Z82" s="17" t="s">
        <v>1372</v>
      </c>
      <c r="AA82" s="17" t="s">
        <v>1347</v>
      </c>
      <c r="AB82" s="17" t="s">
        <v>1333</v>
      </c>
      <c r="AC82" s="17" t="s">
        <v>1348</v>
      </c>
      <c r="AD82" s="17" t="s">
        <v>1362</v>
      </c>
      <c r="AE82" s="17">
        <f t="shared" si="6"/>
        <v>3</v>
      </c>
      <c r="AF82" s="17" t="s">
        <v>1328</v>
      </c>
      <c r="AG82" s="17" t="s">
        <v>1336</v>
      </c>
      <c r="AH82" s="17" t="s">
        <v>1336</v>
      </c>
      <c r="AI82" s="17" t="s">
        <v>1328</v>
      </c>
      <c r="AJ82" s="17" t="s">
        <v>1336</v>
      </c>
      <c r="AK82" s="17" t="s">
        <v>1328</v>
      </c>
      <c r="AL82" s="17" t="s">
        <v>1350</v>
      </c>
      <c r="AM82" s="17" t="s">
        <v>1351</v>
      </c>
      <c r="AN82" s="17" t="s">
        <v>1363</v>
      </c>
      <c r="AO82" s="17" t="s">
        <v>1388</v>
      </c>
      <c r="AP82" s="17" t="s">
        <v>1328</v>
      </c>
      <c r="AQ82" s="17" t="str">
        <f t="shared" si="7"/>
        <v>intermediate</v>
      </c>
      <c r="AR82" s="20"/>
    </row>
    <row r="83" ht="15.75" customHeight="1">
      <c r="A83" s="16" t="s">
        <v>2226</v>
      </c>
      <c r="B83" s="16" t="s">
        <v>2227</v>
      </c>
      <c r="C83" s="16">
        <v>2007.0</v>
      </c>
      <c r="D83" s="16" t="s">
        <v>2228</v>
      </c>
      <c r="E83" s="16" t="s">
        <v>2229</v>
      </c>
      <c r="F83" s="16" t="s">
        <v>2230</v>
      </c>
      <c r="G83" s="16" t="str">
        <f t="shared" si="1"/>
        <v>No</v>
      </c>
      <c r="H83" s="16" t="s">
        <v>1324</v>
      </c>
      <c r="I83" s="16" t="s">
        <v>1324</v>
      </c>
      <c r="J83" s="16">
        <v>77.0</v>
      </c>
      <c r="K83" s="17" t="s">
        <v>2231</v>
      </c>
      <c r="L83" s="17" t="s">
        <v>5010</v>
      </c>
      <c r="M83" s="18" t="str">
        <f t="shared" si="2"/>
        <v>http://dx.doi.org/10.1007/s00442-006-0655-1</v>
      </c>
      <c r="N83" s="19" t="s">
        <v>1495</v>
      </c>
      <c r="O83" s="17" t="s">
        <v>1436</v>
      </c>
      <c r="P83" s="17" t="s">
        <v>1328</v>
      </c>
      <c r="Q83" s="17" t="s">
        <v>1328</v>
      </c>
      <c r="R83" s="17" t="s">
        <v>1328</v>
      </c>
      <c r="S83" s="17" t="s">
        <v>1328</v>
      </c>
      <c r="T83" s="17" t="s">
        <v>1328</v>
      </c>
      <c r="U83" s="20" t="str">
        <f t="shared" si="3"/>
        <v>Yes</v>
      </c>
      <c r="V83" s="19" t="str">
        <f t="shared" si="4"/>
        <v>CG</v>
      </c>
      <c r="W83" s="17" t="str">
        <f t="shared" si="5"/>
        <v>Yes</v>
      </c>
      <c r="X83" s="17" t="s">
        <v>1329</v>
      </c>
      <c r="Y83" s="17" t="s">
        <v>1372</v>
      </c>
      <c r="Z83" s="17" t="s">
        <v>1331</v>
      </c>
      <c r="AA83" s="17" t="s">
        <v>1347</v>
      </c>
      <c r="AB83" s="17" t="s">
        <v>1333</v>
      </c>
      <c r="AC83" s="17" t="s">
        <v>1361</v>
      </c>
      <c r="AD83" s="17" t="s">
        <v>1530</v>
      </c>
      <c r="AE83" s="17">
        <f t="shared" si="6"/>
        <v>2</v>
      </c>
      <c r="AF83" s="17" t="s">
        <v>1328</v>
      </c>
      <c r="AG83" s="17" t="s">
        <v>1336</v>
      </c>
      <c r="AH83" s="17" t="s">
        <v>1336</v>
      </c>
      <c r="AI83" s="17" t="s">
        <v>1336</v>
      </c>
      <c r="AJ83" s="17" t="s">
        <v>1328</v>
      </c>
      <c r="AK83" s="17" t="s">
        <v>1336</v>
      </c>
      <c r="AL83" s="17" t="s">
        <v>1350</v>
      </c>
      <c r="AM83" s="17" t="s">
        <v>1351</v>
      </c>
      <c r="AN83" s="17" t="s">
        <v>1339</v>
      </c>
      <c r="AO83" s="17" t="s">
        <v>1388</v>
      </c>
      <c r="AP83" s="17" t="s">
        <v>1328</v>
      </c>
      <c r="AQ83" s="17" t="str">
        <f t="shared" si="7"/>
        <v>intermediate</v>
      </c>
      <c r="AR83" s="20"/>
    </row>
    <row r="84" ht="15.75" customHeight="1">
      <c r="A84" s="16" t="s">
        <v>1608</v>
      </c>
      <c r="B84" s="16" t="s">
        <v>1609</v>
      </c>
      <c r="C84" s="16">
        <v>2009.0</v>
      </c>
      <c r="D84" s="16" t="s">
        <v>1610</v>
      </c>
      <c r="E84" s="16" t="s">
        <v>1611</v>
      </c>
      <c r="F84" s="16" t="s">
        <v>1612</v>
      </c>
      <c r="G84" s="16" t="str">
        <f t="shared" si="1"/>
        <v>No</v>
      </c>
      <c r="H84" s="16" t="s">
        <v>1324</v>
      </c>
      <c r="I84" s="16" t="s">
        <v>1324</v>
      </c>
      <c r="J84" s="16">
        <v>85.0</v>
      </c>
      <c r="K84" s="17" t="s">
        <v>1613</v>
      </c>
      <c r="L84" s="17" t="s">
        <v>5010</v>
      </c>
      <c r="M84" s="18" t="str">
        <f t="shared" si="2"/>
        <v>http://dx.doi.org/10.1111/j.1442-9993.2009.01979.x</v>
      </c>
      <c r="N84" s="19" t="s">
        <v>1614</v>
      </c>
      <c r="O84" s="17" t="s">
        <v>1470</v>
      </c>
      <c r="P84" s="17" t="s">
        <v>1328</v>
      </c>
      <c r="Q84" s="17" t="s">
        <v>1328</v>
      </c>
      <c r="R84" s="17" t="s">
        <v>1328</v>
      </c>
      <c r="S84" s="17" t="s">
        <v>1328</v>
      </c>
      <c r="T84" s="17" t="s">
        <v>1328</v>
      </c>
      <c r="U84" s="20" t="str">
        <f t="shared" si="3"/>
        <v>Yes</v>
      </c>
      <c r="V84" s="19" t="str">
        <f t="shared" si="4"/>
        <v>AG</v>
      </c>
      <c r="W84" s="17" t="str">
        <f t="shared" si="5"/>
        <v>Yes</v>
      </c>
      <c r="X84" s="17" t="s">
        <v>1329</v>
      </c>
      <c r="Y84" s="17" t="s">
        <v>1372</v>
      </c>
      <c r="Z84" s="17" t="s">
        <v>1331</v>
      </c>
      <c r="AA84" s="17" t="s">
        <v>1332</v>
      </c>
      <c r="AB84" s="17" t="s">
        <v>1333</v>
      </c>
      <c r="AC84" s="17" t="s">
        <v>1381</v>
      </c>
      <c r="AD84" s="17" t="s">
        <v>1362</v>
      </c>
      <c r="AE84" s="17">
        <f t="shared" si="6"/>
        <v>2</v>
      </c>
      <c r="AF84" s="17" t="s">
        <v>1336</v>
      </c>
      <c r="AG84" s="17" t="s">
        <v>1328</v>
      </c>
      <c r="AH84" s="17" t="s">
        <v>1328</v>
      </c>
      <c r="AI84" s="17" t="s">
        <v>1336</v>
      </c>
      <c r="AJ84" s="17" t="s">
        <v>1336</v>
      </c>
      <c r="AK84" s="17" t="s">
        <v>1336</v>
      </c>
      <c r="AL84" s="17" t="s">
        <v>1404</v>
      </c>
      <c r="AM84" s="17" t="s">
        <v>1351</v>
      </c>
      <c r="AN84" s="17" t="s">
        <v>1339</v>
      </c>
      <c r="AO84" s="17" t="s">
        <v>1388</v>
      </c>
      <c r="AP84" s="17" t="s">
        <v>1328</v>
      </c>
      <c r="AQ84" s="17" t="str">
        <f t="shared" si="7"/>
        <v>intermediate</v>
      </c>
      <c r="AR84" s="20"/>
    </row>
    <row r="85" ht="15.75" customHeight="1">
      <c r="A85" s="16" t="s">
        <v>1858</v>
      </c>
      <c r="B85" s="16" t="s">
        <v>1859</v>
      </c>
      <c r="C85" s="16">
        <v>2009.0</v>
      </c>
      <c r="D85" s="16" t="s">
        <v>1860</v>
      </c>
      <c r="E85" s="16" t="s">
        <v>1861</v>
      </c>
      <c r="F85" s="16" t="s">
        <v>1862</v>
      </c>
      <c r="G85" s="16" t="str">
        <f t="shared" si="1"/>
        <v>No</v>
      </c>
      <c r="H85" s="16" t="s">
        <v>1324</v>
      </c>
      <c r="I85" s="16" t="s">
        <v>1324</v>
      </c>
      <c r="J85" s="16">
        <v>59.0</v>
      </c>
      <c r="K85" s="17" t="s">
        <v>1863</v>
      </c>
      <c r="L85" s="17" t="s">
        <v>5010</v>
      </c>
      <c r="M85" s="18" t="str">
        <f t="shared" si="2"/>
        <v>http://dx.doi.org/10.1017/S0954102009001722</v>
      </c>
      <c r="N85" s="19" t="s">
        <v>1835</v>
      </c>
      <c r="O85" s="17" t="s">
        <v>1327</v>
      </c>
      <c r="P85" s="17" t="s">
        <v>1328</v>
      </c>
      <c r="Q85" s="17" t="s">
        <v>1328</v>
      </c>
      <c r="R85" s="17" t="s">
        <v>1328</v>
      </c>
      <c r="S85" s="17" t="s">
        <v>1328</v>
      </c>
      <c r="T85" s="17" t="s">
        <v>1328</v>
      </c>
      <c r="U85" s="20" t="str">
        <f t="shared" si="3"/>
        <v>Yes</v>
      </c>
      <c r="V85" s="19" t="str">
        <f t="shared" si="4"/>
        <v>PJ</v>
      </c>
      <c r="W85" s="17" t="str">
        <f t="shared" si="5"/>
        <v>Yes</v>
      </c>
      <c r="X85" s="17" t="s">
        <v>1443</v>
      </c>
      <c r="Y85" s="17" t="s">
        <v>1523</v>
      </c>
      <c r="Z85" s="17" t="s">
        <v>1330</v>
      </c>
      <c r="AA85" s="17" t="s">
        <v>1332</v>
      </c>
      <c r="AB85" s="17" t="s">
        <v>1660</v>
      </c>
      <c r="AC85" s="17" t="s">
        <v>1864</v>
      </c>
      <c r="AD85" s="17" t="s">
        <v>1373</v>
      </c>
      <c r="AE85" s="17">
        <f t="shared" si="6"/>
        <v>5</v>
      </c>
      <c r="AF85" s="17" t="s">
        <v>1336</v>
      </c>
      <c r="AG85" s="17" t="s">
        <v>1328</v>
      </c>
      <c r="AH85" s="17" t="s">
        <v>1328</v>
      </c>
      <c r="AI85" s="17" t="s">
        <v>1328</v>
      </c>
      <c r="AJ85" s="17" t="s">
        <v>1328</v>
      </c>
      <c r="AK85" s="17" t="s">
        <v>1328</v>
      </c>
      <c r="AL85" s="17" t="s">
        <v>1337</v>
      </c>
      <c r="AM85" s="17" t="s">
        <v>1338</v>
      </c>
      <c r="AN85" s="17" t="s">
        <v>1339</v>
      </c>
      <c r="AO85" s="17" t="s">
        <v>1331</v>
      </c>
      <c r="AP85" s="17" t="s">
        <v>1328</v>
      </c>
      <c r="AQ85" s="17" t="str">
        <f t="shared" si="7"/>
        <v>intermediate</v>
      </c>
      <c r="AR85" s="20" t="s">
        <v>1865</v>
      </c>
    </row>
    <row r="86" ht="15.75" customHeight="1">
      <c r="A86" s="16" t="s">
        <v>1930</v>
      </c>
      <c r="B86" s="16" t="s">
        <v>1925</v>
      </c>
      <c r="C86" s="16">
        <v>2016.0</v>
      </c>
      <c r="D86" s="16" t="s">
        <v>1931</v>
      </c>
      <c r="E86" s="16" t="s">
        <v>1932</v>
      </c>
      <c r="F86" s="16" t="s">
        <v>1933</v>
      </c>
      <c r="G86" s="16" t="str">
        <f t="shared" si="1"/>
        <v>No</v>
      </c>
      <c r="H86" s="16" t="s">
        <v>1324</v>
      </c>
      <c r="I86" s="16" t="s">
        <v>1324</v>
      </c>
      <c r="J86" s="16">
        <v>53.0</v>
      </c>
      <c r="K86" s="17" t="s">
        <v>1934</v>
      </c>
      <c r="L86" s="17" t="s">
        <v>5010</v>
      </c>
      <c r="M86" s="18" t="str">
        <f t="shared" si="2"/>
        <v>http://dx.doi.org/10.1016/j.rsma.2015.06.001</v>
      </c>
      <c r="N86" s="19" t="s">
        <v>1346</v>
      </c>
      <c r="O86" s="17" t="s">
        <v>1436</v>
      </c>
      <c r="P86" s="17" t="s">
        <v>1328</v>
      </c>
      <c r="Q86" s="17" t="s">
        <v>1328</v>
      </c>
      <c r="R86" s="17" t="s">
        <v>1328</v>
      </c>
      <c r="S86" s="17" t="s">
        <v>1328</v>
      </c>
      <c r="T86" s="17" t="s">
        <v>1328</v>
      </c>
      <c r="U86" s="20" t="str">
        <f t="shared" si="3"/>
        <v>Yes</v>
      </c>
      <c r="V86" s="19" t="str">
        <f t="shared" si="4"/>
        <v>CG</v>
      </c>
      <c r="W86" s="17" t="str">
        <f t="shared" si="5"/>
        <v>Yes</v>
      </c>
      <c r="X86" s="17" t="s">
        <v>1329</v>
      </c>
      <c r="Y86" s="17" t="s">
        <v>1372</v>
      </c>
      <c r="Z86" s="17" t="s">
        <v>1523</v>
      </c>
      <c r="AA86" s="17" t="s">
        <v>1347</v>
      </c>
      <c r="AB86" s="17" t="s">
        <v>1333</v>
      </c>
      <c r="AC86" s="17" t="s">
        <v>1348</v>
      </c>
      <c r="AD86" s="17" t="s">
        <v>1349</v>
      </c>
      <c r="AE86" s="17">
        <f t="shared" si="6"/>
        <v>3</v>
      </c>
      <c r="AF86" s="17" t="s">
        <v>1328</v>
      </c>
      <c r="AG86" s="17" t="s">
        <v>1336</v>
      </c>
      <c r="AH86" s="17" t="s">
        <v>1336</v>
      </c>
      <c r="AI86" s="17" t="s">
        <v>1336</v>
      </c>
      <c r="AJ86" s="17" t="s">
        <v>1328</v>
      </c>
      <c r="AK86" s="17" t="s">
        <v>1328</v>
      </c>
      <c r="AL86" s="17" t="s">
        <v>1350</v>
      </c>
      <c r="AM86" s="17" t="s">
        <v>1351</v>
      </c>
      <c r="AN86" s="17" t="s">
        <v>1339</v>
      </c>
      <c r="AO86" s="17" t="s">
        <v>1388</v>
      </c>
      <c r="AP86" s="17" t="s">
        <v>1328</v>
      </c>
      <c r="AQ86" s="17" t="str">
        <f t="shared" si="7"/>
        <v>intermediate</v>
      </c>
      <c r="AR86" s="20"/>
    </row>
    <row r="87" ht="15.75" customHeight="1">
      <c r="A87" s="16" t="s">
        <v>1785</v>
      </c>
      <c r="B87" s="16" t="s">
        <v>774</v>
      </c>
      <c r="C87" s="16">
        <v>2002.0</v>
      </c>
      <c r="D87" s="16" t="s">
        <v>1786</v>
      </c>
      <c r="E87" s="16" t="s">
        <v>1787</v>
      </c>
      <c r="F87" s="16" t="s">
        <v>1788</v>
      </c>
      <c r="G87" s="16" t="str">
        <f t="shared" si="1"/>
        <v>No</v>
      </c>
      <c r="H87" s="16" t="s">
        <v>1324</v>
      </c>
      <c r="I87" s="16" t="s">
        <v>1324</v>
      </c>
      <c r="J87" s="16">
        <v>99.0</v>
      </c>
      <c r="K87" s="17" t="s">
        <v>1789</v>
      </c>
      <c r="L87" s="17" t="s">
        <v>5010</v>
      </c>
      <c r="M87" s="18" t="str">
        <f t="shared" si="2"/>
        <v>http://dx.doi.org/10.1046/j.1365-2486.2002.00482.x</v>
      </c>
      <c r="N87" s="19" t="s">
        <v>1614</v>
      </c>
      <c r="O87" s="17" t="s">
        <v>1417</v>
      </c>
      <c r="P87" s="17" t="s">
        <v>1328</v>
      </c>
      <c r="Q87" s="17" t="s">
        <v>1328</v>
      </c>
      <c r="R87" s="17" t="s">
        <v>1328</v>
      </c>
      <c r="S87" s="17" t="s">
        <v>1328</v>
      </c>
      <c r="T87" s="17" t="s">
        <v>1328</v>
      </c>
      <c r="U87" s="20" t="str">
        <f t="shared" si="3"/>
        <v>Yes</v>
      </c>
      <c r="V87" s="19" t="str">
        <f t="shared" si="4"/>
        <v>NT</v>
      </c>
      <c r="W87" s="17" t="str">
        <f t="shared" si="5"/>
        <v>Yes</v>
      </c>
      <c r="X87" s="17" t="s">
        <v>1329</v>
      </c>
      <c r="Y87" s="17" t="s">
        <v>1331</v>
      </c>
      <c r="Z87" s="17" t="s">
        <v>1372</v>
      </c>
      <c r="AA87" s="17" t="s">
        <v>1347</v>
      </c>
      <c r="AB87" s="17" t="s">
        <v>1360</v>
      </c>
      <c r="AC87" s="17" t="s">
        <v>1348</v>
      </c>
      <c r="AD87" s="17" t="s">
        <v>1362</v>
      </c>
      <c r="AE87" s="17">
        <f t="shared" si="6"/>
        <v>3</v>
      </c>
      <c r="AF87" s="17" t="s">
        <v>1336</v>
      </c>
      <c r="AG87" s="17" t="s">
        <v>1328</v>
      </c>
      <c r="AH87" s="17" t="s">
        <v>1328</v>
      </c>
      <c r="AI87" s="17" t="s">
        <v>1336</v>
      </c>
      <c r="AJ87" s="17" t="s">
        <v>1328</v>
      </c>
      <c r="AK87" s="17" t="s">
        <v>1336</v>
      </c>
      <c r="AL87" s="17" t="s">
        <v>1350</v>
      </c>
      <c r="AM87" s="17" t="s">
        <v>1351</v>
      </c>
      <c r="AN87" s="17" t="s">
        <v>1339</v>
      </c>
      <c r="AO87" s="17" t="s">
        <v>1331</v>
      </c>
      <c r="AP87" s="17" t="s">
        <v>1328</v>
      </c>
      <c r="AQ87" s="17" t="str">
        <f t="shared" si="7"/>
        <v>intermediate</v>
      </c>
      <c r="AR87" s="20"/>
    </row>
    <row r="88" ht="15.75" customHeight="1">
      <c r="A88" s="16" t="s">
        <v>2254</v>
      </c>
      <c r="B88" s="16" t="s">
        <v>2244</v>
      </c>
      <c r="C88" s="16">
        <v>2013.0</v>
      </c>
      <c r="D88" s="16" t="s">
        <v>2255</v>
      </c>
      <c r="E88" s="16" t="s">
        <v>2256</v>
      </c>
      <c r="F88" s="16" t="s">
        <v>2257</v>
      </c>
      <c r="G88" s="16" t="str">
        <f t="shared" si="1"/>
        <v>No</v>
      </c>
      <c r="H88" s="16" t="s">
        <v>1324</v>
      </c>
      <c r="I88" s="16" t="s">
        <v>1324</v>
      </c>
      <c r="J88" s="16">
        <v>70.0</v>
      </c>
      <c r="K88" s="17" t="s">
        <v>2258</v>
      </c>
      <c r="L88" s="17" t="s">
        <v>5010</v>
      </c>
      <c r="M88" s="18" t="str">
        <f t="shared" si="2"/>
        <v>http://dx.doi.org/10.1002/aqc.2345</v>
      </c>
      <c r="N88" s="19" t="s">
        <v>1346</v>
      </c>
      <c r="O88" s="17" t="s">
        <v>1470</v>
      </c>
      <c r="P88" s="17" t="s">
        <v>1328</v>
      </c>
      <c r="Q88" s="17" t="s">
        <v>1328</v>
      </c>
      <c r="R88" s="17" t="s">
        <v>1328</v>
      </c>
      <c r="S88" s="17" t="s">
        <v>1328</v>
      </c>
      <c r="T88" s="17" t="s">
        <v>1328</v>
      </c>
      <c r="U88" s="20" t="str">
        <f t="shared" si="3"/>
        <v>Yes</v>
      </c>
      <c r="V88" s="19" t="str">
        <f t="shared" si="4"/>
        <v>AG</v>
      </c>
      <c r="W88" s="17" t="str">
        <f t="shared" si="5"/>
        <v>Yes</v>
      </c>
      <c r="X88" s="17" t="s">
        <v>1329</v>
      </c>
      <c r="Y88" s="17" t="s">
        <v>1372</v>
      </c>
      <c r="Z88" s="17" t="s">
        <v>1331</v>
      </c>
      <c r="AA88" s="17" t="s">
        <v>1347</v>
      </c>
      <c r="AB88" s="17" t="s">
        <v>1333</v>
      </c>
      <c r="AC88" s="17" t="s">
        <v>1361</v>
      </c>
      <c r="AD88" s="17" t="s">
        <v>1530</v>
      </c>
      <c r="AE88" s="17">
        <f t="shared" si="6"/>
        <v>2</v>
      </c>
      <c r="AF88" s="17" t="s">
        <v>1336</v>
      </c>
      <c r="AG88" s="17" t="s">
        <v>1336</v>
      </c>
      <c r="AH88" s="17" t="s">
        <v>1336</v>
      </c>
      <c r="AI88" s="17" t="s">
        <v>1328</v>
      </c>
      <c r="AJ88" s="17" t="s">
        <v>1328</v>
      </c>
      <c r="AK88" s="17" t="s">
        <v>1336</v>
      </c>
      <c r="AL88" s="17" t="s">
        <v>1350</v>
      </c>
      <c r="AM88" s="17" t="s">
        <v>1351</v>
      </c>
      <c r="AN88" s="17" t="s">
        <v>1339</v>
      </c>
      <c r="AO88" s="17" t="s">
        <v>1331</v>
      </c>
      <c r="AP88" s="17" t="s">
        <v>1328</v>
      </c>
      <c r="AQ88" s="17" t="str">
        <f t="shared" si="7"/>
        <v>intermediate</v>
      </c>
      <c r="AR88" s="20"/>
    </row>
    <row r="89" ht="15.75" customHeight="1">
      <c r="A89" s="16" t="s">
        <v>2036</v>
      </c>
      <c r="B89" s="16" t="s">
        <v>2030</v>
      </c>
      <c r="C89" s="16">
        <v>2016.0</v>
      </c>
      <c r="D89" s="16" t="s">
        <v>2037</v>
      </c>
      <c r="E89" s="16" t="s">
        <v>2038</v>
      </c>
      <c r="F89" s="16" t="s">
        <v>2039</v>
      </c>
      <c r="G89" s="16" t="str">
        <f t="shared" si="1"/>
        <v>No</v>
      </c>
      <c r="H89" s="16" t="s">
        <v>1324</v>
      </c>
      <c r="I89" s="16" t="s">
        <v>1324</v>
      </c>
      <c r="J89" s="16">
        <v>96.0</v>
      </c>
      <c r="K89" s="17" t="s">
        <v>2040</v>
      </c>
      <c r="L89" s="17" t="s">
        <v>5010</v>
      </c>
      <c r="M89" s="18" t="str">
        <f t="shared" si="2"/>
        <v>http://dx.doi.org/10.1016/j.fishres.2016.01.005</v>
      </c>
      <c r="N89" s="19" t="s">
        <v>1416</v>
      </c>
      <c r="O89" s="17" t="s">
        <v>1403</v>
      </c>
      <c r="P89" s="17" t="s">
        <v>1328</v>
      </c>
      <c r="Q89" s="17" t="s">
        <v>1328</v>
      </c>
      <c r="R89" s="17" t="s">
        <v>1328</v>
      </c>
      <c r="S89" s="17" t="s">
        <v>1328</v>
      </c>
      <c r="T89" s="17" t="s">
        <v>1328</v>
      </c>
      <c r="U89" s="20" t="str">
        <f t="shared" si="3"/>
        <v>Yes</v>
      </c>
      <c r="V89" s="19" t="str">
        <f t="shared" si="4"/>
        <v>DB</v>
      </c>
      <c r="W89" s="17" t="str">
        <f t="shared" si="5"/>
        <v>Yes</v>
      </c>
      <c r="X89" s="17" t="s">
        <v>1329</v>
      </c>
      <c r="Y89" s="17" t="s">
        <v>1330</v>
      </c>
      <c r="Z89" s="17" t="s">
        <v>1331</v>
      </c>
      <c r="AA89" s="17" t="s">
        <v>1347</v>
      </c>
      <c r="AB89" s="17" t="s">
        <v>1333</v>
      </c>
      <c r="AC89" s="17" t="s">
        <v>1361</v>
      </c>
      <c r="AD89" s="17" t="s">
        <v>1349</v>
      </c>
      <c r="AE89" s="17">
        <f t="shared" si="6"/>
        <v>2</v>
      </c>
      <c r="AF89" s="17" t="s">
        <v>1328</v>
      </c>
      <c r="AG89" s="17" t="s">
        <v>1336</v>
      </c>
      <c r="AH89" s="17" t="s">
        <v>1328</v>
      </c>
      <c r="AI89" s="17" t="s">
        <v>1336</v>
      </c>
      <c r="AJ89" s="17" t="s">
        <v>1336</v>
      </c>
      <c r="AK89" s="17" t="s">
        <v>1336</v>
      </c>
      <c r="AL89" s="17" t="s">
        <v>1350</v>
      </c>
      <c r="AM89" s="17" t="s">
        <v>1351</v>
      </c>
      <c r="AN89" s="17" t="s">
        <v>1363</v>
      </c>
      <c r="AO89" s="17" t="s">
        <v>1331</v>
      </c>
      <c r="AP89" s="17" t="s">
        <v>1328</v>
      </c>
      <c r="AQ89" s="17" t="str">
        <f t="shared" si="7"/>
        <v>intermediate</v>
      </c>
      <c r="AR89" s="20"/>
    </row>
    <row r="90" ht="15.75" customHeight="1">
      <c r="A90" s="16" t="s">
        <v>1970</v>
      </c>
      <c r="B90" s="16" t="s">
        <v>168</v>
      </c>
      <c r="C90" s="16">
        <v>2017.0</v>
      </c>
      <c r="D90" s="16" t="s">
        <v>1971</v>
      </c>
      <c r="E90" s="16" t="s">
        <v>1972</v>
      </c>
      <c r="F90" s="16" t="s">
        <v>1973</v>
      </c>
      <c r="G90" s="16" t="str">
        <f t="shared" si="1"/>
        <v>No</v>
      </c>
      <c r="H90" s="16" t="s">
        <v>1324</v>
      </c>
      <c r="I90" s="16" t="s">
        <v>1324</v>
      </c>
      <c r="J90" s="16">
        <v>187.0</v>
      </c>
      <c r="K90" s="17" t="s">
        <v>1974</v>
      </c>
      <c r="L90" s="17" t="s">
        <v>5010</v>
      </c>
      <c r="M90" s="18" t="str">
        <f t="shared" si="2"/>
        <v>http://dx.doi.org/10.1016/j.landusepol.2017.09.045</v>
      </c>
      <c r="N90" s="19" t="s">
        <v>1482</v>
      </c>
      <c r="O90" s="17" t="s">
        <v>1327</v>
      </c>
      <c r="P90" s="17" t="s">
        <v>1328</v>
      </c>
      <c r="Q90" s="17" t="s">
        <v>1328</v>
      </c>
      <c r="R90" s="17" t="s">
        <v>1328</v>
      </c>
      <c r="S90" s="17" t="s">
        <v>1328</v>
      </c>
      <c r="T90" s="17" t="s">
        <v>1328</v>
      </c>
      <c r="U90" s="20" t="str">
        <f t="shared" si="3"/>
        <v>Yes</v>
      </c>
      <c r="V90" s="19" t="str">
        <f t="shared" si="4"/>
        <v>PJ</v>
      </c>
      <c r="W90" s="17" t="str">
        <f t="shared" si="5"/>
        <v>Yes</v>
      </c>
      <c r="X90" s="17" t="s">
        <v>1443</v>
      </c>
      <c r="Y90" s="17" t="s">
        <v>1330</v>
      </c>
      <c r="Z90" s="17" t="s">
        <v>1331</v>
      </c>
      <c r="AA90" s="17" t="s">
        <v>1332</v>
      </c>
      <c r="AB90" s="17" t="s">
        <v>1660</v>
      </c>
      <c r="AC90" s="17" t="s">
        <v>1361</v>
      </c>
      <c r="AD90" s="17" t="s">
        <v>1446</v>
      </c>
      <c r="AE90" s="17">
        <f t="shared" si="6"/>
        <v>2</v>
      </c>
      <c r="AF90" s="17" t="s">
        <v>1336</v>
      </c>
      <c r="AG90" s="17" t="s">
        <v>1328</v>
      </c>
      <c r="AH90" s="17" t="s">
        <v>1328</v>
      </c>
      <c r="AI90" s="17" t="s">
        <v>1336</v>
      </c>
      <c r="AJ90" s="17" t="s">
        <v>1336</v>
      </c>
      <c r="AK90" s="17" t="s">
        <v>1336</v>
      </c>
      <c r="AL90" s="17" t="s">
        <v>1395</v>
      </c>
      <c r="AM90" s="17" t="s">
        <v>1351</v>
      </c>
      <c r="AN90" s="17" t="s">
        <v>1339</v>
      </c>
      <c r="AO90" s="17" t="s">
        <v>1331</v>
      </c>
      <c r="AP90" s="17" t="s">
        <v>1328</v>
      </c>
      <c r="AQ90" s="17" t="str">
        <f t="shared" si="7"/>
        <v>high</v>
      </c>
      <c r="AR90" s="20"/>
    </row>
    <row r="91" ht="15.75" customHeight="1">
      <c r="A91" s="16" t="s">
        <v>1853</v>
      </c>
      <c r="B91" s="16" t="s">
        <v>1848</v>
      </c>
      <c r="C91" s="16">
        <v>2008.0</v>
      </c>
      <c r="D91" s="16" t="s">
        <v>1854</v>
      </c>
      <c r="E91" s="16" t="s">
        <v>1855</v>
      </c>
      <c r="F91" s="16" t="s">
        <v>1856</v>
      </c>
      <c r="G91" s="16" t="str">
        <f t="shared" si="1"/>
        <v>Yes</v>
      </c>
      <c r="H91" s="16" t="s">
        <v>1324</v>
      </c>
      <c r="I91" s="16" t="s">
        <v>1328</v>
      </c>
      <c r="J91" s="16">
        <v>36.0</v>
      </c>
      <c r="K91" s="17" t="s">
        <v>1857</v>
      </c>
      <c r="L91" s="17" t="s">
        <v>5010</v>
      </c>
      <c r="M91" s="18" t="str">
        <f t="shared" si="2"/>
        <v>http://dx.doi.org/10.1017/S0959270908000439</v>
      </c>
      <c r="N91" s="19" t="s">
        <v>1442</v>
      </c>
      <c r="O91" s="17" t="s">
        <v>1327</v>
      </c>
      <c r="P91" s="17" t="s">
        <v>1328</v>
      </c>
      <c r="Q91" s="17" t="s">
        <v>1328</v>
      </c>
      <c r="R91" s="17" t="s">
        <v>1328</v>
      </c>
      <c r="S91" s="17" t="s">
        <v>1328</v>
      </c>
      <c r="T91" s="17" t="s">
        <v>1328</v>
      </c>
      <c r="U91" s="20" t="str">
        <f t="shared" si="3"/>
        <v>Yes</v>
      </c>
      <c r="V91" s="19" t="str">
        <f t="shared" si="4"/>
        <v>PJ</v>
      </c>
      <c r="W91" s="17" t="str">
        <f t="shared" si="5"/>
        <v>Yes</v>
      </c>
      <c r="X91" s="17" t="s">
        <v>1443</v>
      </c>
      <c r="Y91" s="17" t="s">
        <v>1330</v>
      </c>
      <c r="Z91" s="17" t="s">
        <v>1331</v>
      </c>
      <c r="AA91" s="17" t="s">
        <v>1347</v>
      </c>
      <c r="AB91" s="17" t="s">
        <v>1444</v>
      </c>
      <c r="AC91" s="17" t="s">
        <v>1445</v>
      </c>
      <c r="AD91" s="17" t="s">
        <v>1446</v>
      </c>
      <c r="AE91" s="17">
        <f t="shared" si="6"/>
        <v>6</v>
      </c>
      <c r="AF91" s="17" t="s">
        <v>1328</v>
      </c>
      <c r="AG91" s="17" t="s">
        <v>1328</v>
      </c>
      <c r="AH91" s="17" t="s">
        <v>1328</v>
      </c>
      <c r="AI91" s="17" t="s">
        <v>1328</v>
      </c>
      <c r="AJ91" s="17" t="s">
        <v>1328</v>
      </c>
      <c r="AK91" s="17" t="s">
        <v>1328</v>
      </c>
      <c r="AL91" s="17" t="s">
        <v>1395</v>
      </c>
      <c r="AM91" s="17" t="s">
        <v>1351</v>
      </c>
      <c r="AN91" s="17" t="s">
        <v>1363</v>
      </c>
      <c r="AO91" s="17" t="s">
        <v>1331</v>
      </c>
      <c r="AP91" s="17" t="s">
        <v>1328</v>
      </c>
      <c r="AQ91" s="17" t="str">
        <f t="shared" si="7"/>
        <v>high</v>
      </c>
      <c r="AR91" s="20"/>
    </row>
    <row r="92" ht="15.75" customHeight="1">
      <c r="A92" s="21" t="s">
        <v>1975</v>
      </c>
      <c r="B92" s="21" t="s">
        <v>1976</v>
      </c>
      <c r="C92" s="21">
        <v>2016.0</v>
      </c>
      <c r="D92" s="21" t="s">
        <v>1977</v>
      </c>
      <c r="E92" s="21" t="s">
        <v>1978</v>
      </c>
      <c r="F92" s="21" t="s">
        <v>1979</v>
      </c>
      <c r="G92" s="16" t="str">
        <f t="shared" si="1"/>
        <v>No</v>
      </c>
      <c r="H92" s="16" t="s">
        <v>1324</v>
      </c>
      <c r="I92" s="16" t="s">
        <v>1324</v>
      </c>
      <c r="J92" s="16">
        <v>21.0</v>
      </c>
      <c r="K92" s="17" t="s">
        <v>1980</v>
      </c>
      <c r="L92" s="17" t="s">
        <v>5010</v>
      </c>
      <c r="M92" s="18" t="str">
        <f t="shared" si="2"/>
        <v>http://dx.doi.org/10.1016/j.jglr.2015.11.006</v>
      </c>
      <c r="N92" s="19" t="s">
        <v>1346</v>
      </c>
      <c r="O92" s="17" t="s">
        <v>1417</v>
      </c>
      <c r="P92" s="17" t="s">
        <v>1328</v>
      </c>
      <c r="Q92" s="17" t="s">
        <v>1328</v>
      </c>
      <c r="R92" s="17" t="s">
        <v>1328</v>
      </c>
      <c r="S92" s="17" t="s">
        <v>1328</v>
      </c>
      <c r="T92" s="17" t="s">
        <v>1328</v>
      </c>
      <c r="U92" s="20" t="str">
        <f t="shared" si="3"/>
        <v>Yes</v>
      </c>
      <c r="V92" s="19" t="str">
        <f t="shared" si="4"/>
        <v>NT</v>
      </c>
      <c r="W92" s="17" t="str">
        <f t="shared" si="5"/>
        <v>Yes</v>
      </c>
      <c r="X92" s="17" t="s">
        <v>1329</v>
      </c>
      <c r="Y92" s="17" t="s">
        <v>1331</v>
      </c>
      <c r="Z92" s="17" t="s">
        <v>1330</v>
      </c>
      <c r="AA92" s="17" t="s">
        <v>1347</v>
      </c>
      <c r="AB92" s="17" t="s">
        <v>1333</v>
      </c>
      <c r="AC92" s="17" t="s">
        <v>1361</v>
      </c>
      <c r="AD92" s="17" t="s">
        <v>1530</v>
      </c>
      <c r="AE92" s="22">
        <f t="shared" si="6"/>
        <v>2</v>
      </c>
      <c r="AF92" s="17" t="s">
        <v>1328</v>
      </c>
      <c r="AG92" s="17" t="s">
        <v>1336</v>
      </c>
      <c r="AH92" s="17" t="s">
        <v>1336</v>
      </c>
      <c r="AI92" s="17" t="s">
        <v>1336</v>
      </c>
      <c r="AJ92" s="17" t="s">
        <v>1328</v>
      </c>
      <c r="AK92" s="17" t="s">
        <v>1336</v>
      </c>
      <c r="AL92" s="17" t="s">
        <v>1404</v>
      </c>
      <c r="AM92" s="17" t="s">
        <v>1351</v>
      </c>
      <c r="AN92" s="17" t="s">
        <v>1339</v>
      </c>
      <c r="AO92" s="17" t="s">
        <v>1331</v>
      </c>
      <c r="AP92" s="17" t="s">
        <v>1328</v>
      </c>
      <c r="AQ92" s="17" t="str">
        <f t="shared" si="7"/>
        <v>intermediate</v>
      </c>
      <c r="AR92" s="20"/>
    </row>
    <row r="93" ht="15.75" customHeight="1">
      <c r="A93" s="16" t="s">
        <v>2007</v>
      </c>
      <c r="B93" s="16" t="s">
        <v>2008</v>
      </c>
      <c r="C93" s="16">
        <v>2018.0</v>
      </c>
      <c r="D93" s="16" t="s">
        <v>2009</v>
      </c>
      <c r="E93" s="16" t="s">
        <v>2010</v>
      </c>
      <c r="F93" s="16" t="s">
        <v>2011</v>
      </c>
      <c r="G93" s="16" t="str">
        <f t="shared" si="1"/>
        <v>No</v>
      </c>
      <c r="H93" s="16" t="s">
        <v>1324</v>
      </c>
      <c r="I93" s="16" t="s">
        <v>1324</v>
      </c>
      <c r="J93" s="16">
        <v>31.0</v>
      </c>
      <c r="K93" s="17" t="s">
        <v>2012</v>
      </c>
      <c r="L93" s="17" t="s">
        <v>5010</v>
      </c>
      <c r="M93" s="18" t="str">
        <f t="shared" si="2"/>
        <v>http://dx.doi.org/10.1016/j.foreco.2018.04.012</v>
      </c>
      <c r="N93" s="19" t="s">
        <v>1835</v>
      </c>
      <c r="O93" s="17" t="s">
        <v>1417</v>
      </c>
      <c r="P93" s="17" t="s">
        <v>1328</v>
      </c>
      <c r="Q93" s="17" t="s">
        <v>1328</v>
      </c>
      <c r="R93" s="17" t="s">
        <v>1328</v>
      </c>
      <c r="S93" s="17" t="s">
        <v>1328</v>
      </c>
      <c r="T93" s="17" t="s">
        <v>1328</v>
      </c>
      <c r="U93" s="20" t="str">
        <f t="shared" si="3"/>
        <v>Yes</v>
      </c>
      <c r="V93" s="19" t="str">
        <f t="shared" si="4"/>
        <v>NT</v>
      </c>
      <c r="W93" s="17" t="str">
        <f t="shared" si="5"/>
        <v>Yes</v>
      </c>
      <c r="X93" s="17" t="s">
        <v>1329</v>
      </c>
      <c r="Y93" s="17" t="s">
        <v>1331</v>
      </c>
      <c r="Z93" s="17" t="s">
        <v>1330</v>
      </c>
      <c r="AA93" s="17" t="s">
        <v>1347</v>
      </c>
      <c r="AB93" s="17" t="s">
        <v>1360</v>
      </c>
      <c r="AC93" s="17" t="s">
        <v>1348</v>
      </c>
      <c r="AD93" s="17" t="s">
        <v>1362</v>
      </c>
      <c r="AE93" s="17">
        <f t="shared" si="6"/>
        <v>4</v>
      </c>
      <c r="AF93" s="17" t="s">
        <v>1328</v>
      </c>
      <c r="AG93" s="17" t="s">
        <v>1328</v>
      </c>
      <c r="AH93" s="17" t="s">
        <v>1328</v>
      </c>
      <c r="AI93" s="17" t="s">
        <v>1336</v>
      </c>
      <c r="AJ93" s="17" t="s">
        <v>1336</v>
      </c>
      <c r="AK93" s="17" t="s">
        <v>1328</v>
      </c>
      <c r="AL93" s="17" t="s">
        <v>1404</v>
      </c>
      <c r="AM93" s="17" t="s">
        <v>1338</v>
      </c>
      <c r="AN93" s="17" t="s">
        <v>1339</v>
      </c>
      <c r="AO93" s="17" t="s">
        <v>1331</v>
      </c>
      <c r="AP93" s="17" t="s">
        <v>1328</v>
      </c>
      <c r="AQ93" s="17" t="str">
        <f t="shared" si="7"/>
        <v>intermediate</v>
      </c>
      <c r="AR93" s="20"/>
    </row>
    <row r="94" ht="15.75" customHeight="1">
      <c r="A94" s="16" t="s">
        <v>1598</v>
      </c>
      <c r="B94" s="16" t="s">
        <v>1120</v>
      </c>
      <c r="C94" s="16">
        <v>2010.0</v>
      </c>
      <c r="D94" s="16" t="s">
        <v>1599</v>
      </c>
      <c r="E94" s="16" t="s">
        <v>1600</v>
      </c>
      <c r="F94" s="16" t="s">
        <v>1601</v>
      </c>
      <c r="G94" s="16" t="str">
        <f t="shared" si="1"/>
        <v>No</v>
      </c>
      <c r="H94" s="16" t="s">
        <v>1324</v>
      </c>
      <c r="I94" s="16" t="s">
        <v>1324</v>
      </c>
      <c r="J94" s="16">
        <v>4.0</v>
      </c>
      <c r="K94" s="17" t="s">
        <v>1602</v>
      </c>
      <c r="L94" s="17" t="s">
        <v>5010</v>
      </c>
      <c r="M94" s="18" t="str">
        <f t="shared" si="2"/>
        <v>http://dx.doi.org/10.1111/j.1469-1795.2010.00369.x</v>
      </c>
      <c r="N94" s="19" t="s">
        <v>1482</v>
      </c>
      <c r="O94" s="17" t="s">
        <v>1371</v>
      </c>
      <c r="P94" s="17" t="s">
        <v>1328</v>
      </c>
      <c r="Q94" s="17" t="s">
        <v>1328</v>
      </c>
      <c r="R94" s="17" t="s">
        <v>1328</v>
      </c>
      <c r="S94" s="17" t="s">
        <v>1328</v>
      </c>
      <c r="T94" s="17" t="s">
        <v>1328</v>
      </c>
      <c r="U94" s="20" t="str">
        <f t="shared" si="3"/>
        <v>Yes</v>
      </c>
      <c r="V94" s="19" t="str">
        <f t="shared" si="4"/>
        <v>LC</v>
      </c>
      <c r="W94" s="17" t="str">
        <f t="shared" si="5"/>
        <v>Yes</v>
      </c>
      <c r="X94" s="17" t="s">
        <v>1329</v>
      </c>
      <c r="Y94" s="17" t="s">
        <v>1330</v>
      </c>
      <c r="Z94" s="17" t="s">
        <v>1331</v>
      </c>
      <c r="AA94" s="17" t="s">
        <v>1347</v>
      </c>
      <c r="AB94" s="17" t="s">
        <v>1333</v>
      </c>
      <c r="AC94" s="17" t="s">
        <v>1334</v>
      </c>
      <c r="AD94" s="17" t="s">
        <v>1362</v>
      </c>
      <c r="AE94" s="17">
        <f t="shared" si="6"/>
        <v>2</v>
      </c>
      <c r="AF94" s="17" t="s">
        <v>1336</v>
      </c>
      <c r="AG94" s="17" t="s">
        <v>1328</v>
      </c>
      <c r="AH94" s="17" t="s">
        <v>1336</v>
      </c>
      <c r="AI94" s="17" t="s">
        <v>1336</v>
      </c>
      <c r="AJ94" s="17" t="s">
        <v>1336</v>
      </c>
      <c r="AK94" s="17" t="s">
        <v>1328</v>
      </c>
      <c r="AL94" s="17" t="s">
        <v>1350</v>
      </c>
      <c r="AM94" s="17" t="s">
        <v>1351</v>
      </c>
      <c r="AN94" s="17" t="s">
        <v>1363</v>
      </c>
      <c r="AO94" s="17" t="s">
        <v>1374</v>
      </c>
      <c r="AP94" s="17" t="s">
        <v>1328</v>
      </c>
      <c r="AQ94" s="17" t="str">
        <f t="shared" si="7"/>
        <v>intermediate</v>
      </c>
      <c r="AR94" s="20"/>
    </row>
    <row r="95" ht="15.75" customHeight="1">
      <c r="A95" s="16" t="s">
        <v>1621</v>
      </c>
      <c r="B95" s="16" t="s">
        <v>774</v>
      </c>
      <c r="C95" s="16">
        <v>2012.0</v>
      </c>
      <c r="D95" s="16" t="s">
        <v>1622</v>
      </c>
      <c r="E95" s="16" t="s">
        <v>1623</v>
      </c>
      <c r="F95" s="16" t="s">
        <v>1624</v>
      </c>
      <c r="G95" s="16" t="str">
        <f t="shared" si="1"/>
        <v>No</v>
      </c>
      <c r="H95" s="16" t="s">
        <v>1324</v>
      </c>
      <c r="I95" s="16" t="s">
        <v>1324</v>
      </c>
      <c r="J95" s="16">
        <v>33.0</v>
      </c>
      <c r="K95" s="17" t="s">
        <v>1625</v>
      </c>
      <c r="L95" s="17" t="s">
        <v>5010</v>
      </c>
      <c r="M95" s="18" t="str">
        <f t="shared" si="2"/>
        <v>http://dx.doi.org/10.1111/j.1365-2486.2012.02662.x</v>
      </c>
      <c r="N95" s="19" t="s">
        <v>1495</v>
      </c>
      <c r="O95" s="17" t="s">
        <v>1403</v>
      </c>
      <c r="P95" s="17" t="s">
        <v>1328</v>
      </c>
      <c r="Q95" s="17" t="s">
        <v>1328</v>
      </c>
      <c r="R95" s="17" t="s">
        <v>1328</v>
      </c>
      <c r="S95" s="17" t="s">
        <v>1328</v>
      </c>
      <c r="T95" s="17" t="s">
        <v>1328</v>
      </c>
      <c r="U95" s="20" t="str">
        <f t="shared" si="3"/>
        <v>Yes</v>
      </c>
      <c r="V95" s="19" t="str">
        <f t="shared" si="4"/>
        <v>DB</v>
      </c>
      <c r="W95" s="17" t="str">
        <f t="shared" si="5"/>
        <v>Yes</v>
      </c>
      <c r="X95" s="17" t="s">
        <v>1329</v>
      </c>
      <c r="Y95" s="17" t="s">
        <v>1330</v>
      </c>
      <c r="Z95" s="17" t="s">
        <v>1331</v>
      </c>
      <c r="AA95" s="17" t="s">
        <v>1347</v>
      </c>
      <c r="AB95" s="17" t="s">
        <v>1333</v>
      </c>
      <c r="AC95" s="17" t="s">
        <v>1361</v>
      </c>
      <c r="AD95" s="17" t="s">
        <v>1530</v>
      </c>
      <c r="AE95" s="17">
        <f t="shared" si="6"/>
        <v>3</v>
      </c>
      <c r="AF95" s="17" t="s">
        <v>1336</v>
      </c>
      <c r="AG95" s="17" t="s">
        <v>1328</v>
      </c>
      <c r="AH95" s="17" t="s">
        <v>1336</v>
      </c>
      <c r="AI95" s="17" t="s">
        <v>1336</v>
      </c>
      <c r="AJ95" s="17" t="s">
        <v>1328</v>
      </c>
      <c r="AK95" s="17" t="s">
        <v>1328</v>
      </c>
      <c r="AL95" s="17" t="s">
        <v>1350</v>
      </c>
      <c r="AM95" s="17" t="s">
        <v>1351</v>
      </c>
      <c r="AN95" s="17" t="s">
        <v>1363</v>
      </c>
      <c r="AO95" s="17" t="s">
        <v>1331</v>
      </c>
      <c r="AP95" s="17" t="s">
        <v>1328</v>
      </c>
      <c r="AQ95" s="17" t="str">
        <f t="shared" si="7"/>
        <v>intermediate</v>
      </c>
      <c r="AR95" s="20"/>
    </row>
    <row r="96" ht="15.75" customHeight="1">
      <c r="A96" s="16" t="s">
        <v>1959</v>
      </c>
      <c r="B96" s="16" t="s">
        <v>260</v>
      </c>
      <c r="C96" s="16">
        <v>2017.0</v>
      </c>
      <c r="D96" s="16" t="s">
        <v>1960</v>
      </c>
      <c r="E96" s="16" t="s">
        <v>1961</v>
      </c>
      <c r="F96" s="16" t="s">
        <v>1962</v>
      </c>
      <c r="G96" s="16" t="str">
        <f t="shared" si="1"/>
        <v>No</v>
      </c>
      <c r="H96" s="16" t="s">
        <v>1324</v>
      </c>
      <c r="I96" s="16" t="s">
        <v>1324</v>
      </c>
      <c r="J96" s="16">
        <v>19.0</v>
      </c>
      <c r="K96" s="17" t="s">
        <v>1963</v>
      </c>
      <c r="L96" s="17" t="s">
        <v>5010</v>
      </c>
      <c r="M96" s="18" t="str">
        <f t="shared" si="2"/>
        <v>http://dx.doi.org/10.1016/j.marpolbul.2017.06.054</v>
      </c>
      <c r="N96" s="19" t="s">
        <v>1402</v>
      </c>
      <c r="O96" s="17" t="s">
        <v>1327</v>
      </c>
      <c r="P96" s="17" t="s">
        <v>1328</v>
      </c>
      <c r="Q96" s="17" t="s">
        <v>1328</v>
      </c>
      <c r="R96" s="17" t="s">
        <v>1328</v>
      </c>
      <c r="S96" s="17" t="s">
        <v>1328</v>
      </c>
      <c r="T96" s="17" t="s">
        <v>1328</v>
      </c>
      <c r="U96" s="20" t="str">
        <f t="shared" si="3"/>
        <v>Yes</v>
      </c>
      <c r="V96" s="19" t="str">
        <f t="shared" si="4"/>
        <v>PJ</v>
      </c>
      <c r="W96" s="17" t="str">
        <f t="shared" si="5"/>
        <v>Yes</v>
      </c>
      <c r="X96" s="17" t="s">
        <v>1443</v>
      </c>
      <c r="Y96" s="17" t="s">
        <v>1330</v>
      </c>
      <c r="Z96" s="17" t="s">
        <v>1523</v>
      </c>
      <c r="AA96" s="17" t="s">
        <v>1347</v>
      </c>
      <c r="AB96" s="17" t="s">
        <v>1333</v>
      </c>
      <c r="AC96" s="17" t="s">
        <v>1381</v>
      </c>
      <c r="AD96" s="17" t="s">
        <v>1349</v>
      </c>
      <c r="AE96" s="17">
        <f t="shared" si="6"/>
        <v>2</v>
      </c>
      <c r="AF96" s="17" t="s">
        <v>1336</v>
      </c>
      <c r="AG96" s="17" t="s">
        <v>1328</v>
      </c>
      <c r="AH96" s="17" t="s">
        <v>1336</v>
      </c>
      <c r="AI96" s="17" t="s">
        <v>1336</v>
      </c>
      <c r="AJ96" s="17" t="s">
        <v>1328</v>
      </c>
      <c r="AK96" s="17" t="s">
        <v>1336</v>
      </c>
      <c r="AL96" s="17" t="s">
        <v>1350</v>
      </c>
      <c r="AM96" s="17" t="s">
        <v>1351</v>
      </c>
      <c r="AN96" s="17" t="s">
        <v>1339</v>
      </c>
      <c r="AO96" s="17" t="s">
        <v>1331</v>
      </c>
      <c r="AP96" s="17" t="s">
        <v>1328</v>
      </c>
      <c r="AQ96" s="17" t="str">
        <f t="shared" si="7"/>
        <v>intermediate</v>
      </c>
      <c r="AR96" s="20"/>
    </row>
    <row r="97" ht="15.75" customHeight="1">
      <c r="A97" s="16" t="s">
        <v>1411</v>
      </c>
      <c r="B97" s="16" t="s">
        <v>1397</v>
      </c>
      <c r="C97" s="16">
        <v>2010.0</v>
      </c>
      <c r="D97" s="16" t="s">
        <v>1412</v>
      </c>
      <c r="E97" s="16" t="s">
        <v>1413</v>
      </c>
      <c r="F97" s="16" t="s">
        <v>1414</v>
      </c>
      <c r="G97" s="16" t="str">
        <f t="shared" si="1"/>
        <v>No</v>
      </c>
      <c r="H97" s="16" t="s">
        <v>1324</v>
      </c>
      <c r="I97" s="16" t="s">
        <v>1324</v>
      </c>
      <c r="J97" s="16">
        <v>63.0</v>
      </c>
      <c r="K97" s="17" t="s">
        <v>1415</v>
      </c>
      <c r="L97" s="17" t="s">
        <v>5010</v>
      </c>
      <c r="M97" s="18" t="str">
        <f t="shared" si="2"/>
        <v>http://dx.doi.org/10.3354/meps08592</v>
      </c>
      <c r="N97" s="19" t="s">
        <v>1416</v>
      </c>
      <c r="O97" s="17" t="s">
        <v>1417</v>
      </c>
      <c r="P97" s="17" t="s">
        <v>1328</v>
      </c>
      <c r="Q97" s="17" t="s">
        <v>1328</v>
      </c>
      <c r="R97" s="17" t="s">
        <v>1328</v>
      </c>
      <c r="S97" s="17" t="s">
        <v>1328</v>
      </c>
      <c r="T97" s="17" t="s">
        <v>1328</v>
      </c>
      <c r="U97" s="20" t="str">
        <f t="shared" si="3"/>
        <v>Yes</v>
      </c>
      <c r="V97" s="19" t="str">
        <f t="shared" si="4"/>
        <v>NT</v>
      </c>
      <c r="W97" s="17" t="str">
        <f t="shared" si="5"/>
        <v>Yes</v>
      </c>
      <c r="X97" s="17" t="s">
        <v>1329</v>
      </c>
      <c r="Y97" s="17" t="s">
        <v>1331</v>
      </c>
      <c r="Z97" s="17" t="s">
        <v>1330</v>
      </c>
      <c r="AA97" s="17" t="s">
        <v>1347</v>
      </c>
      <c r="AB97" s="17" t="s">
        <v>1360</v>
      </c>
      <c r="AC97" s="17" t="s">
        <v>1361</v>
      </c>
      <c r="AD97" s="17" t="s">
        <v>1349</v>
      </c>
      <c r="AE97" s="17">
        <f t="shared" si="6"/>
        <v>2</v>
      </c>
      <c r="AF97" s="17" t="s">
        <v>1328</v>
      </c>
      <c r="AG97" s="17" t="s">
        <v>1336</v>
      </c>
      <c r="AH97" s="17" t="s">
        <v>1328</v>
      </c>
      <c r="AI97" s="17" t="s">
        <v>1336</v>
      </c>
      <c r="AJ97" s="17" t="s">
        <v>1336</v>
      </c>
      <c r="AK97" s="17" t="s">
        <v>1336</v>
      </c>
      <c r="AL97" s="17" t="s">
        <v>1350</v>
      </c>
      <c r="AM97" s="17" t="s">
        <v>1351</v>
      </c>
      <c r="AN97" s="17" t="s">
        <v>1339</v>
      </c>
      <c r="AO97" s="17" t="s">
        <v>1331</v>
      </c>
      <c r="AP97" s="17" t="s">
        <v>1328</v>
      </c>
      <c r="AQ97" s="17" t="str">
        <f t="shared" si="7"/>
        <v>intermediate</v>
      </c>
      <c r="AR97" s="20"/>
    </row>
    <row r="98" ht="15.75" customHeight="1">
      <c r="A98" s="16" t="s">
        <v>2029</v>
      </c>
      <c r="B98" s="16" t="s">
        <v>2030</v>
      </c>
      <c r="C98" s="16">
        <v>2018.0</v>
      </c>
      <c r="D98" s="16" t="s">
        <v>2031</v>
      </c>
      <c r="E98" s="16" t="s">
        <v>2032</v>
      </c>
      <c r="F98" s="16" t="s">
        <v>2033</v>
      </c>
      <c r="G98" s="16" t="str">
        <f t="shared" si="1"/>
        <v>No</v>
      </c>
      <c r="H98" s="16" t="s">
        <v>1324</v>
      </c>
      <c r="I98" s="16" t="s">
        <v>1324</v>
      </c>
      <c r="J98" s="16">
        <v>129.0</v>
      </c>
      <c r="K98" s="17" t="s">
        <v>2034</v>
      </c>
      <c r="L98" s="17" t="s">
        <v>5010</v>
      </c>
      <c r="M98" s="18" t="str">
        <f t="shared" si="2"/>
        <v>http://dx.doi.org/10.1016/j.fishres.2017.10.012</v>
      </c>
      <c r="N98" s="19" t="s">
        <v>1346</v>
      </c>
      <c r="O98" s="17" t="s">
        <v>1417</v>
      </c>
      <c r="P98" s="17" t="s">
        <v>1328</v>
      </c>
      <c r="Q98" s="17" t="s">
        <v>1328</v>
      </c>
      <c r="R98" s="17" t="s">
        <v>1328</v>
      </c>
      <c r="S98" s="17" t="s">
        <v>1328</v>
      </c>
      <c r="T98" s="17" t="s">
        <v>1328</v>
      </c>
      <c r="U98" s="20" t="str">
        <f t="shared" si="3"/>
        <v>Yes</v>
      </c>
      <c r="V98" s="19" t="str">
        <f t="shared" si="4"/>
        <v>NT</v>
      </c>
      <c r="W98" s="17" t="str">
        <f t="shared" si="5"/>
        <v>Yes</v>
      </c>
      <c r="X98" s="17" t="s">
        <v>1329</v>
      </c>
      <c r="Y98" s="17" t="s">
        <v>1331</v>
      </c>
      <c r="Z98" s="17" t="s">
        <v>1330</v>
      </c>
      <c r="AA98" s="17" t="s">
        <v>1347</v>
      </c>
      <c r="AB98" s="17" t="s">
        <v>1360</v>
      </c>
      <c r="AC98" s="17" t="s">
        <v>1361</v>
      </c>
      <c r="AD98" s="17" t="s">
        <v>1335</v>
      </c>
      <c r="AE98" s="17">
        <f t="shared" si="6"/>
        <v>2</v>
      </c>
      <c r="AF98" s="17" t="s">
        <v>1328</v>
      </c>
      <c r="AG98" s="17" t="s">
        <v>1336</v>
      </c>
      <c r="AH98" s="17" t="s">
        <v>1328</v>
      </c>
      <c r="AI98" s="17" t="s">
        <v>1336</v>
      </c>
      <c r="AJ98" s="17" t="s">
        <v>1336</v>
      </c>
      <c r="AK98" s="17" t="s">
        <v>1336</v>
      </c>
      <c r="AL98" s="17" t="s">
        <v>1350</v>
      </c>
      <c r="AM98" s="17" t="s">
        <v>1351</v>
      </c>
      <c r="AN98" s="17" t="s">
        <v>1339</v>
      </c>
      <c r="AO98" s="17" t="s">
        <v>1331</v>
      </c>
      <c r="AP98" s="17" t="s">
        <v>1328</v>
      </c>
      <c r="AQ98" s="17" t="str">
        <f t="shared" si="7"/>
        <v>intermediate</v>
      </c>
      <c r="AR98" s="20" t="s">
        <v>2035</v>
      </c>
    </row>
    <row r="99" ht="15.75" customHeight="1">
      <c r="A99" s="16" t="s">
        <v>1790</v>
      </c>
      <c r="B99" s="16" t="s">
        <v>104</v>
      </c>
      <c r="C99" s="16">
        <v>2017.0</v>
      </c>
      <c r="D99" s="16" t="s">
        <v>1791</v>
      </c>
      <c r="E99" s="16" t="s">
        <v>1792</v>
      </c>
      <c r="F99" s="16" t="s">
        <v>1793</v>
      </c>
      <c r="G99" s="16" t="str">
        <f t="shared" si="1"/>
        <v>No</v>
      </c>
      <c r="H99" s="16" t="s">
        <v>1324</v>
      </c>
      <c r="I99" s="16" t="s">
        <v>1324</v>
      </c>
      <c r="J99" s="16">
        <v>58.0</v>
      </c>
      <c r="K99" s="17" t="s">
        <v>1794</v>
      </c>
      <c r="L99" s="17" t="s">
        <v>5010</v>
      </c>
      <c r="M99" s="18" t="str">
        <f t="shared" si="2"/>
        <v>http://dx.doi.org/10.1038/s41467-017-01997-0</v>
      </c>
      <c r="N99" s="19" t="s">
        <v>1614</v>
      </c>
      <c r="O99" s="17" t="s">
        <v>1470</v>
      </c>
      <c r="P99" s="17" t="s">
        <v>1328</v>
      </c>
      <c r="Q99" s="17" t="s">
        <v>1328</v>
      </c>
      <c r="R99" s="17" t="s">
        <v>1328</v>
      </c>
      <c r="S99" s="17" t="s">
        <v>1328</v>
      </c>
      <c r="T99" s="17" t="s">
        <v>1328</v>
      </c>
      <c r="U99" s="20" t="str">
        <f t="shared" si="3"/>
        <v>Yes</v>
      </c>
      <c r="V99" s="19" t="str">
        <f t="shared" si="4"/>
        <v>AG</v>
      </c>
      <c r="W99" s="17" t="str">
        <f t="shared" si="5"/>
        <v>Yes</v>
      </c>
      <c r="X99" s="17" t="s">
        <v>1329</v>
      </c>
      <c r="Y99" s="17" t="s">
        <v>1372</v>
      </c>
      <c r="Z99" s="17" t="s">
        <v>1331</v>
      </c>
      <c r="AA99" s="17" t="s">
        <v>1347</v>
      </c>
      <c r="AB99" s="17" t="s">
        <v>1360</v>
      </c>
      <c r="AC99" s="17" t="s">
        <v>1381</v>
      </c>
      <c r="AD99" s="17" t="s">
        <v>1362</v>
      </c>
      <c r="AE99" s="17">
        <f t="shared" si="6"/>
        <v>3</v>
      </c>
      <c r="AF99" s="17" t="s">
        <v>1328</v>
      </c>
      <c r="AG99" s="17" t="s">
        <v>1328</v>
      </c>
      <c r="AH99" s="17" t="s">
        <v>1328</v>
      </c>
      <c r="AI99" s="17" t="s">
        <v>1336</v>
      </c>
      <c r="AJ99" s="17" t="s">
        <v>1336</v>
      </c>
      <c r="AK99" s="17" t="s">
        <v>1336</v>
      </c>
      <c r="AL99" s="17" t="s">
        <v>1350</v>
      </c>
      <c r="AM99" s="17" t="s">
        <v>1351</v>
      </c>
      <c r="AN99" s="17" t="s">
        <v>1339</v>
      </c>
      <c r="AO99" s="17" t="s">
        <v>1331</v>
      </c>
      <c r="AP99" s="17" t="s">
        <v>1328</v>
      </c>
      <c r="AQ99" s="17" t="str">
        <f t="shared" si="7"/>
        <v>high</v>
      </c>
      <c r="AR99" s="20"/>
    </row>
    <row r="100" ht="15.75" customHeight="1">
      <c r="A100" s="21" t="s">
        <v>2182</v>
      </c>
      <c r="B100" s="21" t="s">
        <v>2183</v>
      </c>
      <c r="C100" s="21">
        <v>2012.0</v>
      </c>
      <c r="D100" s="21" t="s">
        <v>2184</v>
      </c>
      <c r="E100" s="21" t="s">
        <v>2185</v>
      </c>
      <c r="F100" s="21" t="s">
        <v>2186</v>
      </c>
      <c r="G100" s="16" t="str">
        <f t="shared" si="1"/>
        <v>No</v>
      </c>
      <c r="H100" s="16" t="s">
        <v>1324</v>
      </c>
      <c r="I100" s="16" t="s">
        <v>1324</v>
      </c>
      <c r="J100" s="16">
        <v>11.0</v>
      </c>
      <c r="K100" s="17" t="s">
        <v>2187</v>
      </c>
      <c r="L100" s="17" t="s">
        <v>5010</v>
      </c>
      <c r="M100" s="18" t="str">
        <f t="shared" si="2"/>
        <v>http://dx.doi.org/10.1007/s12237-012-9506-y</v>
      </c>
      <c r="N100" s="19" t="s">
        <v>1346</v>
      </c>
      <c r="O100" s="17" t="s">
        <v>1387</v>
      </c>
      <c r="P100" s="17" t="s">
        <v>1328</v>
      </c>
      <c r="Q100" s="17" t="s">
        <v>1328</v>
      </c>
      <c r="R100" s="17" t="s">
        <v>1328</v>
      </c>
      <c r="S100" s="17" t="s">
        <v>1328</v>
      </c>
      <c r="T100" s="17" t="s">
        <v>1328</v>
      </c>
      <c r="U100" s="20" t="str">
        <f t="shared" si="3"/>
        <v>Yes</v>
      </c>
      <c r="V100" s="19" t="str">
        <f t="shared" si="4"/>
        <v>MW</v>
      </c>
      <c r="W100" s="17" t="str">
        <f t="shared" si="5"/>
        <v>Yes</v>
      </c>
      <c r="X100" s="17" t="s">
        <v>1329</v>
      </c>
      <c r="Y100" s="17" t="s">
        <v>1330</v>
      </c>
      <c r="Z100" s="17" t="s">
        <v>1331</v>
      </c>
      <c r="AA100" s="17" t="s">
        <v>1347</v>
      </c>
      <c r="AB100" s="17" t="s">
        <v>1333</v>
      </c>
      <c r="AC100" s="17" t="s">
        <v>1361</v>
      </c>
      <c r="AD100" s="17" t="s">
        <v>1530</v>
      </c>
      <c r="AE100" s="22">
        <f t="shared" si="6"/>
        <v>3</v>
      </c>
      <c r="AF100" s="17" t="s">
        <v>1328</v>
      </c>
      <c r="AG100" s="17" t="s">
        <v>1328</v>
      </c>
      <c r="AH100" s="17" t="s">
        <v>1336</v>
      </c>
      <c r="AI100" s="17" t="s">
        <v>1336</v>
      </c>
      <c r="AJ100" s="17" t="s">
        <v>1336</v>
      </c>
      <c r="AK100" s="17" t="s">
        <v>1328</v>
      </c>
      <c r="AL100" s="17" t="s">
        <v>1350</v>
      </c>
      <c r="AM100" s="17" t="s">
        <v>1351</v>
      </c>
      <c r="AN100" s="17" t="s">
        <v>1363</v>
      </c>
      <c r="AO100" s="17" t="s">
        <v>1374</v>
      </c>
      <c r="AP100" s="17" t="s">
        <v>1328</v>
      </c>
      <c r="AQ100" s="17" t="str">
        <f t="shared" si="7"/>
        <v>intermediate</v>
      </c>
      <c r="AR100" s="20"/>
    </row>
    <row r="101" ht="15.75" customHeight="1">
      <c r="A101" s="16" t="s">
        <v>1539</v>
      </c>
      <c r="B101" s="16" t="s">
        <v>1540</v>
      </c>
      <c r="C101" s="16">
        <v>2017.0</v>
      </c>
      <c r="D101" s="16" t="s">
        <v>1541</v>
      </c>
      <c r="E101" s="16" t="s">
        <v>1542</v>
      </c>
      <c r="F101" s="16" t="s">
        <v>1543</v>
      </c>
      <c r="G101" s="16" t="str">
        <f t="shared" si="1"/>
        <v>No</v>
      </c>
      <c r="H101" s="16" t="s">
        <v>1324</v>
      </c>
      <c r="I101" s="16" t="s">
        <v>1324</v>
      </c>
      <c r="J101" s="16">
        <v>183.0</v>
      </c>
      <c r="K101" s="17" t="s">
        <v>1544</v>
      </c>
      <c r="L101" s="17" t="s">
        <v>5010</v>
      </c>
      <c r="M101" s="18" t="str">
        <f t="shared" si="2"/>
        <v>http://dx.doi.org/10.1111/jvs.12579</v>
      </c>
      <c r="N101" s="19" t="s">
        <v>1545</v>
      </c>
      <c r="O101" s="17" t="s">
        <v>1403</v>
      </c>
      <c r="P101" s="17" t="s">
        <v>1328</v>
      </c>
      <c r="Q101" s="17" t="s">
        <v>1328</v>
      </c>
      <c r="R101" s="17" t="s">
        <v>1328</v>
      </c>
      <c r="S101" s="17" t="s">
        <v>1328</v>
      </c>
      <c r="T101" s="17" t="s">
        <v>1328</v>
      </c>
      <c r="U101" s="20" t="str">
        <f t="shared" si="3"/>
        <v>Yes</v>
      </c>
      <c r="V101" s="19" t="str">
        <f t="shared" si="4"/>
        <v>DB</v>
      </c>
      <c r="W101" s="17" t="str">
        <f t="shared" si="5"/>
        <v>Yes</v>
      </c>
      <c r="X101" s="17" t="s">
        <v>1329</v>
      </c>
      <c r="Y101" s="17" t="s">
        <v>1330</v>
      </c>
      <c r="Z101" s="17" t="s">
        <v>1331</v>
      </c>
      <c r="AA101" s="17" t="s">
        <v>1347</v>
      </c>
      <c r="AB101" s="17" t="s">
        <v>1333</v>
      </c>
      <c r="AC101" s="17" t="s">
        <v>1361</v>
      </c>
      <c r="AD101" s="17" t="s">
        <v>1362</v>
      </c>
      <c r="AE101" s="17">
        <f t="shared" si="6"/>
        <v>3</v>
      </c>
      <c r="AF101" s="17" t="s">
        <v>1328</v>
      </c>
      <c r="AG101" s="17" t="s">
        <v>1328</v>
      </c>
      <c r="AH101" s="17" t="s">
        <v>1336</v>
      </c>
      <c r="AI101" s="17" t="s">
        <v>1336</v>
      </c>
      <c r="AJ101" s="17" t="s">
        <v>1328</v>
      </c>
      <c r="AK101" s="17" t="s">
        <v>1336</v>
      </c>
      <c r="AL101" s="17" t="s">
        <v>1404</v>
      </c>
      <c r="AM101" s="17" t="s">
        <v>1351</v>
      </c>
      <c r="AN101" s="17" t="s">
        <v>1363</v>
      </c>
      <c r="AO101" s="17" t="s">
        <v>1331</v>
      </c>
      <c r="AP101" s="17" t="s">
        <v>1328</v>
      </c>
      <c r="AQ101" s="17" t="str">
        <f t="shared" si="7"/>
        <v>intermediate</v>
      </c>
      <c r="AR101" s="20"/>
    </row>
    <row r="102" ht="15.75" customHeight="1">
      <c r="A102" s="16" t="s">
        <v>1603</v>
      </c>
      <c r="B102" s="16" t="s">
        <v>1253</v>
      </c>
      <c r="C102" s="16">
        <v>2011.0</v>
      </c>
      <c r="D102" s="16" t="s">
        <v>1604</v>
      </c>
      <c r="E102" s="16" t="s">
        <v>1605</v>
      </c>
      <c r="F102" s="16" t="s">
        <v>1606</v>
      </c>
      <c r="G102" s="16" t="str">
        <f t="shared" si="1"/>
        <v>No</v>
      </c>
      <c r="H102" s="16" t="s">
        <v>1324</v>
      </c>
      <c r="I102" s="16" t="s">
        <v>1324</v>
      </c>
      <c r="J102" s="16">
        <v>111.0</v>
      </c>
      <c r="K102" s="17" t="s">
        <v>1607</v>
      </c>
      <c r="L102" s="17" t="s">
        <v>5010</v>
      </c>
      <c r="M102" s="18" t="str">
        <f t="shared" si="2"/>
        <v>http://dx.doi.org/10.1111/j.1466-8238.2010.00575.x</v>
      </c>
      <c r="N102" s="19" t="s">
        <v>1346</v>
      </c>
      <c r="O102" s="17" t="s">
        <v>1417</v>
      </c>
      <c r="P102" s="17" t="s">
        <v>1328</v>
      </c>
      <c r="Q102" s="17" t="s">
        <v>1328</v>
      </c>
      <c r="R102" s="17" t="s">
        <v>1328</v>
      </c>
      <c r="S102" s="17" t="s">
        <v>1328</v>
      </c>
      <c r="T102" s="17" t="s">
        <v>1328</v>
      </c>
      <c r="U102" s="20" t="str">
        <f t="shared" si="3"/>
        <v>Yes</v>
      </c>
      <c r="V102" s="19" t="str">
        <f t="shared" si="4"/>
        <v>NT</v>
      </c>
      <c r="W102" s="17" t="str">
        <f t="shared" si="5"/>
        <v>Yes</v>
      </c>
      <c r="X102" s="17" t="s">
        <v>1329</v>
      </c>
      <c r="Y102" s="17" t="s">
        <v>1331</v>
      </c>
      <c r="Z102" s="17" t="s">
        <v>1372</v>
      </c>
      <c r="AA102" s="17" t="s">
        <v>1347</v>
      </c>
      <c r="AB102" s="17" t="s">
        <v>1360</v>
      </c>
      <c r="AC102" s="17" t="s">
        <v>1381</v>
      </c>
      <c r="AD102" s="17" t="s">
        <v>1349</v>
      </c>
      <c r="AE102" s="17">
        <f t="shared" si="6"/>
        <v>3</v>
      </c>
      <c r="AF102" s="17" t="s">
        <v>1328</v>
      </c>
      <c r="AG102" s="17" t="s">
        <v>1328</v>
      </c>
      <c r="AH102" s="17" t="s">
        <v>1328</v>
      </c>
      <c r="AI102" s="17" t="s">
        <v>1336</v>
      </c>
      <c r="AJ102" s="17" t="s">
        <v>1336</v>
      </c>
      <c r="AK102" s="17" t="s">
        <v>1336</v>
      </c>
      <c r="AL102" s="17" t="s">
        <v>1350</v>
      </c>
      <c r="AM102" s="17" t="s">
        <v>1338</v>
      </c>
      <c r="AN102" s="17" t="s">
        <v>1339</v>
      </c>
      <c r="AO102" s="17" t="s">
        <v>1331</v>
      </c>
      <c r="AP102" s="17" t="s">
        <v>1328</v>
      </c>
      <c r="AQ102" s="17" t="str">
        <f t="shared" si="7"/>
        <v>intermediate</v>
      </c>
      <c r="AR102" s="20"/>
    </row>
    <row r="103" ht="15.75" customHeight="1">
      <c r="A103" s="16" t="s">
        <v>1948</v>
      </c>
      <c r="B103" s="16" t="s">
        <v>1949</v>
      </c>
      <c r="C103" s="16">
        <v>2016.0</v>
      </c>
      <c r="D103" s="16" t="s">
        <v>1950</v>
      </c>
      <c r="E103" s="16" t="s">
        <v>1951</v>
      </c>
      <c r="F103" s="16" t="s">
        <v>1952</v>
      </c>
      <c r="G103" s="16" t="str">
        <f t="shared" si="1"/>
        <v>No</v>
      </c>
      <c r="H103" s="16" t="s">
        <v>1324</v>
      </c>
      <c r="I103" s="16" t="s">
        <v>1324</v>
      </c>
      <c r="J103" s="16">
        <v>19.0</v>
      </c>
      <c r="K103" s="17" t="s">
        <v>1953</v>
      </c>
      <c r="L103" s="17" t="s">
        <v>5010</v>
      </c>
      <c r="M103" s="18" t="str">
        <f t="shared" si="2"/>
        <v>http://dx.doi.org/10.1016/j.orggeochem.2016.06.001</v>
      </c>
      <c r="N103" s="19" t="s">
        <v>1370</v>
      </c>
      <c r="O103" s="17" t="s">
        <v>1371</v>
      </c>
      <c r="P103" s="17" t="s">
        <v>1328</v>
      </c>
      <c r="Q103" s="17" t="s">
        <v>1328</v>
      </c>
      <c r="R103" s="17" t="s">
        <v>1328</v>
      </c>
      <c r="S103" s="17" t="s">
        <v>1328</v>
      </c>
      <c r="T103" s="17" t="s">
        <v>1328</v>
      </c>
      <c r="U103" s="20" t="str">
        <f t="shared" si="3"/>
        <v>Yes</v>
      </c>
      <c r="V103" s="19" t="str">
        <f t="shared" si="4"/>
        <v>LC</v>
      </c>
      <c r="W103" s="17" t="str">
        <f t="shared" si="5"/>
        <v>Yes</v>
      </c>
      <c r="X103" s="17" t="s">
        <v>1329</v>
      </c>
      <c r="Y103" s="17" t="s">
        <v>1330</v>
      </c>
      <c r="Z103" s="17" t="s">
        <v>1331</v>
      </c>
      <c r="AA103" s="17" t="s">
        <v>1347</v>
      </c>
      <c r="AB103" s="17" t="s">
        <v>1333</v>
      </c>
      <c r="AC103" s="17" t="s">
        <v>1381</v>
      </c>
      <c r="AD103" s="17" t="s">
        <v>1373</v>
      </c>
      <c r="AE103" s="17">
        <f t="shared" si="6"/>
        <v>2</v>
      </c>
      <c r="AF103" s="17" t="s">
        <v>1328</v>
      </c>
      <c r="AG103" s="17" t="s">
        <v>1328</v>
      </c>
      <c r="AH103" s="17" t="s">
        <v>1336</v>
      </c>
      <c r="AI103" s="17" t="s">
        <v>1336</v>
      </c>
      <c r="AJ103" s="17" t="s">
        <v>1336</v>
      </c>
      <c r="AK103" s="17" t="s">
        <v>1336</v>
      </c>
      <c r="AL103" s="17" t="s">
        <v>1350</v>
      </c>
      <c r="AM103" s="17" t="s">
        <v>1351</v>
      </c>
      <c r="AN103" s="17" t="s">
        <v>1339</v>
      </c>
      <c r="AO103" s="17" t="s">
        <v>1374</v>
      </c>
      <c r="AP103" s="17" t="s">
        <v>1328</v>
      </c>
      <c r="AQ103" s="17" t="str">
        <f t="shared" si="7"/>
        <v>intermediate</v>
      </c>
      <c r="AR103" s="20"/>
    </row>
    <row r="104" ht="15.75" customHeight="1">
      <c r="A104" s="16" t="s">
        <v>1389</v>
      </c>
      <c r="B104" s="16" t="s">
        <v>1390</v>
      </c>
      <c r="C104" s="16">
        <v>2016.0</v>
      </c>
      <c r="D104" s="16" t="s">
        <v>1391</v>
      </c>
      <c r="E104" s="16" t="s">
        <v>1392</v>
      </c>
      <c r="F104" s="16" t="s">
        <v>1393</v>
      </c>
      <c r="G104" s="16" t="str">
        <f t="shared" si="1"/>
        <v>No</v>
      </c>
      <c r="H104" s="16" t="s">
        <v>1324</v>
      </c>
      <c r="I104" s="16" t="s">
        <v>1324</v>
      </c>
      <c r="J104" s="16">
        <v>76.0</v>
      </c>
      <c r="K104" s="17" t="s">
        <v>1394</v>
      </c>
      <c r="L104" s="17" t="s">
        <v>5010</v>
      </c>
      <c r="M104" s="18" t="str">
        <f t="shared" si="2"/>
        <v>http://dx.doi.org/10.3390/f7120305</v>
      </c>
      <c r="N104" s="19" t="s">
        <v>1370</v>
      </c>
      <c r="O104" s="17" t="s">
        <v>1327</v>
      </c>
      <c r="P104" s="17" t="s">
        <v>1328</v>
      </c>
      <c r="Q104" s="17" t="s">
        <v>1328</v>
      </c>
      <c r="R104" s="17" t="s">
        <v>1328</v>
      </c>
      <c r="S104" s="17" t="s">
        <v>1328</v>
      </c>
      <c r="T104" s="17" t="s">
        <v>1328</v>
      </c>
      <c r="U104" s="20" t="str">
        <f t="shared" si="3"/>
        <v>Yes</v>
      </c>
      <c r="V104" s="19" t="str">
        <f t="shared" si="4"/>
        <v>PJ</v>
      </c>
      <c r="W104" s="17" t="str">
        <f t="shared" si="5"/>
        <v>Yes</v>
      </c>
      <c r="X104" s="17" t="s">
        <v>1329</v>
      </c>
      <c r="Y104" s="17" t="s">
        <v>1330</v>
      </c>
      <c r="Z104" s="17" t="s">
        <v>1331</v>
      </c>
      <c r="AA104" s="17" t="s">
        <v>1347</v>
      </c>
      <c r="AB104" s="17" t="s">
        <v>1333</v>
      </c>
      <c r="AC104" s="17" t="s">
        <v>1381</v>
      </c>
      <c r="AD104" s="17" t="s">
        <v>1335</v>
      </c>
      <c r="AE104" s="17">
        <f t="shared" si="6"/>
        <v>4</v>
      </c>
      <c r="AF104" s="17" t="s">
        <v>1328</v>
      </c>
      <c r="AG104" s="17" t="s">
        <v>1328</v>
      </c>
      <c r="AH104" s="17" t="s">
        <v>1328</v>
      </c>
      <c r="AI104" s="17" t="s">
        <v>1336</v>
      </c>
      <c r="AJ104" s="17" t="s">
        <v>1328</v>
      </c>
      <c r="AK104" s="17" t="s">
        <v>1336</v>
      </c>
      <c r="AL104" s="17" t="s">
        <v>1395</v>
      </c>
      <c r="AM104" s="17" t="s">
        <v>1338</v>
      </c>
      <c r="AN104" s="17" t="s">
        <v>1339</v>
      </c>
      <c r="AO104" s="17" t="s">
        <v>1331</v>
      </c>
      <c r="AP104" s="17" t="s">
        <v>1328</v>
      </c>
      <c r="AQ104" s="17" t="str">
        <f t="shared" si="7"/>
        <v>intermediate</v>
      </c>
      <c r="AR104" s="20"/>
    </row>
    <row r="105" ht="15.75" customHeight="1">
      <c r="A105" s="16" t="s">
        <v>1430</v>
      </c>
      <c r="B105" s="16" t="s">
        <v>1431</v>
      </c>
      <c r="C105" s="16">
        <v>2014.0</v>
      </c>
      <c r="D105" s="16" t="s">
        <v>1432</v>
      </c>
      <c r="E105" s="16" t="s">
        <v>1433</v>
      </c>
      <c r="F105" s="16" t="s">
        <v>1434</v>
      </c>
      <c r="G105" s="16" t="str">
        <f t="shared" si="1"/>
        <v>No</v>
      </c>
      <c r="H105" s="16" t="s">
        <v>1324</v>
      </c>
      <c r="I105" s="16" t="s">
        <v>1324</v>
      </c>
      <c r="J105" s="16">
        <v>167.0</v>
      </c>
      <c r="K105" s="17" t="s">
        <v>1435</v>
      </c>
      <c r="L105" s="17" t="s">
        <v>5010</v>
      </c>
      <c r="M105" s="18" t="str">
        <f t="shared" si="2"/>
        <v>http://dx.doi.org/10.15517/rbt.v62i0.15922</v>
      </c>
      <c r="N105" s="19" t="s">
        <v>1402</v>
      </c>
      <c r="O105" s="17" t="s">
        <v>1436</v>
      </c>
      <c r="P105" s="17" t="s">
        <v>1328</v>
      </c>
      <c r="Q105" s="17" t="s">
        <v>1328</v>
      </c>
      <c r="R105" s="17" t="s">
        <v>1328</v>
      </c>
      <c r="S105" s="17" t="s">
        <v>1328</v>
      </c>
      <c r="T105" s="17" t="s">
        <v>1328</v>
      </c>
      <c r="U105" s="20" t="str">
        <f t="shared" si="3"/>
        <v>Yes</v>
      </c>
      <c r="V105" s="19" t="str">
        <f t="shared" si="4"/>
        <v>CG</v>
      </c>
      <c r="W105" s="17" t="str">
        <f t="shared" si="5"/>
        <v>Yes</v>
      </c>
      <c r="X105" s="17" t="s">
        <v>1329</v>
      </c>
      <c r="Y105" s="17" t="s">
        <v>1372</v>
      </c>
      <c r="Z105" s="17" t="s">
        <v>1331</v>
      </c>
      <c r="AA105" s="17" t="s">
        <v>1347</v>
      </c>
      <c r="AB105" s="17" t="s">
        <v>1333</v>
      </c>
      <c r="AC105" s="17" t="s">
        <v>1348</v>
      </c>
      <c r="AD105" s="17" t="s">
        <v>1349</v>
      </c>
      <c r="AE105" s="17">
        <f t="shared" si="6"/>
        <v>3</v>
      </c>
      <c r="AF105" s="17" t="s">
        <v>1328</v>
      </c>
      <c r="AG105" s="17" t="s">
        <v>1328</v>
      </c>
      <c r="AH105" s="17" t="s">
        <v>1336</v>
      </c>
      <c r="AI105" s="17" t="s">
        <v>1328</v>
      </c>
      <c r="AJ105" s="17" t="s">
        <v>1336</v>
      </c>
      <c r="AK105" s="17" t="s">
        <v>1336</v>
      </c>
      <c r="AL105" s="17" t="s">
        <v>1350</v>
      </c>
      <c r="AM105" s="17" t="s">
        <v>1351</v>
      </c>
      <c r="AN105" s="17" t="s">
        <v>1339</v>
      </c>
      <c r="AO105" s="17" t="s">
        <v>1374</v>
      </c>
      <c r="AP105" s="17" t="s">
        <v>1328</v>
      </c>
      <c r="AQ105" s="17" t="str">
        <f t="shared" si="7"/>
        <v>intermediate</v>
      </c>
      <c r="AR105" s="20"/>
    </row>
    <row r="106" ht="15.75" customHeight="1">
      <c r="A106" s="16" t="s">
        <v>2273</v>
      </c>
      <c r="B106" s="16" t="s">
        <v>2274</v>
      </c>
      <c r="C106" s="16">
        <v>2017.0</v>
      </c>
      <c r="D106" s="16" t="s">
        <v>2275</v>
      </c>
      <c r="E106" s="16" t="s">
        <v>2276</v>
      </c>
      <c r="F106" s="23" t="s">
        <v>1324</v>
      </c>
      <c r="G106" s="16" t="str">
        <f t="shared" si="1"/>
        <v>No</v>
      </c>
      <c r="H106" s="16" t="s">
        <v>1324</v>
      </c>
      <c r="I106" s="16" t="s">
        <v>1324</v>
      </c>
      <c r="J106" s="16">
        <v>4.0</v>
      </c>
      <c r="K106" s="17" t="s">
        <v>2277</v>
      </c>
      <c r="L106" s="17" t="s">
        <v>1324</v>
      </c>
      <c r="M106" s="18" t="str">
        <f t="shared" si="2"/>
        <v/>
      </c>
      <c r="N106" s="19" t="s">
        <v>1326</v>
      </c>
      <c r="O106" s="17" t="s">
        <v>1327</v>
      </c>
      <c r="P106" s="17" t="s">
        <v>1328</v>
      </c>
      <c r="Q106" s="17" t="s">
        <v>1328</v>
      </c>
      <c r="R106" s="17" t="s">
        <v>1328</v>
      </c>
      <c r="S106" s="17" t="s">
        <v>1328</v>
      </c>
      <c r="T106" s="17" t="s">
        <v>1328</v>
      </c>
      <c r="U106" s="20" t="str">
        <f t="shared" si="3"/>
        <v>Yes</v>
      </c>
      <c r="V106" s="19" t="str">
        <f t="shared" si="4"/>
        <v>PJ</v>
      </c>
      <c r="W106" s="17" t="str">
        <f t="shared" si="5"/>
        <v>Yes</v>
      </c>
      <c r="X106" s="17" t="s">
        <v>1443</v>
      </c>
      <c r="Y106" s="17" t="s">
        <v>1330</v>
      </c>
      <c r="Z106" s="17" t="s">
        <v>1330</v>
      </c>
      <c r="AA106" s="17" t="s">
        <v>1337</v>
      </c>
      <c r="AB106" s="17" t="s">
        <v>1444</v>
      </c>
      <c r="AC106" s="17" t="s">
        <v>1445</v>
      </c>
      <c r="AD106" s="17" t="s">
        <v>1446</v>
      </c>
      <c r="AE106" s="17">
        <f t="shared" si="6"/>
        <v>4</v>
      </c>
      <c r="AF106" s="17" t="s">
        <v>1328</v>
      </c>
      <c r="AG106" s="17" t="s">
        <v>1328</v>
      </c>
      <c r="AH106" s="17" t="s">
        <v>1328</v>
      </c>
      <c r="AI106" s="17" t="s">
        <v>1328</v>
      </c>
      <c r="AJ106" s="17" t="s">
        <v>1336</v>
      </c>
      <c r="AK106" s="17" t="s">
        <v>1336</v>
      </c>
      <c r="AL106" s="17" t="s">
        <v>1395</v>
      </c>
      <c r="AM106" s="17" t="s">
        <v>1351</v>
      </c>
      <c r="AN106" s="17" t="s">
        <v>1363</v>
      </c>
      <c r="AO106" s="17" t="s">
        <v>1331</v>
      </c>
      <c r="AP106" s="17" t="s">
        <v>1328</v>
      </c>
      <c r="AQ106" s="17" t="str">
        <f t="shared" si="7"/>
        <v>high</v>
      </c>
      <c r="AR106" s="20"/>
    </row>
    <row r="107" ht="15.75" customHeight="1">
      <c r="A107" s="16" t="s">
        <v>2194</v>
      </c>
      <c r="B107" s="16" t="s">
        <v>468</v>
      </c>
      <c r="C107" s="16">
        <v>2014.0</v>
      </c>
      <c r="D107" s="16" t="s">
        <v>2195</v>
      </c>
      <c r="E107" s="16" t="s">
        <v>2196</v>
      </c>
      <c r="F107" s="16" t="s">
        <v>2197</v>
      </c>
      <c r="G107" s="16" t="str">
        <f t="shared" si="1"/>
        <v>No</v>
      </c>
      <c r="H107" s="16" t="s">
        <v>1324</v>
      </c>
      <c r="I107" s="16" t="s">
        <v>1324</v>
      </c>
      <c r="J107" s="16">
        <v>68.0</v>
      </c>
      <c r="K107" s="17" t="s">
        <v>2198</v>
      </c>
      <c r="L107" s="17" t="s">
        <v>5010</v>
      </c>
      <c r="M107" s="18" t="str">
        <f t="shared" si="2"/>
        <v>http://dx.doi.org/10.1007/s11270-014-1925-x</v>
      </c>
      <c r="N107" s="19" t="s">
        <v>1358</v>
      </c>
      <c r="O107" s="17" t="s">
        <v>1359</v>
      </c>
      <c r="P107" s="17" t="s">
        <v>1328</v>
      </c>
      <c r="Q107" s="17" t="s">
        <v>1328</v>
      </c>
      <c r="R107" s="17" t="s">
        <v>1328</v>
      </c>
      <c r="S107" s="17" t="s">
        <v>1328</v>
      </c>
      <c r="T107" s="17" t="s">
        <v>1328</v>
      </c>
      <c r="U107" s="20" t="str">
        <f t="shared" si="3"/>
        <v>Yes</v>
      </c>
      <c r="V107" s="19" t="str">
        <f t="shared" si="4"/>
        <v>YT</v>
      </c>
      <c r="W107" s="17" t="str">
        <f t="shared" si="5"/>
        <v>Yes</v>
      </c>
      <c r="X107" s="17" t="s">
        <v>1329</v>
      </c>
      <c r="Y107" s="17" t="s">
        <v>1331</v>
      </c>
      <c r="Z107" s="17" t="s">
        <v>1372</v>
      </c>
      <c r="AA107" s="17" t="s">
        <v>1347</v>
      </c>
      <c r="AB107" s="17" t="s">
        <v>1333</v>
      </c>
      <c r="AC107" s="17" t="s">
        <v>1348</v>
      </c>
      <c r="AD107" s="17" t="s">
        <v>1362</v>
      </c>
      <c r="AE107" s="17">
        <f t="shared" si="6"/>
        <v>2</v>
      </c>
      <c r="AF107" s="17" t="s">
        <v>1336</v>
      </c>
      <c r="AG107" s="17" t="s">
        <v>1328</v>
      </c>
      <c r="AH107" s="17" t="s">
        <v>1328</v>
      </c>
      <c r="AI107" s="17" t="s">
        <v>1336</v>
      </c>
      <c r="AJ107" s="17" t="s">
        <v>1336</v>
      </c>
      <c r="AK107" s="17" t="s">
        <v>1336</v>
      </c>
      <c r="AL107" s="17" t="s">
        <v>1395</v>
      </c>
      <c r="AM107" s="17" t="s">
        <v>1351</v>
      </c>
      <c r="AN107" s="17" t="s">
        <v>1339</v>
      </c>
      <c r="AO107" s="17" t="s">
        <v>1331</v>
      </c>
      <c r="AP107" s="17" t="s">
        <v>1328</v>
      </c>
      <c r="AQ107" s="17" t="str">
        <f t="shared" si="7"/>
        <v>intermediate</v>
      </c>
      <c r="AR107" s="20"/>
    </row>
    <row r="108" ht="15.75" customHeight="1">
      <c r="A108" s="21" t="s">
        <v>2098</v>
      </c>
      <c r="B108" s="21" t="s">
        <v>251</v>
      </c>
      <c r="C108" s="21">
        <v>2016.0</v>
      </c>
      <c r="D108" s="21" t="s">
        <v>2099</v>
      </c>
      <c r="E108" s="21" t="s">
        <v>2100</v>
      </c>
      <c r="F108" s="21" t="s">
        <v>2101</v>
      </c>
      <c r="G108" s="16" t="str">
        <f t="shared" si="1"/>
        <v>No</v>
      </c>
      <c r="H108" s="16" t="s">
        <v>1324</v>
      </c>
      <c r="I108" s="16" t="s">
        <v>1324</v>
      </c>
      <c r="J108" s="16">
        <v>41.0</v>
      </c>
      <c r="K108" s="17" t="s">
        <v>2102</v>
      </c>
      <c r="L108" s="17" t="s">
        <v>5010</v>
      </c>
      <c r="M108" s="18" t="str">
        <f t="shared" si="2"/>
        <v>http://dx.doi.org/10.1016/j.biocon.2016.05.031</v>
      </c>
      <c r="N108" s="19" t="s">
        <v>2103</v>
      </c>
      <c r="O108" s="17" t="s">
        <v>1403</v>
      </c>
      <c r="P108" s="17" t="s">
        <v>1328</v>
      </c>
      <c r="Q108" s="17" t="s">
        <v>1328</v>
      </c>
      <c r="R108" s="17" t="s">
        <v>1328</v>
      </c>
      <c r="S108" s="17" t="s">
        <v>1328</v>
      </c>
      <c r="T108" s="17" t="s">
        <v>1328</v>
      </c>
      <c r="U108" s="20" t="str">
        <f t="shared" si="3"/>
        <v>Yes</v>
      </c>
      <c r="V108" s="19" t="str">
        <f t="shared" si="4"/>
        <v>DB</v>
      </c>
      <c r="W108" s="17" t="str">
        <f t="shared" si="5"/>
        <v>Yes</v>
      </c>
      <c r="X108" s="17" t="s">
        <v>1329</v>
      </c>
      <c r="Y108" s="17" t="s">
        <v>1330</v>
      </c>
      <c r="Z108" s="17" t="s">
        <v>1331</v>
      </c>
      <c r="AA108" s="17" t="s">
        <v>1347</v>
      </c>
      <c r="AB108" s="17" t="s">
        <v>1333</v>
      </c>
      <c r="AC108" s="17" t="s">
        <v>1361</v>
      </c>
      <c r="AD108" s="17" t="s">
        <v>1464</v>
      </c>
      <c r="AE108" s="22">
        <f t="shared" si="6"/>
        <v>2</v>
      </c>
      <c r="AF108" s="17" t="s">
        <v>1336</v>
      </c>
      <c r="AG108" s="17" t="s">
        <v>1328</v>
      </c>
      <c r="AH108" s="17" t="s">
        <v>1336</v>
      </c>
      <c r="AI108" s="17" t="s">
        <v>1336</v>
      </c>
      <c r="AJ108" s="17" t="s">
        <v>1328</v>
      </c>
      <c r="AK108" s="17" t="s">
        <v>1336</v>
      </c>
      <c r="AL108" s="17" t="s">
        <v>1404</v>
      </c>
      <c r="AM108" s="17" t="s">
        <v>1338</v>
      </c>
      <c r="AN108" s="17" t="s">
        <v>1363</v>
      </c>
      <c r="AO108" s="17" t="s">
        <v>1331</v>
      </c>
      <c r="AP108" s="17" t="s">
        <v>1328</v>
      </c>
      <c r="AQ108" s="17" t="str">
        <f t="shared" si="7"/>
        <v>intermediate</v>
      </c>
      <c r="AR108" s="20"/>
    </row>
    <row r="109" ht="15.75" customHeight="1">
      <c r="A109" s="16" t="s">
        <v>1418</v>
      </c>
      <c r="B109" s="16" t="s">
        <v>1419</v>
      </c>
      <c r="C109" s="16">
        <v>2008.0</v>
      </c>
      <c r="D109" s="16" t="s">
        <v>1420</v>
      </c>
      <c r="E109" s="16" t="s">
        <v>1421</v>
      </c>
      <c r="F109" s="16" t="s">
        <v>1422</v>
      </c>
      <c r="G109" s="16" t="str">
        <f t="shared" si="1"/>
        <v>No</v>
      </c>
      <c r="H109" s="16" t="s">
        <v>1324</v>
      </c>
      <c r="I109" s="16" t="s">
        <v>1324</v>
      </c>
      <c r="J109" s="16">
        <v>136.0</v>
      </c>
      <c r="K109" s="17" t="s">
        <v>1423</v>
      </c>
      <c r="L109" s="17" t="s">
        <v>5010</v>
      </c>
      <c r="M109" s="18" t="str">
        <f t="shared" si="2"/>
        <v>http://dx.doi.org/10.1890/07-1254.1</v>
      </c>
      <c r="N109" s="19" t="s">
        <v>1410</v>
      </c>
      <c r="O109" s="17" t="s">
        <v>1387</v>
      </c>
      <c r="P109" s="17" t="s">
        <v>1328</v>
      </c>
      <c r="Q109" s="17" t="s">
        <v>1328</v>
      </c>
      <c r="R109" s="17" t="s">
        <v>1328</v>
      </c>
      <c r="S109" s="17" t="s">
        <v>1328</v>
      </c>
      <c r="T109" s="17" t="s">
        <v>1328</v>
      </c>
      <c r="U109" s="20" t="str">
        <f t="shared" si="3"/>
        <v>Yes</v>
      </c>
      <c r="V109" s="19" t="str">
        <f t="shared" si="4"/>
        <v>MW</v>
      </c>
      <c r="W109" s="17" t="str">
        <f t="shared" si="5"/>
        <v>Yes</v>
      </c>
      <c r="X109" s="17" t="s">
        <v>1329</v>
      </c>
      <c r="Y109" s="17" t="s">
        <v>1330</v>
      </c>
      <c r="Z109" s="17" t="s">
        <v>1330</v>
      </c>
      <c r="AA109" s="17" t="s">
        <v>1347</v>
      </c>
      <c r="AB109" s="17" t="s">
        <v>1333</v>
      </c>
      <c r="AC109" s="17" t="s">
        <v>1348</v>
      </c>
      <c r="AD109" s="17" t="s">
        <v>1349</v>
      </c>
      <c r="AE109" s="17">
        <f t="shared" si="6"/>
        <v>3</v>
      </c>
      <c r="AF109" s="17" t="s">
        <v>1328</v>
      </c>
      <c r="AG109" s="17" t="s">
        <v>1336</v>
      </c>
      <c r="AH109" s="17" t="s">
        <v>1328</v>
      </c>
      <c r="AI109" s="17" t="s">
        <v>1336</v>
      </c>
      <c r="AJ109" s="17" t="s">
        <v>1336</v>
      </c>
      <c r="AK109" s="17" t="s">
        <v>1328</v>
      </c>
      <c r="AL109" s="17" t="s">
        <v>1350</v>
      </c>
      <c r="AM109" s="17" t="s">
        <v>1351</v>
      </c>
      <c r="AN109" s="17" t="s">
        <v>1363</v>
      </c>
      <c r="AO109" s="17" t="s">
        <v>1388</v>
      </c>
      <c r="AP109" s="17" t="s">
        <v>1328</v>
      </c>
      <c r="AQ109" s="17" t="str">
        <f t="shared" si="7"/>
        <v>intermediate</v>
      </c>
      <c r="AR109" s="20"/>
    </row>
    <row r="110" ht="15.75" customHeight="1">
      <c r="A110" s="16" t="s">
        <v>2109</v>
      </c>
      <c r="B110" s="16" t="s">
        <v>251</v>
      </c>
      <c r="C110" s="16">
        <v>2013.0</v>
      </c>
      <c r="D110" s="16" t="s">
        <v>2110</v>
      </c>
      <c r="E110" s="16" t="s">
        <v>2111</v>
      </c>
      <c r="F110" s="16" t="s">
        <v>2112</v>
      </c>
      <c r="G110" s="16" t="str">
        <f t="shared" si="1"/>
        <v>No</v>
      </c>
      <c r="H110" s="16" t="s">
        <v>1324</v>
      </c>
      <c r="I110" s="16" t="s">
        <v>1324</v>
      </c>
      <c r="J110" s="16">
        <v>37.0</v>
      </c>
      <c r="K110" s="17" t="s">
        <v>2113</v>
      </c>
      <c r="L110" s="17" t="s">
        <v>5010</v>
      </c>
      <c r="M110" s="18" t="str">
        <f t="shared" si="2"/>
        <v>http://dx.doi.org/10.1016/j.biocon.2013.07.012</v>
      </c>
      <c r="N110" s="19" t="s">
        <v>1442</v>
      </c>
      <c r="O110" s="17" t="s">
        <v>1327</v>
      </c>
      <c r="P110" s="17" t="s">
        <v>1328</v>
      </c>
      <c r="Q110" s="17" t="s">
        <v>1328</v>
      </c>
      <c r="R110" s="17" t="s">
        <v>1328</v>
      </c>
      <c r="S110" s="17" t="s">
        <v>1328</v>
      </c>
      <c r="T110" s="17" t="s">
        <v>1328</v>
      </c>
      <c r="U110" s="20" t="str">
        <f t="shared" si="3"/>
        <v>Yes</v>
      </c>
      <c r="V110" s="19" t="str">
        <f t="shared" si="4"/>
        <v>PJ</v>
      </c>
      <c r="W110" s="17" t="str">
        <f t="shared" si="5"/>
        <v>Yes</v>
      </c>
      <c r="X110" s="17" t="s">
        <v>1443</v>
      </c>
      <c r="Y110" s="17" t="s">
        <v>1330</v>
      </c>
      <c r="Z110" s="17" t="s">
        <v>1331</v>
      </c>
      <c r="AA110" s="17" t="s">
        <v>1331</v>
      </c>
      <c r="AB110" s="17" t="s">
        <v>1333</v>
      </c>
      <c r="AC110" s="17" t="s">
        <v>1381</v>
      </c>
      <c r="AD110" s="17" t="s">
        <v>1446</v>
      </c>
      <c r="AE110" s="17">
        <f t="shared" si="6"/>
        <v>2</v>
      </c>
      <c r="AF110" s="17" t="s">
        <v>1336</v>
      </c>
      <c r="AG110" s="17" t="s">
        <v>1328</v>
      </c>
      <c r="AH110" s="17" t="s">
        <v>1328</v>
      </c>
      <c r="AI110" s="17" t="s">
        <v>1336</v>
      </c>
      <c r="AJ110" s="17" t="s">
        <v>1336</v>
      </c>
      <c r="AK110" s="17" t="s">
        <v>1336</v>
      </c>
      <c r="AL110" s="17" t="s">
        <v>1395</v>
      </c>
      <c r="AM110" s="17" t="s">
        <v>1338</v>
      </c>
      <c r="AN110" s="17" t="s">
        <v>1339</v>
      </c>
      <c r="AO110" s="17" t="s">
        <v>1331</v>
      </c>
      <c r="AP110" s="17" t="s">
        <v>1328</v>
      </c>
      <c r="AQ110" s="17" t="str">
        <f t="shared" si="7"/>
        <v>intermediate</v>
      </c>
      <c r="AR110" s="20"/>
    </row>
    <row r="111" ht="15.75" customHeight="1">
      <c r="A111" s="16" t="s">
        <v>1894</v>
      </c>
      <c r="B111" s="16" t="s">
        <v>629</v>
      </c>
      <c r="C111" s="16">
        <v>2013.0</v>
      </c>
      <c r="D111" s="16" t="s">
        <v>1895</v>
      </c>
      <c r="E111" s="16" t="s">
        <v>1896</v>
      </c>
      <c r="F111" s="16" t="s">
        <v>1897</v>
      </c>
      <c r="G111" s="16" t="str">
        <f t="shared" si="1"/>
        <v>No</v>
      </c>
      <c r="H111" s="16" t="s">
        <v>1324</v>
      </c>
      <c r="I111" s="16" t="s">
        <v>1324</v>
      </c>
      <c r="J111" s="16">
        <v>199.0</v>
      </c>
      <c r="K111" s="17" t="s">
        <v>1898</v>
      </c>
      <c r="L111" s="17" t="s">
        <v>5010</v>
      </c>
      <c r="M111" s="18" t="str">
        <f t="shared" si="2"/>
        <v>http://dx.doi.org/10.1016/j.tree.2013.04.005</v>
      </c>
      <c r="N111" s="19" t="s">
        <v>1482</v>
      </c>
      <c r="O111" s="17" t="s">
        <v>1470</v>
      </c>
      <c r="P111" s="17" t="s">
        <v>1328</v>
      </c>
      <c r="Q111" s="17" t="s">
        <v>1328</v>
      </c>
      <c r="R111" s="17" t="s">
        <v>1328</v>
      </c>
      <c r="S111" s="17" t="s">
        <v>1328</v>
      </c>
      <c r="T111" s="17" t="s">
        <v>1328</v>
      </c>
      <c r="U111" s="20" t="str">
        <f t="shared" si="3"/>
        <v>Yes</v>
      </c>
      <c r="V111" s="19" t="str">
        <f t="shared" si="4"/>
        <v>AG</v>
      </c>
      <c r="W111" s="17" t="str">
        <f t="shared" si="5"/>
        <v>Yes</v>
      </c>
      <c r="X111" s="17" t="s">
        <v>1443</v>
      </c>
      <c r="Y111" s="17" t="s">
        <v>1330</v>
      </c>
      <c r="Z111" s="17" t="s">
        <v>1331</v>
      </c>
      <c r="AA111" s="17" t="s">
        <v>1331</v>
      </c>
      <c r="AB111" s="17" t="s">
        <v>1360</v>
      </c>
      <c r="AC111" s="17" t="s">
        <v>1381</v>
      </c>
      <c r="AD111" s="17" t="s">
        <v>1362</v>
      </c>
      <c r="AE111" s="17">
        <f t="shared" si="6"/>
        <v>2</v>
      </c>
      <c r="AF111" s="17" t="s">
        <v>1336</v>
      </c>
      <c r="AG111" s="17" t="s">
        <v>1328</v>
      </c>
      <c r="AH111" s="17" t="s">
        <v>1328</v>
      </c>
      <c r="AI111" s="17" t="s">
        <v>1336</v>
      </c>
      <c r="AJ111" s="17" t="s">
        <v>1336</v>
      </c>
      <c r="AK111" s="17" t="s">
        <v>1336</v>
      </c>
      <c r="AL111" s="17" t="s">
        <v>1350</v>
      </c>
      <c r="AM111" s="17" t="s">
        <v>1351</v>
      </c>
      <c r="AN111" s="17" t="s">
        <v>1363</v>
      </c>
      <c r="AO111" s="17" t="s">
        <v>1331</v>
      </c>
      <c r="AP111" s="17" t="s">
        <v>1328</v>
      </c>
      <c r="AQ111" s="17" t="str">
        <f t="shared" si="7"/>
        <v>high</v>
      </c>
      <c r="AR111" s="20"/>
    </row>
    <row r="112" ht="15.75" customHeight="1">
      <c r="A112" s="16" t="s">
        <v>1878</v>
      </c>
      <c r="B112" s="16" t="s">
        <v>1873</v>
      </c>
      <c r="C112" s="16">
        <v>2007.0</v>
      </c>
      <c r="D112" s="16" t="s">
        <v>1879</v>
      </c>
      <c r="E112" s="16" t="s">
        <v>1880</v>
      </c>
      <c r="F112" s="16" t="s">
        <v>1881</v>
      </c>
      <c r="G112" s="16" t="str">
        <f t="shared" si="1"/>
        <v>No</v>
      </c>
      <c r="H112" s="16" t="s">
        <v>1324</v>
      </c>
      <c r="I112" s="16" t="s">
        <v>1324</v>
      </c>
      <c r="J112" s="16">
        <v>19.0</v>
      </c>
      <c r="K112" s="17" t="s">
        <v>1882</v>
      </c>
      <c r="L112" s="17" t="s">
        <v>5010</v>
      </c>
      <c r="M112" s="18" t="str">
        <f t="shared" si="2"/>
        <v>http://dx.doi.org/10.1017/S0030605307001883</v>
      </c>
      <c r="N112" s="19" t="s">
        <v>1614</v>
      </c>
      <c r="O112" s="17" t="s">
        <v>1327</v>
      </c>
      <c r="P112" s="17" t="s">
        <v>1328</v>
      </c>
      <c r="Q112" s="17" t="s">
        <v>1328</v>
      </c>
      <c r="R112" s="17" t="s">
        <v>1328</v>
      </c>
      <c r="S112" s="17" t="s">
        <v>1328</v>
      </c>
      <c r="T112" s="17" t="s">
        <v>1328</v>
      </c>
      <c r="U112" s="20" t="str">
        <f t="shared" si="3"/>
        <v>Yes</v>
      </c>
      <c r="V112" s="19" t="str">
        <f t="shared" si="4"/>
        <v>PJ</v>
      </c>
      <c r="W112" s="17" t="str">
        <f t="shared" si="5"/>
        <v>Yes</v>
      </c>
      <c r="X112" s="17" t="s">
        <v>1329</v>
      </c>
      <c r="Y112" s="17" t="s">
        <v>1523</v>
      </c>
      <c r="Z112" s="17" t="s">
        <v>1330</v>
      </c>
      <c r="AA112" s="17" t="s">
        <v>1347</v>
      </c>
      <c r="AB112" s="17" t="s">
        <v>1333</v>
      </c>
      <c r="AC112" s="17" t="s">
        <v>1334</v>
      </c>
      <c r="AD112" s="17" t="s">
        <v>1362</v>
      </c>
      <c r="AE112" s="17">
        <f t="shared" si="6"/>
        <v>2</v>
      </c>
      <c r="AF112" s="17" t="s">
        <v>1336</v>
      </c>
      <c r="AG112" s="17" t="s">
        <v>1336</v>
      </c>
      <c r="AH112" s="17" t="s">
        <v>1328</v>
      </c>
      <c r="AI112" s="17" t="s">
        <v>1336</v>
      </c>
      <c r="AJ112" s="17" t="s">
        <v>1336</v>
      </c>
      <c r="AK112" s="17" t="s">
        <v>1328</v>
      </c>
      <c r="AL112" s="17" t="s">
        <v>1395</v>
      </c>
      <c r="AM112" s="17" t="s">
        <v>1338</v>
      </c>
      <c r="AN112" s="17" t="s">
        <v>1339</v>
      </c>
      <c r="AO112" s="17" t="s">
        <v>1331</v>
      </c>
      <c r="AP112" s="17" t="s">
        <v>1328</v>
      </c>
      <c r="AQ112" s="17" t="str">
        <f t="shared" si="7"/>
        <v>intermediate</v>
      </c>
      <c r="AR112" s="20"/>
    </row>
    <row r="113" ht="15.75" customHeight="1">
      <c r="A113" s="16" t="s">
        <v>1747</v>
      </c>
      <c r="B113" s="16" t="s">
        <v>318</v>
      </c>
      <c r="C113" s="16">
        <v>2018.0</v>
      </c>
      <c r="D113" s="16" t="s">
        <v>1748</v>
      </c>
      <c r="E113" s="16" t="s">
        <v>1749</v>
      </c>
      <c r="F113" s="16" t="s">
        <v>1750</v>
      </c>
      <c r="G113" s="16" t="str">
        <f t="shared" si="1"/>
        <v>No</v>
      </c>
      <c r="H113" s="16" t="s">
        <v>1324</v>
      </c>
      <c r="I113" s="16" t="s">
        <v>1324</v>
      </c>
      <c r="J113" s="16">
        <v>54.0</v>
      </c>
      <c r="K113" s="17" t="s">
        <v>1751</v>
      </c>
      <c r="L113" s="17" t="s">
        <v>5010</v>
      </c>
      <c r="M113" s="18" t="str">
        <f t="shared" si="2"/>
        <v>http://dx.doi.org/10.1088/1748-9326/aacd1c</v>
      </c>
      <c r="N113" s="19" t="s">
        <v>1614</v>
      </c>
      <c r="O113" s="17" t="s">
        <v>1417</v>
      </c>
      <c r="P113" s="17" t="s">
        <v>1328</v>
      </c>
      <c r="Q113" s="17" t="s">
        <v>1328</v>
      </c>
      <c r="R113" s="17" t="s">
        <v>1328</v>
      </c>
      <c r="S113" s="17" t="s">
        <v>1328</v>
      </c>
      <c r="T113" s="17" t="s">
        <v>1328</v>
      </c>
      <c r="U113" s="20" t="str">
        <f t="shared" si="3"/>
        <v>Yes</v>
      </c>
      <c r="V113" s="19" t="str">
        <f t="shared" si="4"/>
        <v>NT</v>
      </c>
      <c r="W113" s="17" t="str">
        <f t="shared" si="5"/>
        <v>Yes</v>
      </c>
      <c r="X113" s="17" t="s">
        <v>1329</v>
      </c>
      <c r="Y113" s="17" t="s">
        <v>1330</v>
      </c>
      <c r="Z113" s="17" t="s">
        <v>1330</v>
      </c>
      <c r="AA113" s="17" t="s">
        <v>1347</v>
      </c>
      <c r="AB113" s="17" t="s">
        <v>1444</v>
      </c>
      <c r="AC113" s="17" t="s">
        <v>1476</v>
      </c>
      <c r="AD113" s="17" t="s">
        <v>1362</v>
      </c>
      <c r="AE113" s="17">
        <f t="shared" si="6"/>
        <v>2</v>
      </c>
      <c r="AF113" s="17" t="s">
        <v>1336</v>
      </c>
      <c r="AG113" s="17" t="s">
        <v>1328</v>
      </c>
      <c r="AH113" s="17" t="s">
        <v>1328</v>
      </c>
      <c r="AI113" s="17" t="s">
        <v>1336</v>
      </c>
      <c r="AJ113" s="17" t="s">
        <v>1336</v>
      </c>
      <c r="AK113" s="17" t="s">
        <v>1336</v>
      </c>
      <c r="AL113" s="17" t="s">
        <v>1350</v>
      </c>
      <c r="AM113" s="17" t="s">
        <v>1351</v>
      </c>
      <c r="AN113" s="17" t="s">
        <v>1339</v>
      </c>
      <c r="AO113" s="17" t="s">
        <v>1331</v>
      </c>
      <c r="AP113" s="17" t="s">
        <v>1328</v>
      </c>
      <c r="AQ113" s="17" t="str">
        <f t="shared" si="7"/>
        <v>high</v>
      </c>
      <c r="AR113" s="20"/>
    </row>
    <row r="114" ht="15.75" customHeight="1">
      <c r="A114" s="16" t="s">
        <v>1563</v>
      </c>
      <c r="B114" s="16" t="s">
        <v>1558</v>
      </c>
      <c r="C114" s="16">
        <v>2013.0</v>
      </c>
      <c r="D114" s="16" t="s">
        <v>1564</v>
      </c>
      <c r="E114" s="16" t="s">
        <v>1565</v>
      </c>
      <c r="F114" s="16" t="s">
        <v>1566</v>
      </c>
      <c r="G114" s="16" t="str">
        <f t="shared" si="1"/>
        <v>No</v>
      </c>
      <c r="H114" s="16" t="s">
        <v>1324</v>
      </c>
      <c r="I114" s="16" t="s">
        <v>1324</v>
      </c>
      <c r="J114" s="16">
        <v>154.0</v>
      </c>
      <c r="K114" s="17" t="s">
        <v>1567</v>
      </c>
      <c r="L114" s="17" t="s">
        <v>5010</v>
      </c>
      <c r="M114" s="18" t="str">
        <f t="shared" si="2"/>
        <v>http://dx.doi.org/10.1111/jbi.12105</v>
      </c>
      <c r="N114" s="19" t="s">
        <v>1346</v>
      </c>
      <c r="O114" s="17" t="s">
        <v>1371</v>
      </c>
      <c r="P114" s="17" t="s">
        <v>1328</v>
      </c>
      <c r="Q114" s="17" t="s">
        <v>1328</v>
      </c>
      <c r="R114" s="17" t="s">
        <v>1328</v>
      </c>
      <c r="S114" s="17" t="s">
        <v>1328</v>
      </c>
      <c r="T114" s="17" t="s">
        <v>1328</v>
      </c>
      <c r="U114" s="20" t="str">
        <f t="shared" si="3"/>
        <v>Yes</v>
      </c>
      <c r="V114" s="19" t="str">
        <f t="shared" si="4"/>
        <v>LC</v>
      </c>
      <c r="W114" s="17" t="str">
        <f t="shared" si="5"/>
        <v>Yes</v>
      </c>
      <c r="X114" s="17" t="s">
        <v>1329</v>
      </c>
      <c r="Y114" s="17" t="s">
        <v>1372</v>
      </c>
      <c r="Z114" s="17" t="s">
        <v>1331</v>
      </c>
      <c r="AA114" s="17" t="s">
        <v>1347</v>
      </c>
      <c r="AB114" s="17" t="s">
        <v>1333</v>
      </c>
      <c r="AC114" s="17" t="s">
        <v>1361</v>
      </c>
      <c r="AD114" s="17" t="s">
        <v>1362</v>
      </c>
      <c r="AE114" s="17">
        <f t="shared" si="6"/>
        <v>2</v>
      </c>
      <c r="AF114" s="17" t="s">
        <v>1328</v>
      </c>
      <c r="AG114" s="17" t="s">
        <v>1336</v>
      </c>
      <c r="AH114" s="17" t="s">
        <v>1328</v>
      </c>
      <c r="AI114" s="17" t="s">
        <v>1336</v>
      </c>
      <c r="AJ114" s="17" t="s">
        <v>1336</v>
      </c>
      <c r="AK114" s="17" t="s">
        <v>1336</v>
      </c>
      <c r="AL114" s="17" t="s">
        <v>1350</v>
      </c>
      <c r="AM114" s="17" t="s">
        <v>1351</v>
      </c>
      <c r="AN114" s="17" t="s">
        <v>1363</v>
      </c>
      <c r="AO114" s="17" t="s">
        <v>1388</v>
      </c>
      <c r="AP114" s="17" t="s">
        <v>1328</v>
      </c>
      <c r="AQ114" s="17" t="str">
        <f t="shared" si="7"/>
        <v>intermediate</v>
      </c>
      <c r="AR114" s="20"/>
    </row>
    <row r="115" ht="15.75" customHeight="1">
      <c r="A115" s="16" t="s">
        <v>1672</v>
      </c>
      <c r="B115" s="16" t="s">
        <v>126</v>
      </c>
      <c r="C115" s="16">
        <v>2017.0</v>
      </c>
      <c r="D115" s="16" t="s">
        <v>1673</v>
      </c>
      <c r="E115" s="16" t="s">
        <v>1674</v>
      </c>
      <c r="F115" s="16" t="s">
        <v>1675</v>
      </c>
      <c r="G115" s="16" t="str">
        <f t="shared" si="1"/>
        <v>No</v>
      </c>
      <c r="H115" s="16" t="s">
        <v>1324</v>
      </c>
      <c r="I115" s="16" t="s">
        <v>1324</v>
      </c>
      <c r="J115" s="16">
        <v>9.0</v>
      </c>
      <c r="K115" s="17" t="s">
        <v>1676</v>
      </c>
      <c r="L115" s="17" t="s">
        <v>5010</v>
      </c>
      <c r="M115" s="18" t="str">
        <f t="shared" si="2"/>
        <v>http://dx.doi.org/10.1111/fwb.12929</v>
      </c>
      <c r="N115" s="19" t="s">
        <v>1416</v>
      </c>
      <c r="O115" s="17" t="s">
        <v>1417</v>
      </c>
      <c r="P115" s="17" t="s">
        <v>1328</v>
      </c>
      <c r="Q115" s="17" t="s">
        <v>1328</v>
      </c>
      <c r="R115" s="17" t="s">
        <v>1328</v>
      </c>
      <c r="S115" s="17" t="s">
        <v>1328</v>
      </c>
      <c r="T115" s="17" t="s">
        <v>1328</v>
      </c>
      <c r="U115" s="20" t="str">
        <f t="shared" si="3"/>
        <v>Yes</v>
      </c>
      <c r="V115" s="19" t="str">
        <f t="shared" si="4"/>
        <v>NT</v>
      </c>
      <c r="W115" s="17" t="str">
        <f t="shared" si="5"/>
        <v>Yes</v>
      </c>
      <c r="X115" s="17" t="s">
        <v>1329</v>
      </c>
      <c r="Y115" s="17" t="s">
        <v>1330</v>
      </c>
      <c r="Z115" s="17" t="s">
        <v>1331</v>
      </c>
      <c r="AA115" s="17" t="s">
        <v>1347</v>
      </c>
      <c r="AB115" s="17" t="s">
        <v>1360</v>
      </c>
      <c r="AC115" s="17" t="s">
        <v>1361</v>
      </c>
      <c r="AD115" s="17" t="s">
        <v>1530</v>
      </c>
      <c r="AE115" s="17">
        <f t="shared" si="6"/>
        <v>2</v>
      </c>
      <c r="AF115" s="17" t="s">
        <v>1328</v>
      </c>
      <c r="AG115" s="17" t="s">
        <v>1336</v>
      </c>
      <c r="AH115" s="17" t="s">
        <v>1328</v>
      </c>
      <c r="AI115" s="17" t="s">
        <v>1336</v>
      </c>
      <c r="AJ115" s="17" t="s">
        <v>1336</v>
      </c>
      <c r="AK115" s="17" t="s">
        <v>1336</v>
      </c>
      <c r="AL115" s="17" t="s">
        <v>1350</v>
      </c>
      <c r="AM115" s="17" t="s">
        <v>1351</v>
      </c>
      <c r="AN115" s="17" t="s">
        <v>1339</v>
      </c>
      <c r="AO115" s="17" t="s">
        <v>1331</v>
      </c>
      <c r="AP115" s="17" t="s">
        <v>1328</v>
      </c>
      <c r="AQ115" s="17" t="str">
        <f t="shared" si="7"/>
        <v>high</v>
      </c>
      <c r="AR115" s="20"/>
    </row>
    <row r="116" ht="15.75" customHeight="1">
      <c r="A116" s="16" t="s">
        <v>2293</v>
      </c>
      <c r="B116" s="16" t="s">
        <v>2294</v>
      </c>
      <c r="C116" s="16">
        <v>2015.0</v>
      </c>
      <c r="D116" s="16" t="s">
        <v>2295</v>
      </c>
      <c r="E116" s="16" t="s">
        <v>2296</v>
      </c>
      <c r="F116" s="23" t="s">
        <v>1324</v>
      </c>
      <c r="G116" s="16" t="str">
        <f t="shared" si="1"/>
        <v>No</v>
      </c>
      <c r="H116" s="16" t="s">
        <v>1324</v>
      </c>
      <c r="I116" s="16" t="s">
        <v>1324</v>
      </c>
      <c r="J116" s="16">
        <v>15.0</v>
      </c>
      <c r="K116" s="17" t="s">
        <v>2297</v>
      </c>
      <c r="L116" s="17" t="s">
        <v>5010</v>
      </c>
      <c r="M116" s="18" t="str">
        <f t="shared" si="2"/>
        <v/>
      </c>
      <c r="N116" s="19" t="s">
        <v>1326</v>
      </c>
      <c r="O116" s="17" t="s">
        <v>1327</v>
      </c>
      <c r="P116" s="17" t="s">
        <v>1328</v>
      </c>
      <c r="Q116" s="17" t="s">
        <v>1328</v>
      </c>
      <c r="R116" s="17" t="s">
        <v>1328</v>
      </c>
      <c r="S116" s="17" t="s">
        <v>1328</v>
      </c>
      <c r="T116" s="17" t="s">
        <v>1328</v>
      </c>
      <c r="U116" s="20" t="str">
        <f t="shared" si="3"/>
        <v>Yes</v>
      </c>
      <c r="V116" s="19" t="str">
        <f t="shared" si="4"/>
        <v>PJ</v>
      </c>
      <c r="W116" s="17" t="str">
        <f t="shared" si="5"/>
        <v>Yes</v>
      </c>
      <c r="X116" s="17" t="s">
        <v>1329</v>
      </c>
      <c r="Y116" s="17" t="s">
        <v>1330</v>
      </c>
      <c r="Z116" s="17" t="s">
        <v>1331</v>
      </c>
      <c r="AA116" s="17" t="s">
        <v>1347</v>
      </c>
      <c r="AB116" s="17" t="s">
        <v>1333</v>
      </c>
      <c r="AC116" s="17" t="s">
        <v>1334</v>
      </c>
      <c r="AD116" s="17" t="s">
        <v>1362</v>
      </c>
      <c r="AE116" s="17">
        <f t="shared" si="6"/>
        <v>5</v>
      </c>
      <c r="AF116" s="17" t="s">
        <v>1328</v>
      </c>
      <c r="AG116" s="17" t="s">
        <v>1328</v>
      </c>
      <c r="AH116" s="17" t="s">
        <v>1328</v>
      </c>
      <c r="AI116" s="17" t="s">
        <v>1328</v>
      </c>
      <c r="AJ116" s="17" t="s">
        <v>1328</v>
      </c>
      <c r="AK116" s="17" t="s">
        <v>1336</v>
      </c>
      <c r="AL116" s="17" t="s">
        <v>1395</v>
      </c>
      <c r="AM116" s="17" t="s">
        <v>1351</v>
      </c>
      <c r="AN116" s="17" t="s">
        <v>1363</v>
      </c>
      <c r="AO116" s="17" t="s">
        <v>1331</v>
      </c>
      <c r="AP116" s="17" t="s">
        <v>1328</v>
      </c>
      <c r="AQ116" s="17" t="str">
        <f t="shared" si="7"/>
        <v>intermediate</v>
      </c>
      <c r="AR116" s="20"/>
    </row>
    <row r="117" ht="15.75" customHeight="1">
      <c r="A117" s="16" t="s">
        <v>1504</v>
      </c>
      <c r="B117" s="16" t="s">
        <v>1505</v>
      </c>
      <c r="C117" s="16">
        <v>2018.0</v>
      </c>
      <c r="D117" s="16" t="s">
        <v>1506</v>
      </c>
      <c r="E117" s="16" t="s">
        <v>1507</v>
      </c>
      <c r="F117" s="16" t="s">
        <v>1508</v>
      </c>
      <c r="G117" s="16" t="str">
        <f t="shared" si="1"/>
        <v>No</v>
      </c>
      <c r="H117" s="16" t="s">
        <v>1324</v>
      </c>
      <c r="I117" s="16" t="s">
        <v>1324</v>
      </c>
      <c r="J117" s="16">
        <v>8.0</v>
      </c>
      <c r="K117" s="17" t="s">
        <v>1509</v>
      </c>
      <c r="L117" s="17" t="s">
        <v>5010</v>
      </c>
      <c r="M117" s="18" t="str">
        <f t="shared" si="2"/>
        <v>http://dx.doi.org/10.1186/s40657-018-0106-9</v>
      </c>
      <c r="N117" s="19" t="s">
        <v>1326</v>
      </c>
      <c r="O117" s="17" t="s">
        <v>1327</v>
      </c>
      <c r="P117" s="17" t="s">
        <v>1328</v>
      </c>
      <c r="Q117" s="17" t="s">
        <v>1328</v>
      </c>
      <c r="R117" s="17" t="s">
        <v>1328</v>
      </c>
      <c r="S117" s="17" t="s">
        <v>1328</v>
      </c>
      <c r="T117" s="17" t="s">
        <v>1328</v>
      </c>
      <c r="U117" s="20" t="str">
        <f t="shared" si="3"/>
        <v>Yes</v>
      </c>
      <c r="V117" s="19" t="str">
        <f t="shared" si="4"/>
        <v>PJ</v>
      </c>
      <c r="W117" s="17" t="str">
        <f t="shared" si="5"/>
        <v>Yes</v>
      </c>
      <c r="X117" s="17" t="s">
        <v>1443</v>
      </c>
      <c r="Y117" s="17" t="s">
        <v>1330</v>
      </c>
      <c r="Z117" s="17" t="s">
        <v>1331</v>
      </c>
      <c r="AA117" s="17" t="s">
        <v>1347</v>
      </c>
      <c r="AB117" s="17" t="s">
        <v>1360</v>
      </c>
      <c r="AC117" s="17" t="s">
        <v>1381</v>
      </c>
      <c r="AD117" s="17" t="s">
        <v>1335</v>
      </c>
      <c r="AE117" s="17">
        <f t="shared" si="6"/>
        <v>4</v>
      </c>
      <c r="AF117" s="17" t="s">
        <v>1336</v>
      </c>
      <c r="AG117" s="17" t="s">
        <v>1328</v>
      </c>
      <c r="AH117" s="17" t="s">
        <v>1328</v>
      </c>
      <c r="AI117" s="17" t="s">
        <v>1336</v>
      </c>
      <c r="AJ117" s="17" t="s">
        <v>1328</v>
      </c>
      <c r="AK117" s="17" t="s">
        <v>1328</v>
      </c>
      <c r="AL117" s="17" t="s">
        <v>1395</v>
      </c>
      <c r="AM117" s="17" t="s">
        <v>1351</v>
      </c>
      <c r="AN117" s="17" t="s">
        <v>1363</v>
      </c>
      <c r="AO117" s="17" t="s">
        <v>1331</v>
      </c>
      <c r="AP117" s="17" t="s">
        <v>1328</v>
      </c>
      <c r="AQ117" s="17" t="str">
        <f t="shared" si="7"/>
        <v>high</v>
      </c>
      <c r="AR117" s="20"/>
    </row>
    <row r="118" ht="15.75" customHeight="1">
      <c r="A118" s="16" t="s">
        <v>1687</v>
      </c>
      <c r="B118" s="16" t="s">
        <v>1688</v>
      </c>
      <c r="C118" s="16">
        <v>2018.0</v>
      </c>
      <c r="D118" s="16" t="s">
        <v>1689</v>
      </c>
      <c r="E118" s="16" t="s">
        <v>1690</v>
      </c>
      <c r="F118" s="16" t="s">
        <v>1691</v>
      </c>
      <c r="G118" s="16" t="str">
        <f t="shared" si="1"/>
        <v>No</v>
      </c>
      <c r="H118" s="16" t="s">
        <v>1324</v>
      </c>
      <c r="I118" s="16" t="s">
        <v>1324</v>
      </c>
      <c r="J118" s="16">
        <v>53.0</v>
      </c>
      <c r="K118" s="17" t="s">
        <v>1692</v>
      </c>
      <c r="L118" s="17" t="s">
        <v>5010</v>
      </c>
      <c r="M118" s="18" t="str">
        <f t="shared" si="2"/>
        <v>http://dx.doi.org/10.1111/fog.12246</v>
      </c>
      <c r="N118" s="19" t="s">
        <v>1580</v>
      </c>
      <c r="O118" s="17" t="s">
        <v>1417</v>
      </c>
      <c r="P118" s="17" t="s">
        <v>1328</v>
      </c>
      <c r="Q118" s="17" t="s">
        <v>1328</v>
      </c>
      <c r="R118" s="17" t="s">
        <v>1328</v>
      </c>
      <c r="S118" s="17" t="s">
        <v>1328</v>
      </c>
      <c r="T118" s="17" t="s">
        <v>1328</v>
      </c>
      <c r="U118" s="20" t="str">
        <f t="shared" si="3"/>
        <v>Yes</v>
      </c>
      <c r="V118" s="19" t="str">
        <f t="shared" si="4"/>
        <v>NT</v>
      </c>
      <c r="W118" s="17" t="str">
        <f t="shared" si="5"/>
        <v>Yes</v>
      </c>
      <c r="X118" s="17" t="s">
        <v>1329</v>
      </c>
      <c r="Y118" s="17" t="s">
        <v>1331</v>
      </c>
      <c r="Z118" s="17" t="s">
        <v>1330</v>
      </c>
      <c r="AA118" s="17" t="s">
        <v>1347</v>
      </c>
      <c r="AB118" s="17" t="s">
        <v>1360</v>
      </c>
      <c r="AC118" s="17" t="s">
        <v>1361</v>
      </c>
      <c r="AD118" s="17" t="s">
        <v>1349</v>
      </c>
      <c r="AE118" s="17">
        <f t="shared" si="6"/>
        <v>2</v>
      </c>
      <c r="AF118" s="17" t="s">
        <v>1328</v>
      </c>
      <c r="AG118" s="17" t="s">
        <v>1336</v>
      </c>
      <c r="AH118" s="17" t="s">
        <v>1328</v>
      </c>
      <c r="AI118" s="17" t="s">
        <v>1336</v>
      </c>
      <c r="AJ118" s="17" t="s">
        <v>1336</v>
      </c>
      <c r="AK118" s="17" t="s">
        <v>1336</v>
      </c>
      <c r="AL118" s="17" t="s">
        <v>1350</v>
      </c>
      <c r="AM118" s="17" t="s">
        <v>1351</v>
      </c>
      <c r="AN118" s="17" t="s">
        <v>1339</v>
      </c>
      <c r="AO118" s="17" t="s">
        <v>1374</v>
      </c>
      <c r="AP118" s="17" t="s">
        <v>1328</v>
      </c>
      <c r="AQ118" s="17" t="str">
        <f t="shared" si="7"/>
        <v>intermediate</v>
      </c>
      <c r="AR118" s="20"/>
    </row>
    <row r="119" ht="15.75" customHeight="1">
      <c r="A119" s="16" t="s">
        <v>1842</v>
      </c>
      <c r="B119" s="16" t="s">
        <v>507</v>
      </c>
      <c r="C119" s="16">
        <v>2017.0</v>
      </c>
      <c r="D119" s="16" t="s">
        <v>1843</v>
      </c>
      <c r="E119" s="16" t="s">
        <v>1844</v>
      </c>
      <c r="F119" s="16" t="s">
        <v>1845</v>
      </c>
      <c r="G119" s="16" t="str">
        <f t="shared" si="1"/>
        <v>No</v>
      </c>
      <c r="H119" s="16" t="s">
        <v>1324</v>
      </c>
      <c r="I119" s="16" t="s">
        <v>1324</v>
      </c>
      <c r="J119" s="16">
        <v>27.0</v>
      </c>
      <c r="K119" s="17" t="s">
        <v>1846</v>
      </c>
      <c r="L119" s="17" t="s">
        <v>5010</v>
      </c>
      <c r="M119" s="18" t="str">
        <f t="shared" si="2"/>
        <v>http://dx.doi.org/10.1021/acs.est.6b05296</v>
      </c>
      <c r="N119" s="19" t="s">
        <v>1462</v>
      </c>
      <c r="O119" s="17" t="s">
        <v>1359</v>
      </c>
      <c r="P119" s="17" t="s">
        <v>1328</v>
      </c>
      <c r="Q119" s="17" t="s">
        <v>1328</v>
      </c>
      <c r="R119" s="17" t="s">
        <v>1328</v>
      </c>
      <c r="S119" s="17" t="s">
        <v>1328</v>
      </c>
      <c r="T119" s="17" t="s">
        <v>1328</v>
      </c>
      <c r="U119" s="20" t="str">
        <f t="shared" si="3"/>
        <v>Yes</v>
      </c>
      <c r="V119" s="19" t="str">
        <f t="shared" si="4"/>
        <v>YT</v>
      </c>
      <c r="W119" s="17" t="str">
        <f t="shared" si="5"/>
        <v>Yes</v>
      </c>
      <c r="X119" s="17" t="s">
        <v>1329</v>
      </c>
      <c r="Y119" s="17" t="s">
        <v>1330</v>
      </c>
      <c r="Z119" s="17" t="s">
        <v>1331</v>
      </c>
      <c r="AA119" s="17" t="s">
        <v>1347</v>
      </c>
      <c r="AB119" s="17" t="s">
        <v>1444</v>
      </c>
      <c r="AC119" s="17" t="s">
        <v>1445</v>
      </c>
      <c r="AD119" s="17" t="s">
        <v>1362</v>
      </c>
      <c r="AE119" s="17">
        <f t="shared" si="6"/>
        <v>2</v>
      </c>
      <c r="AF119" s="17" t="s">
        <v>1328</v>
      </c>
      <c r="AG119" s="17" t="s">
        <v>1328</v>
      </c>
      <c r="AH119" s="17" t="s">
        <v>1336</v>
      </c>
      <c r="AI119" s="17" t="s">
        <v>1336</v>
      </c>
      <c r="AJ119" s="17" t="s">
        <v>1336</v>
      </c>
      <c r="AK119" s="17" t="s">
        <v>1336</v>
      </c>
      <c r="AL119" s="17" t="s">
        <v>1350</v>
      </c>
      <c r="AM119" s="17" t="s">
        <v>1351</v>
      </c>
      <c r="AN119" s="17" t="s">
        <v>1363</v>
      </c>
      <c r="AO119" s="17" t="s">
        <v>1331</v>
      </c>
      <c r="AP119" s="17" t="s">
        <v>1328</v>
      </c>
      <c r="AQ119" s="17" t="str">
        <f t="shared" si="7"/>
        <v>high</v>
      </c>
      <c r="AR119" s="20"/>
    </row>
    <row r="120" ht="15.75" customHeight="1">
      <c r="A120" s="16" t="s">
        <v>1752</v>
      </c>
      <c r="B120" s="16" t="s">
        <v>318</v>
      </c>
      <c r="C120" s="16">
        <v>2018.0</v>
      </c>
      <c r="D120" s="16" t="s">
        <v>1753</v>
      </c>
      <c r="E120" s="16" t="s">
        <v>1754</v>
      </c>
      <c r="F120" s="16" t="s">
        <v>1755</v>
      </c>
      <c r="G120" s="16" t="str">
        <f t="shared" si="1"/>
        <v>No</v>
      </c>
      <c r="H120" s="16" t="s">
        <v>1324</v>
      </c>
      <c r="I120" s="16" t="s">
        <v>1324</v>
      </c>
      <c r="J120" s="16">
        <v>1.0</v>
      </c>
      <c r="K120" s="17" t="s">
        <v>1756</v>
      </c>
      <c r="L120" s="17" t="s">
        <v>5010</v>
      </c>
      <c r="M120" s="18" t="str">
        <f t="shared" si="2"/>
        <v>http://dx.doi.org/10.1088/1748-9326/aac331</v>
      </c>
      <c r="N120" s="19" t="s">
        <v>1614</v>
      </c>
      <c r="O120" s="17" t="s">
        <v>1327</v>
      </c>
      <c r="P120" s="17" t="s">
        <v>1328</v>
      </c>
      <c r="Q120" s="17" t="s">
        <v>1328</v>
      </c>
      <c r="R120" s="17" t="s">
        <v>1328</v>
      </c>
      <c r="S120" s="17" t="s">
        <v>1328</v>
      </c>
      <c r="T120" s="17" t="s">
        <v>1328</v>
      </c>
      <c r="U120" s="20" t="str">
        <f t="shared" si="3"/>
        <v>Yes</v>
      </c>
      <c r="V120" s="19" t="str">
        <f t="shared" si="4"/>
        <v>PJ</v>
      </c>
      <c r="W120" s="17" t="str">
        <f t="shared" si="5"/>
        <v>Yes</v>
      </c>
      <c r="X120" s="17" t="s">
        <v>1329</v>
      </c>
      <c r="Y120" s="17" t="s">
        <v>1523</v>
      </c>
      <c r="Z120" s="17" t="s">
        <v>1330</v>
      </c>
      <c r="AA120" s="17" t="s">
        <v>1347</v>
      </c>
      <c r="AB120" s="17" t="s">
        <v>1360</v>
      </c>
      <c r="AC120" s="17" t="s">
        <v>1348</v>
      </c>
      <c r="AD120" s="17" t="s">
        <v>1464</v>
      </c>
      <c r="AE120" s="17">
        <f t="shared" si="6"/>
        <v>2</v>
      </c>
      <c r="AF120" s="17" t="s">
        <v>1336</v>
      </c>
      <c r="AG120" s="17" t="s">
        <v>1336</v>
      </c>
      <c r="AH120" s="17" t="s">
        <v>1328</v>
      </c>
      <c r="AI120" s="17" t="s">
        <v>1336</v>
      </c>
      <c r="AJ120" s="17" t="s">
        <v>1336</v>
      </c>
      <c r="AK120" s="17" t="s">
        <v>1328</v>
      </c>
      <c r="AL120" s="17" t="s">
        <v>1395</v>
      </c>
      <c r="AM120" s="17" t="s">
        <v>1351</v>
      </c>
      <c r="AN120" s="17" t="s">
        <v>1363</v>
      </c>
      <c r="AO120" s="17" t="s">
        <v>1331</v>
      </c>
      <c r="AP120" s="17" t="s">
        <v>1328</v>
      </c>
      <c r="AQ120" s="17" t="str">
        <f t="shared" si="7"/>
        <v>intermediate</v>
      </c>
      <c r="AR120" s="20"/>
    </row>
    <row r="121" ht="15.75" customHeight="1">
      <c r="A121" s="16" t="s">
        <v>2141</v>
      </c>
      <c r="B121" s="16" t="s">
        <v>2142</v>
      </c>
      <c r="C121" s="16">
        <v>2006.0</v>
      </c>
      <c r="D121" s="16" t="s">
        <v>2143</v>
      </c>
      <c r="E121" s="16" t="s">
        <v>2144</v>
      </c>
      <c r="F121" s="16" t="s">
        <v>2145</v>
      </c>
      <c r="G121" s="16" t="str">
        <f t="shared" si="1"/>
        <v>No</v>
      </c>
      <c r="H121" s="16" t="s">
        <v>1324</v>
      </c>
      <c r="I121" s="16" t="s">
        <v>1324</v>
      </c>
      <c r="J121" s="16">
        <v>142.0</v>
      </c>
      <c r="K121" s="17" t="s">
        <v>2146</v>
      </c>
      <c r="L121" s="17" t="s">
        <v>5010</v>
      </c>
      <c r="M121" s="18" t="str">
        <f t="shared" si="2"/>
        <v>http://dx.doi.org/10.1016/j.agee.2005.10.019</v>
      </c>
      <c r="N121" s="19" t="s">
        <v>1947</v>
      </c>
      <c r="O121" s="17" t="s">
        <v>1327</v>
      </c>
      <c r="P121" s="17" t="s">
        <v>1328</v>
      </c>
      <c r="Q121" s="17" t="s">
        <v>1328</v>
      </c>
      <c r="R121" s="17" t="s">
        <v>1328</v>
      </c>
      <c r="S121" s="17" t="s">
        <v>1328</v>
      </c>
      <c r="T121" s="17" t="s">
        <v>1328</v>
      </c>
      <c r="U121" s="20" t="str">
        <f t="shared" si="3"/>
        <v>Yes</v>
      </c>
      <c r="V121" s="19" t="str">
        <f t="shared" si="4"/>
        <v>PJ</v>
      </c>
      <c r="W121" s="17" t="str">
        <f t="shared" si="5"/>
        <v>Yes</v>
      </c>
      <c r="X121" s="17" t="s">
        <v>1329</v>
      </c>
      <c r="Y121" s="17" t="s">
        <v>1330</v>
      </c>
      <c r="Z121" s="17" t="s">
        <v>1331</v>
      </c>
      <c r="AA121" s="17" t="s">
        <v>1347</v>
      </c>
      <c r="AB121" s="17" t="s">
        <v>1333</v>
      </c>
      <c r="AC121" s="17" t="s">
        <v>1334</v>
      </c>
      <c r="AD121" s="17" t="s">
        <v>1362</v>
      </c>
      <c r="AE121" s="17">
        <f t="shared" si="6"/>
        <v>2</v>
      </c>
      <c r="AF121" s="17" t="s">
        <v>1336</v>
      </c>
      <c r="AG121" s="17" t="s">
        <v>1328</v>
      </c>
      <c r="AH121" s="17" t="s">
        <v>1328</v>
      </c>
      <c r="AI121" s="17" t="s">
        <v>1336</v>
      </c>
      <c r="AJ121" s="17" t="s">
        <v>1336</v>
      </c>
      <c r="AK121" s="17" t="s">
        <v>1336</v>
      </c>
      <c r="AL121" s="17" t="s">
        <v>1350</v>
      </c>
      <c r="AM121" s="17" t="s">
        <v>1351</v>
      </c>
      <c r="AN121" s="17" t="s">
        <v>1363</v>
      </c>
      <c r="AO121" s="17" t="s">
        <v>1331</v>
      </c>
      <c r="AP121" s="17" t="s">
        <v>1328</v>
      </c>
      <c r="AQ121" s="17" t="str">
        <f t="shared" si="7"/>
        <v>intermediate</v>
      </c>
      <c r="AR121" s="20"/>
    </row>
    <row r="122" ht="15.75" customHeight="1">
      <c r="A122" s="16" t="s">
        <v>1964</v>
      </c>
      <c r="B122" s="16" t="s">
        <v>1965</v>
      </c>
      <c r="C122" s="16">
        <v>2018.0</v>
      </c>
      <c r="D122" s="16" t="s">
        <v>1966</v>
      </c>
      <c r="E122" s="16" t="s">
        <v>1967</v>
      </c>
      <c r="F122" s="16" t="s">
        <v>1968</v>
      </c>
      <c r="G122" s="16" t="str">
        <f t="shared" si="1"/>
        <v>No</v>
      </c>
      <c r="H122" s="16" t="s">
        <v>1324</v>
      </c>
      <c r="I122" s="16" t="s">
        <v>1324</v>
      </c>
      <c r="J122" s="16">
        <v>17.0</v>
      </c>
      <c r="K122" s="17" t="s">
        <v>1969</v>
      </c>
      <c r="L122" s="17" t="s">
        <v>5010</v>
      </c>
      <c r="M122" s="18" t="str">
        <f t="shared" si="2"/>
        <v>http://dx.doi.org/10.1016/j.marenvres.2018.05.008</v>
      </c>
      <c r="N122" s="19" t="s">
        <v>1402</v>
      </c>
      <c r="O122" s="17" t="s">
        <v>1387</v>
      </c>
      <c r="P122" s="17" t="s">
        <v>1328</v>
      </c>
      <c r="Q122" s="17" t="s">
        <v>1328</v>
      </c>
      <c r="R122" s="17" t="s">
        <v>1328</v>
      </c>
      <c r="S122" s="17" t="s">
        <v>1328</v>
      </c>
      <c r="T122" s="17" t="s">
        <v>1328</v>
      </c>
      <c r="U122" s="20" t="str">
        <f t="shared" si="3"/>
        <v>Yes</v>
      </c>
      <c r="V122" s="19" t="str">
        <f t="shared" si="4"/>
        <v>MW</v>
      </c>
      <c r="W122" s="17" t="str">
        <f t="shared" si="5"/>
        <v>Yes</v>
      </c>
      <c r="X122" s="17" t="s">
        <v>1329</v>
      </c>
      <c r="Y122" s="17" t="s">
        <v>1330</v>
      </c>
      <c r="Z122" s="17" t="s">
        <v>1331</v>
      </c>
      <c r="AA122" s="17" t="s">
        <v>1347</v>
      </c>
      <c r="AB122" s="17" t="s">
        <v>1333</v>
      </c>
      <c r="AC122" s="17" t="s">
        <v>1348</v>
      </c>
      <c r="AD122" s="17" t="s">
        <v>1349</v>
      </c>
      <c r="AE122" s="17">
        <f t="shared" si="6"/>
        <v>3</v>
      </c>
      <c r="AF122" s="17" t="s">
        <v>1336</v>
      </c>
      <c r="AG122" s="17" t="s">
        <v>1336</v>
      </c>
      <c r="AH122" s="17" t="s">
        <v>1328</v>
      </c>
      <c r="AI122" s="17" t="s">
        <v>1336</v>
      </c>
      <c r="AJ122" s="17" t="s">
        <v>1328</v>
      </c>
      <c r="AK122" s="17" t="s">
        <v>1328</v>
      </c>
      <c r="AL122" s="17" t="s">
        <v>1350</v>
      </c>
      <c r="AM122" s="17" t="s">
        <v>1351</v>
      </c>
      <c r="AN122" s="17" t="s">
        <v>1363</v>
      </c>
      <c r="AO122" s="17" t="s">
        <v>1388</v>
      </c>
      <c r="AP122" s="17" t="s">
        <v>1328</v>
      </c>
      <c r="AQ122" s="17" t="str">
        <f t="shared" si="7"/>
        <v>intermediate</v>
      </c>
      <c r="AR122" s="20"/>
    </row>
    <row r="123" ht="15.75" customHeight="1">
      <c r="A123" s="16" t="s">
        <v>1510</v>
      </c>
      <c r="B123" s="16" t="s">
        <v>1511</v>
      </c>
      <c r="C123" s="16">
        <v>2018.0</v>
      </c>
      <c r="D123" s="16" t="s">
        <v>1512</v>
      </c>
      <c r="E123" s="16" t="s">
        <v>1513</v>
      </c>
      <c r="F123" s="16" t="s">
        <v>1514</v>
      </c>
      <c r="G123" s="16" t="str">
        <f t="shared" si="1"/>
        <v>No</v>
      </c>
      <c r="H123" s="16" t="s">
        <v>1324</v>
      </c>
      <c r="I123" s="16" t="s">
        <v>1324</v>
      </c>
      <c r="J123" s="16">
        <v>66.0</v>
      </c>
      <c r="K123" s="17" t="s">
        <v>1515</v>
      </c>
      <c r="L123" s="17" t="s">
        <v>5010</v>
      </c>
      <c r="M123" s="18" t="str">
        <f t="shared" si="2"/>
        <v>http://dx.doi.org/10.1177/1940082918769460</v>
      </c>
      <c r="N123" s="19" t="s">
        <v>1482</v>
      </c>
      <c r="O123" s="17" t="s">
        <v>1403</v>
      </c>
      <c r="P123" s="17" t="s">
        <v>1328</v>
      </c>
      <c r="Q123" s="17" t="s">
        <v>1328</v>
      </c>
      <c r="R123" s="17" t="s">
        <v>1328</v>
      </c>
      <c r="S123" s="17" t="s">
        <v>1328</v>
      </c>
      <c r="T123" s="17" t="s">
        <v>1328</v>
      </c>
      <c r="U123" s="20" t="str">
        <f t="shared" si="3"/>
        <v>Yes</v>
      </c>
      <c r="V123" s="19" t="str">
        <f t="shared" si="4"/>
        <v>DB</v>
      </c>
      <c r="W123" s="17" t="str">
        <f t="shared" si="5"/>
        <v>Yes</v>
      </c>
      <c r="X123" s="17" t="s">
        <v>1329</v>
      </c>
      <c r="Y123" s="17" t="s">
        <v>1330</v>
      </c>
      <c r="Z123" s="17" t="s">
        <v>1331</v>
      </c>
      <c r="AA123" s="17" t="s">
        <v>1347</v>
      </c>
      <c r="AB123" s="17" t="s">
        <v>1333</v>
      </c>
      <c r="AC123" s="17" t="s">
        <v>1381</v>
      </c>
      <c r="AD123" s="17" t="s">
        <v>1362</v>
      </c>
      <c r="AE123" s="17">
        <f t="shared" si="6"/>
        <v>2</v>
      </c>
      <c r="AF123" s="17" t="s">
        <v>1336</v>
      </c>
      <c r="AG123" s="17" t="s">
        <v>1328</v>
      </c>
      <c r="AH123" s="17" t="s">
        <v>1336</v>
      </c>
      <c r="AI123" s="17" t="s">
        <v>1336</v>
      </c>
      <c r="AJ123" s="17" t="s">
        <v>1336</v>
      </c>
      <c r="AK123" s="17" t="s">
        <v>1328</v>
      </c>
      <c r="AL123" s="17" t="s">
        <v>1350</v>
      </c>
      <c r="AM123" s="17" t="s">
        <v>1351</v>
      </c>
      <c r="AN123" s="17" t="s">
        <v>1363</v>
      </c>
      <c r="AO123" s="17" t="s">
        <v>1374</v>
      </c>
      <c r="AP123" s="17" t="s">
        <v>1328</v>
      </c>
      <c r="AQ123" s="17" t="str">
        <f t="shared" si="7"/>
        <v>intermediate</v>
      </c>
      <c r="AR123" s="20"/>
    </row>
    <row r="124" ht="15.75" customHeight="1">
      <c r="A124" s="16" t="s">
        <v>1557</v>
      </c>
      <c r="B124" s="16" t="s">
        <v>1558</v>
      </c>
      <c r="C124" s="16">
        <v>2017.0</v>
      </c>
      <c r="D124" s="16" t="s">
        <v>1559</v>
      </c>
      <c r="E124" s="16" t="s">
        <v>1560</v>
      </c>
      <c r="F124" s="16" t="s">
        <v>1561</v>
      </c>
      <c r="G124" s="16" t="str">
        <f t="shared" si="1"/>
        <v>No</v>
      </c>
      <c r="H124" s="16" t="s">
        <v>1324</v>
      </c>
      <c r="I124" s="16" t="s">
        <v>1324</v>
      </c>
      <c r="J124" s="16">
        <v>124.0</v>
      </c>
      <c r="K124" s="17" t="s">
        <v>1562</v>
      </c>
      <c r="L124" s="17" t="s">
        <v>5010</v>
      </c>
      <c r="M124" s="18" t="str">
        <f t="shared" si="2"/>
        <v>http://dx.doi.org/10.1111/jbi.12808</v>
      </c>
      <c r="N124" s="19" t="s">
        <v>1495</v>
      </c>
      <c r="O124" s="17" t="s">
        <v>1371</v>
      </c>
      <c r="P124" s="17" t="s">
        <v>1328</v>
      </c>
      <c r="Q124" s="17" t="s">
        <v>1328</v>
      </c>
      <c r="R124" s="17" t="s">
        <v>1328</v>
      </c>
      <c r="S124" s="17" t="s">
        <v>1328</v>
      </c>
      <c r="T124" s="17" t="s">
        <v>1328</v>
      </c>
      <c r="U124" s="20" t="str">
        <f t="shared" si="3"/>
        <v>Yes</v>
      </c>
      <c r="V124" s="19" t="str">
        <f t="shared" si="4"/>
        <v>LC</v>
      </c>
      <c r="W124" s="17" t="str">
        <f t="shared" si="5"/>
        <v>Yes</v>
      </c>
      <c r="X124" s="17" t="s">
        <v>1329</v>
      </c>
      <c r="Y124" s="17" t="s">
        <v>1330</v>
      </c>
      <c r="Z124" s="17" t="s">
        <v>1372</v>
      </c>
      <c r="AA124" s="17" t="s">
        <v>1332</v>
      </c>
      <c r="AB124" s="17" t="s">
        <v>1444</v>
      </c>
      <c r="AC124" s="17" t="s">
        <v>1445</v>
      </c>
      <c r="AD124" s="17" t="s">
        <v>1464</v>
      </c>
      <c r="AE124" s="17">
        <f t="shared" si="6"/>
        <v>2</v>
      </c>
      <c r="AF124" s="17" t="s">
        <v>1328</v>
      </c>
      <c r="AG124" s="17" t="s">
        <v>1336</v>
      </c>
      <c r="AH124" s="17" t="s">
        <v>1336</v>
      </c>
      <c r="AI124" s="17" t="s">
        <v>1328</v>
      </c>
      <c r="AJ124" s="17" t="s">
        <v>1336</v>
      </c>
      <c r="AK124" s="17" t="s">
        <v>1336</v>
      </c>
      <c r="AL124" s="17" t="s">
        <v>1350</v>
      </c>
      <c r="AM124" s="17" t="s">
        <v>1351</v>
      </c>
      <c r="AN124" s="17" t="s">
        <v>1363</v>
      </c>
      <c r="AO124" s="17" t="s">
        <v>1388</v>
      </c>
      <c r="AP124" s="17" t="s">
        <v>1328</v>
      </c>
      <c r="AQ124" s="17" t="str">
        <f t="shared" si="7"/>
        <v>high</v>
      </c>
      <c r="AR124" s="20"/>
    </row>
    <row r="125" ht="15.75" customHeight="1">
      <c r="A125" s="16" t="s">
        <v>1899</v>
      </c>
      <c r="B125" s="16" t="s">
        <v>629</v>
      </c>
      <c r="C125" s="16">
        <v>2011.0</v>
      </c>
      <c r="D125" s="16" t="s">
        <v>1900</v>
      </c>
      <c r="E125" s="16" t="s">
        <v>1901</v>
      </c>
      <c r="F125" s="16" t="s">
        <v>1902</v>
      </c>
      <c r="G125" s="16" t="str">
        <f t="shared" si="1"/>
        <v>No</v>
      </c>
      <c r="H125" s="16" t="s">
        <v>1324</v>
      </c>
      <c r="I125" s="16" t="s">
        <v>1324</v>
      </c>
      <c r="J125" s="16">
        <v>21.0</v>
      </c>
      <c r="K125" s="17" t="s">
        <v>1903</v>
      </c>
      <c r="L125" s="17" t="s">
        <v>5010</v>
      </c>
      <c r="M125" s="18" t="str">
        <f t="shared" si="2"/>
        <v>http://dx.doi.org/10.1016/j.tree.2011.07.008</v>
      </c>
      <c r="N125" s="19" t="s">
        <v>1580</v>
      </c>
      <c r="O125" s="17" t="s">
        <v>1470</v>
      </c>
      <c r="P125" s="17" t="s">
        <v>1328</v>
      </c>
      <c r="Q125" s="17" t="s">
        <v>1328</v>
      </c>
      <c r="R125" s="17" t="s">
        <v>1328</v>
      </c>
      <c r="S125" s="17" t="s">
        <v>1328</v>
      </c>
      <c r="T125" s="17" t="s">
        <v>1328</v>
      </c>
      <c r="U125" s="20" t="str">
        <f t="shared" si="3"/>
        <v>Yes</v>
      </c>
      <c r="V125" s="19" t="str">
        <f t="shared" si="4"/>
        <v>AG</v>
      </c>
      <c r="W125" s="17" t="str">
        <f t="shared" si="5"/>
        <v>Yes</v>
      </c>
      <c r="X125" s="17" t="s">
        <v>1443</v>
      </c>
      <c r="Y125" s="17" t="s">
        <v>1372</v>
      </c>
      <c r="Z125" s="17" t="s">
        <v>1331</v>
      </c>
      <c r="AA125" s="17" t="s">
        <v>1347</v>
      </c>
      <c r="AB125" s="17" t="s">
        <v>1444</v>
      </c>
      <c r="AC125" s="17" t="s">
        <v>1445</v>
      </c>
      <c r="AD125" s="17" t="s">
        <v>1349</v>
      </c>
      <c r="AE125" s="17">
        <f t="shared" si="6"/>
        <v>3</v>
      </c>
      <c r="AF125" s="17" t="s">
        <v>1336</v>
      </c>
      <c r="AG125" s="17" t="s">
        <v>1328</v>
      </c>
      <c r="AH125" s="17" t="s">
        <v>1328</v>
      </c>
      <c r="AI125" s="17" t="s">
        <v>1336</v>
      </c>
      <c r="AJ125" s="17" t="s">
        <v>1328</v>
      </c>
      <c r="AK125" s="17" t="s">
        <v>1336</v>
      </c>
      <c r="AL125" s="17" t="s">
        <v>1395</v>
      </c>
      <c r="AM125" s="17" t="s">
        <v>1338</v>
      </c>
      <c r="AN125" s="17" t="s">
        <v>1363</v>
      </c>
      <c r="AO125" s="17" t="s">
        <v>1374</v>
      </c>
      <c r="AP125" s="17" t="s">
        <v>1328</v>
      </c>
      <c r="AQ125" s="17" t="str">
        <f t="shared" si="7"/>
        <v>high</v>
      </c>
      <c r="AR125" s="20"/>
    </row>
    <row r="126" ht="15.75" customHeight="1">
      <c r="A126" s="16" t="s">
        <v>1396</v>
      </c>
      <c r="B126" s="16" t="s">
        <v>1397</v>
      </c>
      <c r="C126" s="16">
        <v>2018.0</v>
      </c>
      <c r="D126" s="16" t="s">
        <v>1398</v>
      </c>
      <c r="E126" s="16" t="s">
        <v>1399</v>
      </c>
      <c r="F126" s="16" t="s">
        <v>1400</v>
      </c>
      <c r="G126" s="16" t="str">
        <f t="shared" si="1"/>
        <v>No</v>
      </c>
      <c r="H126" s="16" t="s">
        <v>1324</v>
      </c>
      <c r="I126" s="16" t="s">
        <v>1324</v>
      </c>
      <c r="J126" s="16">
        <v>132.0</v>
      </c>
      <c r="K126" s="17" t="s">
        <v>1401</v>
      </c>
      <c r="L126" s="17" t="s">
        <v>5010</v>
      </c>
      <c r="M126" s="18" t="str">
        <f t="shared" si="2"/>
        <v>http://dx.doi.org/10.3354/meps12462</v>
      </c>
      <c r="N126" s="19" t="s">
        <v>1402</v>
      </c>
      <c r="O126" s="17" t="s">
        <v>1403</v>
      </c>
      <c r="P126" s="17" t="s">
        <v>1328</v>
      </c>
      <c r="Q126" s="17" t="s">
        <v>1328</v>
      </c>
      <c r="R126" s="17" t="s">
        <v>1328</v>
      </c>
      <c r="S126" s="17" t="s">
        <v>1328</v>
      </c>
      <c r="T126" s="17" t="s">
        <v>1328</v>
      </c>
      <c r="U126" s="20" t="str">
        <f t="shared" si="3"/>
        <v>Yes</v>
      </c>
      <c r="V126" s="19" t="str">
        <f t="shared" si="4"/>
        <v>DB</v>
      </c>
      <c r="W126" s="17" t="str">
        <f t="shared" si="5"/>
        <v>Yes</v>
      </c>
      <c r="X126" s="17" t="s">
        <v>1329</v>
      </c>
      <c r="Y126" s="17" t="s">
        <v>1330</v>
      </c>
      <c r="Z126" s="17" t="s">
        <v>1331</v>
      </c>
      <c r="AA126" s="17" t="s">
        <v>1347</v>
      </c>
      <c r="AB126" s="17" t="s">
        <v>1360</v>
      </c>
      <c r="AC126" s="17" t="s">
        <v>1348</v>
      </c>
      <c r="AD126" s="17" t="s">
        <v>1349</v>
      </c>
      <c r="AE126" s="17">
        <f t="shared" si="6"/>
        <v>2</v>
      </c>
      <c r="AF126" s="17" t="s">
        <v>1328</v>
      </c>
      <c r="AG126" s="17" t="s">
        <v>1336</v>
      </c>
      <c r="AH126" s="17" t="s">
        <v>1328</v>
      </c>
      <c r="AI126" s="17" t="s">
        <v>1336</v>
      </c>
      <c r="AJ126" s="17" t="s">
        <v>1336</v>
      </c>
      <c r="AK126" s="17" t="s">
        <v>1336</v>
      </c>
      <c r="AL126" s="17" t="s">
        <v>1404</v>
      </c>
      <c r="AM126" s="17" t="s">
        <v>1351</v>
      </c>
      <c r="AN126" s="17" t="s">
        <v>1363</v>
      </c>
      <c r="AO126" s="17" t="s">
        <v>1388</v>
      </c>
      <c r="AP126" s="17" t="s">
        <v>1328</v>
      </c>
      <c r="AQ126" s="17" t="str">
        <f t="shared" si="7"/>
        <v>high</v>
      </c>
      <c r="AR126" s="20"/>
    </row>
    <row r="127" ht="15.75" customHeight="1">
      <c r="A127" s="16" t="s">
        <v>1941</v>
      </c>
      <c r="B127" s="16" t="s">
        <v>1942</v>
      </c>
      <c r="C127" s="16">
        <v>2011.0</v>
      </c>
      <c r="D127" s="16" t="s">
        <v>1943</v>
      </c>
      <c r="E127" s="16" t="s">
        <v>1944</v>
      </c>
      <c r="F127" s="16" t="s">
        <v>1945</v>
      </c>
      <c r="G127" s="16" t="str">
        <f t="shared" si="1"/>
        <v>No</v>
      </c>
      <c r="H127" s="16" t="s">
        <v>1324</v>
      </c>
      <c r="I127" s="16" t="s">
        <v>1324</v>
      </c>
      <c r="J127" s="16">
        <v>112.0</v>
      </c>
      <c r="K127" s="17" t="s">
        <v>1946</v>
      </c>
      <c r="L127" s="17" t="s">
        <v>5010</v>
      </c>
      <c r="M127" s="18" t="str">
        <f t="shared" si="2"/>
        <v>http://dx.doi.org/10.1016/j.proenv.2011.09.341</v>
      </c>
      <c r="N127" s="19" t="s">
        <v>1947</v>
      </c>
      <c r="O127" s="17" t="s">
        <v>1371</v>
      </c>
      <c r="P127" s="17" t="s">
        <v>1328</v>
      </c>
      <c r="Q127" s="17" t="s">
        <v>1328</v>
      </c>
      <c r="R127" s="17" t="s">
        <v>1328</v>
      </c>
      <c r="S127" s="17" t="s">
        <v>1328</v>
      </c>
      <c r="T127" s="17" t="s">
        <v>1328</v>
      </c>
      <c r="U127" s="20" t="str">
        <f t="shared" si="3"/>
        <v>Yes</v>
      </c>
      <c r="V127" s="19" t="str">
        <f t="shared" si="4"/>
        <v>LC</v>
      </c>
      <c r="W127" s="17" t="str">
        <f t="shared" si="5"/>
        <v>Yes</v>
      </c>
      <c r="X127" s="17" t="s">
        <v>1329</v>
      </c>
      <c r="Y127" s="17" t="s">
        <v>1372</v>
      </c>
      <c r="Z127" s="17" t="s">
        <v>1331</v>
      </c>
      <c r="AA127" s="17" t="s">
        <v>1347</v>
      </c>
      <c r="AB127" s="17" t="s">
        <v>1333</v>
      </c>
      <c r="AC127" s="17" t="s">
        <v>1381</v>
      </c>
      <c r="AD127" s="17" t="s">
        <v>1464</v>
      </c>
      <c r="AE127" s="17">
        <f t="shared" si="6"/>
        <v>3</v>
      </c>
      <c r="AF127" s="17" t="s">
        <v>1336</v>
      </c>
      <c r="AG127" s="17" t="s">
        <v>1328</v>
      </c>
      <c r="AH127" s="17" t="s">
        <v>1328</v>
      </c>
      <c r="AI127" s="17" t="s">
        <v>1336</v>
      </c>
      <c r="AJ127" s="17" t="s">
        <v>1336</v>
      </c>
      <c r="AK127" s="17" t="s">
        <v>1328</v>
      </c>
      <c r="AL127" s="17" t="s">
        <v>1350</v>
      </c>
      <c r="AM127" s="17" t="s">
        <v>1351</v>
      </c>
      <c r="AN127" s="17" t="s">
        <v>1363</v>
      </c>
      <c r="AO127" s="17" t="s">
        <v>1331</v>
      </c>
      <c r="AP127" s="17" t="s">
        <v>1328</v>
      </c>
      <c r="AQ127" s="17" t="str">
        <f t="shared" si="7"/>
        <v>intermediate</v>
      </c>
      <c r="AR127" s="20"/>
    </row>
    <row r="128" ht="15.75" customHeight="1">
      <c r="A128" s="16" t="s">
        <v>2070</v>
      </c>
      <c r="B128" s="16" t="s">
        <v>2071</v>
      </c>
      <c r="C128" s="16">
        <v>2018.0</v>
      </c>
      <c r="D128" s="16" t="s">
        <v>2072</v>
      </c>
      <c r="E128" s="16" t="s">
        <v>2073</v>
      </c>
      <c r="F128" s="16" t="s">
        <v>2074</v>
      </c>
      <c r="G128" s="16" t="str">
        <f t="shared" si="1"/>
        <v>No</v>
      </c>
      <c r="H128" s="16" t="s">
        <v>1324</v>
      </c>
      <c r="I128" s="16" t="s">
        <v>1324</v>
      </c>
      <c r="J128" s="16">
        <v>48.0</v>
      </c>
      <c r="K128" s="17" t="s">
        <v>2075</v>
      </c>
      <c r="L128" s="17" t="s">
        <v>5010</v>
      </c>
      <c r="M128" s="18" t="str">
        <f t="shared" si="2"/>
        <v>http://dx.doi.org/10.1016/j.ecolind.2018.03.004</v>
      </c>
      <c r="N128" s="19" t="s">
        <v>1495</v>
      </c>
      <c r="O128" s="17" t="s">
        <v>1359</v>
      </c>
      <c r="P128" s="17" t="s">
        <v>1328</v>
      </c>
      <c r="Q128" s="17" t="s">
        <v>1328</v>
      </c>
      <c r="R128" s="17" t="s">
        <v>1328</v>
      </c>
      <c r="S128" s="17" t="s">
        <v>1328</v>
      </c>
      <c r="T128" s="17" t="s">
        <v>1328</v>
      </c>
      <c r="U128" s="20" t="str">
        <f t="shared" si="3"/>
        <v>Yes</v>
      </c>
      <c r="V128" s="19" t="str">
        <f t="shared" si="4"/>
        <v>YT</v>
      </c>
      <c r="W128" s="17" t="str">
        <f t="shared" si="5"/>
        <v>Yes</v>
      </c>
      <c r="X128" s="17" t="s">
        <v>1329</v>
      </c>
      <c r="Y128" s="17" t="s">
        <v>1330</v>
      </c>
      <c r="Z128" s="17" t="s">
        <v>1330</v>
      </c>
      <c r="AA128" s="17" t="s">
        <v>1347</v>
      </c>
      <c r="AB128" s="17" t="s">
        <v>1333</v>
      </c>
      <c r="AC128" s="17" t="s">
        <v>1381</v>
      </c>
      <c r="AD128" s="17" t="s">
        <v>1530</v>
      </c>
      <c r="AE128" s="17">
        <f t="shared" si="6"/>
        <v>2</v>
      </c>
      <c r="AF128" s="17" t="s">
        <v>1336</v>
      </c>
      <c r="AG128" s="17" t="s">
        <v>1336</v>
      </c>
      <c r="AH128" s="17" t="s">
        <v>1336</v>
      </c>
      <c r="AI128" s="17" t="s">
        <v>1328</v>
      </c>
      <c r="AJ128" s="17" t="s">
        <v>1336</v>
      </c>
      <c r="AK128" s="17" t="s">
        <v>1328</v>
      </c>
      <c r="AL128" s="17" t="s">
        <v>1350</v>
      </c>
      <c r="AM128" s="17" t="s">
        <v>1351</v>
      </c>
      <c r="AN128" s="17" t="s">
        <v>1339</v>
      </c>
      <c r="AO128" s="17" t="s">
        <v>1331</v>
      </c>
      <c r="AP128" s="17" t="s">
        <v>1328</v>
      </c>
      <c r="AQ128" s="17" t="str">
        <f t="shared" si="7"/>
        <v>intermediate</v>
      </c>
      <c r="AR128" s="20"/>
    </row>
    <row r="129" ht="15.75" customHeight="1">
      <c r="A129" s="16" t="s">
        <v>2171</v>
      </c>
      <c r="B129" s="16" t="s">
        <v>2172</v>
      </c>
      <c r="C129" s="16">
        <v>2014.0</v>
      </c>
      <c r="D129" s="16" t="s">
        <v>2173</v>
      </c>
      <c r="E129" s="16" t="s">
        <v>2174</v>
      </c>
      <c r="F129" s="16" t="s">
        <v>2175</v>
      </c>
      <c r="G129" s="16" t="str">
        <f t="shared" si="1"/>
        <v>No</v>
      </c>
      <c r="H129" s="16" t="s">
        <v>1324</v>
      </c>
      <c r="I129" s="16" t="s">
        <v>1324</v>
      </c>
      <c r="J129" s="16">
        <v>42.0</v>
      </c>
      <c r="K129" s="17" t="s">
        <v>2176</v>
      </c>
      <c r="L129" s="17" t="s">
        <v>5010</v>
      </c>
      <c r="M129" s="18" t="str">
        <f t="shared" si="2"/>
        <v>http://dx.doi.org/10.1007/s12665-013-2547-0</v>
      </c>
      <c r="N129" s="19" t="s">
        <v>1666</v>
      </c>
      <c r="O129" s="17" t="s">
        <v>1417</v>
      </c>
      <c r="P129" s="17" t="s">
        <v>1328</v>
      </c>
      <c r="Q129" s="17" t="s">
        <v>1328</v>
      </c>
      <c r="R129" s="17" t="s">
        <v>1328</v>
      </c>
      <c r="S129" s="17" t="s">
        <v>1328</v>
      </c>
      <c r="T129" s="17" t="s">
        <v>1328</v>
      </c>
      <c r="U129" s="20" t="str">
        <f t="shared" si="3"/>
        <v>Yes</v>
      </c>
      <c r="V129" s="19" t="str">
        <f t="shared" si="4"/>
        <v>NT</v>
      </c>
      <c r="W129" s="17" t="str">
        <f t="shared" si="5"/>
        <v>Yes</v>
      </c>
      <c r="X129" s="17" t="s">
        <v>1329</v>
      </c>
      <c r="Y129" s="17" t="s">
        <v>1330</v>
      </c>
      <c r="Z129" s="17" t="s">
        <v>1331</v>
      </c>
      <c r="AA129" s="17" t="s">
        <v>1332</v>
      </c>
      <c r="AB129" s="17" t="s">
        <v>1333</v>
      </c>
      <c r="AC129" s="17" t="s">
        <v>1381</v>
      </c>
      <c r="AD129" s="17" t="s">
        <v>1362</v>
      </c>
      <c r="AE129" s="17">
        <f t="shared" si="6"/>
        <v>2</v>
      </c>
      <c r="AF129" s="17" t="s">
        <v>1328</v>
      </c>
      <c r="AG129" s="17" t="s">
        <v>1328</v>
      </c>
      <c r="AH129" s="17" t="s">
        <v>1336</v>
      </c>
      <c r="AI129" s="17" t="s">
        <v>1336</v>
      </c>
      <c r="AJ129" s="17" t="s">
        <v>1336</v>
      </c>
      <c r="AK129" s="17" t="s">
        <v>1336</v>
      </c>
      <c r="AL129" s="17" t="s">
        <v>1350</v>
      </c>
      <c r="AM129" s="17" t="s">
        <v>1351</v>
      </c>
      <c r="AN129" s="17" t="s">
        <v>1339</v>
      </c>
      <c r="AO129" s="17" t="s">
        <v>1331</v>
      </c>
      <c r="AP129" s="17" t="s">
        <v>1328</v>
      </c>
      <c r="AQ129" s="17" t="str">
        <f t="shared" si="7"/>
        <v>intermediate</v>
      </c>
      <c r="AR129" s="20"/>
    </row>
    <row r="130" ht="15.75" customHeight="1">
      <c r="A130" s="16" t="s">
        <v>2177</v>
      </c>
      <c r="B130" s="16" t="s">
        <v>2172</v>
      </c>
      <c r="C130" s="16">
        <v>2011.0</v>
      </c>
      <c r="D130" s="16" t="s">
        <v>2178</v>
      </c>
      <c r="E130" s="16" t="s">
        <v>2179</v>
      </c>
      <c r="F130" s="16" t="s">
        <v>2180</v>
      </c>
      <c r="G130" s="16" t="str">
        <f t="shared" si="1"/>
        <v>No</v>
      </c>
      <c r="H130" s="16" t="s">
        <v>1324</v>
      </c>
      <c r="I130" s="16" t="s">
        <v>1324</v>
      </c>
      <c r="J130" s="16">
        <v>88.0</v>
      </c>
      <c r="K130" s="17" t="s">
        <v>2181</v>
      </c>
      <c r="L130" s="17" t="s">
        <v>5010</v>
      </c>
      <c r="M130" s="18" t="str">
        <f t="shared" si="2"/>
        <v>http://dx.doi.org/10.1007/s12665-011-1046-4</v>
      </c>
      <c r="N130" s="19" t="s">
        <v>1358</v>
      </c>
      <c r="O130" s="17" t="s">
        <v>1436</v>
      </c>
      <c r="P130" s="17" t="s">
        <v>1328</v>
      </c>
      <c r="Q130" s="17" t="s">
        <v>1328</v>
      </c>
      <c r="R130" s="17" t="s">
        <v>1328</v>
      </c>
      <c r="S130" s="17" t="s">
        <v>1328</v>
      </c>
      <c r="T130" s="17" t="s">
        <v>1328</v>
      </c>
      <c r="U130" s="20" t="str">
        <f t="shared" si="3"/>
        <v>Yes</v>
      </c>
      <c r="V130" s="19" t="str">
        <f t="shared" si="4"/>
        <v>CG</v>
      </c>
      <c r="W130" s="17" t="str">
        <f t="shared" si="5"/>
        <v>Yes</v>
      </c>
      <c r="X130" s="17" t="s">
        <v>1329</v>
      </c>
      <c r="Y130" s="17" t="s">
        <v>1330</v>
      </c>
      <c r="Z130" s="17" t="s">
        <v>1331</v>
      </c>
      <c r="AA130" s="17" t="s">
        <v>1347</v>
      </c>
      <c r="AB130" s="17" t="s">
        <v>1333</v>
      </c>
      <c r="AC130" s="17" t="s">
        <v>1381</v>
      </c>
      <c r="AD130" s="17" t="s">
        <v>1362</v>
      </c>
      <c r="AE130" s="17">
        <f t="shared" si="6"/>
        <v>2</v>
      </c>
      <c r="AF130" s="17" t="s">
        <v>1328</v>
      </c>
      <c r="AG130" s="17" t="s">
        <v>1328</v>
      </c>
      <c r="AH130" s="17" t="s">
        <v>1336</v>
      </c>
      <c r="AI130" s="17" t="s">
        <v>1336</v>
      </c>
      <c r="AJ130" s="17" t="s">
        <v>1336</v>
      </c>
      <c r="AK130" s="17" t="s">
        <v>1336</v>
      </c>
      <c r="AL130" s="17" t="s">
        <v>1350</v>
      </c>
      <c r="AM130" s="17" t="s">
        <v>1351</v>
      </c>
      <c r="AN130" s="17" t="s">
        <v>1363</v>
      </c>
      <c r="AO130" s="17" t="s">
        <v>1388</v>
      </c>
      <c r="AP130" s="17" t="s">
        <v>1328</v>
      </c>
      <c r="AQ130" s="17" t="str">
        <f t="shared" si="7"/>
        <v>intermediate</v>
      </c>
      <c r="AR130" s="20"/>
    </row>
    <row r="131" ht="15.75" customHeight="1">
      <c r="A131" s="16" t="s">
        <v>1375</v>
      </c>
      <c r="B131" s="16" t="s">
        <v>1376</v>
      </c>
      <c r="C131" s="16">
        <v>2017.0</v>
      </c>
      <c r="D131" s="16" t="s">
        <v>1377</v>
      </c>
      <c r="E131" s="16" t="s">
        <v>1378</v>
      </c>
      <c r="F131" s="16" t="s">
        <v>1379</v>
      </c>
      <c r="G131" s="16" t="str">
        <f t="shared" si="1"/>
        <v>No</v>
      </c>
      <c r="H131" s="16" t="s">
        <v>1324</v>
      </c>
      <c r="I131" s="16" t="s">
        <v>1324</v>
      </c>
      <c r="J131" s="16">
        <v>12.0</v>
      </c>
      <c r="K131" s="17" t="s">
        <v>1380</v>
      </c>
      <c r="L131" s="17" t="s">
        <v>5010</v>
      </c>
      <c r="M131" s="18" t="str">
        <f t="shared" si="2"/>
        <v>http://dx.doi.org/10.3390/rs9060525</v>
      </c>
      <c r="N131" s="19" t="s">
        <v>1358</v>
      </c>
      <c r="O131" s="17" t="s">
        <v>1327</v>
      </c>
      <c r="P131" s="17" t="s">
        <v>1328</v>
      </c>
      <c r="Q131" s="17" t="s">
        <v>1328</v>
      </c>
      <c r="R131" s="17" t="s">
        <v>1328</v>
      </c>
      <c r="S131" s="17" t="s">
        <v>1328</v>
      </c>
      <c r="T131" s="17" t="s">
        <v>1328</v>
      </c>
      <c r="U131" s="20" t="str">
        <f t="shared" si="3"/>
        <v>Yes</v>
      </c>
      <c r="V131" s="19" t="str">
        <f t="shared" si="4"/>
        <v>PJ</v>
      </c>
      <c r="W131" s="17" t="str">
        <f t="shared" si="5"/>
        <v>Yes</v>
      </c>
      <c r="X131" s="17" t="s">
        <v>1329</v>
      </c>
      <c r="Y131" s="17" t="s">
        <v>1330</v>
      </c>
      <c r="Z131" s="17" t="s">
        <v>1331</v>
      </c>
      <c r="AA131" s="17" t="s">
        <v>1347</v>
      </c>
      <c r="AB131" s="17" t="s">
        <v>1333</v>
      </c>
      <c r="AC131" s="17" t="s">
        <v>1381</v>
      </c>
      <c r="AD131" s="17" t="s">
        <v>1362</v>
      </c>
      <c r="AE131" s="17">
        <f t="shared" si="6"/>
        <v>2</v>
      </c>
      <c r="AF131" s="17" t="s">
        <v>1328</v>
      </c>
      <c r="AG131" s="17" t="s">
        <v>1328</v>
      </c>
      <c r="AH131" s="17" t="s">
        <v>1336</v>
      </c>
      <c r="AI131" s="17" t="s">
        <v>1336</v>
      </c>
      <c r="AJ131" s="17" t="s">
        <v>1336</v>
      </c>
      <c r="AK131" s="17" t="s">
        <v>1336</v>
      </c>
      <c r="AL131" s="17" t="s">
        <v>1350</v>
      </c>
      <c r="AM131" s="17" t="s">
        <v>1351</v>
      </c>
      <c r="AN131" s="17" t="s">
        <v>1363</v>
      </c>
      <c r="AO131" s="17" t="s">
        <v>1331</v>
      </c>
      <c r="AP131" s="17" t="s">
        <v>1328</v>
      </c>
      <c r="AQ131" s="17" t="str">
        <f t="shared" si="7"/>
        <v>intermediate</v>
      </c>
      <c r="AR131" s="20"/>
    </row>
    <row r="132" ht="15.75" customHeight="1">
      <c r="A132" s="16" t="s">
        <v>1757</v>
      </c>
      <c r="B132" s="16" t="s">
        <v>318</v>
      </c>
      <c r="C132" s="16">
        <v>2013.0</v>
      </c>
      <c r="D132" s="16" t="s">
        <v>1758</v>
      </c>
      <c r="E132" s="16" t="s">
        <v>1759</v>
      </c>
      <c r="F132" s="16" t="s">
        <v>1760</v>
      </c>
      <c r="G132" s="16" t="str">
        <f t="shared" si="1"/>
        <v>No</v>
      </c>
      <c r="H132" s="16" t="s">
        <v>1324</v>
      </c>
      <c r="I132" s="16" t="s">
        <v>1324</v>
      </c>
      <c r="J132" s="16">
        <v>76.0</v>
      </c>
      <c r="K132" s="17" t="s">
        <v>1761</v>
      </c>
      <c r="L132" s="17" t="s">
        <v>5010</v>
      </c>
      <c r="M132" s="18" t="str">
        <f t="shared" si="2"/>
        <v>http://dx.doi.org/10.1088/1748-9326/8/2/024034</v>
      </c>
      <c r="N132" s="19" t="s">
        <v>1614</v>
      </c>
      <c r="O132" s="17" t="s">
        <v>1470</v>
      </c>
      <c r="P132" s="17" t="s">
        <v>1328</v>
      </c>
      <c r="Q132" s="17" t="s">
        <v>1328</v>
      </c>
      <c r="R132" s="17" t="s">
        <v>1328</v>
      </c>
      <c r="S132" s="17" t="s">
        <v>1328</v>
      </c>
      <c r="T132" s="17" t="s">
        <v>1328</v>
      </c>
      <c r="U132" s="20" t="str">
        <f t="shared" si="3"/>
        <v>Yes</v>
      </c>
      <c r="V132" s="19" t="str">
        <f t="shared" si="4"/>
        <v>AG</v>
      </c>
      <c r="W132" s="17" t="str">
        <f t="shared" si="5"/>
        <v>Yes</v>
      </c>
      <c r="X132" s="17" t="s">
        <v>1329</v>
      </c>
      <c r="Y132" s="17" t="s">
        <v>1372</v>
      </c>
      <c r="Z132" s="17" t="s">
        <v>1331</v>
      </c>
      <c r="AA132" s="17" t="s">
        <v>1347</v>
      </c>
      <c r="AB132" s="17" t="s">
        <v>1333</v>
      </c>
      <c r="AC132" s="17" t="s">
        <v>1334</v>
      </c>
      <c r="AD132" s="17" t="s">
        <v>1362</v>
      </c>
      <c r="AE132" s="17">
        <f t="shared" si="6"/>
        <v>3</v>
      </c>
      <c r="AF132" s="17" t="s">
        <v>1336</v>
      </c>
      <c r="AG132" s="17" t="s">
        <v>1328</v>
      </c>
      <c r="AH132" s="17" t="s">
        <v>1328</v>
      </c>
      <c r="AI132" s="17" t="s">
        <v>1328</v>
      </c>
      <c r="AJ132" s="17" t="s">
        <v>1336</v>
      </c>
      <c r="AK132" s="17" t="s">
        <v>1336</v>
      </c>
      <c r="AL132" s="17" t="s">
        <v>1350</v>
      </c>
      <c r="AM132" s="17" t="s">
        <v>1351</v>
      </c>
      <c r="AN132" s="17" t="s">
        <v>1363</v>
      </c>
      <c r="AO132" s="17" t="s">
        <v>1331</v>
      </c>
      <c r="AP132" s="17" t="s">
        <v>1328</v>
      </c>
      <c r="AQ132" s="17" t="str">
        <f t="shared" si="7"/>
        <v>intermediate</v>
      </c>
      <c r="AR132" s="20"/>
    </row>
    <row r="133" ht="15.75" customHeight="1">
      <c r="A133" s="16" t="s">
        <v>1847</v>
      </c>
      <c r="B133" s="16" t="s">
        <v>1848</v>
      </c>
      <c r="C133" s="16">
        <v>2012.0</v>
      </c>
      <c r="D133" s="16" t="s">
        <v>1849</v>
      </c>
      <c r="E133" s="16" t="s">
        <v>1850</v>
      </c>
      <c r="F133" s="16" t="s">
        <v>1851</v>
      </c>
      <c r="G133" s="16" t="str">
        <f t="shared" si="1"/>
        <v>No</v>
      </c>
      <c r="H133" s="16" t="s">
        <v>1324</v>
      </c>
      <c r="I133" s="16" t="s">
        <v>1324</v>
      </c>
      <c r="J133" s="16">
        <v>2.0</v>
      </c>
      <c r="K133" s="17" t="s">
        <v>1852</v>
      </c>
      <c r="L133" s="17" t="s">
        <v>5010</v>
      </c>
      <c r="M133" s="18" t="str">
        <f t="shared" si="2"/>
        <v>http://dx.doi.org/10.1017/S0959270912000020</v>
      </c>
      <c r="N133" s="19" t="s">
        <v>1326</v>
      </c>
      <c r="O133" s="17" t="s">
        <v>1327</v>
      </c>
      <c r="P133" s="17" t="s">
        <v>1328</v>
      </c>
      <c r="Q133" s="17" t="s">
        <v>1328</v>
      </c>
      <c r="R133" s="17" t="s">
        <v>1328</v>
      </c>
      <c r="S133" s="17" t="s">
        <v>1328</v>
      </c>
      <c r="T133" s="17" t="s">
        <v>1328</v>
      </c>
      <c r="U133" s="20" t="str">
        <f t="shared" si="3"/>
        <v>Yes</v>
      </c>
      <c r="V133" s="19" t="str">
        <f t="shared" si="4"/>
        <v>PJ</v>
      </c>
      <c r="W133" s="17" t="str">
        <f t="shared" si="5"/>
        <v>Yes</v>
      </c>
      <c r="X133" s="17" t="s">
        <v>1329</v>
      </c>
      <c r="Y133" s="17" t="s">
        <v>1330</v>
      </c>
      <c r="Z133" s="17" t="s">
        <v>1331</v>
      </c>
      <c r="AA133" s="17" t="s">
        <v>1347</v>
      </c>
      <c r="AB133" s="17" t="s">
        <v>1444</v>
      </c>
      <c r="AC133" s="17" t="s">
        <v>1445</v>
      </c>
      <c r="AD133" s="17" t="s">
        <v>1349</v>
      </c>
      <c r="AE133" s="17">
        <f t="shared" si="6"/>
        <v>6</v>
      </c>
      <c r="AF133" s="17" t="s">
        <v>1328</v>
      </c>
      <c r="AG133" s="17" t="s">
        <v>1328</v>
      </c>
      <c r="AH133" s="17" t="s">
        <v>1328</v>
      </c>
      <c r="AI133" s="17" t="s">
        <v>1328</v>
      </c>
      <c r="AJ133" s="17" t="s">
        <v>1328</v>
      </c>
      <c r="AK133" s="17" t="s">
        <v>1328</v>
      </c>
      <c r="AL133" s="17" t="s">
        <v>1395</v>
      </c>
      <c r="AM133" s="17" t="s">
        <v>1351</v>
      </c>
      <c r="AN133" s="17" t="s">
        <v>1363</v>
      </c>
      <c r="AO133" s="17" t="s">
        <v>1331</v>
      </c>
      <c r="AP133" s="17" t="s">
        <v>1328</v>
      </c>
      <c r="AQ133" s="17" t="str">
        <f t="shared" si="7"/>
        <v>high</v>
      </c>
      <c r="AR133" s="20"/>
    </row>
    <row r="134" ht="15.75" customHeight="1">
      <c r="A134" s="16" t="s">
        <v>2018</v>
      </c>
      <c r="B134" s="16" t="s">
        <v>2008</v>
      </c>
      <c r="C134" s="16">
        <v>2009.0</v>
      </c>
      <c r="D134" s="16" t="s">
        <v>2019</v>
      </c>
      <c r="E134" s="16" t="s">
        <v>2020</v>
      </c>
      <c r="F134" s="16" t="s">
        <v>2021</v>
      </c>
      <c r="G134" s="16" t="str">
        <f t="shared" si="1"/>
        <v>No</v>
      </c>
      <c r="H134" s="16" t="s">
        <v>1324</v>
      </c>
      <c r="I134" s="16" t="s">
        <v>1324</v>
      </c>
      <c r="J134" s="16">
        <v>13.0</v>
      </c>
      <c r="K134" s="17" t="s">
        <v>2022</v>
      </c>
      <c r="L134" s="17" t="s">
        <v>5010</v>
      </c>
      <c r="M134" s="18" t="str">
        <f t="shared" si="2"/>
        <v>http://dx.doi.org/10.1016/j.foreco.2009.07.013</v>
      </c>
      <c r="N134" s="19" t="s">
        <v>1947</v>
      </c>
      <c r="O134" s="17" t="s">
        <v>1371</v>
      </c>
      <c r="P134" s="17" t="s">
        <v>1328</v>
      </c>
      <c r="Q134" s="17" t="s">
        <v>1328</v>
      </c>
      <c r="R134" s="17" t="s">
        <v>1328</v>
      </c>
      <c r="S134" s="17" t="s">
        <v>1328</v>
      </c>
      <c r="T134" s="17" t="s">
        <v>1328</v>
      </c>
      <c r="U134" s="20" t="str">
        <f t="shared" si="3"/>
        <v>Yes</v>
      </c>
      <c r="V134" s="19" t="str">
        <f t="shared" si="4"/>
        <v>LC</v>
      </c>
      <c r="W134" s="17" t="str">
        <f t="shared" si="5"/>
        <v>Yes</v>
      </c>
      <c r="X134" s="17" t="s">
        <v>1329</v>
      </c>
      <c r="Y134" s="17" t="s">
        <v>1330</v>
      </c>
      <c r="Z134" s="17" t="s">
        <v>1330</v>
      </c>
      <c r="AA134" s="17" t="s">
        <v>1347</v>
      </c>
      <c r="AB134" s="17" t="s">
        <v>1333</v>
      </c>
      <c r="AC134" s="17" t="s">
        <v>1348</v>
      </c>
      <c r="AD134" s="17" t="s">
        <v>1362</v>
      </c>
      <c r="AE134" s="17">
        <f t="shared" si="6"/>
        <v>3</v>
      </c>
      <c r="AF134" s="17" t="s">
        <v>1336</v>
      </c>
      <c r="AG134" s="17" t="s">
        <v>1328</v>
      </c>
      <c r="AH134" s="17" t="s">
        <v>1336</v>
      </c>
      <c r="AI134" s="17" t="s">
        <v>1328</v>
      </c>
      <c r="AJ134" s="17" t="s">
        <v>1336</v>
      </c>
      <c r="AK134" s="17" t="s">
        <v>1328</v>
      </c>
      <c r="AL134" s="17" t="s">
        <v>1350</v>
      </c>
      <c r="AM134" s="17" t="s">
        <v>1351</v>
      </c>
      <c r="AN134" s="17" t="s">
        <v>1363</v>
      </c>
      <c r="AO134" s="17" t="s">
        <v>1388</v>
      </c>
      <c r="AP134" s="17" t="s">
        <v>1328</v>
      </c>
      <c r="AQ134" s="17" t="str">
        <f t="shared" si="7"/>
        <v>intermediate</v>
      </c>
      <c r="AR134" s="20"/>
    </row>
    <row r="135" ht="15.75" customHeight="1">
      <c r="A135" s="16" t="s">
        <v>1677</v>
      </c>
      <c r="B135" s="16" t="s">
        <v>126</v>
      </c>
      <c r="C135" s="16">
        <v>2014.0</v>
      </c>
      <c r="D135" s="16" t="s">
        <v>1678</v>
      </c>
      <c r="E135" s="16" t="s">
        <v>1679</v>
      </c>
      <c r="F135" s="16" t="s">
        <v>1680</v>
      </c>
      <c r="G135" s="16" t="str">
        <f t="shared" si="1"/>
        <v>No</v>
      </c>
      <c r="H135" s="16" t="s">
        <v>1324</v>
      </c>
      <c r="I135" s="16" t="s">
        <v>1324</v>
      </c>
      <c r="J135" s="16">
        <v>5.0</v>
      </c>
      <c r="K135" s="17" t="s">
        <v>1681</v>
      </c>
      <c r="L135" s="17" t="s">
        <v>5010</v>
      </c>
      <c r="M135" s="18" t="str">
        <f t="shared" si="2"/>
        <v>http://dx.doi.org/10.1111/fwb.12380</v>
      </c>
      <c r="N135" s="19" t="s">
        <v>1545</v>
      </c>
      <c r="O135" s="17" t="s">
        <v>1387</v>
      </c>
      <c r="P135" s="17" t="s">
        <v>1328</v>
      </c>
      <c r="Q135" s="17" t="s">
        <v>1328</v>
      </c>
      <c r="R135" s="17" t="s">
        <v>1328</v>
      </c>
      <c r="S135" s="17" t="s">
        <v>1328</v>
      </c>
      <c r="T135" s="17" t="s">
        <v>1328</v>
      </c>
      <c r="U135" s="20" t="str">
        <f t="shared" si="3"/>
        <v>Yes</v>
      </c>
      <c r="V135" s="19" t="str">
        <f t="shared" si="4"/>
        <v>MW</v>
      </c>
      <c r="W135" s="17" t="str">
        <f t="shared" si="5"/>
        <v>Yes</v>
      </c>
      <c r="X135" s="17" t="s">
        <v>1329</v>
      </c>
      <c r="Y135" s="17" t="s">
        <v>1330</v>
      </c>
      <c r="Z135" s="17" t="s">
        <v>1331</v>
      </c>
      <c r="AA135" s="17" t="s">
        <v>1347</v>
      </c>
      <c r="AB135" s="17" t="s">
        <v>1333</v>
      </c>
      <c r="AC135" s="17" t="s">
        <v>1361</v>
      </c>
      <c r="AD135" s="17" t="s">
        <v>1530</v>
      </c>
      <c r="AE135" s="17">
        <f t="shared" si="6"/>
        <v>3</v>
      </c>
      <c r="AF135" s="17" t="s">
        <v>1328</v>
      </c>
      <c r="AG135" s="17" t="s">
        <v>1336</v>
      </c>
      <c r="AH135" s="17" t="s">
        <v>1328</v>
      </c>
      <c r="AI135" s="17" t="s">
        <v>1336</v>
      </c>
      <c r="AJ135" s="17" t="s">
        <v>1328</v>
      </c>
      <c r="AK135" s="17" t="s">
        <v>1336</v>
      </c>
      <c r="AL135" s="17" t="s">
        <v>1350</v>
      </c>
      <c r="AM135" s="17" t="s">
        <v>1351</v>
      </c>
      <c r="AN135" s="17" t="s">
        <v>1363</v>
      </c>
      <c r="AO135" s="17" t="s">
        <v>1388</v>
      </c>
      <c r="AP135" s="17" t="s">
        <v>1328</v>
      </c>
      <c r="AQ135" s="17" t="str">
        <f t="shared" si="7"/>
        <v>intermediate</v>
      </c>
      <c r="AR135" s="20"/>
    </row>
    <row r="136" ht="15.75" customHeight="1">
      <c r="A136" s="16" t="s">
        <v>1452</v>
      </c>
      <c r="B136" s="16" t="s">
        <v>365</v>
      </c>
      <c r="C136" s="16">
        <v>2014.0</v>
      </c>
      <c r="D136" s="16" t="s">
        <v>1453</v>
      </c>
      <c r="E136" s="16" t="s">
        <v>1454</v>
      </c>
      <c r="F136" s="16" t="s">
        <v>1455</v>
      </c>
      <c r="G136" s="16" t="str">
        <f t="shared" si="1"/>
        <v>No</v>
      </c>
      <c r="H136" s="16" t="s">
        <v>1324</v>
      </c>
      <c r="I136" s="16" t="s">
        <v>1324</v>
      </c>
      <c r="J136" s="16">
        <v>54.0</v>
      </c>
      <c r="K136" s="17" t="s">
        <v>1456</v>
      </c>
      <c r="L136" s="17" t="s">
        <v>5010</v>
      </c>
      <c r="M136" s="18" t="str">
        <f t="shared" si="2"/>
        <v>http://dx.doi.org/10.1371/journal.pone.0113934</v>
      </c>
      <c r="N136" s="19" t="s">
        <v>1442</v>
      </c>
      <c r="O136" s="17" t="s">
        <v>1327</v>
      </c>
      <c r="P136" s="17" t="s">
        <v>1328</v>
      </c>
      <c r="Q136" s="17" t="s">
        <v>1328</v>
      </c>
      <c r="R136" s="17" t="s">
        <v>1328</v>
      </c>
      <c r="S136" s="17" t="s">
        <v>1328</v>
      </c>
      <c r="T136" s="17" t="s">
        <v>1328</v>
      </c>
      <c r="U136" s="20" t="str">
        <f t="shared" si="3"/>
        <v>Yes</v>
      </c>
      <c r="V136" s="19" t="str">
        <f t="shared" si="4"/>
        <v>PJ</v>
      </c>
      <c r="W136" s="17" t="str">
        <f t="shared" si="5"/>
        <v>Yes</v>
      </c>
      <c r="X136" s="17" t="s">
        <v>1443</v>
      </c>
      <c r="Y136" s="17" t="s">
        <v>1330</v>
      </c>
      <c r="Z136" s="17" t="s">
        <v>1331</v>
      </c>
      <c r="AA136" s="17" t="s">
        <v>1331</v>
      </c>
      <c r="AB136" s="17" t="s">
        <v>1444</v>
      </c>
      <c r="AC136" s="17" t="s">
        <v>1445</v>
      </c>
      <c r="AD136" s="17" t="s">
        <v>1446</v>
      </c>
      <c r="AE136" s="17">
        <f t="shared" si="6"/>
        <v>6</v>
      </c>
      <c r="AF136" s="17" t="s">
        <v>1328</v>
      </c>
      <c r="AG136" s="17" t="s">
        <v>1328</v>
      </c>
      <c r="AH136" s="17" t="s">
        <v>1328</v>
      </c>
      <c r="AI136" s="17" t="s">
        <v>1328</v>
      </c>
      <c r="AJ136" s="17" t="s">
        <v>1328</v>
      </c>
      <c r="AK136" s="17" t="s">
        <v>1328</v>
      </c>
      <c r="AL136" s="17" t="s">
        <v>1395</v>
      </c>
      <c r="AM136" s="17" t="s">
        <v>1351</v>
      </c>
      <c r="AN136" s="17" t="s">
        <v>1339</v>
      </c>
      <c r="AO136" s="17" t="s">
        <v>1331</v>
      </c>
      <c r="AP136" s="17" t="s">
        <v>1328</v>
      </c>
      <c r="AQ136" s="17" t="str">
        <f t="shared" si="7"/>
        <v>high</v>
      </c>
      <c r="AR136" s="20"/>
    </row>
    <row r="137" ht="15.75" customHeight="1">
      <c r="A137" s="16" t="s">
        <v>1497</v>
      </c>
      <c r="B137" s="16" t="s">
        <v>1498</v>
      </c>
      <c r="C137" s="16">
        <v>2015.0</v>
      </c>
      <c r="D137" s="16" t="s">
        <v>1499</v>
      </c>
      <c r="E137" s="16" t="s">
        <v>1500</v>
      </c>
      <c r="F137" s="23" t="s">
        <v>1501</v>
      </c>
      <c r="G137" s="16" t="str">
        <f t="shared" si="1"/>
        <v>No</v>
      </c>
      <c r="H137" s="16" t="s">
        <v>1324</v>
      </c>
      <c r="I137" s="16" t="s">
        <v>1324</v>
      </c>
      <c r="J137" s="16">
        <v>16.0</v>
      </c>
      <c r="K137" s="17" t="s">
        <v>1502</v>
      </c>
      <c r="L137" s="17"/>
      <c r="M137" s="18" t="str">
        <f t="shared" si="2"/>
        <v>http://dx.doi.org/10.12933/therya-15-225</v>
      </c>
      <c r="N137" s="19" t="s">
        <v>1326</v>
      </c>
      <c r="O137" s="17" t="s">
        <v>1327</v>
      </c>
      <c r="P137" s="17" t="s">
        <v>1328</v>
      </c>
      <c r="Q137" s="17" t="s">
        <v>1328</v>
      </c>
      <c r="R137" s="17" t="s">
        <v>1328</v>
      </c>
      <c r="S137" s="17" t="s">
        <v>1328</v>
      </c>
      <c r="T137" s="17" t="s">
        <v>1328</v>
      </c>
      <c r="U137" s="20" t="str">
        <f t="shared" si="3"/>
        <v>Yes</v>
      </c>
      <c r="V137" s="19" t="str">
        <f t="shared" si="4"/>
        <v>PJ</v>
      </c>
      <c r="W137" s="17" t="str">
        <f t="shared" si="5"/>
        <v>Yes</v>
      </c>
      <c r="X137" s="17" t="s">
        <v>1443</v>
      </c>
      <c r="Y137" s="17" t="s">
        <v>1330</v>
      </c>
      <c r="Z137" s="17" t="s">
        <v>1331</v>
      </c>
      <c r="AA137" s="17" t="s">
        <v>1332</v>
      </c>
      <c r="AB137" s="17" t="s">
        <v>1444</v>
      </c>
      <c r="AC137" s="17" t="s">
        <v>1476</v>
      </c>
      <c r="AD137" s="17" t="s">
        <v>1362</v>
      </c>
      <c r="AE137" s="17">
        <f t="shared" si="6"/>
        <v>4</v>
      </c>
      <c r="AF137" s="17" t="s">
        <v>1336</v>
      </c>
      <c r="AG137" s="17" t="s">
        <v>1328</v>
      </c>
      <c r="AH137" s="17" t="s">
        <v>1328</v>
      </c>
      <c r="AI137" s="17" t="s">
        <v>1328</v>
      </c>
      <c r="AJ137" s="17" t="s">
        <v>1336</v>
      </c>
      <c r="AK137" s="17" t="s">
        <v>1328</v>
      </c>
      <c r="AL137" s="17" t="s">
        <v>1337</v>
      </c>
      <c r="AM137" s="17" t="s">
        <v>1338</v>
      </c>
      <c r="AN137" s="17" t="s">
        <v>1339</v>
      </c>
      <c r="AO137" s="17" t="s">
        <v>1331</v>
      </c>
      <c r="AP137" s="17" t="s">
        <v>1328</v>
      </c>
      <c r="AQ137" s="17" t="str">
        <f t="shared" si="7"/>
        <v>high</v>
      </c>
      <c r="AR137" s="20" t="s">
        <v>1503</v>
      </c>
    </row>
    <row r="138" ht="15.75" customHeight="1">
      <c r="A138" s="16" t="s">
        <v>1465</v>
      </c>
      <c r="B138" s="16" t="s">
        <v>365</v>
      </c>
      <c r="C138" s="16">
        <v>2013.0</v>
      </c>
      <c r="D138" s="16" t="s">
        <v>1466</v>
      </c>
      <c r="E138" s="16" t="s">
        <v>1467</v>
      </c>
      <c r="F138" s="16" t="s">
        <v>1468</v>
      </c>
      <c r="G138" s="16" t="str">
        <f t="shared" si="1"/>
        <v>No</v>
      </c>
      <c r="H138" s="16" t="s">
        <v>1324</v>
      </c>
      <c r="I138" s="16" t="s">
        <v>1324</v>
      </c>
      <c r="J138" s="16">
        <v>4.0</v>
      </c>
      <c r="K138" s="17" t="s">
        <v>1469</v>
      </c>
      <c r="L138" s="17" t="s">
        <v>5010</v>
      </c>
      <c r="M138" s="18" t="str">
        <f t="shared" si="2"/>
        <v>http://dx.doi.org/10.1371/journal.pone.0050719</v>
      </c>
      <c r="N138" s="19" t="s">
        <v>1402</v>
      </c>
      <c r="O138" s="17" t="s">
        <v>1470</v>
      </c>
      <c r="P138" s="17" t="s">
        <v>1328</v>
      </c>
      <c r="Q138" s="17" t="s">
        <v>1328</v>
      </c>
      <c r="R138" s="17" t="s">
        <v>1328</v>
      </c>
      <c r="S138" s="17" t="s">
        <v>1328</v>
      </c>
      <c r="T138" s="17" t="s">
        <v>1328</v>
      </c>
      <c r="U138" s="20" t="str">
        <f t="shared" si="3"/>
        <v>Yes</v>
      </c>
      <c r="V138" s="19" t="str">
        <f t="shared" si="4"/>
        <v>AG</v>
      </c>
      <c r="W138" s="17" t="str">
        <f t="shared" si="5"/>
        <v>Yes</v>
      </c>
      <c r="X138" s="17" t="s">
        <v>1443</v>
      </c>
      <c r="Y138" s="17" t="s">
        <v>1372</v>
      </c>
      <c r="Z138" s="17" t="s">
        <v>1331</v>
      </c>
      <c r="AA138" s="17" t="s">
        <v>1347</v>
      </c>
      <c r="AB138" s="17" t="s">
        <v>1360</v>
      </c>
      <c r="AC138" s="17" t="s">
        <v>1381</v>
      </c>
      <c r="AD138" s="17" t="s">
        <v>1349</v>
      </c>
      <c r="AE138" s="17">
        <f t="shared" si="6"/>
        <v>5</v>
      </c>
      <c r="AF138" s="17" t="s">
        <v>1328</v>
      </c>
      <c r="AG138" s="17" t="s">
        <v>1328</v>
      </c>
      <c r="AH138" s="17" t="s">
        <v>1328</v>
      </c>
      <c r="AI138" s="17" t="s">
        <v>1336</v>
      </c>
      <c r="AJ138" s="17" t="s">
        <v>1328</v>
      </c>
      <c r="AK138" s="17" t="s">
        <v>1328</v>
      </c>
      <c r="AL138" s="17" t="s">
        <v>1350</v>
      </c>
      <c r="AM138" s="17" t="s">
        <v>1338</v>
      </c>
      <c r="AN138" s="17" t="s">
        <v>1339</v>
      </c>
      <c r="AO138" s="17" t="s">
        <v>1331</v>
      </c>
      <c r="AP138" s="17" t="s">
        <v>1328</v>
      </c>
      <c r="AQ138" s="17" t="str">
        <f t="shared" si="7"/>
        <v>high</v>
      </c>
      <c r="AR138" s="20"/>
    </row>
    <row r="139" ht="15.75" customHeight="1">
      <c r="A139" s="21" t="s">
        <v>2210</v>
      </c>
      <c r="B139" s="21" t="s">
        <v>1824</v>
      </c>
      <c r="C139" s="21">
        <v>2016.0</v>
      </c>
      <c r="D139" s="21" t="s">
        <v>2211</v>
      </c>
      <c r="E139" s="21" t="s">
        <v>2212</v>
      </c>
      <c r="F139" s="21" t="s">
        <v>2213</v>
      </c>
      <c r="G139" s="16" t="str">
        <f t="shared" si="1"/>
        <v>No</v>
      </c>
      <c r="H139" s="16" t="s">
        <v>1324</v>
      </c>
      <c r="I139" s="16" t="s">
        <v>1324</v>
      </c>
      <c r="J139" s="16">
        <v>2.0</v>
      </c>
      <c r="K139" s="17" t="s">
        <v>2214</v>
      </c>
      <c r="L139" s="17" t="s">
        <v>5010</v>
      </c>
      <c r="M139" s="18" t="str">
        <f t="shared" si="2"/>
        <v>http://dx.doi.org/10.1007/s10531-016-1141-7</v>
      </c>
      <c r="N139" s="19" t="s">
        <v>1346</v>
      </c>
      <c r="O139" s="17" t="s">
        <v>1387</v>
      </c>
      <c r="P139" s="17" t="s">
        <v>1328</v>
      </c>
      <c r="Q139" s="17" t="s">
        <v>1328</v>
      </c>
      <c r="R139" s="17" t="s">
        <v>1328</v>
      </c>
      <c r="S139" s="17" t="s">
        <v>1328</v>
      </c>
      <c r="T139" s="17" t="s">
        <v>1328</v>
      </c>
      <c r="U139" s="20" t="str">
        <f t="shared" si="3"/>
        <v>Yes</v>
      </c>
      <c r="V139" s="19" t="str">
        <f t="shared" si="4"/>
        <v>MW</v>
      </c>
      <c r="W139" s="17" t="str">
        <f t="shared" si="5"/>
        <v>Yes</v>
      </c>
      <c r="X139" s="17" t="s">
        <v>1329</v>
      </c>
      <c r="Y139" s="17" t="s">
        <v>1372</v>
      </c>
      <c r="Z139" s="17" t="s">
        <v>1331</v>
      </c>
      <c r="AA139" s="17" t="s">
        <v>1537</v>
      </c>
      <c r="AB139" s="17" t="s">
        <v>1660</v>
      </c>
      <c r="AC139" s="17" t="s">
        <v>1361</v>
      </c>
      <c r="AD139" s="17" t="s">
        <v>1349</v>
      </c>
      <c r="AE139" s="22">
        <f t="shared" si="6"/>
        <v>6</v>
      </c>
      <c r="AF139" s="17" t="s">
        <v>1328</v>
      </c>
      <c r="AG139" s="17" t="s">
        <v>1328</v>
      </c>
      <c r="AH139" s="17" t="s">
        <v>1328</v>
      </c>
      <c r="AI139" s="17" t="s">
        <v>1328</v>
      </c>
      <c r="AJ139" s="17" t="s">
        <v>1328</v>
      </c>
      <c r="AK139" s="17" t="s">
        <v>1328</v>
      </c>
      <c r="AL139" s="17" t="s">
        <v>1395</v>
      </c>
      <c r="AM139" s="17" t="s">
        <v>1338</v>
      </c>
      <c r="AN139" s="17" t="s">
        <v>1339</v>
      </c>
      <c r="AO139" s="17" t="s">
        <v>1331</v>
      </c>
      <c r="AP139" s="17" t="s">
        <v>1328</v>
      </c>
      <c r="AQ139" s="17" t="str">
        <f t="shared" si="7"/>
        <v>high</v>
      </c>
      <c r="AR139" s="20"/>
    </row>
    <row r="140" ht="15.75" customHeight="1">
      <c r="A140" s="16" t="s">
        <v>2053</v>
      </c>
      <c r="B140" s="16" t="s">
        <v>227</v>
      </c>
      <c r="C140" s="16">
        <v>2007.0</v>
      </c>
      <c r="D140" s="16" t="s">
        <v>2054</v>
      </c>
      <c r="E140" s="16" t="s">
        <v>2055</v>
      </c>
      <c r="F140" s="16" t="s">
        <v>2056</v>
      </c>
      <c r="G140" s="16" t="str">
        <f t="shared" si="1"/>
        <v>No</v>
      </c>
      <c r="H140" s="16" t="s">
        <v>1324</v>
      </c>
      <c r="I140" s="16" t="s">
        <v>1324</v>
      </c>
      <c r="J140" s="16">
        <v>80.0</v>
      </c>
      <c r="K140" s="17" t="s">
        <v>2057</v>
      </c>
      <c r="L140" s="17" t="s">
        <v>5010</v>
      </c>
      <c r="M140" s="18" t="str">
        <f t="shared" si="2"/>
        <v>http://dx.doi.org/10.1016/j.ecss.2006.08.018</v>
      </c>
      <c r="N140" s="19" t="s">
        <v>1346</v>
      </c>
      <c r="O140" s="17" t="s">
        <v>1436</v>
      </c>
      <c r="P140" s="17" t="s">
        <v>1328</v>
      </c>
      <c r="Q140" s="17" t="s">
        <v>1328</v>
      </c>
      <c r="R140" s="17" t="s">
        <v>1328</v>
      </c>
      <c r="S140" s="17" t="s">
        <v>1328</v>
      </c>
      <c r="T140" s="17" t="s">
        <v>1328</v>
      </c>
      <c r="U140" s="20" t="str">
        <f t="shared" si="3"/>
        <v>Yes</v>
      </c>
      <c r="V140" s="19" t="str">
        <f t="shared" si="4"/>
        <v>CG</v>
      </c>
      <c r="W140" s="17" t="str">
        <f t="shared" si="5"/>
        <v>Yes</v>
      </c>
      <c r="X140" s="17" t="s">
        <v>1329</v>
      </c>
      <c r="Y140" s="17" t="s">
        <v>1330</v>
      </c>
      <c r="Z140" s="17" t="s">
        <v>1331</v>
      </c>
      <c r="AA140" s="17" t="s">
        <v>1347</v>
      </c>
      <c r="AB140" s="17" t="s">
        <v>1333</v>
      </c>
      <c r="AC140" s="17" t="s">
        <v>1361</v>
      </c>
      <c r="AD140" s="17" t="s">
        <v>1335</v>
      </c>
      <c r="AE140" s="17">
        <f t="shared" si="6"/>
        <v>2</v>
      </c>
      <c r="AF140" s="17" t="s">
        <v>1328</v>
      </c>
      <c r="AG140" s="17" t="s">
        <v>1336</v>
      </c>
      <c r="AH140" s="17" t="s">
        <v>1336</v>
      </c>
      <c r="AI140" s="17" t="s">
        <v>1336</v>
      </c>
      <c r="AJ140" s="17" t="s">
        <v>1328</v>
      </c>
      <c r="AK140" s="17" t="s">
        <v>1336</v>
      </c>
      <c r="AL140" s="17" t="s">
        <v>1350</v>
      </c>
      <c r="AM140" s="17" t="s">
        <v>1351</v>
      </c>
      <c r="AN140" s="17" t="s">
        <v>1339</v>
      </c>
      <c r="AO140" s="17" t="s">
        <v>1388</v>
      </c>
      <c r="AP140" s="17" t="s">
        <v>1328</v>
      </c>
      <c r="AQ140" s="17" t="str">
        <f t="shared" si="7"/>
        <v>intermediate</v>
      </c>
      <c r="AR140" s="20"/>
    </row>
    <row r="141" ht="15.75" customHeight="1">
      <c r="A141" s="16" t="s">
        <v>1795</v>
      </c>
      <c r="B141" s="16" t="s">
        <v>278</v>
      </c>
      <c r="C141" s="16">
        <v>2018.0</v>
      </c>
      <c r="D141" s="16" t="s">
        <v>1796</v>
      </c>
      <c r="E141" s="16" t="s">
        <v>1797</v>
      </c>
      <c r="F141" s="16" t="s">
        <v>1798</v>
      </c>
      <c r="G141" s="16" t="str">
        <f t="shared" si="1"/>
        <v>No</v>
      </c>
      <c r="H141" s="16" t="s">
        <v>1324</v>
      </c>
      <c r="I141" s="16" t="s">
        <v>1324</v>
      </c>
      <c r="J141" s="16">
        <v>189.0</v>
      </c>
      <c r="K141" s="17" t="s">
        <v>1799</v>
      </c>
      <c r="L141" s="17" t="s">
        <v>5010</v>
      </c>
      <c r="M141" s="18" t="str">
        <f t="shared" si="2"/>
        <v>http://dx.doi.org/10.1038/nature25139</v>
      </c>
      <c r="N141" s="19" t="s">
        <v>1346</v>
      </c>
      <c r="O141" s="17" t="s">
        <v>1403</v>
      </c>
      <c r="P141" s="17" t="s">
        <v>1328</v>
      </c>
      <c r="Q141" s="17" t="s">
        <v>1328</v>
      </c>
      <c r="R141" s="17" t="s">
        <v>1328</v>
      </c>
      <c r="S141" s="17" t="s">
        <v>1328</v>
      </c>
      <c r="T141" s="17" t="s">
        <v>1328</v>
      </c>
      <c r="U141" s="20" t="str">
        <f t="shared" si="3"/>
        <v>Yes</v>
      </c>
      <c r="V141" s="19" t="str">
        <f t="shared" si="4"/>
        <v>DB</v>
      </c>
      <c r="W141" s="17" t="str">
        <f t="shared" si="5"/>
        <v>Yes</v>
      </c>
      <c r="X141" s="17" t="s">
        <v>1329</v>
      </c>
      <c r="Y141" s="17" t="s">
        <v>1330</v>
      </c>
      <c r="Z141" s="17" t="s">
        <v>1331</v>
      </c>
      <c r="AA141" s="17" t="s">
        <v>1347</v>
      </c>
      <c r="AB141" s="17" t="s">
        <v>1444</v>
      </c>
      <c r="AC141" s="17" t="s">
        <v>1445</v>
      </c>
      <c r="AD141" s="17" t="s">
        <v>1530</v>
      </c>
      <c r="AE141" s="17">
        <f t="shared" si="6"/>
        <v>3</v>
      </c>
      <c r="AF141" s="17" t="s">
        <v>1328</v>
      </c>
      <c r="AG141" s="17" t="s">
        <v>1328</v>
      </c>
      <c r="AH141" s="17" t="s">
        <v>1336</v>
      </c>
      <c r="AI141" s="17" t="s">
        <v>1336</v>
      </c>
      <c r="AJ141" s="17" t="s">
        <v>1336</v>
      </c>
      <c r="AK141" s="17" t="s">
        <v>1328</v>
      </c>
      <c r="AL141" s="17" t="s">
        <v>1350</v>
      </c>
      <c r="AM141" s="17" t="s">
        <v>1351</v>
      </c>
      <c r="AN141" s="17" t="s">
        <v>1363</v>
      </c>
      <c r="AO141" s="17" t="s">
        <v>1331</v>
      </c>
      <c r="AP141" s="17" t="s">
        <v>1328</v>
      </c>
      <c r="AQ141" s="17" t="str">
        <f t="shared" si="7"/>
        <v>high</v>
      </c>
      <c r="AR141" s="20"/>
    </row>
    <row r="142" ht="15.75" customHeight="1">
      <c r="A142" s="16" t="s">
        <v>2268</v>
      </c>
      <c r="B142" s="16" t="s">
        <v>2269</v>
      </c>
      <c r="C142" s="16">
        <v>2014.0</v>
      </c>
      <c r="D142" s="16" t="s">
        <v>2270</v>
      </c>
      <c r="E142" s="16" t="s">
        <v>2271</v>
      </c>
      <c r="F142" s="23" t="s">
        <v>1324</v>
      </c>
      <c r="G142" s="16" t="str">
        <f t="shared" si="1"/>
        <v>No</v>
      </c>
      <c r="H142" s="16" t="s">
        <v>1324</v>
      </c>
      <c r="I142" s="16" t="s">
        <v>1324</v>
      </c>
      <c r="J142" s="16">
        <v>22.0</v>
      </c>
      <c r="K142" s="17" t="s">
        <v>2272</v>
      </c>
      <c r="L142" s="17" t="s">
        <v>1324</v>
      </c>
      <c r="M142" s="18" t="str">
        <f t="shared" si="2"/>
        <v/>
      </c>
      <c r="N142" s="19" t="s">
        <v>1462</v>
      </c>
      <c r="O142" s="17" t="s">
        <v>1371</v>
      </c>
      <c r="P142" s="17" t="s">
        <v>1328</v>
      </c>
      <c r="Q142" s="17" t="s">
        <v>1328</v>
      </c>
      <c r="R142" s="17" t="s">
        <v>1328</v>
      </c>
      <c r="S142" s="17" t="s">
        <v>1328</v>
      </c>
      <c r="T142" s="17" t="s">
        <v>1328</v>
      </c>
      <c r="U142" s="20" t="str">
        <f t="shared" si="3"/>
        <v>Yes</v>
      </c>
      <c r="V142" s="19" t="str">
        <f t="shared" si="4"/>
        <v>LC</v>
      </c>
      <c r="W142" s="17" t="str">
        <f t="shared" si="5"/>
        <v>Yes</v>
      </c>
      <c r="X142" s="17" t="s">
        <v>1329</v>
      </c>
      <c r="Y142" s="17" t="s">
        <v>1330</v>
      </c>
      <c r="Z142" s="17" t="s">
        <v>1331</v>
      </c>
      <c r="AA142" s="17" t="s">
        <v>1347</v>
      </c>
      <c r="AB142" s="17" t="s">
        <v>1444</v>
      </c>
      <c r="AC142" s="17" t="s">
        <v>1445</v>
      </c>
      <c r="AD142" s="17" t="s">
        <v>1362</v>
      </c>
      <c r="AE142" s="17">
        <f t="shared" si="6"/>
        <v>2</v>
      </c>
      <c r="AF142" s="17" t="s">
        <v>1328</v>
      </c>
      <c r="AG142" s="17" t="s">
        <v>1328</v>
      </c>
      <c r="AH142" s="17" t="s">
        <v>1336</v>
      </c>
      <c r="AI142" s="17" t="s">
        <v>1336</v>
      </c>
      <c r="AJ142" s="17" t="s">
        <v>1336</v>
      </c>
      <c r="AK142" s="17" t="s">
        <v>1336</v>
      </c>
      <c r="AL142" s="17" t="s">
        <v>1350</v>
      </c>
      <c r="AM142" s="17" t="s">
        <v>1351</v>
      </c>
      <c r="AN142" s="17" t="s">
        <v>1363</v>
      </c>
      <c r="AO142" s="17" t="s">
        <v>1388</v>
      </c>
      <c r="AP142" s="17" t="s">
        <v>1328</v>
      </c>
      <c r="AQ142" s="17" t="str">
        <f t="shared" si="7"/>
        <v>high</v>
      </c>
      <c r="AR142" s="20"/>
    </row>
    <row r="143" ht="15.75" customHeight="1">
      <c r="A143" s="16" t="s">
        <v>2199</v>
      </c>
      <c r="B143" s="16" t="s">
        <v>2200</v>
      </c>
      <c r="C143" s="16">
        <v>2015.0</v>
      </c>
      <c r="D143" s="16" t="s">
        <v>2201</v>
      </c>
      <c r="E143" s="16" t="s">
        <v>2202</v>
      </c>
      <c r="F143" s="16" t="s">
        <v>2203</v>
      </c>
      <c r="G143" s="16" t="str">
        <f t="shared" si="1"/>
        <v>No</v>
      </c>
      <c r="H143" s="16" t="s">
        <v>1324</v>
      </c>
      <c r="I143" s="16" t="s">
        <v>1324</v>
      </c>
      <c r="J143" s="16">
        <v>32.0</v>
      </c>
      <c r="K143" s="17" t="s">
        <v>2204</v>
      </c>
      <c r="L143" s="17" t="s">
        <v>5010</v>
      </c>
      <c r="M143" s="18" t="str">
        <f t="shared" si="2"/>
        <v>http://dx.doi.org/10.1007/s10584-015-1448-5</v>
      </c>
      <c r="N143" s="19" t="s">
        <v>1358</v>
      </c>
      <c r="O143" s="17" t="s">
        <v>1359</v>
      </c>
      <c r="P143" s="17" t="s">
        <v>1328</v>
      </c>
      <c r="Q143" s="17" t="s">
        <v>1328</v>
      </c>
      <c r="R143" s="17" t="s">
        <v>1328</v>
      </c>
      <c r="S143" s="17" t="s">
        <v>1328</v>
      </c>
      <c r="T143" s="17" t="s">
        <v>1328</v>
      </c>
      <c r="U143" s="20" t="str">
        <f t="shared" si="3"/>
        <v>Yes</v>
      </c>
      <c r="V143" s="19" t="str">
        <f t="shared" si="4"/>
        <v>YT</v>
      </c>
      <c r="W143" s="17" t="str">
        <f t="shared" si="5"/>
        <v>Yes</v>
      </c>
      <c r="X143" s="17" t="s">
        <v>1329</v>
      </c>
      <c r="Y143" s="17" t="s">
        <v>1330</v>
      </c>
      <c r="Z143" s="17" t="s">
        <v>1331</v>
      </c>
      <c r="AA143" s="17" t="s">
        <v>1347</v>
      </c>
      <c r="AB143" s="17" t="s">
        <v>1333</v>
      </c>
      <c r="AC143" s="17" t="s">
        <v>1381</v>
      </c>
      <c r="AD143" s="17" t="s">
        <v>1362</v>
      </c>
      <c r="AE143" s="17">
        <f t="shared" si="6"/>
        <v>3</v>
      </c>
      <c r="AF143" s="17" t="s">
        <v>1328</v>
      </c>
      <c r="AG143" s="17" t="s">
        <v>1328</v>
      </c>
      <c r="AH143" s="17" t="s">
        <v>1336</v>
      </c>
      <c r="AI143" s="17" t="s">
        <v>1336</v>
      </c>
      <c r="AJ143" s="17" t="s">
        <v>1328</v>
      </c>
      <c r="AK143" s="17" t="s">
        <v>1336</v>
      </c>
      <c r="AL143" s="17" t="s">
        <v>1350</v>
      </c>
      <c r="AM143" s="17" t="s">
        <v>1351</v>
      </c>
      <c r="AN143" s="17" t="s">
        <v>1339</v>
      </c>
      <c r="AO143" s="17" t="s">
        <v>1331</v>
      </c>
      <c r="AP143" s="17" t="s">
        <v>1328</v>
      </c>
      <c r="AQ143" s="17" t="str">
        <f t="shared" si="7"/>
        <v>intermediate</v>
      </c>
      <c r="AR143" s="20"/>
    </row>
    <row r="144" ht="15.75" customHeight="1">
      <c r="A144" s="16" t="s">
        <v>2298</v>
      </c>
      <c r="B144" s="16" t="s">
        <v>2299</v>
      </c>
      <c r="C144" s="16">
        <v>2010.0</v>
      </c>
      <c r="D144" s="16" t="s">
        <v>2300</v>
      </c>
      <c r="E144" s="16" t="s">
        <v>2301</v>
      </c>
      <c r="F144" s="23" t="s">
        <v>1324</v>
      </c>
      <c r="G144" s="16" t="str">
        <f t="shared" si="1"/>
        <v>No</v>
      </c>
      <c r="H144" s="16" t="s">
        <v>1324</v>
      </c>
      <c r="I144" s="16" t="s">
        <v>1324</v>
      </c>
      <c r="J144" s="16">
        <v>130.0</v>
      </c>
      <c r="K144" s="17" t="s">
        <v>2302</v>
      </c>
      <c r="L144" s="17" t="s">
        <v>1324</v>
      </c>
      <c r="M144" s="18" t="str">
        <f t="shared" si="2"/>
        <v/>
      </c>
      <c r="N144" s="19" t="s">
        <v>1370</v>
      </c>
      <c r="O144" s="17" t="s">
        <v>1327</v>
      </c>
      <c r="P144" s="17" t="s">
        <v>1328</v>
      </c>
      <c r="Q144" s="17" t="s">
        <v>1328</v>
      </c>
      <c r="R144" s="17" t="s">
        <v>1328</v>
      </c>
      <c r="S144" s="17" t="s">
        <v>1328</v>
      </c>
      <c r="T144" s="17" t="s">
        <v>1328</v>
      </c>
      <c r="U144" s="20" t="str">
        <f t="shared" si="3"/>
        <v>Yes</v>
      </c>
      <c r="V144" s="19" t="str">
        <f t="shared" si="4"/>
        <v>PJ</v>
      </c>
      <c r="W144" s="17" t="str">
        <f t="shared" si="5"/>
        <v>Yes</v>
      </c>
      <c r="X144" s="17" t="s">
        <v>1329</v>
      </c>
      <c r="Y144" s="17" t="s">
        <v>1330</v>
      </c>
      <c r="Z144" s="17" t="s">
        <v>1331</v>
      </c>
      <c r="AA144" s="17" t="s">
        <v>1347</v>
      </c>
      <c r="AB144" s="17" t="s">
        <v>1333</v>
      </c>
      <c r="AC144" s="17" t="s">
        <v>1381</v>
      </c>
      <c r="AD144" s="17" t="s">
        <v>1335</v>
      </c>
      <c r="AE144" s="17">
        <f t="shared" si="6"/>
        <v>5</v>
      </c>
      <c r="AF144" s="17" t="s">
        <v>1328</v>
      </c>
      <c r="AG144" s="17" t="s">
        <v>1328</v>
      </c>
      <c r="AH144" s="17" t="s">
        <v>1328</v>
      </c>
      <c r="AI144" s="17" t="s">
        <v>1336</v>
      </c>
      <c r="AJ144" s="17" t="s">
        <v>1328</v>
      </c>
      <c r="AK144" s="17" t="s">
        <v>1328</v>
      </c>
      <c r="AL144" s="17" t="s">
        <v>1337</v>
      </c>
      <c r="AM144" s="17" t="s">
        <v>1338</v>
      </c>
      <c r="AN144" s="17" t="s">
        <v>1339</v>
      </c>
      <c r="AO144" s="17" t="s">
        <v>1331</v>
      </c>
      <c r="AP144" s="17" t="s">
        <v>1328</v>
      </c>
      <c r="AQ144" s="17" t="str">
        <f t="shared" si="7"/>
        <v>intermediate</v>
      </c>
      <c r="AR144" s="20"/>
    </row>
    <row r="145" ht="15.75" customHeight="1">
      <c r="A145" s="16" t="s">
        <v>1714</v>
      </c>
      <c r="B145" s="16" t="s">
        <v>460</v>
      </c>
      <c r="C145" s="16">
        <v>2011.0</v>
      </c>
      <c r="D145" s="16" t="s">
        <v>1715</v>
      </c>
      <c r="E145" s="16" t="s">
        <v>1716</v>
      </c>
      <c r="F145" s="16" t="s">
        <v>1717</v>
      </c>
      <c r="G145" s="16" t="str">
        <f t="shared" si="1"/>
        <v>Yes</v>
      </c>
      <c r="H145" s="16" t="s">
        <v>1324</v>
      </c>
      <c r="I145" s="16" t="s">
        <v>1328</v>
      </c>
      <c r="J145" s="16">
        <v>31.0</v>
      </c>
      <c r="K145" s="17" t="s">
        <v>1718</v>
      </c>
      <c r="L145" s="17" t="s">
        <v>5010</v>
      </c>
      <c r="M145" s="18" t="str">
        <f t="shared" si="2"/>
        <v>http://dx.doi.org/10.1098/rstb.2011.0116</v>
      </c>
      <c r="N145" s="19" t="s">
        <v>1442</v>
      </c>
      <c r="O145" s="17" t="s">
        <v>1327</v>
      </c>
      <c r="P145" s="17" t="s">
        <v>1328</v>
      </c>
      <c r="Q145" s="17" t="s">
        <v>1328</v>
      </c>
      <c r="R145" s="17" t="s">
        <v>1328</v>
      </c>
      <c r="S145" s="17" t="s">
        <v>1328</v>
      </c>
      <c r="T145" s="17" t="s">
        <v>1328</v>
      </c>
      <c r="U145" s="20" t="str">
        <f t="shared" si="3"/>
        <v>Yes</v>
      </c>
      <c r="V145" s="19" t="str">
        <f t="shared" si="4"/>
        <v>PJ</v>
      </c>
      <c r="W145" s="17" t="str">
        <f t="shared" si="5"/>
        <v>Yes</v>
      </c>
      <c r="X145" s="17" t="s">
        <v>1443</v>
      </c>
      <c r="Y145" s="17" t="s">
        <v>1330</v>
      </c>
      <c r="Z145" s="17" t="s">
        <v>1330</v>
      </c>
      <c r="AA145" s="17" t="s">
        <v>1347</v>
      </c>
      <c r="AB145" s="17" t="s">
        <v>1444</v>
      </c>
      <c r="AC145" s="17" t="s">
        <v>1445</v>
      </c>
      <c r="AD145" s="17" t="s">
        <v>1446</v>
      </c>
      <c r="AE145" s="17">
        <f t="shared" si="6"/>
        <v>6</v>
      </c>
      <c r="AF145" s="17" t="s">
        <v>1328</v>
      </c>
      <c r="AG145" s="17" t="s">
        <v>1328</v>
      </c>
      <c r="AH145" s="17" t="s">
        <v>1328</v>
      </c>
      <c r="AI145" s="17" t="s">
        <v>1328</v>
      </c>
      <c r="AJ145" s="17" t="s">
        <v>1328</v>
      </c>
      <c r="AK145" s="17" t="s">
        <v>1328</v>
      </c>
      <c r="AL145" s="17" t="s">
        <v>1395</v>
      </c>
      <c r="AM145" s="17" t="s">
        <v>1351</v>
      </c>
      <c r="AN145" s="17" t="s">
        <v>1363</v>
      </c>
      <c r="AO145" s="17" t="s">
        <v>1331</v>
      </c>
      <c r="AP145" s="17" t="s">
        <v>1328</v>
      </c>
      <c r="AQ145" s="17" t="str">
        <f t="shared" si="7"/>
        <v>high</v>
      </c>
      <c r="AR145" s="20"/>
    </row>
    <row r="146" ht="15.75" customHeight="1">
      <c r="A146" s="16" t="s">
        <v>2093</v>
      </c>
      <c r="B146" s="16" t="s">
        <v>251</v>
      </c>
      <c r="C146" s="16">
        <v>2016.0</v>
      </c>
      <c r="D146" s="16" t="s">
        <v>2094</v>
      </c>
      <c r="E146" s="16" t="s">
        <v>2095</v>
      </c>
      <c r="F146" s="16" t="s">
        <v>2096</v>
      </c>
      <c r="G146" s="16" t="str">
        <f t="shared" si="1"/>
        <v>No</v>
      </c>
      <c r="H146" s="16" t="s">
        <v>1324</v>
      </c>
      <c r="I146" s="16" t="s">
        <v>1324</v>
      </c>
      <c r="J146" s="16">
        <v>12.0</v>
      </c>
      <c r="K146" s="17" t="s">
        <v>2097</v>
      </c>
      <c r="L146" s="17" t="s">
        <v>5010</v>
      </c>
      <c r="M146" s="18" t="str">
        <f t="shared" si="2"/>
        <v>http://dx.doi.org/10.1016/j.biocon.2016.06.017</v>
      </c>
      <c r="N146" s="19" t="s">
        <v>1326</v>
      </c>
      <c r="O146" s="17" t="s">
        <v>1327</v>
      </c>
      <c r="P146" s="17" t="s">
        <v>1328</v>
      </c>
      <c r="Q146" s="17" t="s">
        <v>1328</v>
      </c>
      <c r="R146" s="17" t="s">
        <v>1328</v>
      </c>
      <c r="S146" s="17" t="s">
        <v>1328</v>
      </c>
      <c r="T146" s="17" t="s">
        <v>1328</v>
      </c>
      <c r="U146" s="20" t="str">
        <f t="shared" si="3"/>
        <v>Yes</v>
      </c>
      <c r="V146" s="19" t="str">
        <f t="shared" si="4"/>
        <v>PJ</v>
      </c>
      <c r="W146" s="17" t="str">
        <f t="shared" si="5"/>
        <v>Yes</v>
      </c>
      <c r="X146" s="17" t="s">
        <v>1443</v>
      </c>
      <c r="Y146" s="17" t="s">
        <v>1330</v>
      </c>
      <c r="Z146" s="17" t="s">
        <v>1331</v>
      </c>
      <c r="AA146" s="17" t="s">
        <v>1332</v>
      </c>
      <c r="AB146" s="17" t="s">
        <v>1444</v>
      </c>
      <c r="AC146" s="17" t="s">
        <v>1445</v>
      </c>
      <c r="AD146" s="17" t="s">
        <v>1373</v>
      </c>
      <c r="AE146" s="17">
        <f t="shared" si="6"/>
        <v>6</v>
      </c>
      <c r="AF146" s="17" t="s">
        <v>1328</v>
      </c>
      <c r="AG146" s="17" t="s">
        <v>1328</v>
      </c>
      <c r="AH146" s="17" t="s">
        <v>1328</v>
      </c>
      <c r="AI146" s="17" t="s">
        <v>1328</v>
      </c>
      <c r="AJ146" s="17" t="s">
        <v>1328</v>
      </c>
      <c r="AK146" s="17" t="s">
        <v>1328</v>
      </c>
      <c r="AL146" s="17" t="s">
        <v>1395</v>
      </c>
      <c r="AM146" s="17" t="s">
        <v>1338</v>
      </c>
      <c r="AN146" s="17" t="s">
        <v>1339</v>
      </c>
      <c r="AO146" s="17" t="s">
        <v>1331</v>
      </c>
      <c r="AP146" s="17" t="s">
        <v>1328</v>
      </c>
      <c r="AQ146" s="17" t="str">
        <f t="shared" si="7"/>
        <v>high</v>
      </c>
      <c r="AR146" s="20"/>
    </row>
    <row r="147" ht="15.75" customHeight="1">
      <c r="A147" s="16" t="s">
        <v>1954</v>
      </c>
      <c r="B147" s="16" t="s">
        <v>260</v>
      </c>
      <c r="C147" s="16">
        <v>2018.0</v>
      </c>
      <c r="D147" s="16" t="s">
        <v>1955</v>
      </c>
      <c r="E147" s="16" t="s">
        <v>1956</v>
      </c>
      <c r="F147" s="16" t="s">
        <v>1957</v>
      </c>
      <c r="G147" s="16" t="str">
        <f t="shared" si="1"/>
        <v>No</v>
      </c>
      <c r="H147" s="16" t="s">
        <v>1324</v>
      </c>
      <c r="I147" s="16" t="s">
        <v>1324</v>
      </c>
      <c r="J147" s="16">
        <v>16.0</v>
      </c>
      <c r="K147" s="17" t="s">
        <v>1958</v>
      </c>
      <c r="L147" s="17" t="s">
        <v>5010</v>
      </c>
      <c r="M147" s="18" t="str">
        <f t="shared" si="2"/>
        <v>http://dx.doi.org/10.1016/j.marpolbul.2018.04.065</v>
      </c>
      <c r="N147" s="19" t="s">
        <v>1402</v>
      </c>
      <c r="O147" s="17" t="s">
        <v>1371</v>
      </c>
      <c r="P147" s="17" t="s">
        <v>1328</v>
      </c>
      <c r="Q147" s="17" t="s">
        <v>1328</v>
      </c>
      <c r="R147" s="17" t="s">
        <v>1328</v>
      </c>
      <c r="S147" s="17" t="s">
        <v>1328</v>
      </c>
      <c r="T147" s="17" t="s">
        <v>1328</v>
      </c>
      <c r="U147" s="20" t="str">
        <f t="shared" si="3"/>
        <v>Yes</v>
      </c>
      <c r="V147" s="19" t="str">
        <f t="shared" si="4"/>
        <v>LC</v>
      </c>
      <c r="W147" s="17" t="str">
        <f t="shared" si="5"/>
        <v>Yes</v>
      </c>
      <c r="X147" s="17" t="s">
        <v>1329</v>
      </c>
      <c r="Y147" s="17" t="s">
        <v>1372</v>
      </c>
      <c r="Z147" s="17" t="s">
        <v>1330</v>
      </c>
      <c r="AA147" s="17" t="s">
        <v>1347</v>
      </c>
      <c r="AB147" s="17" t="s">
        <v>1333</v>
      </c>
      <c r="AC147" s="17" t="s">
        <v>1381</v>
      </c>
      <c r="AD147" s="17" t="s">
        <v>1349</v>
      </c>
      <c r="AE147" s="17">
        <f t="shared" si="6"/>
        <v>4</v>
      </c>
      <c r="AF147" s="17" t="s">
        <v>1328</v>
      </c>
      <c r="AG147" s="17" t="s">
        <v>1328</v>
      </c>
      <c r="AH147" s="17" t="s">
        <v>1328</v>
      </c>
      <c r="AI147" s="17" t="s">
        <v>1336</v>
      </c>
      <c r="AJ147" s="17" t="s">
        <v>1328</v>
      </c>
      <c r="AK147" s="17" t="s">
        <v>1336</v>
      </c>
      <c r="AL147" s="17" t="s">
        <v>1350</v>
      </c>
      <c r="AM147" s="17" t="s">
        <v>1351</v>
      </c>
      <c r="AN147" s="17" t="s">
        <v>1363</v>
      </c>
      <c r="AO147" s="17" t="s">
        <v>1388</v>
      </c>
      <c r="AP147" s="17" t="s">
        <v>1328</v>
      </c>
      <c r="AQ147" s="17" t="str">
        <f t="shared" si="7"/>
        <v>intermediate</v>
      </c>
      <c r="AR147" s="20"/>
    </row>
    <row r="148" ht="15.75" customHeight="1">
      <c r="A148" s="16" t="s">
        <v>1568</v>
      </c>
      <c r="B148" s="16" t="s">
        <v>1569</v>
      </c>
      <c r="C148" s="16">
        <v>2013.0</v>
      </c>
      <c r="D148" s="16" t="s">
        <v>1570</v>
      </c>
      <c r="E148" s="16" t="s">
        <v>1571</v>
      </c>
      <c r="F148" s="16" t="s">
        <v>1572</v>
      </c>
      <c r="G148" s="16" t="str">
        <f t="shared" si="1"/>
        <v>No</v>
      </c>
      <c r="H148" s="16" t="s">
        <v>1324</v>
      </c>
      <c r="I148" s="16" t="s">
        <v>1324</v>
      </c>
      <c r="J148" s="16">
        <v>24.0</v>
      </c>
      <c r="K148" s="17" t="s">
        <v>1573</v>
      </c>
      <c r="L148" s="17" t="s">
        <v>5010</v>
      </c>
      <c r="M148" s="18" t="str">
        <f t="shared" si="2"/>
        <v>http://dx.doi.org/10.1111/j.1752-4598.2012.00186.x</v>
      </c>
      <c r="N148" s="19" t="s">
        <v>1482</v>
      </c>
      <c r="O148" s="17" t="s">
        <v>1417</v>
      </c>
      <c r="P148" s="17" t="s">
        <v>1328</v>
      </c>
      <c r="Q148" s="17" t="s">
        <v>1328</v>
      </c>
      <c r="R148" s="17" t="s">
        <v>1328</v>
      </c>
      <c r="S148" s="17" t="s">
        <v>1328</v>
      </c>
      <c r="T148" s="17" t="s">
        <v>1328</v>
      </c>
      <c r="U148" s="20" t="str">
        <f t="shared" si="3"/>
        <v>Yes</v>
      </c>
      <c r="V148" s="19" t="str">
        <f t="shared" si="4"/>
        <v>NT</v>
      </c>
      <c r="W148" s="17" t="str">
        <f t="shared" si="5"/>
        <v>Yes</v>
      </c>
      <c r="X148" s="17" t="s">
        <v>1443</v>
      </c>
      <c r="Y148" s="17" t="s">
        <v>1331</v>
      </c>
      <c r="Z148" s="17" t="s">
        <v>1372</v>
      </c>
      <c r="AA148" s="17" t="s">
        <v>1337</v>
      </c>
      <c r="AB148" s="17" t="s">
        <v>1360</v>
      </c>
      <c r="AC148" s="17" t="s">
        <v>1361</v>
      </c>
      <c r="AD148" s="17" t="s">
        <v>1362</v>
      </c>
      <c r="AE148" s="17">
        <f t="shared" si="6"/>
        <v>5</v>
      </c>
      <c r="AF148" s="17" t="s">
        <v>1328</v>
      </c>
      <c r="AG148" s="17" t="s">
        <v>1328</v>
      </c>
      <c r="AH148" s="17" t="s">
        <v>1328</v>
      </c>
      <c r="AI148" s="17" t="s">
        <v>1328</v>
      </c>
      <c r="AJ148" s="17" t="s">
        <v>1328</v>
      </c>
      <c r="AK148" s="17" t="s">
        <v>1336</v>
      </c>
      <c r="AL148" s="17" t="s">
        <v>1337</v>
      </c>
      <c r="AM148" s="17" t="s">
        <v>1338</v>
      </c>
      <c r="AN148" s="17" t="s">
        <v>1339</v>
      </c>
      <c r="AO148" s="17" t="s">
        <v>1331</v>
      </c>
      <c r="AP148" s="17" t="s">
        <v>1328</v>
      </c>
      <c r="AQ148" s="17" t="str">
        <f t="shared" si="7"/>
        <v>intermediate</v>
      </c>
      <c r="AR148" s="20"/>
    </row>
    <row r="149" ht="15.75" customHeight="1">
      <c r="A149" s="16" t="s">
        <v>1741</v>
      </c>
      <c r="B149" s="16" t="s">
        <v>1742</v>
      </c>
      <c r="C149" s="16">
        <v>2010.0</v>
      </c>
      <c r="D149" s="16" t="s">
        <v>1743</v>
      </c>
      <c r="E149" s="16" t="s">
        <v>1744</v>
      </c>
      <c r="F149" s="16" t="s">
        <v>1745</v>
      </c>
      <c r="G149" s="16" t="str">
        <f t="shared" si="1"/>
        <v>No</v>
      </c>
      <c r="H149" s="16" t="s">
        <v>1324</v>
      </c>
      <c r="I149" s="16" t="s">
        <v>1324</v>
      </c>
      <c r="J149" s="16">
        <v>68.0</v>
      </c>
      <c r="K149" s="17" t="s">
        <v>1746</v>
      </c>
      <c r="L149" s="17" t="s">
        <v>5010</v>
      </c>
      <c r="M149" s="18" t="str">
        <f t="shared" si="2"/>
        <v>http://dx.doi.org/10.1093/icb/icq072</v>
      </c>
      <c r="N149" s="19" t="s">
        <v>1402</v>
      </c>
      <c r="O149" s="17" t="s">
        <v>1436</v>
      </c>
      <c r="P149" s="17" t="s">
        <v>1328</v>
      </c>
      <c r="Q149" s="17" t="s">
        <v>1328</v>
      </c>
      <c r="R149" s="17" t="s">
        <v>1328</v>
      </c>
      <c r="S149" s="17" t="s">
        <v>1328</v>
      </c>
      <c r="T149" s="17" t="s">
        <v>1328</v>
      </c>
      <c r="U149" s="20" t="str">
        <f t="shared" si="3"/>
        <v>Yes</v>
      </c>
      <c r="V149" s="19" t="str">
        <f t="shared" si="4"/>
        <v>CG</v>
      </c>
      <c r="W149" s="17" t="str">
        <f t="shared" si="5"/>
        <v>Yes</v>
      </c>
      <c r="X149" s="17" t="s">
        <v>1443</v>
      </c>
      <c r="Y149" s="17" t="s">
        <v>1330</v>
      </c>
      <c r="Z149" s="17" t="s">
        <v>1330</v>
      </c>
      <c r="AA149" s="17" t="s">
        <v>1332</v>
      </c>
      <c r="AB149" s="17" t="s">
        <v>1360</v>
      </c>
      <c r="AC149" s="17" t="s">
        <v>1348</v>
      </c>
      <c r="AD149" s="17" t="s">
        <v>1349</v>
      </c>
      <c r="AE149" s="17">
        <f t="shared" si="6"/>
        <v>3</v>
      </c>
      <c r="AF149" s="17" t="s">
        <v>1328</v>
      </c>
      <c r="AG149" s="17" t="s">
        <v>1328</v>
      </c>
      <c r="AH149" s="17" t="s">
        <v>1328</v>
      </c>
      <c r="AI149" s="17" t="s">
        <v>1336</v>
      </c>
      <c r="AJ149" s="17" t="s">
        <v>1336</v>
      </c>
      <c r="AK149" s="17" t="s">
        <v>1336</v>
      </c>
      <c r="AL149" s="17" t="s">
        <v>1395</v>
      </c>
      <c r="AM149" s="17" t="s">
        <v>1338</v>
      </c>
      <c r="AN149" s="17" t="s">
        <v>1339</v>
      </c>
      <c r="AO149" s="17" t="s">
        <v>1374</v>
      </c>
      <c r="AP149" s="17" t="s">
        <v>1328</v>
      </c>
      <c r="AQ149" s="17" t="str">
        <f t="shared" si="7"/>
        <v>high</v>
      </c>
      <c r="AR149" s="20"/>
    </row>
    <row r="150" ht="15.75" customHeight="1">
      <c r="A150" s="16" t="s">
        <v>2047</v>
      </c>
      <c r="B150" s="16" t="s">
        <v>2048</v>
      </c>
      <c r="C150" s="16">
        <v>2016.0</v>
      </c>
      <c r="D150" s="16" t="s">
        <v>2049</v>
      </c>
      <c r="E150" s="16" t="s">
        <v>2050</v>
      </c>
      <c r="F150" s="16" t="s">
        <v>2051</v>
      </c>
      <c r="G150" s="16" t="str">
        <f t="shared" si="1"/>
        <v>No</v>
      </c>
      <c r="H150" s="16" t="s">
        <v>1324</v>
      </c>
      <c r="I150" s="16" t="s">
        <v>1324</v>
      </c>
      <c r="J150" s="16">
        <v>172.0</v>
      </c>
      <c r="K150" s="17" t="s">
        <v>2052</v>
      </c>
      <c r="L150" s="17" t="s">
        <v>5010</v>
      </c>
      <c r="M150" s="18" t="str">
        <f t="shared" si="2"/>
        <v>http://dx.doi.org/10.1016/j.envres.2015.09.002</v>
      </c>
      <c r="N150" s="19" t="s">
        <v>1666</v>
      </c>
      <c r="O150" s="17" t="s">
        <v>1470</v>
      </c>
      <c r="P150" s="17" t="s">
        <v>1328</v>
      </c>
      <c r="Q150" s="17" t="s">
        <v>1328</v>
      </c>
      <c r="R150" s="17" t="s">
        <v>1328</v>
      </c>
      <c r="S150" s="17" t="s">
        <v>1328</v>
      </c>
      <c r="T150" s="17" t="s">
        <v>1328</v>
      </c>
      <c r="U150" s="20" t="str">
        <f t="shared" si="3"/>
        <v>Yes</v>
      </c>
      <c r="V150" s="19" t="str">
        <f t="shared" si="4"/>
        <v>AG</v>
      </c>
      <c r="W150" s="17" t="str">
        <f t="shared" si="5"/>
        <v>Yes</v>
      </c>
      <c r="X150" s="17" t="s">
        <v>1329</v>
      </c>
      <c r="Y150" s="17" t="s">
        <v>1330</v>
      </c>
      <c r="Z150" s="17" t="s">
        <v>1330</v>
      </c>
      <c r="AA150" s="17" t="s">
        <v>1332</v>
      </c>
      <c r="AB150" s="17" t="s">
        <v>1333</v>
      </c>
      <c r="AC150" s="17" t="s">
        <v>1381</v>
      </c>
      <c r="AD150" s="17" t="s">
        <v>1362</v>
      </c>
      <c r="AE150" s="17">
        <f t="shared" si="6"/>
        <v>2</v>
      </c>
      <c r="AF150" s="17" t="s">
        <v>1328</v>
      </c>
      <c r="AG150" s="17" t="s">
        <v>1328</v>
      </c>
      <c r="AH150" s="17" t="s">
        <v>1336</v>
      </c>
      <c r="AI150" s="17" t="s">
        <v>1336</v>
      </c>
      <c r="AJ150" s="17" t="s">
        <v>1336</v>
      </c>
      <c r="AK150" s="17" t="s">
        <v>1336</v>
      </c>
      <c r="AL150" s="17" t="s">
        <v>1350</v>
      </c>
      <c r="AM150" s="17" t="s">
        <v>1351</v>
      </c>
      <c r="AN150" s="17" t="s">
        <v>1339</v>
      </c>
      <c r="AO150" s="17" t="s">
        <v>1331</v>
      </c>
      <c r="AP150" s="17" t="s">
        <v>1328</v>
      </c>
      <c r="AQ150" s="17" t="str">
        <f t="shared" si="7"/>
        <v>intermediate</v>
      </c>
      <c r="AR150" s="20"/>
    </row>
    <row r="151" ht="15.75" customHeight="1">
      <c r="A151" s="16" t="s">
        <v>1352</v>
      </c>
      <c r="B151" s="16" t="s">
        <v>1353</v>
      </c>
      <c r="C151" s="16">
        <v>2017.0</v>
      </c>
      <c r="D151" s="16" t="s">
        <v>1354</v>
      </c>
      <c r="E151" s="16" t="s">
        <v>1355</v>
      </c>
      <c r="F151" s="16" t="s">
        <v>1356</v>
      </c>
      <c r="G151" s="16" t="str">
        <f t="shared" si="1"/>
        <v>No</v>
      </c>
      <c r="H151" s="16" t="s">
        <v>1324</v>
      </c>
      <c r="I151" s="16" t="s">
        <v>1324</v>
      </c>
      <c r="J151" s="16">
        <v>5.0</v>
      </c>
      <c r="K151" s="17" t="s">
        <v>1357</v>
      </c>
      <c r="L151" s="17" t="s">
        <v>5010</v>
      </c>
      <c r="M151" s="18" t="str">
        <f t="shared" si="2"/>
        <v>http://dx.doi.org/10.5194/bg-14-2387-2017</v>
      </c>
      <c r="N151" s="19" t="s">
        <v>1358</v>
      </c>
      <c r="O151" s="17" t="s">
        <v>1359</v>
      </c>
      <c r="P151" s="17" t="s">
        <v>1328</v>
      </c>
      <c r="Q151" s="17" t="s">
        <v>1328</v>
      </c>
      <c r="R151" s="17" t="s">
        <v>1328</v>
      </c>
      <c r="S151" s="17" t="s">
        <v>1328</v>
      </c>
      <c r="T151" s="17" t="s">
        <v>1328</v>
      </c>
      <c r="U151" s="20" t="str">
        <f t="shared" si="3"/>
        <v>Yes</v>
      </c>
      <c r="V151" s="19" t="str">
        <f t="shared" si="4"/>
        <v>YT</v>
      </c>
      <c r="W151" s="17" t="str">
        <f t="shared" si="5"/>
        <v>Yes</v>
      </c>
      <c r="X151" s="17" t="s">
        <v>1329</v>
      </c>
      <c r="Y151" s="17" t="s">
        <v>1330</v>
      </c>
      <c r="Z151" s="17" t="s">
        <v>1331</v>
      </c>
      <c r="AA151" s="17" t="s">
        <v>1347</v>
      </c>
      <c r="AB151" s="17" t="s">
        <v>1360</v>
      </c>
      <c r="AC151" s="17" t="s">
        <v>1361</v>
      </c>
      <c r="AD151" s="17" t="s">
        <v>1362</v>
      </c>
      <c r="AE151" s="17">
        <f t="shared" si="6"/>
        <v>3</v>
      </c>
      <c r="AF151" s="17" t="s">
        <v>1336</v>
      </c>
      <c r="AG151" s="17" t="s">
        <v>1328</v>
      </c>
      <c r="AH151" s="17" t="s">
        <v>1328</v>
      </c>
      <c r="AI151" s="17" t="s">
        <v>1336</v>
      </c>
      <c r="AJ151" s="17" t="s">
        <v>1336</v>
      </c>
      <c r="AK151" s="17" t="s">
        <v>1328</v>
      </c>
      <c r="AL151" s="17" t="s">
        <v>1350</v>
      </c>
      <c r="AM151" s="17" t="s">
        <v>1351</v>
      </c>
      <c r="AN151" s="17" t="s">
        <v>1363</v>
      </c>
      <c r="AO151" s="17" t="s">
        <v>1331</v>
      </c>
      <c r="AP151" s="17" t="s">
        <v>1328</v>
      </c>
      <c r="AQ151" s="17" t="str">
        <f t="shared" si="7"/>
        <v>high</v>
      </c>
      <c r="AR151" s="20"/>
    </row>
    <row r="152" ht="15.75" customHeight="1">
      <c r="A152" s="16" t="s">
        <v>1762</v>
      </c>
      <c r="B152" s="16" t="s">
        <v>1763</v>
      </c>
      <c r="C152" s="16">
        <v>2007.0</v>
      </c>
      <c r="D152" s="16" t="s">
        <v>1764</v>
      </c>
      <c r="E152" s="16" t="s">
        <v>1765</v>
      </c>
      <c r="F152" s="16" t="s">
        <v>1766</v>
      </c>
      <c r="G152" s="16" t="str">
        <f t="shared" si="1"/>
        <v>No</v>
      </c>
      <c r="H152" s="16" t="s">
        <v>1324</v>
      </c>
      <c r="I152" s="16" t="s">
        <v>1324</v>
      </c>
      <c r="J152" s="16">
        <v>138.0</v>
      </c>
      <c r="K152" s="17" t="s">
        <v>1767</v>
      </c>
      <c r="L152" s="17" t="s">
        <v>5010</v>
      </c>
      <c r="M152" s="18" t="str">
        <f t="shared" si="2"/>
        <v>http://dx.doi.org/10.1080/14634980701350686</v>
      </c>
      <c r="N152" s="19" t="s">
        <v>1522</v>
      </c>
      <c r="O152" s="17" t="s">
        <v>1327</v>
      </c>
      <c r="P152" s="17" t="s">
        <v>1328</v>
      </c>
      <c r="Q152" s="17" t="s">
        <v>1328</v>
      </c>
      <c r="R152" s="17" t="s">
        <v>1328</v>
      </c>
      <c r="S152" s="17" t="s">
        <v>1328</v>
      </c>
      <c r="T152" s="17" t="s">
        <v>1328</v>
      </c>
      <c r="U152" s="20" t="str">
        <f t="shared" si="3"/>
        <v>Yes</v>
      </c>
      <c r="V152" s="19" t="str">
        <f t="shared" si="4"/>
        <v>PJ</v>
      </c>
      <c r="W152" s="17" t="str">
        <f t="shared" si="5"/>
        <v>Yes</v>
      </c>
      <c r="X152" s="17" t="s">
        <v>1443</v>
      </c>
      <c r="Y152" s="17" t="s">
        <v>1523</v>
      </c>
      <c r="Z152" s="17" t="s">
        <v>1372</v>
      </c>
      <c r="AA152" s="17" t="s">
        <v>1332</v>
      </c>
      <c r="AB152" s="17" t="s">
        <v>1360</v>
      </c>
      <c r="AC152" s="17" t="s">
        <v>1348</v>
      </c>
      <c r="AD152" s="17" t="s">
        <v>1530</v>
      </c>
      <c r="AE152" s="17">
        <f t="shared" si="6"/>
        <v>4</v>
      </c>
      <c r="AF152" s="17" t="s">
        <v>1336</v>
      </c>
      <c r="AG152" s="17" t="s">
        <v>1328</v>
      </c>
      <c r="AH152" s="17" t="s">
        <v>1328</v>
      </c>
      <c r="AI152" s="17" t="s">
        <v>1328</v>
      </c>
      <c r="AJ152" s="17" t="s">
        <v>1328</v>
      </c>
      <c r="AK152" s="17" t="s">
        <v>1336</v>
      </c>
      <c r="AL152" s="17" t="s">
        <v>1395</v>
      </c>
      <c r="AM152" s="17" t="s">
        <v>1338</v>
      </c>
      <c r="AN152" s="17" t="s">
        <v>1339</v>
      </c>
      <c r="AO152" s="17" t="s">
        <v>1331</v>
      </c>
      <c r="AP152" s="17" t="s">
        <v>1328</v>
      </c>
      <c r="AQ152" s="17" t="str">
        <f t="shared" si="7"/>
        <v>intermediate</v>
      </c>
      <c r="AR152" s="20"/>
    </row>
    <row r="153" ht="15.75" customHeight="1">
      <c r="A153" s="16" t="s">
        <v>2130</v>
      </c>
      <c r="B153" s="16" t="s">
        <v>2131</v>
      </c>
      <c r="C153" s="16">
        <v>2014.0</v>
      </c>
      <c r="D153" s="16" t="s">
        <v>2132</v>
      </c>
      <c r="E153" s="16" t="s">
        <v>2133</v>
      </c>
      <c r="F153" s="16" t="s">
        <v>2134</v>
      </c>
      <c r="G153" s="16" t="str">
        <f t="shared" si="1"/>
        <v>No</v>
      </c>
      <c r="H153" s="16" t="s">
        <v>1324</v>
      </c>
      <c r="I153" s="16" t="s">
        <v>1324</v>
      </c>
      <c r="J153" s="16">
        <v>134.0</v>
      </c>
      <c r="K153" s="17" t="s">
        <v>2135</v>
      </c>
      <c r="L153" s="17" t="s">
        <v>5010</v>
      </c>
      <c r="M153" s="18" t="str">
        <f t="shared" si="2"/>
        <v>http://dx.doi.org/10.1016/j.agrformet.2014.01.002</v>
      </c>
      <c r="N153" s="19" t="s">
        <v>1358</v>
      </c>
      <c r="O153" s="17" t="s">
        <v>1403</v>
      </c>
      <c r="P153" s="17" t="s">
        <v>1328</v>
      </c>
      <c r="Q153" s="17" t="s">
        <v>1328</v>
      </c>
      <c r="R153" s="17" t="s">
        <v>1328</v>
      </c>
      <c r="S153" s="17" t="s">
        <v>1328</v>
      </c>
      <c r="T153" s="17" t="s">
        <v>1328</v>
      </c>
      <c r="U153" s="20" t="str">
        <f t="shared" si="3"/>
        <v>Yes</v>
      </c>
      <c r="V153" s="19" t="str">
        <f t="shared" si="4"/>
        <v>DB</v>
      </c>
      <c r="W153" s="17" t="str">
        <f t="shared" si="5"/>
        <v>Yes</v>
      </c>
      <c r="X153" s="17" t="s">
        <v>1631</v>
      </c>
      <c r="Y153" s="17" t="s">
        <v>1330</v>
      </c>
      <c r="Z153" s="17" t="s">
        <v>1331</v>
      </c>
      <c r="AA153" s="17" t="s">
        <v>1347</v>
      </c>
      <c r="AB153" s="17" t="s">
        <v>1333</v>
      </c>
      <c r="AC153" s="17" t="s">
        <v>1361</v>
      </c>
      <c r="AD153" s="17" t="s">
        <v>1362</v>
      </c>
      <c r="AE153" s="17">
        <f t="shared" si="6"/>
        <v>2</v>
      </c>
      <c r="AF153" s="17" t="s">
        <v>1328</v>
      </c>
      <c r="AG153" s="17" t="s">
        <v>1328</v>
      </c>
      <c r="AH153" s="17" t="s">
        <v>1336</v>
      </c>
      <c r="AI153" s="17" t="s">
        <v>1336</v>
      </c>
      <c r="AJ153" s="17" t="s">
        <v>1336</v>
      </c>
      <c r="AK153" s="17" t="s">
        <v>1336</v>
      </c>
      <c r="AL153" s="17" t="s">
        <v>1350</v>
      </c>
      <c r="AM153" s="17" t="s">
        <v>1351</v>
      </c>
      <c r="AN153" s="17" t="s">
        <v>1363</v>
      </c>
      <c r="AO153" s="17" t="s">
        <v>1331</v>
      </c>
      <c r="AP153" s="17" t="s">
        <v>1328</v>
      </c>
      <c r="AQ153" s="17" t="str">
        <f t="shared" si="7"/>
        <v>intermediate</v>
      </c>
      <c r="AR153" s="20" t="s">
        <v>1639</v>
      </c>
    </row>
    <row r="154" ht="15.75" customHeight="1">
      <c r="A154" s="16" t="s">
        <v>1615</v>
      </c>
      <c r="B154" s="16" t="s">
        <v>1616</v>
      </c>
      <c r="C154" s="16">
        <v>2006.0</v>
      </c>
      <c r="D154" s="16" t="s">
        <v>1617</v>
      </c>
      <c r="E154" s="16" t="s">
        <v>1618</v>
      </c>
      <c r="F154" s="16" t="s">
        <v>1619</v>
      </c>
      <c r="G154" s="16" t="str">
        <f t="shared" si="1"/>
        <v>No</v>
      </c>
      <c r="H154" s="16" t="s">
        <v>1324</v>
      </c>
      <c r="I154" s="16" t="s">
        <v>1324</v>
      </c>
      <c r="J154" s="16">
        <v>185.0</v>
      </c>
      <c r="K154" s="17" t="s">
        <v>1620</v>
      </c>
      <c r="L154" s="17" t="s">
        <v>5010</v>
      </c>
      <c r="M154" s="18" t="str">
        <f t="shared" si="2"/>
        <v>http://dx.doi.org/10.1111/j.1365-2745.2006.01140.x</v>
      </c>
      <c r="N154" s="19" t="s">
        <v>1495</v>
      </c>
      <c r="O154" s="17" t="s">
        <v>1436</v>
      </c>
      <c r="P154" s="17" t="s">
        <v>1328</v>
      </c>
      <c r="Q154" s="17" t="s">
        <v>1328</v>
      </c>
      <c r="R154" s="17" t="s">
        <v>1328</v>
      </c>
      <c r="S154" s="17" t="s">
        <v>1328</v>
      </c>
      <c r="T154" s="17" t="s">
        <v>1328</v>
      </c>
      <c r="U154" s="20" t="str">
        <f t="shared" si="3"/>
        <v>Yes</v>
      </c>
      <c r="V154" s="19" t="str">
        <f t="shared" si="4"/>
        <v>CG</v>
      </c>
      <c r="W154" s="17" t="str">
        <f t="shared" si="5"/>
        <v>Yes</v>
      </c>
      <c r="X154" s="17" t="s">
        <v>1329</v>
      </c>
      <c r="Y154" s="17" t="s">
        <v>1372</v>
      </c>
      <c r="Z154" s="17" t="s">
        <v>1331</v>
      </c>
      <c r="AA154" s="17" t="s">
        <v>1347</v>
      </c>
      <c r="AB154" s="17" t="s">
        <v>1333</v>
      </c>
      <c r="AC154" s="17" t="s">
        <v>1381</v>
      </c>
      <c r="AD154" s="17" t="s">
        <v>1464</v>
      </c>
      <c r="AE154" s="17">
        <f t="shared" si="6"/>
        <v>3</v>
      </c>
      <c r="AF154" s="17" t="s">
        <v>1328</v>
      </c>
      <c r="AG154" s="17" t="s">
        <v>1328</v>
      </c>
      <c r="AH154" s="17" t="s">
        <v>1328</v>
      </c>
      <c r="AI154" s="17" t="s">
        <v>1336</v>
      </c>
      <c r="AJ154" s="17" t="s">
        <v>1336</v>
      </c>
      <c r="AK154" s="17" t="s">
        <v>1336</v>
      </c>
      <c r="AL154" s="17" t="s">
        <v>1350</v>
      </c>
      <c r="AM154" s="17" t="s">
        <v>1351</v>
      </c>
      <c r="AN154" s="17" t="s">
        <v>1339</v>
      </c>
      <c r="AO154" s="17" t="s">
        <v>1388</v>
      </c>
      <c r="AP154" s="17" t="s">
        <v>1328</v>
      </c>
      <c r="AQ154" s="17" t="str">
        <f t="shared" si="7"/>
        <v>intermediate</v>
      </c>
      <c r="AR154" s="20"/>
    </row>
    <row r="155" ht="15.75" customHeight="1">
      <c r="A155" s="16" t="s">
        <v>2264</v>
      </c>
      <c r="B155" s="16" t="s">
        <v>2265</v>
      </c>
      <c r="C155" s="16">
        <v>2014.0</v>
      </c>
      <c r="D155" s="16" t="s">
        <v>2266</v>
      </c>
      <c r="E155" s="16" t="s">
        <v>1324</v>
      </c>
      <c r="F155" s="23" t="s">
        <v>1324</v>
      </c>
      <c r="G155" s="16" t="str">
        <f t="shared" si="1"/>
        <v>No</v>
      </c>
      <c r="H155" s="16" t="s">
        <v>1324</v>
      </c>
      <c r="I155" s="16" t="s">
        <v>1324</v>
      </c>
      <c r="J155" s="16">
        <v>72.0</v>
      </c>
      <c r="K155" s="17" t="s">
        <v>2267</v>
      </c>
      <c r="L155" s="17" t="s">
        <v>5010</v>
      </c>
      <c r="M155" s="18" t="str">
        <f t="shared" si="2"/>
        <v/>
      </c>
      <c r="N155" s="19" t="s">
        <v>1522</v>
      </c>
      <c r="O155" s="17" t="s">
        <v>1371</v>
      </c>
      <c r="P155" s="17" t="s">
        <v>1328</v>
      </c>
      <c r="Q155" s="17" t="s">
        <v>1328</v>
      </c>
      <c r="R155" s="17" t="s">
        <v>1328</v>
      </c>
      <c r="S155" s="17" t="s">
        <v>1328</v>
      </c>
      <c r="T155" s="17" t="s">
        <v>1328</v>
      </c>
      <c r="U155" s="20" t="str">
        <f t="shared" si="3"/>
        <v>Yes</v>
      </c>
      <c r="V155" s="19" t="str">
        <f t="shared" si="4"/>
        <v>LC</v>
      </c>
      <c r="W155" s="17" t="str">
        <f t="shared" si="5"/>
        <v>Yes</v>
      </c>
      <c r="X155" s="17" t="s">
        <v>1329</v>
      </c>
      <c r="Y155" s="17" t="s">
        <v>1330</v>
      </c>
      <c r="Z155" s="17" t="s">
        <v>1372</v>
      </c>
      <c r="AA155" s="17" t="s">
        <v>1347</v>
      </c>
      <c r="AB155" s="17" t="s">
        <v>1444</v>
      </c>
      <c r="AC155" s="17" t="s">
        <v>1445</v>
      </c>
      <c r="AD155" s="17" t="s">
        <v>1335</v>
      </c>
      <c r="AE155" s="17">
        <f t="shared" si="6"/>
        <v>3</v>
      </c>
      <c r="AF155" s="17" t="s">
        <v>1328</v>
      </c>
      <c r="AG155" s="17" t="s">
        <v>1328</v>
      </c>
      <c r="AH155" s="17" t="s">
        <v>1328</v>
      </c>
      <c r="AI155" s="17" t="s">
        <v>1336</v>
      </c>
      <c r="AJ155" s="17" t="s">
        <v>1336</v>
      </c>
      <c r="AK155" s="17" t="s">
        <v>1336</v>
      </c>
      <c r="AL155" s="17" t="s">
        <v>1350</v>
      </c>
      <c r="AM155" s="17" t="s">
        <v>1351</v>
      </c>
      <c r="AN155" s="17" t="s">
        <v>1363</v>
      </c>
      <c r="AO155" s="17" t="s">
        <v>1388</v>
      </c>
      <c r="AP155" s="17" t="s">
        <v>1328</v>
      </c>
      <c r="AQ155" s="17" t="str">
        <f t="shared" si="7"/>
        <v>high</v>
      </c>
      <c r="AR155" s="20"/>
    </row>
    <row r="156" ht="15.75" customHeight="1">
      <c r="A156" s="16" t="s">
        <v>1471</v>
      </c>
      <c r="B156" s="16" t="s">
        <v>365</v>
      </c>
      <c r="C156" s="16">
        <v>2012.0</v>
      </c>
      <c r="D156" s="16" t="s">
        <v>1472</v>
      </c>
      <c r="E156" s="16" t="s">
        <v>1473</v>
      </c>
      <c r="F156" s="16" t="s">
        <v>1474</v>
      </c>
      <c r="G156" s="16" t="str">
        <f t="shared" si="1"/>
        <v>No</v>
      </c>
      <c r="H156" s="16" t="s">
        <v>1324</v>
      </c>
      <c r="I156" s="16" t="s">
        <v>1324</v>
      </c>
      <c r="J156" s="16">
        <v>195.0</v>
      </c>
      <c r="K156" s="17" t="s">
        <v>1475</v>
      </c>
      <c r="L156" s="17" t="s">
        <v>5010</v>
      </c>
      <c r="M156" s="18" t="str">
        <f t="shared" si="2"/>
        <v>http://dx.doi.org/10.1371/journal.pone.0039825</v>
      </c>
      <c r="N156" s="19" t="s">
        <v>1402</v>
      </c>
      <c r="O156" s="17" t="s">
        <v>1403</v>
      </c>
      <c r="P156" s="17" t="s">
        <v>1328</v>
      </c>
      <c r="Q156" s="17" t="s">
        <v>1328</v>
      </c>
      <c r="R156" s="17" t="s">
        <v>1328</v>
      </c>
      <c r="S156" s="17" t="s">
        <v>1328</v>
      </c>
      <c r="T156" s="17" t="s">
        <v>1328</v>
      </c>
      <c r="U156" s="20" t="str">
        <f t="shared" si="3"/>
        <v>Yes</v>
      </c>
      <c r="V156" s="19" t="str">
        <f t="shared" si="4"/>
        <v>DB</v>
      </c>
      <c r="W156" s="17" t="str">
        <f t="shared" si="5"/>
        <v>Yes</v>
      </c>
      <c r="X156" s="17" t="s">
        <v>1329</v>
      </c>
      <c r="Y156" s="17" t="s">
        <v>1331</v>
      </c>
      <c r="Z156" s="17" t="s">
        <v>1330</v>
      </c>
      <c r="AA156" s="17" t="s">
        <v>1332</v>
      </c>
      <c r="AB156" s="17" t="s">
        <v>1444</v>
      </c>
      <c r="AC156" s="17" t="s">
        <v>1476</v>
      </c>
      <c r="AD156" s="17" t="s">
        <v>1349</v>
      </c>
      <c r="AE156" s="17">
        <f t="shared" si="6"/>
        <v>4</v>
      </c>
      <c r="AF156" s="17" t="s">
        <v>1328</v>
      </c>
      <c r="AG156" s="17" t="s">
        <v>1328</v>
      </c>
      <c r="AH156" s="17" t="s">
        <v>1328</v>
      </c>
      <c r="AI156" s="17" t="s">
        <v>1336</v>
      </c>
      <c r="AJ156" s="17" t="s">
        <v>1328</v>
      </c>
      <c r="AK156" s="17" t="s">
        <v>1336</v>
      </c>
      <c r="AL156" s="17" t="s">
        <v>1395</v>
      </c>
      <c r="AM156" s="17" t="s">
        <v>1338</v>
      </c>
      <c r="AN156" s="17" t="s">
        <v>1363</v>
      </c>
      <c r="AO156" s="17" t="s">
        <v>1331</v>
      </c>
      <c r="AP156" s="17" t="s">
        <v>1328</v>
      </c>
      <c r="AQ156" s="17" t="str">
        <f t="shared" si="7"/>
        <v>intermediate</v>
      </c>
      <c r="AR156" s="20"/>
    </row>
    <row r="157" ht="15.75" customHeight="1">
      <c r="A157" s="16" t="s">
        <v>2220</v>
      </c>
      <c r="B157" s="16" t="s">
        <v>2221</v>
      </c>
      <c r="C157" s="16">
        <v>2008.0</v>
      </c>
      <c r="D157" s="16" t="s">
        <v>2222</v>
      </c>
      <c r="E157" s="16" t="s">
        <v>2223</v>
      </c>
      <c r="F157" s="16" t="s">
        <v>2224</v>
      </c>
      <c r="G157" s="16" t="str">
        <f t="shared" si="1"/>
        <v>No</v>
      </c>
      <c r="H157" s="16" t="s">
        <v>1324</v>
      </c>
      <c r="I157" s="16" t="s">
        <v>1324</v>
      </c>
      <c r="J157" s="16">
        <v>166.0</v>
      </c>
      <c r="K157" s="17" t="s">
        <v>2225</v>
      </c>
      <c r="L157" s="17" t="s">
        <v>5010</v>
      </c>
      <c r="M157" s="18" t="str">
        <f t="shared" si="2"/>
        <v>http://dx.doi.org/10.1007/s10530-007-9138-5</v>
      </c>
      <c r="N157" s="19" t="s">
        <v>1482</v>
      </c>
      <c r="O157" s="17" t="s">
        <v>1371</v>
      </c>
      <c r="P157" s="17" t="s">
        <v>1328</v>
      </c>
      <c r="Q157" s="17" t="s">
        <v>1328</v>
      </c>
      <c r="R157" s="17" t="s">
        <v>1328</v>
      </c>
      <c r="S157" s="17" t="s">
        <v>1328</v>
      </c>
      <c r="T157" s="17" t="s">
        <v>1328</v>
      </c>
      <c r="U157" s="20" t="str">
        <f t="shared" si="3"/>
        <v>Yes</v>
      </c>
      <c r="V157" s="19" t="str">
        <f t="shared" si="4"/>
        <v>LC</v>
      </c>
      <c r="W157" s="17" t="str">
        <f t="shared" si="5"/>
        <v>Yes</v>
      </c>
      <c r="X157" s="17" t="s">
        <v>1329</v>
      </c>
      <c r="Y157" s="17" t="s">
        <v>1330</v>
      </c>
      <c r="Z157" s="17" t="s">
        <v>1330</v>
      </c>
      <c r="AA157" s="17" t="s">
        <v>1332</v>
      </c>
      <c r="AB157" s="17" t="s">
        <v>1444</v>
      </c>
      <c r="AC157" s="17" t="s">
        <v>1445</v>
      </c>
      <c r="AD157" s="17" t="s">
        <v>1446</v>
      </c>
      <c r="AE157" s="17">
        <f t="shared" si="6"/>
        <v>2</v>
      </c>
      <c r="AF157" s="17" t="s">
        <v>1336</v>
      </c>
      <c r="AG157" s="17" t="s">
        <v>1328</v>
      </c>
      <c r="AH157" s="17" t="s">
        <v>1336</v>
      </c>
      <c r="AI157" s="17" t="s">
        <v>1328</v>
      </c>
      <c r="AJ157" s="17" t="s">
        <v>1336</v>
      </c>
      <c r="AK157" s="17" t="s">
        <v>1336</v>
      </c>
      <c r="AL157" s="17" t="s">
        <v>1350</v>
      </c>
      <c r="AM157" s="17" t="s">
        <v>1351</v>
      </c>
      <c r="AN157" s="17" t="s">
        <v>1363</v>
      </c>
      <c r="AO157" s="17" t="s">
        <v>1388</v>
      </c>
      <c r="AP157" s="17" t="s">
        <v>1328</v>
      </c>
      <c r="AQ157" s="17" t="str">
        <f t="shared" si="7"/>
        <v>high</v>
      </c>
      <c r="AR157" s="20"/>
    </row>
    <row r="158" ht="15.75" customHeight="1">
      <c r="A158" s="16" t="s">
        <v>1483</v>
      </c>
      <c r="B158" s="16" t="s">
        <v>365</v>
      </c>
      <c r="C158" s="16">
        <v>2010.0</v>
      </c>
      <c r="D158" s="16" t="s">
        <v>1484</v>
      </c>
      <c r="E158" s="16" t="s">
        <v>1485</v>
      </c>
      <c r="F158" s="16" t="s">
        <v>1486</v>
      </c>
      <c r="G158" s="16" t="str">
        <f t="shared" si="1"/>
        <v>No</v>
      </c>
      <c r="H158" s="16" t="s">
        <v>1324</v>
      </c>
      <c r="I158" s="16" t="s">
        <v>1324</v>
      </c>
      <c r="J158" s="16">
        <v>50.0</v>
      </c>
      <c r="K158" s="17" t="s">
        <v>1487</v>
      </c>
      <c r="L158" s="17" t="s">
        <v>5010</v>
      </c>
      <c r="M158" s="18" t="str">
        <f t="shared" si="2"/>
        <v>http://dx.doi.org/10.1371/journal.pone.0010095</v>
      </c>
      <c r="N158" s="19" t="s">
        <v>1442</v>
      </c>
      <c r="O158" s="17" t="s">
        <v>1327</v>
      </c>
      <c r="P158" s="17" t="s">
        <v>1328</v>
      </c>
      <c r="Q158" s="17" t="s">
        <v>1328</v>
      </c>
      <c r="R158" s="17" t="s">
        <v>1328</v>
      </c>
      <c r="S158" s="17" t="s">
        <v>1328</v>
      </c>
      <c r="T158" s="17" t="s">
        <v>1328</v>
      </c>
      <c r="U158" s="20" t="str">
        <f t="shared" si="3"/>
        <v>Yes</v>
      </c>
      <c r="V158" s="19" t="str">
        <f t="shared" si="4"/>
        <v>PJ</v>
      </c>
      <c r="W158" s="17" t="str">
        <f t="shared" si="5"/>
        <v>Yes</v>
      </c>
      <c r="X158" s="17" t="s">
        <v>1443</v>
      </c>
      <c r="Y158" s="17" t="s">
        <v>1330</v>
      </c>
      <c r="Z158" s="17" t="s">
        <v>1331</v>
      </c>
      <c r="AA158" s="17" t="s">
        <v>1331</v>
      </c>
      <c r="AB158" s="17" t="s">
        <v>1444</v>
      </c>
      <c r="AC158" s="17" t="s">
        <v>1488</v>
      </c>
      <c r="AD158" s="17" t="s">
        <v>1349</v>
      </c>
      <c r="AE158" s="17">
        <f t="shared" si="6"/>
        <v>3</v>
      </c>
      <c r="AF158" s="17" t="s">
        <v>1328</v>
      </c>
      <c r="AG158" s="17" t="s">
        <v>1328</v>
      </c>
      <c r="AH158" s="17" t="s">
        <v>1328</v>
      </c>
      <c r="AI158" s="17" t="s">
        <v>1336</v>
      </c>
      <c r="AJ158" s="17" t="s">
        <v>1336</v>
      </c>
      <c r="AK158" s="17" t="s">
        <v>1336</v>
      </c>
      <c r="AL158" s="17" t="s">
        <v>1395</v>
      </c>
      <c r="AM158" s="17" t="s">
        <v>1338</v>
      </c>
      <c r="AN158" s="17" t="s">
        <v>1339</v>
      </c>
      <c r="AO158" s="17" t="s">
        <v>1331</v>
      </c>
      <c r="AP158" s="17" t="s">
        <v>1328</v>
      </c>
      <c r="AQ158" s="17" t="str">
        <f t="shared" si="7"/>
        <v>high</v>
      </c>
      <c r="AR158" s="20" t="s">
        <v>1489</v>
      </c>
    </row>
    <row r="159" ht="15.75" customHeight="1">
      <c r="A159" s="16" t="s">
        <v>2238</v>
      </c>
      <c r="B159" s="16" t="s">
        <v>1419</v>
      </c>
      <c r="C159" s="16">
        <v>2018.0</v>
      </c>
      <c r="D159" s="16" t="s">
        <v>2239</v>
      </c>
      <c r="E159" s="16" t="s">
        <v>2240</v>
      </c>
      <c r="F159" s="16" t="s">
        <v>2241</v>
      </c>
      <c r="G159" s="16" t="str">
        <f t="shared" si="1"/>
        <v>No</v>
      </c>
      <c r="H159" s="16" t="s">
        <v>1324</v>
      </c>
      <c r="I159" s="16" t="s">
        <v>1324</v>
      </c>
      <c r="J159" s="16">
        <v>110.0</v>
      </c>
      <c r="K159" s="17" t="s">
        <v>2242</v>
      </c>
      <c r="L159" s="17" t="s">
        <v>5010</v>
      </c>
      <c r="M159" s="18" t="str">
        <f t="shared" si="2"/>
        <v>http://dx.doi.org/10.1002/eap.1755</v>
      </c>
      <c r="N159" s="19" t="s">
        <v>1358</v>
      </c>
      <c r="O159" s="17" t="s">
        <v>1417</v>
      </c>
      <c r="P159" s="17" t="s">
        <v>1328</v>
      </c>
      <c r="Q159" s="17" t="s">
        <v>1328</v>
      </c>
      <c r="R159" s="17" t="s">
        <v>1328</v>
      </c>
      <c r="S159" s="17" t="s">
        <v>1328</v>
      </c>
      <c r="T159" s="17" t="s">
        <v>1328</v>
      </c>
      <c r="U159" s="20" t="str">
        <f t="shared" si="3"/>
        <v>Yes</v>
      </c>
      <c r="V159" s="19" t="str">
        <f t="shared" si="4"/>
        <v>NT</v>
      </c>
      <c r="W159" s="17" t="str">
        <f t="shared" si="5"/>
        <v>Yes</v>
      </c>
      <c r="X159" s="17" t="s">
        <v>1329</v>
      </c>
      <c r="Y159" s="17" t="s">
        <v>1330</v>
      </c>
      <c r="Z159" s="17" t="s">
        <v>1330</v>
      </c>
      <c r="AA159" s="17" t="s">
        <v>1347</v>
      </c>
      <c r="AB159" s="17" t="s">
        <v>1360</v>
      </c>
      <c r="AC159" s="17" t="s">
        <v>1348</v>
      </c>
      <c r="AD159" s="17" t="s">
        <v>1362</v>
      </c>
      <c r="AE159" s="17">
        <f t="shared" si="6"/>
        <v>4</v>
      </c>
      <c r="AF159" s="17" t="s">
        <v>1328</v>
      </c>
      <c r="AG159" s="17" t="s">
        <v>1328</v>
      </c>
      <c r="AH159" s="17" t="s">
        <v>1336</v>
      </c>
      <c r="AI159" s="17" t="s">
        <v>1336</v>
      </c>
      <c r="AJ159" s="17" t="s">
        <v>1328</v>
      </c>
      <c r="AK159" s="17" t="s">
        <v>1328</v>
      </c>
      <c r="AL159" s="17" t="s">
        <v>1350</v>
      </c>
      <c r="AM159" s="17" t="s">
        <v>1351</v>
      </c>
      <c r="AN159" s="17" t="s">
        <v>1363</v>
      </c>
      <c r="AO159" s="17" t="s">
        <v>1331</v>
      </c>
      <c r="AP159" s="17" t="s">
        <v>1328</v>
      </c>
      <c r="AQ159" s="17" t="str">
        <f t="shared" si="7"/>
        <v>high</v>
      </c>
      <c r="AR159" s="20"/>
    </row>
    <row r="160" ht="15.75" customHeight="1">
      <c r="A160" s="16" t="s">
        <v>1730</v>
      </c>
      <c r="B160" s="16" t="s">
        <v>1731</v>
      </c>
      <c r="C160" s="16">
        <v>2014.0</v>
      </c>
      <c r="D160" s="16" t="s">
        <v>1732</v>
      </c>
      <c r="E160" s="16" t="s">
        <v>1733</v>
      </c>
      <c r="F160" s="16" t="s">
        <v>1734</v>
      </c>
      <c r="G160" s="16" t="str">
        <f t="shared" si="1"/>
        <v>No</v>
      </c>
      <c r="H160" s="16" t="s">
        <v>1324</v>
      </c>
      <c r="I160" s="16" t="s">
        <v>1324</v>
      </c>
      <c r="J160" s="16">
        <v>56.0</v>
      </c>
      <c r="K160" s="17" t="s">
        <v>1735</v>
      </c>
      <c r="L160" s="17" t="s">
        <v>5010</v>
      </c>
      <c r="M160" s="18" t="str">
        <f t="shared" si="2"/>
        <v>http://dx.doi.org/10.1093/icesjms/fst222</v>
      </c>
      <c r="N160" s="19" t="s">
        <v>1346</v>
      </c>
      <c r="O160" s="17" t="s">
        <v>1387</v>
      </c>
      <c r="P160" s="17" t="s">
        <v>1328</v>
      </c>
      <c r="Q160" s="17" t="s">
        <v>1328</v>
      </c>
      <c r="R160" s="17" t="s">
        <v>1328</v>
      </c>
      <c r="S160" s="17" t="s">
        <v>1328</v>
      </c>
      <c r="T160" s="17" t="s">
        <v>1328</v>
      </c>
      <c r="U160" s="20" t="str">
        <f t="shared" si="3"/>
        <v>Yes</v>
      </c>
      <c r="V160" s="19" t="str">
        <f t="shared" si="4"/>
        <v>MW</v>
      </c>
      <c r="W160" s="17" t="str">
        <f t="shared" si="5"/>
        <v>Yes</v>
      </c>
      <c r="X160" s="17" t="s">
        <v>1329</v>
      </c>
      <c r="Y160" s="17" t="s">
        <v>1330</v>
      </c>
      <c r="Z160" s="17" t="s">
        <v>1331</v>
      </c>
      <c r="AA160" s="17" t="s">
        <v>1347</v>
      </c>
      <c r="AB160" s="17" t="s">
        <v>1333</v>
      </c>
      <c r="AC160" s="17" t="s">
        <v>1361</v>
      </c>
      <c r="AD160" s="17" t="s">
        <v>1349</v>
      </c>
      <c r="AE160" s="17">
        <f t="shared" si="6"/>
        <v>3</v>
      </c>
      <c r="AF160" s="17" t="s">
        <v>1328</v>
      </c>
      <c r="AG160" s="17" t="s">
        <v>1336</v>
      </c>
      <c r="AH160" s="17" t="s">
        <v>1328</v>
      </c>
      <c r="AI160" s="17" t="s">
        <v>1336</v>
      </c>
      <c r="AJ160" s="17" t="s">
        <v>1328</v>
      </c>
      <c r="AK160" s="17" t="s">
        <v>1336</v>
      </c>
      <c r="AL160" s="17" t="s">
        <v>1350</v>
      </c>
      <c r="AM160" s="17" t="s">
        <v>1351</v>
      </c>
      <c r="AN160" s="17" t="s">
        <v>1363</v>
      </c>
      <c r="AO160" s="17" t="s">
        <v>1388</v>
      </c>
      <c r="AP160" s="17" t="s">
        <v>1328</v>
      </c>
      <c r="AQ160" s="17" t="str">
        <f t="shared" si="7"/>
        <v>intermediate</v>
      </c>
      <c r="AR160" s="20"/>
    </row>
    <row r="161" ht="15.75" customHeight="1">
      <c r="A161" s="16" t="s">
        <v>2188</v>
      </c>
      <c r="B161" s="16" t="s">
        <v>2189</v>
      </c>
      <c r="C161" s="16">
        <v>2013.0</v>
      </c>
      <c r="D161" s="16" t="s">
        <v>2190</v>
      </c>
      <c r="E161" s="16" t="s">
        <v>2191</v>
      </c>
      <c r="F161" s="16" t="s">
        <v>2192</v>
      </c>
      <c r="G161" s="16" t="str">
        <f t="shared" si="1"/>
        <v>No</v>
      </c>
      <c r="H161" s="16" t="s">
        <v>1324</v>
      </c>
      <c r="I161" s="16" t="s">
        <v>1324</v>
      </c>
      <c r="J161" s="16">
        <v>38.0</v>
      </c>
      <c r="K161" s="17" t="s">
        <v>2193</v>
      </c>
      <c r="L161" s="17" t="s">
        <v>5010</v>
      </c>
      <c r="M161" s="18" t="str">
        <f t="shared" si="2"/>
        <v>http://dx.doi.org/10.1007/s11707-012-0335-x</v>
      </c>
      <c r="N161" s="19" t="s">
        <v>1358</v>
      </c>
      <c r="O161" s="17" t="s">
        <v>1417</v>
      </c>
      <c r="P161" s="17" t="s">
        <v>1328</v>
      </c>
      <c r="Q161" s="17" t="s">
        <v>1328</v>
      </c>
      <c r="R161" s="17" t="s">
        <v>1328</v>
      </c>
      <c r="S161" s="17" t="s">
        <v>1328</v>
      </c>
      <c r="T161" s="17" t="s">
        <v>1328</v>
      </c>
      <c r="U161" s="20" t="str">
        <f t="shared" si="3"/>
        <v>Yes</v>
      </c>
      <c r="V161" s="19" t="str">
        <f t="shared" si="4"/>
        <v>NT</v>
      </c>
      <c r="W161" s="17" t="str">
        <f t="shared" si="5"/>
        <v>Yes</v>
      </c>
      <c r="X161" s="17" t="s">
        <v>1329</v>
      </c>
      <c r="Y161" s="17" t="s">
        <v>1330</v>
      </c>
      <c r="Z161" s="17" t="s">
        <v>1372</v>
      </c>
      <c r="AA161" s="17" t="s">
        <v>1347</v>
      </c>
      <c r="AB161" s="17" t="s">
        <v>1360</v>
      </c>
      <c r="AC161" s="17" t="s">
        <v>1381</v>
      </c>
      <c r="AD161" s="17" t="s">
        <v>1362</v>
      </c>
      <c r="AE161" s="17">
        <f t="shared" si="6"/>
        <v>2</v>
      </c>
      <c r="AF161" s="17" t="s">
        <v>1328</v>
      </c>
      <c r="AG161" s="17" t="s">
        <v>1328</v>
      </c>
      <c r="AH161" s="17" t="s">
        <v>1336</v>
      </c>
      <c r="AI161" s="17" t="s">
        <v>1336</v>
      </c>
      <c r="AJ161" s="17" t="s">
        <v>1336</v>
      </c>
      <c r="AK161" s="17" t="s">
        <v>1336</v>
      </c>
      <c r="AL161" s="17" t="s">
        <v>1350</v>
      </c>
      <c r="AM161" s="17" t="s">
        <v>1351</v>
      </c>
      <c r="AN161" s="17" t="s">
        <v>1363</v>
      </c>
      <c r="AO161" s="17" t="s">
        <v>1331</v>
      </c>
      <c r="AP161" s="17" t="s">
        <v>1328</v>
      </c>
      <c r="AQ161" s="17" t="str">
        <f t="shared" si="7"/>
        <v>high</v>
      </c>
      <c r="AR161" s="20"/>
    </row>
    <row r="162" ht="15.75" customHeight="1">
      <c r="A162" s="16" t="s">
        <v>2243</v>
      </c>
      <c r="B162" s="16" t="s">
        <v>2244</v>
      </c>
      <c r="C162" s="16">
        <v>2018.0</v>
      </c>
      <c r="D162" s="16" t="s">
        <v>2245</v>
      </c>
      <c r="E162" s="16" t="s">
        <v>2246</v>
      </c>
      <c r="F162" s="16" t="s">
        <v>2247</v>
      </c>
      <c r="G162" s="16" t="str">
        <f t="shared" si="1"/>
        <v>No</v>
      </c>
      <c r="H162" s="16" t="s">
        <v>1324</v>
      </c>
      <c r="I162" s="16" t="s">
        <v>1324</v>
      </c>
      <c r="J162" s="16">
        <v>5.0</v>
      </c>
      <c r="K162" s="17" t="s">
        <v>2248</v>
      </c>
      <c r="L162" s="17" t="s">
        <v>5010</v>
      </c>
      <c r="M162" s="18" t="str">
        <f t="shared" si="2"/>
        <v>http://dx.doi.org/10.1002/aqc.2850</v>
      </c>
      <c r="N162" s="19" t="s">
        <v>1326</v>
      </c>
      <c r="O162" s="17" t="s">
        <v>1327</v>
      </c>
      <c r="P162" s="17" t="s">
        <v>1328</v>
      </c>
      <c r="Q162" s="17" t="s">
        <v>1328</v>
      </c>
      <c r="R162" s="17" t="s">
        <v>1328</v>
      </c>
      <c r="S162" s="17" t="s">
        <v>1328</v>
      </c>
      <c r="T162" s="17" t="s">
        <v>1328</v>
      </c>
      <c r="U162" s="20" t="str">
        <f t="shared" si="3"/>
        <v>Yes</v>
      </c>
      <c r="V162" s="19" t="str">
        <f t="shared" si="4"/>
        <v>PJ</v>
      </c>
      <c r="W162" s="17" t="str">
        <f t="shared" si="5"/>
        <v>Yes</v>
      </c>
      <c r="X162" s="17" t="s">
        <v>1443</v>
      </c>
      <c r="Y162" s="17" t="s">
        <v>1330</v>
      </c>
      <c r="Z162" s="17" t="s">
        <v>1331</v>
      </c>
      <c r="AA162" s="17" t="s">
        <v>1337</v>
      </c>
      <c r="AB162" s="17" t="s">
        <v>1333</v>
      </c>
      <c r="AC162" s="17" t="s">
        <v>1334</v>
      </c>
      <c r="AD162" s="17" t="s">
        <v>1530</v>
      </c>
      <c r="AE162" s="17">
        <f t="shared" si="6"/>
        <v>6</v>
      </c>
      <c r="AF162" s="17" t="s">
        <v>1328</v>
      </c>
      <c r="AG162" s="17" t="s">
        <v>1328</v>
      </c>
      <c r="AH162" s="17" t="s">
        <v>1328</v>
      </c>
      <c r="AI162" s="17" t="s">
        <v>1328</v>
      </c>
      <c r="AJ162" s="17" t="s">
        <v>1328</v>
      </c>
      <c r="AK162" s="17" t="s">
        <v>1328</v>
      </c>
      <c r="AL162" s="17" t="s">
        <v>1395</v>
      </c>
      <c r="AM162" s="17" t="s">
        <v>1351</v>
      </c>
      <c r="AN162" s="17" t="s">
        <v>1363</v>
      </c>
      <c r="AO162" s="17" t="s">
        <v>1331</v>
      </c>
      <c r="AP162" s="17" t="s">
        <v>1328</v>
      </c>
      <c r="AQ162" s="17" t="str">
        <f t="shared" si="7"/>
        <v>intermediate</v>
      </c>
      <c r="AR162" s="20"/>
    </row>
    <row r="163" ht="15.75" customHeight="1">
      <c r="A163" s="16" t="s">
        <v>2023</v>
      </c>
      <c r="B163" s="16" t="s">
        <v>2024</v>
      </c>
      <c r="C163" s="16">
        <v>2015.0</v>
      </c>
      <c r="D163" s="16" t="s">
        <v>2025</v>
      </c>
      <c r="E163" s="16" t="s">
        <v>2026</v>
      </c>
      <c r="F163" s="16" t="s">
        <v>2027</v>
      </c>
      <c r="G163" s="16" t="str">
        <f t="shared" si="1"/>
        <v>No</v>
      </c>
      <c r="H163" s="16" t="s">
        <v>1324</v>
      </c>
      <c r="I163" s="16" t="s">
        <v>1324</v>
      </c>
      <c r="J163" s="16">
        <v>35.0</v>
      </c>
      <c r="K163" s="17" t="s">
        <v>2028</v>
      </c>
      <c r="L163" s="17" t="s">
        <v>5010</v>
      </c>
      <c r="M163" s="18" t="str">
        <f t="shared" si="2"/>
        <v>http://dx.doi.org/10.1016/j.flora.2015.09.013</v>
      </c>
      <c r="N163" s="19" t="s">
        <v>1495</v>
      </c>
      <c r="O163" s="17" t="s">
        <v>1387</v>
      </c>
      <c r="P163" s="17" t="s">
        <v>1328</v>
      </c>
      <c r="Q163" s="17" t="s">
        <v>1328</v>
      </c>
      <c r="R163" s="17" t="s">
        <v>1328</v>
      </c>
      <c r="S163" s="17" t="s">
        <v>1328</v>
      </c>
      <c r="T163" s="17" t="s">
        <v>1328</v>
      </c>
      <c r="U163" s="20" t="str">
        <f t="shared" si="3"/>
        <v>Yes</v>
      </c>
      <c r="V163" s="19" t="str">
        <f t="shared" si="4"/>
        <v>MW</v>
      </c>
      <c r="W163" s="17" t="str">
        <f t="shared" si="5"/>
        <v>Yes</v>
      </c>
      <c r="X163" s="17" t="s">
        <v>1329</v>
      </c>
      <c r="Y163" s="17" t="s">
        <v>1330</v>
      </c>
      <c r="Z163" s="17" t="s">
        <v>1331</v>
      </c>
      <c r="AA163" s="17" t="s">
        <v>1347</v>
      </c>
      <c r="AB163" s="17" t="s">
        <v>1360</v>
      </c>
      <c r="AC163" s="17" t="s">
        <v>1361</v>
      </c>
      <c r="AD163" s="17" t="s">
        <v>1362</v>
      </c>
      <c r="AE163" s="17">
        <f t="shared" si="6"/>
        <v>3</v>
      </c>
      <c r="AF163" s="17" t="s">
        <v>1328</v>
      </c>
      <c r="AG163" s="17" t="s">
        <v>1328</v>
      </c>
      <c r="AH163" s="17" t="s">
        <v>1336</v>
      </c>
      <c r="AI163" s="17" t="s">
        <v>1336</v>
      </c>
      <c r="AJ163" s="17" t="s">
        <v>1328</v>
      </c>
      <c r="AK163" s="17" t="s">
        <v>1336</v>
      </c>
      <c r="AL163" s="17" t="s">
        <v>1395</v>
      </c>
      <c r="AM163" s="17" t="s">
        <v>1351</v>
      </c>
      <c r="AN163" s="17" t="s">
        <v>1339</v>
      </c>
      <c r="AO163" s="17" t="s">
        <v>1331</v>
      </c>
      <c r="AP163" s="17" t="s">
        <v>1328</v>
      </c>
      <c r="AQ163" s="17" t="str">
        <f t="shared" si="7"/>
        <v>high</v>
      </c>
      <c r="AR163" s="20"/>
    </row>
    <row r="164" ht="15.75" customHeight="1">
      <c r="A164" s="16" t="s">
        <v>2125</v>
      </c>
      <c r="B164" s="16" t="s">
        <v>949</v>
      </c>
      <c r="C164" s="16">
        <v>2018.0</v>
      </c>
      <c r="D164" s="16" t="s">
        <v>2126</v>
      </c>
      <c r="E164" s="16" t="s">
        <v>2127</v>
      </c>
      <c r="F164" s="16" t="s">
        <v>2128</v>
      </c>
      <c r="G164" s="16" t="str">
        <f t="shared" si="1"/>
        <v>No</v>
      </c>
      <c r="H164" s="16" t="s">
        <v>1324</v>
      </c>
      <c r="I164" s="16" t="s">
        <v>1324</v>
      </c>
      <c r="J164" s="16">
        <v>58.0</v>
      </c>
      <c r="K164" s="17" t="s">
        <v>2129</v>
      </c>
      <c r="L164" s="17" t="s">
        <v>5010</v>
      </c>
      <c r="M164" s="18" t="str">
        <f t="shared" si="2"/>
        <v>http://dx.doi.org/10.1016/j.apgeog.2018.03.006</v>
      </c>
      <c r="N164" s="19" t="s">
        <v>1370</v>
      </c>
      <c r="O164" s="17" t="s">
        <v>1327</v>
      </c>
      <c r="P164" s="17" t="s">
        <v>1328</v>
      </c>
      <c r="Q164" s="17" t="s">
        <v>1328</v>
      </c>
      <c r="R164" s="17" t="s">
        <v>1328</v>
      </c>
      <c r="S164" s="17" t="s">
        <v>1328</v>
      </c>
      <c r="T164" s="17" t="s">
        <v>1328</v>
      </c>
      <c r="U164" s="20" t="str">
        <f t="shared" si="3"/>
        <v>Yes</v>
      </c>
      <c r="V164" s="19" t="str">
        <f t="shared" si="4"/>
        <v>PJ</v>
      </c>
      <c r="W164" s="17" t="str">
        <f t="shared" si="5"/>
        <v>Yes</v>
      </c>
      <c r="X164" s="17" t="s">
        <v>1329</v>
      </c>
      <c r="Y164" s="17" t="s">
        <v>1330</v>
      </c>
      <c r="Z164" s="17" t="s">
        <v>1331</v>
      </c>
      <c r="AA164" s="17" t="s">
        <v>1347</v>
      </c>
      <c r="AB164" s="17" t="s">
        <v>1333</v>
      </c>
      <c r="AC164" s="17" t="s">
        <v>1381</v>
      </c>
      <c r="AD164" s="17" t="s">
        <v>1530</v>
      </c>
      <c r="AE164" s="17">
        <f t="shared" si="6"/>
        <v>3</v>
      </c>
      <c r="AF164" s="17" t="s">
        <v>1336</v>
      </c>
      <c r="AG164" s="17" t="s">
        <v>1328</v>
      </c>
      <c r="AH164" s="17" t="s">
        <v>1336</v>
      </c>
      <c r="AI164" s="17" t="s">
        <v>1336</v>
      </c>
      <c r="AJ164" s="17" t="s">
        <v>1328</v>
      </c>
      <c r="AK164" s="17" t="s">
        <v>1328</v>
      </c>
      <c r="AL164" s="17" t="s">
        <v>1350</v>
      </c>
      <c r="AM164" s="17" t="s">
        <v>1338</v>
      </c>
      <c r="AN164" s="17" t="s">
        <v>1339</v>
      </c>
      <c r="AO164" s="17" t="s">
        <v>1331</v>
      </c>
      <c r="AP164" s="17" t="s">
        <v>1328</v>
      </c>
      <c r="AQ164" s="17" t="str">
        <f t="shared" si="7"/>
        <v>intermediate</v>
      </c>
      <c r="AR164" s="20"/>
    </row>
    <row r="165" ht="15.75" customHeight="1">
      <c r="A165" s="16" t="s">
        <v>1626</v>
      </c>
      <c r="B165" s="16" t="s">
        <v>774</v>
      </c>
      <c r="C165" s="16">
        <v>2012.0</v>
      </c>
      <c r="D165" s="16" t="s">
        <v>1627</v>
      </c>
      <c r="E165" s="16" t="s">
        <v>1628</v>
      </c>
      <c r="F165" s="16" t="s">
        <v>1629</v>
      </c>
      <c r="G165" s="16" t="str">
        <f t="shared" si="1"/>
        <v>No</v>
      </c>
      <c r="H165" s="16" t="s">
        <v>1324</v>
      </c>
      <c r="I165" s="16" t="s">
        <v>1324</v>
      </c>
      <c r="J165" s="16">
        <v>18.0</v>
      </c>
      <c r="K165" s="17" t="s">
        <v>1630</v>
      </c>
      <c r="L165" s="17" t="s">
        <v>5010</v>
      </c>
      <c r="M165" s="18" t="str">
        <f t="shared" si="2"/>
        <v>http://dx.doi.org/10.1111/j.1365-2486.2011.02540.x</v>
      </c>
      <c r="N165" s="19" t="s">
        <v>1580</v>
      </c>
      <c r="O165" s="17" t="s">
        <v>1327</v>
      </c>
      <c r="P165" s="17" t="s">
        <v>1328</v>
      </c>
      <c r="Q165" s="17" t="s">
        <v>1328</v>
      </c>
      <c r="R165" s="17" t="s">
        <v>1328</v>
      </c>
      <c r="S165" s="17" t="s">
        <v>1328</v>
      </c>
      <c r="T165" s="17" t="s">
        <v>1328</v>
      </c>
      <c r="U165" s="20" t="str">
        <f t="shared" si="3"/>
        <v>Yes</v>
      </c>
      <c r="V165" s="19" t="str">
        <f t="shared" si="4"/>
        <v>PJ</v>
      </c>
      <c r="W165" s="17" t="str">
        <f t="shared" si="5"/>
        <v>Yes</v>
      </c>
      <c r="X165" s="17" t="s">
        <v>1631</v>
      </c>
      <c r="Y165" s="17" t="s">
        <v>1330</v>
      </c>
      <c r="Z165" s="17" t="s">
        <v>1331</v>
      </c>
      <c r="AA165" s="17" t="s">
        <v>1347</v>
      </c>
      <c r="AB165" s="17" t="s">
        <v>1333</v>
      </c>
      <c r="AC165" s="17" t="s">
        <v>1348</v>
      </c>
      <c r="AD165" s="17" t="s">
        <v>1530</v>
      </c>
      <c r="AE165" s="17">
        <f t="shared" si="6"/>
        <v>3</v>
      </c>
      <c r="AF165" s="17" t="s">
        <v>1328</v>
      </c>
      <c r="AG165" s="17" t="s">
        <v>1336</v>
      </c>
      <c r="AH165" s="17" t="s">
        <v>1328</v>
      </c>
      <c r="AI165" s="17" t="s">
        <v>1336</v>
      </c>
      <c r="AJ165" s="17" t="s">
        <v>1328</v>
      </c>
      <c r="AK165" s="17" t="s">
        <v>1336</v>
      </c>
      <c r="AL165" s="17" t="s">
        <v>1350</v>
      </c>
      <c r="AM165" s="17" t="s">
        <v>1351</v>
      </c>
      <c r="AN165" s="17" t="s">
        <v>1363</v>
      </c>
      <c r="AO165" s="17" t="s">
        <v>1331</v>
      </c>
      <c r="AP165" s="17" t="s">
        <v>1328</v>
      </c>
      <c r="AQ165" s="17" t="str">
        <f t="shared" si="7"/>
        <v>intermediate</v>
      </c>
      <c r="AR165" s="20" t="s">
        <v>1632</v>
      </c>
    </row>
    <row r="166" ht="15.75" customHeight="1">
      <c r="A166" s="16" t="s">
        <v>2058</v>
      </c>
      <c r="B166" s="16" t="s">
        <v>2059</v>
      </c>
      <c r="C166" s="16">
        <v>2014.0</v>
      </c>
      <c r="D166" s="16" t="s">
        <v>2060</v>
      </c>
      <c r="E166" s="16" t="s">
        <v>2061</v>
      </c>
      <c r="F166" s="16" t="s">
        <v>2062</v>
      </c>
      <c r="G166" s="16" t="str">
        <f t="shared" si="1"/>
        <v>No</v>
      </c>
      <c r="H166" s="16" t="s">
        <v>1324</v>
      </c>
      <c r="I166" s="16" t="s">
        <v>1324</v>
      </c>
      <c r="J166" s="16">
        <v>45.0</v>
      </c>
      <c r="K166" s="17" t="s">
        <v>2063</v>
      </c>
      <c r="L166" s="17" t="s">
        <v>5010</v>
      </c>
      <c r="M166" s="18" t="str">
        <f t="shared" si="2"/>
        <v>http://dx.doi.org/10.1016/j.ecolmodel.2013.11.004</v>
      </c>
      <c r="N166" s="19" t="s">
        <v>1522</v>
      </c>
      <c r="O166" s="17" t="s">
        <v>1371</v>
      </c>
      <c r="P166" s="17" t="s">
        <v>1328</v>
      </c>
      <c r="Q166" s="17" t="s">
        <v>1328</v>
      </c>
      <c r="R166" s="17" t="s">
        <v>1328</v>
      </c>
      <c r="S166" s="17" t="s">
        <v>1328</v>
      </c>
      <c r="T166" s="17" t="s">
        <v>1328</v>
      </c>
      <c r="U166" s="20" t="str">
        <f t="shared" si="3"/>
        <v>Yes</v>
      </c>
      <c r="V166" s="19" t="str">
        <f t="shared" si="4"/>
        <v>LC</v>
      </c>
      <c r="W166" s="17" t="str">
        <f t="shared" si="5"/>
        <v>Yes</v>
      </c>
      <c r="X166" s="17" t="s">
        <v>1329</v>
      </c>
      <c r="Y166" s="17" t="s">
        <v>1372</v>
      </c>
      <c r="Z166" s="17" t="s">
        <v>1331</v>
      </c>
      <c r="AA166" s="17" t="s">
        <v>1347</v>
      </c>
      <c r="AB166" s="17" t="s">
        <v>1333</v>
      </c>
      <c r="AC166" s="17" t="s">
        <v>1334</v>
      </c>
      <c r="AD166" s="17" t="s">
        <v>1349</v>
      </c>
      <c r="AE166" s="17">
        <f t="shared" si="6"/>
        <v>2</v>
      </c>
      <c r="AF166" s="17" t="s">
        <v>1336</v>
      </c>
      <c r="AG166" s="17" t="s">
        <v>1336</v>
      </c>
      <c r="AH166" s="17" t="s">
        <v>1328</v>
      </c>
      <c r="AI166" s="17" t="s">
        <v>1328</v>
      </c>
      <c r="AJ166" s="17" t="s">
        <v>1336</v>
      </c>
      <c r="AK166" s="17" t="s">
        <v>1336</v>
      </c>
      <c r="AL166" s="17" t="s">
        <v>1350</v>
      </c>
      <c r="AM166" s="17" t="s">
        <v>1351</v>
      </c>
      <c r="AN166" s="17" t="s">
        <v>1363</v>
      </c>
      <c r="AO166" s="17" t="s">
        <v>1388</v>
      </c>
      <c r="AP166" s="17" t="s">
        <v>1328</v>
      </c>
      <c r="AQ166" s="17" t="str">
        <f t="shared" si="7"/>
        <v>intermediate</v>
      </c>
      <c r="AR166" s="20"/>
    </row>
    <row r="167" ht="15.75" customHeight="1">
      <c r="A167" s="16" t="s">
        <v>2082</v>
      </c>
      <c r="B167" s="16" t="s">
        <v>2083</v>
      </c>
      <c r="C167" s="16">
        <v>2017.0</v>
      </c>
      <c r="D167" s="16" t="s">
        <v>2084</v>
      </c>
      <c r="E167" s="16" t="s">
        <v>2085</v>
      </c>
      <c r="F167" s="16" t="s">
        <v>2086</v>
      </c>
      <c r="G167" s="16" t="str">
        <f t="shared" si="1"/>
        <v>No</v>
      </c>
      <c r="H167" s="16" t="s">
        <v>1324</v>
      </c>
      <c r="I167" s="16" t="s">
        <v>1324</v>
      </c>
      <c r="J167" s="16">
        <v>116.0</v>
      </c>
      <c r="K167" s="17" t="s">
        <v>2087</v>
      </c>
      <c r="L167" s="17" t="s">
        <v>5010</v>
      </c>
      <c r="M167" s="18" t="str">
        <f t="shared" si="2"/>
        <v>http://dx.doi.org/10.1016/j.catena.2016.11.014</v>
      </c>
      <c r="N167" s="19" t="s">
        <v>1358</v>
      </c>
      <c r="O167" s="17" t="s">
        <v>1403</v>
      </c>
      <c r="P167" s="17" t="s">
        <v>1328</v>
      </c>
      <c r="Q167" s="17" t="s">
        <v>1328</v>
      </c>
      <c r="R167" s="17" t="s">
        <v>1328</v>
      </c>
      <c r="S167" s="17" t="s">
        <v>1328</v>
      </c>
      <c r="T167" s="17" t="s">
        <v>1328</v>
      </c>
      <c r="U167" s="20" t="str">
        <f t="shared" si="3"/>
        <v>Yes</v>
      </c>
      <c r="V167" s="19" t="str">
        <f t="shared" si="4"/>
        <v>DB</v>
      </c>
      <c r="W167" s="17" t="str">
        <f t="shared" si="5"/>
        <v>Yes</v>
      </c>
      <c r="X167" s="17" t="s">
        <v>1631</v>
      </c>
      <c r="Y167" s="17" t="s">
        <v>1372</v>
      </c>
      <c r="Z167" s="17" t="s">
        <v>1331</v>
      </c>
      <c r="AA167" s="17" t="s">
        <v>1347</v>
      </c>
      <c r="AB167" s="17" t="s">
        <v>1333</v>
      </c>
      <c r="AC167" s="17" t="s">
        <v>1361</v>
      </c>
      <c r="AD167" s="17" t="s">
        <v>1362</v>
      </c>
      <c r="AE167" s="17">
        <f t="shared" si="6"/>
        <v>2</v>
      </c>
      <c r="AF167" s="17" t="s">
        <v>1328</v>
      </c>
      <c r="AG167" s="17" t="s">
        <v>1328</v>
      </c>
      <c r="AH167" s="17" t="s">
        <v>1336</v>
      </c>
      <c r="AI167" s="17" t="s">
        <v>1336</v>
      </c>
      <c r="AJ167" s="17" t="s">
        <v>1336</v>
      </c>
      <c r="AK167" s="17" t="s">
        <v>1336</v>
      </c>
      <c r="AL167" s="17" t="s">
        <v>1350</v>
      </c>
      <c r="AM167" s="17" t="s">
        <v>1351</v>
      </c>
      <c r="AN167" s="17" t="s">
        <v>1363</v>
      </c>
      <c r="AO167" s="17" t="s">
        <v>1331</v>
      </c>
      <c r="AP167" s="17" t="s">
        <v>1328</v>
      </c>
      <c r="AQ167" s="17" t="str">
        <f t="shared" si="7"/>
        <v>intermediate</v>
      </c>
      <c r="AR167" s="20" t="s">
        <v>1639</v>
      </c>
    </row>
    <row r="168" ht="15.75" customHeight="1">
      <c r="A168" s="16"/>
      <c r="B168" s="16"/>
      <c r="C168" s="16"/>
      <c r="D168" s="16"/>
      <c r="E168" s="16"/>
      <c r="F168" s="16"/>
      <c r="G168" s="16"/>
      <c r="H168" s="16"/>
      <c r="I168" s="16"/>
      <c r="J168" s="16"/>
      <c r="K168" s="17"/>
      <c r="L168" s="26"/>
      <c r="M168" s="18"/>
      <c r="N168" s="19"/>
      <c r="O168" s="17"/>
      <c r="P168" s="17"/>
      <c r="Q168" s="17"/>
      <c r="R168" s="17"/>
      <c r="S168" s="17"/>
      <c r="T168" s="17"/>
      <c r="U168" s="20"/>
      <c r="V168" s="19"/>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20"/>
    </row>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R$168">
    <sortState ref="A1:AR168">
      <sortCondition ref="D1:D168"/>
      <sortCondition ref="L1:L168"/>
      <sortCondition ref="AQ1:AQ168"/>
      <sortCondition ref="O1:O168"/>
      <sortCondition ref="N1:N168"/>
      <sortCondition ref="J1:J168"/>
      <sortCondition descending="1" ref="F1:F168"/>
    </sortState>
  </autoFilter>
  <conditionalFormatting sqref="A2:M168">
    <cfRule type="expression" dxfId="0" priority="1">
      <formula>$G2="Yes"</formula>
    </cfRule>
  </conditionalFormatting>
  <conditionalFormatting sqref="N2:U168">
    <cfRule type="expression" dxfId="1" priority="2">
      <formula>$U2="incomplete"</formula>
    </cfRule>
  </conditionalFormatting>
  <conditionalFormatting sqref="N2:U168">
    <cfRule type="expression" dxfId="0" priority="3">
      <formula>$U2="No"</formula>
    </cfRule>
  </conditionalFormatting>
  <conditionalFormatting sqref="N2:U168">
    <cfRule type="expression" dxfId="2" priority="4">
      <formula>$U2="Yes"</formula>
    </cfRule>
  </conditionalFormatting>
  <conditionalFormatting sqref="V2:V58 V59:AR168 X2:AR58">
    <cfRule type="expression" dxfId="1" priority="5">
      <formula>$AQ2="incomplete"</formula>
    </cfRule>
  </conditionalFormatting>
  <conditionalFormatting sqref="V2:AR168">
    <cfRule type="expression" dxfId="0" priority="6">
      <formula>$AQ2="not suitable"</formula>
    </cfRule>
  </conditionalFormatting>
  <conditionalFormatting sqref="V2:AR168">
    <cfRule type="expression" dxfId="3" priority="7">
      <formula>$AQ2="intermediate"</formula>
    </cfRule>
  </conditionalFormatting>
  <conditionalFormatting sqref="V2:AR168">
    <cfRule type="expression" dxfId="0" priority="8">
      <formula>$AQ2="low"</formula>
    </cfRule>
  </conditionalFormatting>
  <conditionalFormatting sqref="V2:AR168">
    <cfRule type="expression" dxfId="2" priority="9">
      <formula>$AQ2="high"</formula>
    </cfRule>
  </conditionalFormatting>
  <conditionalFormatting sqref="W2:W58">
    <cfRule type="expression" dxfId="1" priority="10">
      <formula>$AQ2="incomplete"</formula>
    </cfRule>
  </conditionalFormatting>
  <dataValidations>
    <dataValidation type="list" allowBlank="1" showInputMessage="1" showErrorMessage="1" prompt="Additional information - This column is autopopulated based on the previous step of the procedure. However, you have the opportunity to modify it if, based on the scan of the full text, it appears that the study is finally not suitable for the analysis." sqref="W1">
      <formula1>"Yes,No"</formula1>
    </dataValidation>
    <dataValidation type="list" allowBlank="1" showInputMessage="1" showErrorMessage="1" promptTitle="Additional information" prompt="N.A.: not directly based on empirical data (e.g. reviews)_x000d_None: not reporting on observed changes in indicators_x000d_Indirect: reporting implicitly on temporal changes _x000d_Direct (qualitative): direction of changes_x000d_Direct (quantitative): m" sqref="AA1">
      <formula1>"n.a.,none,indirect,direct (qualitative),direct (quantitative)"</formula1>
    </dataValidation>
    <dataValidation type="list" allowBlank="1" showErrorMessage="1" sqref="AO2:AO168">
      <formula1>"none,qualitative,quantitative"</formula1>
    </dataValidation>
    <dataValidation type="list" allowBlank="1" showInputMessage="1" showErrorMessage="1" prompt="Additional information - Does the study analyse the impact of invasive alien species on the selected indicator(s)?" sqref="AI1">
      <formula1>"Yes,No"</formula1>
    </dataValidation>
    <dataValidation type="list" allowBlank="1" showInputMessage="1" showErrorMessage="1" prompt="Additional information - None: impact of driver(s) not assessed_x000d_Qualitative: direction of impact of driver(s) assessed_x000d_Quantitative: magnitude of impact of driver(s) assessed in quantitative terms" sqref="AM1">
      <formula1>"none,qualitative (direction),quantitative (magnitude)"</formula1>
    </dataValidation>
    <dataValidation type="list" allowBlank="1" showErrorMessage="1" sqref="P2:T168 W2:W168 AF2:AK168 AP2:AP168">
      <formula1>"Yes,No"</formula1>
    </dataValidation>
    <dataValidation type="list" allowBlank="1" showErrorMessage="1" sqref="X2:X168">
      <formula1>"empirical data,review,meta-analysis,other"</formula1>
    </dataValidation>
    <dataValidation type="list" allowBlank="1" showErrorMessage="1" sqref="Y2:Z168">
      <formula1>"none,one of the indicators,more than one of the indicators,unclear"</formula1>
    </dataValidation>
    <dataValidation type="list" allowBlank="1" showInputMessage="1" showErrorMessage="1" prompt="Additional information - Studies reporting on the predicted/expected/projected/modelled future impacts of IPBES direct drivers are NOT suitable for the analysis." sqref="R1">
      <formula1>"Yes,No"</formula1>
    </dataValidation>
    <dataValidation type="list" allowBlank="1" showInputMessage="1" showErrorMessage="1" promptTitle="Additional information" prompt="N.A.: e.g. for reviews_x000d_Local: typically smaller than a country_x000d_Regional: typically between a single country and several countries_x000d_Continental: covering all (or a representative set of) countries of a continent_x000d_Global: worldwide" sqref="AB1">
      <formula1>"local,regional,continental,global"</formula1>
    </dataValidation>
    <dataValidation type="list" allowBlank="1" showInputMessage="1" showErrorMessage="1" promptTitle="Additional information" prompt="None: relative importance not assessed_x000d_Nominal scale: important of drivers mentioned but not compared_x000d_Ordinal scale: drivers ranked/ordered by importance of impact_x000d_Ratio scale: relative importance of impact of each driver quantified" sqref="AN1">
      <formula1>"none,nominal scale,ordinal scale,ratio scale"</formula1>
    </dataValidation>
    <dataValidation type="list" allowBlank="1" showErrorMessage="1" sqref="AB2:AB168">
      <formula1>"local,regional,continental,global"</formula1>
    </dataValidation>
    <dataValidation type="list" allowBlank="1" showInputMessage="1" showErrorMessage="1" prompt="Additional information - Some studies use indicators that only include an implicit consideration of the temporal dimension (e.g. IUCN Red List of Threatened Species) but are suitable for the analysis." sqref="P1">
      <formula1>"Yes,No"</formula1>
    </dataValidation>
    <dataValidation type="list" allowBlank="1" showInputMessage="1" showErrorMessage="1" prompt="Additional information - Only studies reporting on the impact of IPBES direct drivers on at least one of the selected indicators (see spreadsheet 'Indicators') are suitable for the analysis." sqref="S1">
      <formula1>"Yes,No"</formula1>
    </dataValidation>
    <dataValidation type="list" allowBlank="1" showInputMessage="1" showErrorMessage="1" prompt="Additional information - Does the study analyse the impact of other driver(s) (e.g. human disturbance, fire) on the selected indicator(s)?" sqref="AK1">
      <formula1>"Yes,No"</formula1>
    </dataValidation>
    <dataValidation type="list" allowBlank="1" showInputMessage="1" showErrorMessage="1" prompt="Additional information - Does the study analyse the impact of resource extraction on the selected indicator(s)?" sqref="AH1">
      <formula1>"Yes,No"</formula1>
    </dataValidation>
    <dataValidation type="list" allowBlank="1" showInputMessage="1" showErrorMessage="1" promptTitle="Additional information" prompt="None: interactions not assessed (or only mentioned/discussed)_x000d_Qualitative: qualitative evidence for interactions_x000d_Quantitative: quantitative estimates of interactions_x000d__x000d_If the &quot;Number of drivers&quot; = 0 or 1, you should select &quot;none&quot;" sqref="AO1">
      <formula1>"none,qualitative,quantitative"</formula1>
    </dataValidation>
    <dataValidation type="list" allowBlank="1" showErrorMessage="1" sqref="AM2:AM168">
      <formula1>"none,qualitative (direction),quantitative (magnitude)"</formula1>
    </dataValidation>
    <dataValidation type="list" allowBlank="1" showInputMessage="1" showErrorMessage="1" prompt="Is your suitability check done? - Please indicate &quot;Yes&quot; once you have checked the suitability of this study and the suitability (next column) will be calculated automatically." sqref="T1">
      <formula1>"Yes,No"</formula1>
    </dataValidation>
    <dataValidation type="list" allowBlank="1" showInputMessage="1" showErrorMessage="1" prompt="Additional information - Does the study analyse the impact of climate change on the selected indicator(s)?" sqref="AF1">
      <formula1>"Yes,No"</formula1>
    </dataValidation>
    <dataValidation type="list" allowBlank="1" showInputMessage="1" showErrorMessage="1" promptTitle="Additional information" prompt="Does the study focus indirectly on one of the selected indicators (see spreadsheet 'Indicators')?_x000d_Ex: a study on wilderness areas may provide useful information for the indicator 'Extent of Remaining Primary Vegetation' without reporting explicitly " sqref="Z1">
      <formula1>"none,one of the indicators,more than one of the indicators,unclear"</formula1>
    </dataValidation>
    <dataValidation type="list" allowBlank="1" showInputMessage="1" showErrorMessage="1" prompt="Additional information - Does the study analyse the impact of pollution on the selected indicator(s)?" sqref="AJ1">
      <formula1>"Yes,No"</formula1>
    </dataValidation>
    <dataValidation type="list" allowBlank="1" showInputMessage="1" showErrorMessage="1" prompt="Additional information - Does the study focus explicitly and directly on (more than) one of the selected indicators (see spreadsheet 'Indicators')?" sqref="Y1">
      <formula1>"none,one of the indicators,more than one of the indicators,unclear"</formula1>
    </dataValidation>
    <dataValidation type="list" allowBlank="1" showInputMessage="1" showErrorMessage="1" promptTitle="Additional information" prompt="Empirical data: using any sort of data, even if from an existing database_x000d_Review: qualitative/descriptive synthesis of the existing literature_x000d_Meta-analysis: quantitative synthesis of the literature or analysis of multiple datasets_x000d_Other" sqref="X1">
      <formula1>"empirical data,review,meta-analysis,other"</formula1>
    </dataValidation>
    <dataValidation type="list" allowBlank="1" showErrorMessage="1" sqref="AN2:AN168">
      <formula1>"none,nominal scale,ordinal scale,ratio scale"</formula1>
    </dataValidation>
    <dataValidation type="list" allowBlank="1" showErrorMessage="1" sqref="AA2:AA168">
      <formula1>"n.a.,none,indirect,direct (qualitative),direct (quantitative)"</formula1>
    </dataValidation>
    <dataValidation type="list" allowBlank="1" showInputMessage="1" showErrorMessage="1" prompt="Additional information - Does the study analyse the impact of land/sea use change on the selected indicator(s)?" sqref="AG1">
      <formula1>"Yes,No"</formula1>
    </dataValidation>
    <dataValidation type="list" allowBlank="1" showInputMessage="1" showErrorMessage="1" promptTitle="Additional information" prompt="Prevalence-based: prevalence of different drivers identified as threat among a list of species_x000d_Effect-based: relating temporal/spatial changes in driver(s) to changes in indicator(s)_x000d_Trait-based: impact of driver(s) assumed from changes in tra" sqref="AL1">
      <formula1>"n.a.,none,prevalence-based,effect-based,trait-based"</formula1>
    </dataValidation>
    <dataValidation type="list" allowBlank="1" showInputMessage="1" showErrorMessage="1" prompt="Additional information - Only studies assessing the impacts of at least two IPBES direct drivers (see spreadsheet 'Drivers') are suitable for the analysis." sqref="Q1">
      <formula1>"Yes,No"</formula1>
    </dataValidation>
    <dataValidation type="list" allowBlank="1" showErrorMessage="1" sqref="AL2:AL168">
      <formula1>"n.a.,none,prevalence-based,effect-based,trait-based"</formula1>
    </dataValidation>
    <dataValidation type="list" allowBlank="1" showInputMessage="1" showErrorMessage="1" prompt="Is your assessment completed? - Please indicate &quot;Yes&quot; once you have completed the assessment of this item and the priority level (next column) will be calculated automatically." sqref="AP1">
      <formula1>"Yes,No"</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3.0" ySplit="1.0" topLeftCell="N2" activePane="bottomRight" state="frozen"/>
      <selection activeCell="N1" sqref="N1" pane="topRight"/>
      <selection activeCell="A2" sqref="A2" pane="bottomLeft"/>
      <selection activeCell="N2" sqref="N2" pane="bottomRight"/>
    </sheetView>
  </sheetViews>
  <sheetFormatPr customHeight="1" defaultColWidth="12.63" defaultRowHeight="15.0"/>
  <cols>
    <col customWidth="1" min="1" max="9" width="7.5"/>
    <col customWidth="1" min="10" max="10" width="4.63"/>
    <col customWidth="1" min="11" max="11" width="10.88"/>
    <col customWidth="1" min="12" max="12" width="10.63"/>
    <col customWidth="1" min="13" max="13" width="20.88"/>
    <col customWidth="1" min="14" max="14" width="14.75"/>
    <col customWidth="1" min="15" max="15" width="10.13"/>
    <col customWidth="1" min="16" max="16" width="18.75"/>
    <col customWidth="1" min="17" max="17" width="13.13"/>
    <col customWidth="1" min="18" max="18" width="15.88"/>
    <col customWidth="1" min="19" max="20" width="14.63"/>
    <col customWidth="1" min="21" max="21" width="14.75"/>
    <col customWidth="1" min="22" max="22" width="10.5"/>
    <col customWidth="1" min="23" max="23" width="13.88"/>
    <col customWidth="1" min="24" max="24" width="15.88"/>
    <col customWidth="1" min="25" max="25" width="24.38"/>
    <col customWidth="1" min="26" max="26" width="27.0"/>
    <col customWidth="1" min="27" max="27" width="22.63"/>
    <col customWidth="1" min="28" max="28" width="16.63"/>
    <col customWidth="1" min="29" max="29" width="29.38"/>
    <col customWidth="1" min="30" max="31" width="24.0"/>
    <col customWidth="1" min="32" max="37" width="18.75"/>
    <col customWidth="1" min="38" max="38" width="25.25"/>
    <col customWidth="1" min="39" max="41" width="29.38"/>
    <col customWidth="1" min="42" max="42" width="18.13"/>
    <col customWidth="1" min="43" max="43" width="13.63"/>
    <col customWidth="1" min="44" max="44" width="100.63"/>
  </cols>
  <sheetData>
    <row r="1" ht="58.5" customHeight="1">
      <c r="A1" s="11" t="s">
        <v>1277</v>
      </c>
      <c r="B1" s="12" t="s">
        <v>1278</v>
      </c>
      <c r="C1" s="11" t="s">
        <v>1279</v>
      </c>
      <c r="D1" s="12" t="s">
        <v>1280</v>
      </c>
      <c r="E1" s="12" t="s">
        <v>1281</v>
      </c>
      <c r="F1" s="11" t="s">
        <v>1282</v>
      </c>
      <c r="G1" s="11" t="s">
        <v>1283</v>
      </c>
      <c r="H1" s="11" t="s">
        <v>1284</v>
      </c>
      <c r="I1" s="11" t="s">
        <v>1285</v>
      </c>
      <c r="J1" s="12" t="s">
        <v>1286</v>
      </c>
      <c r="K1" s="12" t="s">
        <v>1287</v>
      </c>
      <c r="L1" s="12" t="s">
        <v>5001</v>
      </c>
      <c r="M1" s="13" t="s">
        <v>1288</v>
      </c>
      <c r="N1" s="14" t="s">
        <v>1289</v>
      </c>
      <c r="O1" s="12" t="s">
        <v>1290</v>
      </c>
      <c r="P1" s="12" t="s">
        <v>1291</v>
      </c>
      <c r="Q1" s="12" t="s">
        <v>1292</v>
      </c>
      <c r="R1" s="12" t="s">
        <v>1293</v>
      </c>
      <c r="S1" s="12" t="s">
        <v>1294</v>
      </c>
      <c r="T1" s="12" t="s">
        <v>1295</v>
      </c>
      <c r="U1" s="13" t="s">
        <v>1296</v>
      </c>
      <c r="V1" s="14" t="s">
        <v>1297</v>
      </c>
      <c r="W1" s="12" t="s">
        <v>1296</v>
      </c>
      <c r="X1" s="12" t="s">
        <v>1298</v>
      </c>
      <c r="Y1" s="15" t="s">
        <v>5011</v>
      </c>
      <c r="Z1" s="15" t="s">
        <v>5012</v>
      </c>
      <c r="AA1" s="15" t="s">
        <v>1301</v>
      </c>
      <c r="AB1" s="12" t="s">
        <v>1302</v>
      </c>
      <c r="AC1" s="12" t="s">
        <v>1303</v>
      </c>
      <c r="AD1" s="12" t="s">
        <v>1304</v>
      </c>
      <c r="AE1" s="12" t="s">
        <v>1305</v>
      </c>
      <c r="AF1" s="12" t="s">
        <v>5013</v>
      </c>
      <c r="AG1" s="12" t="s">
        <v>5014</v>
      </c>
      <c r="AH1" s="12" t="s">
        <v>5015</v>
      </c>
      <c r="AI1" s="12" t="s">
        <v>5016</v>
      </c>
      <c r="AJ1" s="12" t="s">
        <v>5017</v>
      </c>
      <c r="AK1" s="12" t="s">
        <v>5018</v>
      </c>
      <c r="AL1" s="12" t="s">
        <v>1312</v>
      </c>
      <c r="AM1" s="12" t="s">
        <v>1313</v>
      </c>
      <c r="AN1" s="12" t="s">
        <v>1314</v>
      </c>
      <c r="AO1" s="12" t="s">
        <v>1315</v>
      </c>
      <c r="AP1" s="12" t="s">
        <v>1316</v>
      </c>
      <c r="AQ1" s="12" t="s">
        <v>1317</v>
      </c>
      <c r="AR1" s="13" t="s">
        <v>1318</v>
      </c>
    </row>
    <row r="2" ht="15.75" customHeight="1">
      <c r="A2" s="16" t="s">
        <v>1914</v>
      </c>
      <c r="B2" s="16" t="s">
        <v>64</v>
      </c>
      <c r="C2" s="16">
        <v>2016.0</v>
      </c>
      <c r="D2" s="16" t="s">
        <v>1915</v>
      </c>
      <c r="E2" s="16" t="s">
        <v>1916</v>
      </c>
      <c r="F2" s="16" t="s">
        <v>1917</v>
      </c>
      <c r="G2" s="16" t="str">
        <f t="shared" ref="G2:G159" si="1">IF(H2="Yes","Yes",IF(I2="Yes","Yes","No"))</f>
        <v>No</v>
      </c>
      <c r="H2" s="16" t="s">
        <v>1324</v>
      </c>
      <c r="I2" s="16" t="s">
        <v>1324</v>
      </c>
      <c r="J2" s="16">
        <v>165.0</v>
      </c>
      <c r="K2" s="17" t="s">
        <v>1918</v>
      </c>
      <c r="L2" s="17" t="s">
        <v>5010</v>
      </c>
      <c r="M2" s="18" t="str">
        <f t="shared" ref="M2:M159" si="2">IF(F2&lt;&gt;"",HYPERLINK(CONCATENATE("http://dx.doi.org/",F2)),"")</f>
        <v>http://dx.doi.org/10.1016/j.scitotenv.2016.03.055</v>
      </c>
      <c r="N2" s="19" t="s">
        <v>1835</v>
      </c>
      <c r="O2" s="17" t="s">
        <v>1387</v>
      </c>
      <c r="P2" s="17" t="s">
        <v>1328</v>
      </c>
      <c r="Q2" s="17" t="s">
        <v>1328</v>
      </c>
      <c r="R2" s="17" t="s">
        <v>1328</v>
      </c>
      <c r="S2" s="17" t="s">
        <v>1328</v>
      </c>
      <c r="T2" s="17" t="s">
        <v>1328</v>
      </c>
      <c r="U2" s="20" t="str">
        <f t="shared" ref="U2:U159" si="3">IF(T2="Yes",IF(P2&lt;&gt;"",IF(Q2&lt;&gt;"",IF(R2&lt;&gt;"",IF(S2&lt;&gt;"",IF(P2="Yes",IF(Q2="Yes",IF(R2="Yes",IF(S2="Yes","Yes","No"),"No"),"No"),"No"),"incomplete"),"incomplete"),"incomplete"),"incomplete"),"")</f>
        <v>Yes</v>
      </c>
      <c r="V2" s="19" t="str">
        <f t="shared" ref="V2:V159" si="4">O2</f>
        <v>MW</v>
      </c>
      <c r="W2" s="17" t="str">
        <f t="shared" ref="W2:W159" si="5">U2</f>
        <v>Yes</v>
      </c>
      <c r="X2" s="17" t="s">
        <v>1329</v>
      </c>
      <c r="Y2" s="17" t="s">
        <v>1330</v>
      </c>
      <c r="Z2" s="17" t="s">
        <v>1331</v>
      </c>
      <c r="AA2" s="17" t="s">
        <v>1347</v>
      </c>
      <c r="AB2" s="17" t="s">
        <v>1333</v>
      </c>
      <c r="AC2" s="17" t="s">
        <v>1361</v>
      </c>
      <c r="AD2" s="17" t="s">
        <v>1362</v>
      </c>
      <c r="AE2" s="17">
        <f t="shared" ref="AE2:AE159" si="6">COUNTIF(AF2:AK2,"Yes")</f>
        <v>2</v>
      </c>
      <c r="AF2" s="17" t="s">
        <v>1336</v>
      </c>
      <c r="AG2" s="17" t="s">
        <v>1328</v>
      </c>
      <c r="AH2" s="17" t="s">
        <v>1336</v>
      </c>
      <c r="AI2" s="17" t="s">
        <v>1336</v>
      </c>
      <c r="AJ2" s="17" t="s">
        <v>1328</v>
      </c>
      <c r="AK2" s="17" t="s">
        <v>1336</v>
      </c>
      <c r="AL2" s="17" t="s">
        <v>1350</v>
      </c>
      <c r="AM2" s="17" t="s">
        <v>1351</v>
      </c>
      <c r="AN2" s="17" t="s">
        <v>1363</v>
      </c>
      <c r="AO2" s="17" t="s">
        <v>1388</v>
      </c>
      <c r="AP2" s="17" t="s">
        <v>1328</v>
      </c>
      <c r="AQ2" s="17" t="str">
        <f t="shared" ref="AQ2:AQ159" si="7">IF(AP2="Yes",IF(W2="No","not suitable",IF(X2&lt;&gt;"",IF(Y2&lt;&gt;"",IF(Z2&lt;&gt;"",IF(AA2&lt;&gt;"",IF(AB2&lt;&gt;"",IF(AC2&lt;&gt;"",IF(AD2&lt;&gt;"",IF(AE2&lt;&gt;"",IF(AF2&lt;&gt;"",IF(AG2&lt;&gt;"",IF(AH2&lt;&gt;"",IF(AI2&lt;&gt;"",IF(AJ2&lt;&gt;"",IF(AK2&lt;&gt;"",IF(AL2&lt;&gt;"",IF(AM2&lt;&gt;"",IF(AN2&lt;&gt;"",IF(AO2&lt;&gt;"",IF(AE2&gt;=2,IF(AM2="none","low",IF(AN2="ordinal scale",IF(AB2="local",IF(X2="empirical data",IF(AA2="none","low","intermediate"),"intermediate"),IF(C2&lt;2005, IF(X2="empirical data",IF(AA2="none","low","intermediate"),"intermediate"),IF(Y2="none",IF(Z2="none","low",IF(Z2="unclear","low",IF(X2="empirical data",IF(AA2="none","low","intermediate"),"intermediate"))),IF(Y2="unclear",IF(Z2="none","low",IF(Z2="unclear","low",IF(X2="empirical data",IF(AA2="none","low","intermediate"),"intermediate"))),IF(X2="empirical data",IF(AA2="none","low","high"),"high"))))),IF(AN2="ratio scale",IF(AB2="local",IF(X2="empirical data",IF(AA2="none","low","intermediate"),"intermediate"),IF(C2&lt;2005, IF(X2="empirical data",IF(AA2="none","low","intermediate"),"intermediate"),IF(Y2="none",IF(Z2="none","low",IF(Z2="unclear","low",IF(X2="empirical data",IF(AA2="none","low","intermediate"),"intermediate"))),IF(Y2="unclear",IF(Z2="none","low",IF(Z2="unclear","low","intermediate")), IF(X2="empirical data",IF(AA2="none","low","high"),"high"))))),"low"))),"low"),"incomplete"),"incomplete"),"incomplete"),"incomplete"),"incomplete"),"incomplete"),"incomplete"),"incomplete"),"incomplete"),"incomplete"),"incomplete"),"incomplete"),"incomplete"),"incomplete"),"incomplete"),"incomplete"),"incomplete"),"incomplete")),"")</f>
        <v>intermediate</v>
      </c>
      <c r="AR2" s="20"/>
    </row>
    <row r="3" ht="15.75" customHeight="1">
      <c r="A3" s="16" t="s">
        <v>1645</v>
      </c>
      <c r="B3" s="16" t="s">
        <v>774</v>
      </c>
      <c r="C3" s="16">
        <v>2017.0</v>
      </c>
      <c r="D3" s="16" t="s">
        <v>1646</v>
      </c>
      <c r="E3" s="16" t="s">
        <v>1647</v>
      </c>
      <c r="F3" s="16" t="s">
        <v>1648</v>
      </c>
      <c r="G3" s="16" t="str">
        <f t="shared" si="1"/>
        <v>No</v>
      </c>
      <c r="H3" s="16" t="s">
        <v>1324</v>
      </c>
      <c r="I3" s="16" t="s">
        <v>1324</v>
      </c>
      <c r="J3" s="16">
        <v>115.0</v>
      </c>
      <c r="K3" s="17" t="s">
        <v>1649</v>
      </c>
      <c r="L3" s="17" t="s">
        <v>5010</v>
      </c>
      <c r="M3" s="18" t="str">
        <f t="shared" si="2"/>
        <v>http://dx.doi.org/10.1111/gcb.13714</v>
      </c>
      <c r="N3" s="19" t="s">
        <v>1346</v>
      </c>
      <c r="O3" s="17" t="s">
        <v>1470</v>
      </c>
      <c r="P3" s="17" t="s">
        <v>1328</v>
      </c>
      <c r="Q3" s="17" t="s">
        <v>1328</v>
      </c>
      <c r="R3" s="17" t="s">
        <v>1328</v>
      </c>
      <c r="S3" s="17" t="s">
        <v>1328</v>
      </c>
      <c r="T3" s="17" t="s">
        <v>1328</v>
      </c>
      <c r="U3" s="20" t="str">
        <f t="shared" si="3"/>
        <v>Yes</v>
      </c>
      <c r="V3" s="19" t="str">
        <f t="shared" si="4"/>
        <v>AG</v>
      </c>
      <c r="W3" s="17" t="str">
        <f t="shared" si="5"/>
        <v>Yes</v>
      </c>
      <c r="X3" s="17" t="s">
        <v>1463</v>
      </c>
      <c r="Y3" s="17" t="s">
        <v>1372</v>
      </c>
      <c r="Z3" s="17" t="s">
        <v>1331</v>
      </c>
      <c r="AA3" s="17" t="s">
        <v>1331</v>
      </c>
      <c r="AB3" s="17" t="s">
        <v>1444</v>
      </c>
      <c r="AC3" s="17" t="s">
        <v>1445</v>
      </c>
      <c r="AD3" s="17" t="s">
        <v>1362</v>
      </c>
      <c r="AE3" s="17">
        <f t="shared" si="6"/>
        <v>3</v>
      </c>
      <c r="AF3" s="17" t="s">
        <v>1336</v>
      </c>
      <c r="AG3" s="17" t="s">
        <v>1328</v>
      </c>
      <c r="AH3" s="17" t="s">
        <v>1336</v>
      </c>
      <c r="AI3" s="17" t="s">
        <v>1336</v>
      </c>
      <c r="AJ3" s="17" t="s">
        <v>1328</v>
      </c>
      <c r="AK3" s="17" t="s">
        <v>1328</v>
      </c>
      <c r="AL3" s="17" t="s">
        <v>1350</v>
      </c>
      <c r="AM3" s="17" t="s">
        <v>1351</v>
      </c>
      <c r="AN3" s="17" t="s">
        <v>1339</v>
      </c>
      <c r="AO3" s="17" t="s">
        <v>1374</v>
      </c>
      <c r="AP3" s="17" t="s">
        <v>1328</v>
      </c>
      <c r="AQ3" s="17" t="str">
        <f t="shared" si="7"/>
        <v>high</v>
      </c>
      <c r="AR3" s="20"/>
    </row>
    <row r="4" ht="15.75" customHeight="1">
      <c r="A4" s="16" t="s">
        <v>1736</v>
      </c>
      <c r="B4" s="16" t="s">
        <v>1731</v>
      </c>
      <c r="C4" s="16">
        <v>2012.0</v>
      </c>
      <c r="D4" s="16" t="s">
        <v>1737</v>
      </c>
      <c r="E4" s="16" t="s">
        <v>1738</v>
      </c>
      <c r="F4" s="16" t="s">
        <v>1739</v>
      </c>
      <c r="G4" s="16" t="str">
        <f t="shared" si="1"/>
        <v>No</v>
      </c>
      <c r="H4" s="16" t="s">
        <v>1324</v>
      </c>
      <c r="I4" s="16" t="s">
        <v>1324</v>
      </c>
      <c r="J4" s="16">
        <v>28.0</v>
      </c>
      <c r="K4" s="17" t="s">
        <v>1740</v>
      </c>
      <c r="L4" s="17" t="s">
        <v>5010</v>
      </c>
      <c r="M4" s="18" t="str">
        <f t="shared" si="2"/>
        <v>http://dx.doi.org/10.1093/icesjms/fss072</v>
      </c>
      <c r="N4" s="19" t="s">
        <v>1545</v>
      </c>
      <c r="O4" s="17" t="s">
        <v>1470</v>
      </c>
      <c r="P4" s="17" t="s">
        <v>1328</v>
      </c>
      <c r="Q4" s="17" t="s">
        <v>1328</v>
      </c>
      <c r="R4" s="17" t="s">
        <v>1328</v>
      </c>
      <c r="S4" s="17" t="s">
        <v>1328</v>
      </c>
      <c r="T4" s="17" t="s">
        <v>1328</v>
      </c>
      <c r="U4" s="20" t="str">
        <f t="shared" si="3"/>
        <v>Yes</v>
      </c>
      <c r="V4" s="19" t="str">
        <f t="shared" si="4"/>
        <v>AG</v>
      </c>
      <c r="W4" s="17" t="str">
        <f t="shared" si="5"/>
        <v>Yes</v>
      </c>
      <c r="X4" s="17" t="s">
        <v>1329</v>
      </c>
      <c r="Y4" s="17" t="s">
        <v>1330</v>
      </c>
      <c r="Z4" s="17" t="s">
        <v>1331</v>
      </c>
      <c r="AA4" s="17" t="s">
        <v>1347</v>
      </c>
      <c r="AB4" s="17" t="s">
        <v>1360</v>
      </c>
      <c r="AC4" s="17" t="s">
        <v>1361</v>
      </c>
      <c r="AD4" s="17" t="s">
        <v>1349</v>
      </c>
      <c r="AE4" s="17">
        <f t="shared" si="6"/>
        <v>2</v>
      </c>
      <c r="AF4" s="17" t="s">
        <v>1328</v>
      </c>
      <c r="AG4" s="17" t="s">
        <v>1336</v>
      </c>
      <c r="AH4" s="17" t="s">
        <v>1336</v>
      </c>
      <c r="AI4" s="17" t="s">
        <v>1336</v>
      </c>
      <c r="AJ4" s="17" t="s">
        <v>1328</v>
      </c>
      <c r="AK4" s="17" t="s">
        <v>1336</v>
      </c>
      <c r="AL4" s="17" t="s">
        <v>1350</v>
      </c>
      <c r="AM4" s="17" t="s">
        <v>1351</v>
      </c>
      <c r="AN4" s="17" t="s">
        <v>1339</v>
      </c>
      <c r="AO4" s="17" t="s">
        <v>1331</v>
      </c>
      <c r="AP4" s="17" t="s">
        <v>1328</v>
      </c>
      <c r="AQ4" s="17" t="str">
        <f t="shared" si="7"/>
        <v>high</v>
      </c>
      <c r="AR4" s="20"/>
    </row>
    <row r="5" ht="15.75" customHeight="1">
      <c r="A5" s="16" t="s">
        <v>2114</v>
      </c>
      <c r="B5" s="16" t="s">
        <v>251</v>
      </c>
      <c r="C5" s="16">
        <v>2012.0</v>
      </c>
      <c r="D5" s="16" t="s">
        <v>2115</v>
      </c>
      <c r="E5" s="16" t="s">
        <v>2116</v>
      </c>
      <c r="F5" s="16" t="s">
        <v>2117</v>
      </c>
      <c r="G5" s="16" t="str">
        <f t="shared" si="1"/>
        <v>Yes</v>
      </c>
      <c r="H5" s="16" t="s">
        <v>1324</v>
      </c>
      <c r="I5" s="16" t="s">
        <v>1328</v>
      </c>
      <c r="J5" s="16">
        <v>63.0</v>
      </c>
      <c r="K5" s="17" t="s">
        <v>2118</v>
      </c>
      <c r="L5" s="17" t="s">
        <v>5010</v>
      </c>
      <c r="M5" s="18" t="str">
        <f t="shared" si="2"/>
        <v>http://dx.doi.org/10.1016/j.biocon.2012.01.062</v>
      </c>
      <c r="N5" s="19" t="s">
        <v>1442</v>
      </c>
      <c r="O5" s="17" t="s">
        <v>1327</v>
      </c>
      <c r="P5" s="17" t="s">
        <v>1328</v>
      </c>
      <c r="Q5" s="17" t="s">
        <v>1328</v>
      </c>
      <c r="R5" s="17" t="s">
        <v>1328</v>
      </c>
      <c r="S5" s="17" t="s">
        <v>1328</v>
      </c>
      <c r="T5" s="17" t="s">
        <v>1328</v>
      </c>
      <c r="U5" s="20" t="str">
        <f t="shared" si="3"/>
        <v>Yes</v>
      </c>
      <c r="V5" s="19" t="str">
        <f t="shared" si="4"/>
        <v>PJ</v>
      </c>
      <c r="W5" s="17" t="str">
        <f t="shared" si="5"/>
        <v>Yes</v>
      </c>
      <c r="X5" s="17" t="s">
        <v>1443</v>
      </c>
      <c r="Y5" s="17" t="s">
        <v>1330</v>
      </c>
      <c r="Z5" s="17" t="s">
        <v>1331</v>
      </c>
      <c r="AA5" s="17" t="s">
        <v>1347</v>
      </c>
      <c r="AB5" s="17" t="s">
        <v>1660</v>
      </c>
      <c r="AC5" s="17" t="s">
        <v>1381</v>
      </c>
      <c r="AD5" s="17" t="s">
        <v>1446</v>
      </c>
      <c r="AE5" s="17">
        <f t="shared" si="6"/>
        <v>6</v>
      </c>
      <c r="AF5" s="17" t="s">
        <v>1328</v>
      </c>
      <c r="AG5" s="17" t="s">
        <v>1328</v>
      </c>
      <c r="AH5" s="17" t="s">
        <v>1328</v>
      </c>
      <c r="AI5" s="17" t="s">
        <v>1328</v>
      </c>
      <c r="AJ5" s="17" t="s">
        <v>1328</v>
      </c>
      <c r="AK5" s="17" t="s">
        <v>1328</v>
      </c>
      <c r="AL5" s="17" t="s">
        <v>1395</v>
      </c>
      <c r="AM5" s="17" t="s">
        <v>1351</v>
      </c>
      <c r="AN5" s="17" t="s">
        <v>1363</v>
      </c>
      <c r="AO5" s="17" t="s">
        <v>1331</v>
      </c>
      <c r="AP5" s="17" t="s">
        <v>1328</v>
      </c>
      <c r="AQ5" s="17" t="str">
        <f t="shared" si="7"/>
        <v>high</v>
      </c>
      <c r="AR5" s="20" t="s">
        <v>2119</v>
      </c>
    </row>
    <row r="6" ht="15.75" customHeight="1">
      <c r="A6" s="16" t="s">
        <v>2205</v>
      </c>
      <c r="B6" s="16" t="s">
        <v>1824</v>
      </c>
      <c r="C6" s="16">
        <v>2016.0</v>
      </c>
      <c r="D6" s="16" t="s">
        <v>2206</v>
      </c>
      <c r="E6" s="16" t="s">
        <v>2207</v>
      </c>
      <c r="F6" s="16" t="s">
        <v>2208</v>
      </c>
      <c r="G6" s="16" t="str">
        <f t="shared" si="1"/>
        <v>No</v>
      </c>
      <c r="H6" s="16" t="s">
        <v>1324</v>
      </c>
      <c r="I6" s="16" t="s">
        <v>1324</v>
      </c>
      <c r="J6" s="16">
        <v>88.0</v>
      </c>
      <c r="K6" s="17" t="s">
        <v>2209</v>
      </c>
      <c r="L6" s="17" t="s">
        <v>5010</v>
      </c>
      <c r="M6" s="18" t="str">
        <f t="shared" si="2"/>
        <v>http://dx.doi.org/10.1007/s10531-016-1172-0</v>
      </c>
      <c r="N6" s="19" t="s">
        <v>1482</v>
      </c>
      <c r="O6" s="17" t="s">
        <v>1327</v>
      </c>
      <c r="P6" s="17" t="s">
        <v>1328</v>
      </c>
      <c r="Q6" s="17" t="s">
        <v>1328</v>
      </c>
      <c r="R6" s="17" t="s">
        <v>1328</v>
      </c>
      <c r="S6" s="17" t="s">
        <v>1328</v>
      </c>
      <c r="T6" s="17" t="s">
        <v>1328</v>
      </c>
      <c r="U6" s="20" t="str">
        <f t="shared" si="3"/>
        <v>Yes</v>
      </c>
      <c r="V6" s="19" t="str">
        <f t="shared" si="4"/>
        <v>PJ</v>
      </c>
      <c r="W6" s="17" t="str">
        <f t="shared" si="5"/>
        <v>Yes</v>
      </c>
      <c r="X6" s="17" t="s">
        <v>1443</v>
      </c>
      <c r="Y6" s="17" t="s">
        <v>1330</v>
      </c>
      <c r="Z6" s="17" t="s">
        <v>1523</v>
      </c>
      <c r="AA6" s="17" t="s">
        <v>1332</v>
      </c>
      <c r="AB6" s="17" t="s">
        <v>1360</v>
      </c>
      <c r="AC6" s="17" t="s">
        <v>1361</v>
      </c>
      <c r="AD6" s="17" t="s">
        <v>1362</v>
      </c>
      <c r="AE6" s="17">
        <f t="shared" si="6"/>
        <v>3</v>
      </c>
      <c r="AF6" s="17" t="s">
        <v>1328</v>
      </c>
      <c r="AG6" s="17" t="s">
        <v>1328</v>
      </c>
      <c r="AH6" s="17" t="s">
        <v>1328</v>
      </c>
      <c r="AI6" s="17" t="s">
        <v>1336</v>
      </c>
      <c r="AJ6" s="17" t="s">
        <v>1336</v>
      </c>
      <c r="AK6" s="17" t="s">
        <v>1336</v>
      </c>
      <c r="AL6" s="17" t="s">
        <v>1395</v>
      </c>
      <c r="AM6" s="17" t="s">
        <v>1351</v>
      </c>
      <c r="AN6" s="17" t="s">
        <v>1339</v>
      </c>
      <c r="AO6" s="17" t="s">
        <v>1331</v>
      </c>
      <c r="AP6" s="17" t="s">
        <v>1328</v>
      </c>
      <c r="AQ6" s="17" t="str">
        <f t="shared" si="7"/>
        <v>high</v>
      </c>
      <c r="AR6" s="20"/>
    </row>
    <row r="7" ht="15.75" customHeight="1">
      <c r="A7" s="16" t="s">
        <v>2288</v>
      </c>
      <c r="B7" s="16" t="s">
        <v>2289</v>
      </c>
      <c r="C7" s="16">
        <v>2006.0</v>
      </c>
      <c r="D7" s="16" t="s">
        <v>2290</v>
      </c>
      <c r="E7" s="16" t="s">
        <v>2291</v>
      </c>
      <c r="F7" s="23" t="s">
        <v>1324</v>
      </c>
      <c r="G7" s="16" t="str">
        <f t="shared" si="1"/>
        <v>No</v>
      </c>
      <c r="H7" s="16" t="s">
        <v>1324</v>
      </c>
      <c r="I7" s="16" t="s">
        <v>1324</v>
      </c>
      <c r="J7" s="16">
        <v>145.0</v>
      </c>
      <c r="K7" s="17" t="s">
        <v>2292</v>
      </c>
      <c r="L7" s="17" t="s">
        <v>5010</v>
      </c>
      <c r="M7" s="18" t="str">
        <f t="shared" si="2"/>
        <v/>
      </c>
      <c r="N7" s="19" t="s">
        <v>1370</v>
      </c>
      <c r="O7" s="17" t="s">
        <v>1371</v>
      </c>
      <c r="P7" s="17" t="s">
        <v>1328</v>
      </c>
      <c r="Q7" s="17" t="s">
        <v>1328</v>
      </c>
      <c r="R7" s="17" t="s">
        <v>1328</v>
      </c>
      <c r="S7" s="17" t="s">
        <v>1328</v>
      </c>
      <c r="T7" s="17" t="s">
        <v>1328</v>
      </c>
      <c r="U7" s="20" t="str">
        <f t="shared" si="3"/>
        <v>Yes</v>
      </c>
      <c r="V7" s="19" t="str">
        <f t="shared" si="4"/>
        <v>LC</v>
      </c>
      <c r="W7" s="17" t="str">
        <f t="shared" si="5"/>
        <v>Yes</v>
      </c>
      <c r="X7" s="17" t="s">
        <v>1329</v>
      </c>
      <c r="Y7" s="17" t="s">
        <v>1372</v>
      </c>
      <c r="Z7" s="17" t="s">
        <v>1331</v>
      </c>
      <c r="AA7" s="17" t="s">
        <v>1347</v>
      </c>
      <c r="AB7" s="17" t="s">
        <v>1333</v>
      </c>
      <c r="AC7" s="17" t="s">
        <v>1381</v>
      </c>
      <c r="AD7" s="17" t="s">
        <v>1373</v>
      </c>
      <c r="AE7" s="17">
        <f t="shared" si="6"/>
        <v>3</v>
      </c>
      <c r="AF7" s="17" t="s">
        <v>1336</v>
      </c>
      <c r="AG7" s="17" t="s">
        <v>1328</v>
      </c>
      <c r="AH7" s="17" t="s">
        <v>1328</v>
      </c>
      <c r="AI7" s="17" t="s">
        <v>1336</v>
      </c>
      <c r="AJ7" s="17" t="s">
        <v>1328</v>
      </c>
      <c r="AK7" s="17" t="s">
        <v>1336</v>
      </c>
      <c r="AL7" s="17" t="s">
        <v>1395</v>
      </c>
      <c r="AM7" s="17" t="s">
        <v>1338</v>
      </c>
      <c r="AN7" s="17" t="s">
        <v>1363</v>
      </c>
      <c r="AO7" s="17" t="s">
        <v>1374</v>
      </c>
      <c r="AP7" s="17" t="s">
        <v>1328</v>
      </c>
      <c r="AQ7" s="17" t="str">
        <f t="shared" si="7"/>
        <v>intermediate</v>
      </c>
      <c r="AR7" s="20"/>
    </row>
    <row r="8" ht="15.75" customHeight="1">
      <c r="A8" s="16" t="s">
        <v>2076</v>
      </c>
      <c r="B8" s="16" t="s">
        <v>2077</v>
      </c>
      <c r="C8" s="16">
        <v>2009.0</v>
      </c>
      <c r="D8" s="16" t="s">
        <v>2078</v>
      </c>
      <c r="E8" s="16" t="s">
        <v>2079</v>
      </c>
      <c r="F8" s="16" t="s">
        <v>2080</v>
      </c>
      <c r="G8" s="16" t="str">
        <f t="shared" si="1"/>
        <v>No</v>
      </c>
      <c r="H8" s="16" t="s">
        <v>1324</v>
      </c>
      <c r="I8" s="16" t="s">
        <v>1324</v>
      </c>
      <c r="J8" s="16">
        <v>45.0</v>
      </c>
      <c r="K8" s="17" t="s">
        <v>2081</v>
      </c>
      <c r="L8" s="17" t="s">
        <v>5010</v>
      </c>
      <c r="M8" s="18" t="str">
        <f t="shared" si="2"/>
        <v>http://dx.doi.org/10.1016/j.ecolecon.2009.07.001</v>
      </c>
      <c r="N8" s="19" t="s">
        <v>1358</v>
      </c>
      <c r="O8" s="17" t="s">
        <v>1371</v>
      </c>
      <c r="P8" s="17" t="s">
        <v>1328</v>
      </c>
      <c r="Q8" s="17" t="s">
        <v>1328</v>
      </c>
      <c r="R8" s="17" t="s">
        <v>1328</v>
      </c>
      <c r="S8" s="17" t="s">
        <v>1328</v>
      </c>
      <c r="T8" s="17" t="s">
        <v>1328</v>
      </c>
      <c r="U8" s="20" t="str">
        <f t="shared" si="3"/>
        <v>Yes</v>
      </c>
      <c r="V8" s="19" t="str">
        <f t="shared" si="4"/>
        <v>LC</v>
      </c>
      <c r="W8" s="17" t="str">
        <f t="shared" si="5"/>
        <v>Yes</v>
      </c>
      <c r="X8" s="17" t="s">
        <v>1443</v>
      </c>
      <c r="Y8" s="17" t="s">
        <v>1330</v>
      </c>
      <c r="Z8" s="17" t="s">
        <v>1331</v>
      </c>
      <c r="AA8" s="17" t="s">
        <v>1332</v>
      </c>
      <c r="AB8" s="17" t="s">
        <v>1444</v>
      </c>
      <c r="AC8" s="17" t="s">
        <v>1445</v>
      </c>
      <c r="AD8" s="17" t="s">
        <v>1362</v>
      </c>
      <c r="AE8" s="17">
        <f t="shared" si="6"/>
        <v>2</v>
      </c>
      <c r="AF8" s="17" t="s">
        <v>1336</v>
      </c>
      <c r="AG8" s="17" t="s">
        <v>1328</v>
      </c>
      <c r="AH8" s="17" t="s">
        <v>1328</v>
      </c>
      <c r="AI8" s="17" t="s">
        <v>1336</v>
      </c>
      <c r="AJ8" s="17" t="s">
        <v>1336</v>
      </c>
      <c r="AK8" s="17" t="s">
        <v>1336</v>
      </c>
      <c r="AL8" s="17" t="s">
        <v>1350</v>
      </c>
      <c r="AM8" s="17" t="s">
        <v>1351</v>
      </c>
      <c r="AN8" s="17" t="s">
        <v>1363</v>
      </c>
      <c r="AO8" s="17" t="s">
        <v>1374</v>
      </c>
      <c r="AP8" s="17" t="s">
        <v>1328</v>
      </c>
      <c r="AQ8" s="17" t="str">
        <f t="shared" si="7"/>
        <v>high</v>
      </c>
      <c r="AR8" s="20"/>
    </row>
    <row r="9" ht="15.75" customHeight="1">
      <c r="A9" s="16" t="s">
        <v>1719</v>
      </c>
      <c r="B9" s="16" t="s">
        <v>460</v>
      </c>
      <c r="C9" s="16">
        <v>2010.0</v>
      </c>
      <c r="D9" s="16" t="s">
        <v>1720</v>
      </c>
      <c r="E9" s="16" t="s">
        <v>1721</v>
      </c>
      <c r="F9" s="16" t="s">
        <v>1722</v>
      </c>
      <c r="G9" s="16" t="str">
        <f t="shared" si="1"/>
        <v>No</v>
      </c>
      <c r="H9" s="16" t="s">
        <v>1324</v>
      </c>
      <c r="I9" s="16" t="s">
        <v>1324</v>
      </c>
      <c r="J9" s="16">
        <v>6.0</v>
      </c>
      <c r="K9" s="17" t="s">
        <v>1723</v>
      </c>
      <c r="L9" s="17" t="s">
        <v>5010</v>
      </c>
      <c r="M9" s="18" t="str">
        <f t="shared" si="2"/>
        <v>http://dx.doi.org/10.1098/rstb.2010.0273</v>
      </c>
      <c r="N9" s="19" t="s">
        <v>1482</v>
      </c>
      <c r="O9" s="17" t="s">
        <v>1417</v>
      </c>
      <c r="P9" s="17" t="s">
        <v>1328</v>
      </c>
      <c r="Q9" s="17" t="s">
        <v>1328</v>
      </c>
      <c r="R9" s="17" t="s">
        <v>1328</v>
      </c>
      <c r="S9" s="17" t="s">
        <v>1328</v>
      </c>
      <c r="T9" s="17" t="s">
        <v>1328</v>
      </c>
      <c r="U9" s="20" t="str">
        <f t="shared" si="3"/>
        <v>Yes</v>
      </c>
      <c r="V9" s="19" t="str">
        <f t="shared" si="4"/>
        <v>NT</v>
      </c>
      <c r="W9" s="17" t="str">
        <f t="shared" si="5"/>
        <v>Yes</v>
      </c>
      <c r="X9" s="17" t="s">
        <v>1443</v>
      </c>
      <c r="Y9" s="17" t="s">
        <v>1331</v>
      </c>
      <c r="Z9" s="17" t="s">
        <v>1372</v>
      </c>
      <c r="AA9" s="17" t="s">
        <v>1337</v>
      </c>
      <c r="AB9" s="17" t="s">
        <v>1444</v>
      </c>
      <c r="AC9" s="17" t="s">
        <v>1476</v>
      </c>
      <c r="AD9" s="17" t="s">
        <v>1362</v>
      </c>
      <c r="AE9" s="17">
        <f t="shared" si="6"/>
        <v>4</v>
      </c>
      <c r="AF9" s="17" t="s">
        <v>1328</v>
      </c>
      <c r="AG9" s="17" t="s">
        <v>1328</v>
      </c>
      <c r="AH9" s="17" t="s">
        <v>1328</v>
      </c>
      <c r="AI9" s="17" t="s">
        <v>1328</v>
      </c>
      <c r="AJ9" s="17" t="s">
        <v>1336</v>
      </c>
      <c r="AK9" s="17" t="s">
        <v>1336</v>
      </c>
      <c r="AL9" s="17" t="s">
        <v>1337</v>
      </c>
      <c r="AM9" s="17" t="s">
        <v>1338</v>
      </c>
      <c r="AN9" s="17" t="s">
        <v>1339</v>
      </c>
      <c r="AO9" s="17" t="s">
        <v>1331</v>
      </c>
      <c r="AP9" s="17" t="s">
        <v>1328</v>
      </c>
      <c r="AQ9" s="17" t="str">
        <f t="shared" si="7"/>
        <v>intermediate</v>
      </c>
      <c r="AR9" s="20"/>
    </row>
    <row r="10" ht="15.75" customHeight="1">
      <c r="A10" s="16" t="s">
        <v>1682</v>
      </c>
      <c r="B10" s="16" t="s">
        <v>126</v>
      </c>
      <c r="C10" s="16">
        <v>2014.0</v>
      </c>
      <c r="D10" s="16" t="s">
        <v>1683</v>
      </c>
      <c r="E10" s="16" t="s">
        <v>1684</v>
      </c>
      <c r="F10" s="16" t="s">
        <v>1685</v>
      </c>
      <c r="G10" s="16" t="str">
        <f t="shared" si="1"/>
        <v>No</v>
      </c>
      <c r="H10" s="16" t="s">
        <v>1324</v>
      </c>
      <c r="I10" s="16" t="s">
        <v>1324</v>
      </c>
      <c r="J10" s="16">
        <v>42.0</v>
      </c>
      <c r="K10" s="17" t="s">
        <v>1686</v>
      </c>
      <c r="L10" s="17" t="s">
        <v>5010</v>
      </c>
      <c r="M10" s="18" t="str">
        <f t="shared" si="2"/>
        <v>http://dx.doi.org/10.1111/fwb.12353</v>
      </c>
      <c r="N10" s="19" t="s">
        <v>1580</v>
      </c>
      <c r="O10" s="17" t="s">
        <v>1371</v>
      </c>
      <c r="P10" s="17" t="s">
        <v>1328</v>
      </c>
      <c r="Q10" s="17" t="s">
        <v>1328</v>
      </c>
      <c r="R10" s="17" t="s">
        <v>1328</v>
      </c>
      <c r="S10" s="17" t="s">
        <v>1328</v>
      </c>
      <c r="T10" s="17" t="s">
        <v>1328</v>
      </c>
      <c r="U10" s="20" t="str">
        <f t="shared" si="3"/>
        <v>Yes</v>
      </c>
      <c r="V10" s="19" t="str">
        <f t="shared" si="4"/>
        <v>LC</v>
      </c>
      <c r="W10" s="17" t="str">
        <f t="shared" si="5"/>
        <v>Yes</v>
      </c>
      <c r="X10" s="17" t="s">
        <v>1329</v>
      </c>
      <c r="Y10" s="17" t="s">
        <v>1372</v>
      </c>
      <c r="Z10" s="17" t="s">
        <v>1330</v>
      </c>
      <c r="AA10" s="17" t="s">
        <v>1347</v>
      </c>
      <c r="AB10" s="17" t="s">
        <v>1333</v>
      </c>
      <c r="AC10" s="17" t="s">
        <v>1348</v>
      </c>
      <c r="AD10" s="17" t="s">
        <v>1464</v>
      </c>
      <c r="AE10" s="17">
        <f t="shared" si="6"/>
        <v>2</v>
      </c>
      <c r="AF10" s="17" t="s">
        <v>1336</v>
      </c>
      <c r="AG10" s="17" t="s">
        <v>1328</v>
      </c>
      <c r="AH10" s="17" t="s">
        <v>1336</v>
      </c>
      <c r="AI10" s="17" t="s">
        <v>1336</v>
      </c>
      <c r="AJ10" s="17" t="s">
        <v>1328</v>
      </c>
      <c r="AK10" s="17" t="s">
        <v>1336</v>
      </c>
      <c r="AL10" s="17" t="s">
        <v>1350</v>
      </c>
      <c r="AM10" s="17" t="s">
        <v>1351</v>
      </c>
      <c r="AN10" s="17" t="s">
        <v>1363</v>
      </c>
      <c r="AO10" s="17" t="s">
        <v>1388</v>
      </c>
      <c r="AP10" s="17" t="s">
        <v>1328</v>
      </c>
      <c r="AQ10" s="17" t="str">
        <f t="shared" si="7"/>
        <v>intermediate</v>
      </c>
      <c r="AR10" s="20"/>
    </row>
    <row r="11" ht="15.75" customHeight="1">
      <c r="A11" s="16" t="s">
        <v>2002</v>
      </c>
      <c r="B11" s="16" t="s">
        <v>1055</v>
      </c>
      <c r="C11" s="16">
        <v>2013.0</v>
      </c>
      <c r="D11" s="16" t="s">
        <v>2003</v>
      </c>
      <c r="E11" s="16" t="s">
        <v>2004</v>
      </c>
      <c r="F11" s="16" t="s">
        <v>2005</v>
      </c>
      <c r="G11" s="16" t="str">
        <f t="shared" si="1"/>
        <v>No</v>
      </c>
      <c r="H11" s="16" t="s">
        <v>1324</v>
      </c>
      <c r="I11" s="16" t="s">
        <v>1324</v>
      </c>
      <c r="J11" s="16">
        <v>151.0</v>
      </c>
      <c r="K11" s="17" t="s">
        <v>2006</v>
      </c>
      <c r="L11" s="17" t="s">
        <v>5010</v>
      </c>
      <c r="M11" s="18" t="str">
        <f t="shared" si="2"/>
        <v>http://dx.doi.org/10.1016/j.gloplacha.2013.06.007</v>
      </c>
      <c r="N11" s="19" t="s">
        <v>1358</v>
      </c>
      <c r="O11" s="17" t="s">
        <v>1403</v>
      </c>
      <c r="P11" s="17" t="s">
        <v>1328</v>
      </c>
      <c r="Q11" s="17" t="s">
        <v>1328</v>
      </c>
      <c r="R11" s="17" t="s">
        <v>1328</v>
      </c>
      <c r="S11" s="17" t="s">
        <v>1328</v>
      </c>
      <c r="T11" s="17" t="s">
        <v>1328</v>
      </c>
      <c r="U11" s="20" t="str">
        <f t="shared" si="3"/>
        <v>Yes</v>
      </c>
      <c r="V11" s="19" t="str">
        <f t="shared" si="4"/>
        <v>DB</v>
      </c>
      <c r="W11" s="17" t="str">
        <f t="shared" si="5"/>
        <v>Yes</v>
      </c>
      <c r="X11" s="17" t="s">
        <v>1631</v>
      </c>
      <c r="Y11" s="17" t="s">
        <v>1330</v>
      </c>
      <c r="Z11" s="17" t="s">
        <v>1331</v>
      </c>
      <c r="AA11" s="17" t="s">
        <v>1347</v>
      </c>
      <c r="AB11" s="17" t="s">
        <v>1333</v>
      </c>
      <c r="AC11" s="17" t="s">
        <v>1381</v>
      </c>
      <c r="AD11" s="17" t="s">
        <v>1362</v>
      </c>
      <c r="AE11" s="17">
        <f t="shared" si="6"/>
        <v>2</v>
      </c>
      <c r="AF11" s="17" t="s">
        <v>1328</v>
      </c>
      <c r="AG11" s="17" t="s">
        <v>1328</v>
      </c>
      <c r="AH11" s="17" t="s">
        <v>1336</v>
      </c>
      <c r="AI11" s="17" t="s">
        <v>1336</v>
      </c>
      <c r="AJ11" s="17" t="s">
        <v>1336</v>
      </c>
      <c r="AK11" s="17" t="s">
        <v>1336</v>
      </c>
      <c r="AL11" s="17" t="s">
        <v>1350</v>
      </c>
      <c r="AM11" s="17" t="s">
        <v>1351</v>
      </c>
      <c r="AN11" s="17" t="s">
        <v>1363</v>
      </c>
      <c r="AO11" s="17" t="s">
        <v>1331</v>
      </c>
      <c r="AP11" s="17" t="s">
        <v>1328</v>
      </c>
      <c r="AQ11" s="17" t="str">
        <f t="shared" si="7"/>
        <v>intermediate</v>
      </c>
      <c r="AR11" s="20" t="s">
        <v>1639</v>
      </c>
    </row>
    <row r="12" ht="15.75" customHeight="1">
      <c r="A12" s="16" t="s">
        <v>2088</v>
      </c>
      <c r="B12" s="16" t="s">
        <v>251</v>
      </c>
      <c r="C12" s="16">
        <v>2017.0</v>
      </c>
      <c r="D12" s="16" t="s">
        <v>2089</v>
      </c>
      <c r="E12" s="16" t="s">
        <v>2090</v>
      </c>
      <c r="F12" s="16" t="s">
        <v>2091</v>
      </c>
      <c r="G12" s="16" t="str">
        <f t="shared" si="1"/>
        <v>No</v>
      </c>
      <c r="H12" s="16" t="s">
        <v>1324</v>
      </c>
      <c r="I12" s="16" t="s">
        <v>1324</v>
      </c>
      <c r="J12" s="16">
        <v>32.0</v>
      </c>
      <c r="K12" s="17" t="s">
        <v>2092</v>
      </c>
      <c r="L12" s="17" t="s">
        <v>5010</v>
      </c>
      <c r="M12" s="18" t="str">
        <f t="shared" si="2"/>
        <v>http://dx.doi.org/10.1016/j.biocon.2017.08.032</v>
      </c>
      <c r="N12" s="19" t="s">
        <v>1835</v>
      </c>
      <c r="O12" s="17" t="s">
        <v>1327</v>
      </c>
      <c r="P12" s="17" t="s">
        <v>1328</v>
      </c>
      <c r="Q12" s="17" t="s">
        <v>1328</v>
      </c>
      <c r="R12" s="17" t="s">
        <v>1328</v>
      </c>
      <c r="S12" s="17" t="s">
        <v>1328</v>
      </c>
      <c r="T12" s="17" t="s">
        <v>1328</v>
      </c>
      <c r="U12" s="20" t="str">
        <f t="shared" si="3"/>
        <v>Yes</v>
      </c>
      <c r="V12" s="19" t="str">
        <f t="shared" si="4"/>
        <v>PJ</v>
      </c>
      <c r="W12" s="17" t="str">
        <f t="shared" si="5"/>
        <v>Yes</v>
      </c>
      <c r="X12" s="17" t="s">
        <v>1443</v>
      </c>
      <c r="Y12" s="17" t="s">
        <v>1523</v>
      </c>
      <c r="Z12" s="17" t="s">
        <v>1330</v>
      </c>
      <c r="AA12" s="17" t="s">
        <v>1332</v>
      </c>
      <c r="AB12" s="17" t="s">
        <v>1360</v>
      </c>
      <c r="AC12" s="17" t="s">
        <v>1381</v>
      </c>
      <c r="AD12" s="17" t="s">
        <v>1362</v>
      </c>
      <c r="AE12" s="17">
        <f t="shared" si="6"/>
        <v>4</v>
      </c>
      <c r="AF12" s="17" t="s">
        <v>1328</v>
      </c>
      <c r="AG12" s="17" t="s">
        <v>1328</v>
      </c>
      <c r="AH12" s="17" t="s">
        <v>1328</v>
      </c>
      <c r="AI12" s="17" t="s">
        <v>1336</v>
      </c>
      <c r="AJ12" s="17" t="s">
        <v>1336</v>
      </c>
      <c r="AK12" s="17" t="s">
        <v>1328</v>
      </c>
      <c r="AL12" s="17" t="s">
        <v>1395</v>
      </c>
      <c r="AM12" s="17" t="s">
        <v>1338</v>
      </c>
      <c r="AN12" s="17" t="s">
        <v>1339</v>
      </c>
      <c r="AO12" s="17" t="s">
        <v>1331</v>
      </c>
      <c r="AP12" s="17" t="s">
        <v>1328</v>
      </c>
      <c r="AQ12" s="17" t="str">
        <f t="shared" si="7"/>
        <v>intermediate</v>
      </c>
      <c r="AR12" s="20"/>
    </row>
    <row r="13" ht="15.75" customHeight="1">
      <c r="A13" s="16" t="s">
        <v>1382</v>
      </c>
      <c r="B13" s="16" t="s">
        <v>1376</v>
      </c>
      <c r="C13" s="16">
        <v>2013.0</v>
      </c>
      <c r="D13" s="16" t="s">
        <v>1383</v>
      </c>
      <c r="E13" s="16" t="s">
        <v>1384</v>
      </c>
      <c r="F13" s="16" t="s">
        <v>1385</v>
      </c>
      <c r="G13" s="16" t="str">
        <f t="shared" si="1"/>
        <v>No</v>
      </c>
      <c r="H13" s="16" t="s">
        <v>1324</v>
      </c>
      <c r="I13" s="16" t="s">
        <v>1324</v>
      </c>
      <c r="J13" s="16">
        <v>37.0</v>
      </c>
      <c r="K13" s="17" t="s">
        <v>1386</v>
      </c>
      <c r="L13" s="17" t="s">
        <v>5010</v>
      </c>
      <c r="M13" s="18" t="str">
        <f t="shared" si="2"/>
        <v>http://dx.doi.org/10.3390/rs5084125</v>
      </c>
      <c r="N13" s="19" t="s">
        <v>1358</v>
      </c>
      <c r="O13" s="17" t="s">
        <v>1387</v>
      </c>
      <c r="P13" s="17" t="s">
        <v>1328</v>
      </c>
      <c r="Q13" s="17" t="s">
        <v>1328</v>
      </c>
      <c r="R13" s="17" t="s">
        <v>1328</v>
      </c>
      <c r="S13" s="17" t="s">
        <v>1328</v>
      </c>
      <c r="T13" s="17" t="s">
        <v>1328</v>
      </c>
      <c r="U13" s="20" t="str">
        <f t="shared" si="3"/>
        <v>Yes</v>
      </c>
      <c r="V13" s="19" t="str">
        <f t="shared" si="4"/>
        <v>MW</v>
      </c>
      <c r="W13" s="17" t="str">
        <f t="shared" si="5"/>
        <v>Yes</v>
      </c>
      <c r="X13" s="17" t="s">
        <v>1329</v>
      </c>
      <c r="Y13" s="17" t="s">
        <v>1330</v>
      </c>
      <c r="Z13" s="17" t="s">
        <v>1331</v>
      </c>
      <c r="AA13" s="17" t="s">
        <v>1347</v>
      </c>
      <c r="AB13" s="17" t="s">
        <v>1333</v>
      </c>
      <c r="AC13" s="17" t="s">
        <v>1381</v>
      </c>
      <c r="AD13" s="17" t="s">
        <v>1362</v>
      </c>
      <c r="AE13" s="17">
        <f t="shared" si="6"/>
        <v>2</v>
      </c>
      <c r="AF13" s="17" t="s">
        <v>1328</v>
      </c>
      <c r="AG13" s="17" t="s">
        <v>1328</v>
      </c>
      <c r="AH13" s="17" t="s">
        <v>1336</v>
      </c>
      <c r="AI13" s="17" t="s">
        <v>1336</v>
      </c>
      <c r="AJ13" s="17" t="s">
        <v>1336</v>
      </c>
      <c r="AK13" s="17" t="s">
        <v>1336</v>
      </c>
      <c r="AL13" s="17" t="s">
        <v>1350</v>
      </c>
      <c r="AM13" s="17" t="s">
        <v>1351</v>
      </c>
      <c r="AN13" s="17" t="s">
        <v>1339</v>
      </c>
      <c r="AO13" s="17" t="s">
        <v>1388</v>
      </c>
      <c r="AP13" s="17" t="s">
        <v>1328</v>
      </c>
      <c r="AQ13" s="17" t="str">
        <f t="shared" si="7"/>
        <v>intermediate</v>
      </c>
      <c r="AR13" s="20"/>
    </row>
    <row r="14" ht="15.75" customHeight="1">
      <c r="A14" s="16" t="s">
        <v>1806</v>
      </c>
      <c r="B14" s="16" t="s">
        <v>1807</v>
      </c>
      <c r="C14" s="16">
        <v>2012.0</v>
      </c>
      <c r="D14" s="16" t="s">
        <v>1808</v>
      </c>
      <c r="E14" s="16" t="s">
        <v>1809</v>
      </c>
      <c r="F14" s="16" t="s">
        <v>1810</v>
      </c>
      <c r="G14" s="16" t="str">
        <f t="shared" si="1"/>
        <v>No</v>
      </c>
      <c r="H14" s="16" t="s">
        <v>1324</v>
      </c>
      <c r="I14" s="16" t="s">
        <v>1324</v>
      </c>
      <c r="J14" s="16">
        <v>20.0</v>
      </c>
      <c r="K14" s="17" t="s">
        <v>1811</v>
      </c>
      <c r="L14" s="17" t="s">
        <v>5010</v>
      </c>
      <c r="M14" s="18" t="str">
        <f t="shared" si="2"/>
        <v>http://dx.doi.org/10.1029/2011JG001930</v>
      </c>
      <c r="N14" s="19" t="s">
        <v>1358</v>
      </c>
      <c r="O14" s="17" t="s">
        <v>1417</v>
      </c>
      <c r="P14" s="17" t="s">
        <v>1328</v>
      </c>
      <c r="Q14" s="17" t="s">
        <v>1328</v>
      </c>
      <c r="R14" s="17" t="s">
        <v>1328</v>
      </c>
      <c r="S14" s="17" t="s">
        <v>1328</v>
      </c>
      <c r="T14" s="17" t="s">
        <v>1328</v>
      </c>
      <c r="U14" s="20" t="str">
        <f t="shared" si="3"/>
        <v>Yes</v>
      </c>
      <c r="V14" s="19" t="str">
        <f t="shared" si="4"/>
        <v>NT</v>
      </c>
      <c r="W14" s="17" t="str">
        <f t="shared" si="5"/>
        <v>Yes</v>
      </c>
      <c r="X14" s="17" t="s">
        <v>1329</v>
      </c>
      <c r="Y14" s="17" t="s">
        <v>1330</v>
      </c>
      <c r="Z14" s="17" t="s">
        <v>1331</v>
      </c>
      <c r="AA14" s="17" t="s">
        <v>1347</v>
      </c>
      <c r="AB14" s="17" t="s">
        <v>1660</v>
      </c>
      <c r="AC14" s="17" t="s">
        <v>1348</v>
      </c>
      <c r="AD14" s="17" t="s">
        <v>1362</v>
      </c>
      <c r="AE14" s="17">
        <f t="shared" si="6"/>
        <v>4</v>
      </c>
      <c r="AF14" s="17" t="s">
        <v>1328</v>
      </c>
      <c r="AG14" s="17" t="s">
        <v>1328</v>
      </c>
      <c r="AH14" s="17" t="s">
        <v>1336</v>
      </c>
      <c r="AI14" s="17" t="s">
        <v>1328</v>
      </c>
      <c r="AJ14" s="17" t="s">
        <v>1328</v>
      </c>
      <c r="AK14" s="17" t="s">
        <v>1336</v>
      </c>
      <c r="AL14" s="17" t="s">
        <v>1350</v>
      </c>
      <c r="AM14" s="17" t="s">
        <v>1351</v>
      </c>
      <c r="AN14" s="17" t="s">
        <v>1363</v>
      </c>
      <c r="AO14" s="17" t="s">
        <v>1331</v>
      </c>
      <c r="AP14" s="17" t="s">
        <v>1328</v>
      </c>
      <c r="AQ14" s="17" t="str">
        <f t="shared" si="7"/>
        <v>high</v>
      </c>
      <c r="AR14" s="20"/>
    </row>
    <row r="15" ht="15.75" customHeight="1">
      <c r="A15" s="16" t="s">
        <v>2232</v>
      </c>
      <c r="B15" s="16" t="s">
        <v>2233</v>
      </c>
      <c r="C15" s="16">
        <v>2013.0</v>
      </c>
      <c r="D15" s="16" t="s">
        <v>2234</v>
      </c>
      <c r="E15" s="16" t="s">
        <v>2235</v>
      </c>
      <c r="F15" s="16" t="s">
        <v>2236</v>
      </c>
      <c r="G15" s="16" t="str">
        <f t="shared" si="1"/>
        <v>No</v>
      </c>
      <c r="H15" s="16" t="s">
        <v>1324</v>
      </c>
      <c r="I15" s="16" t="s">
        <v>1324</v>
      </c>
      <c r="J15" s="16">
        <v>144.0</v>
      </c>
      <c r="K15" s="17" t="s">
        <v>2237</v>
      </c>
      <c r="L15" s="17" t="s">
        <v>5010</v>
      </c>
      <c r="M15" s="18" t="str">
        <f t="shared" si="2"/>
        <v>http://dx.doi.org/10.1002/wene.41</v>
      </c>
      <c r="N15" s="19" t="s">
        <v>1358</v>
      </c>
      <c r="O15" s="17" t="s">
        <v>1371</v>
      </c>
      <c r="P15" s="17" t="s">
        <v>1328</v>
      </c>
      <c r="Q15" s="17" t="s">
        <v>1328</v>
      </c>
      <c r="R15" s="17" t="s">
        <v>1328</v>
      </c>
      <c r="S15" s="17" t="s">
        <v>1328</v>
      </c>
      <c r="T15" s="17" t="s">
        <v>1328</v>
      </c>
      <c r="U15" s="20" t="str">
        <f t="shared" si="3"/>
        <v>Yes</v>
      </c>
      <c r="V15" s="19" t="str">
        <f t="shared" si="4"/>
        <v>LC</v>
      </c>
      <c r="W15" s="17" t="str">
        <f t="shared" si="5"/>
        <v>Yes</v>
      </c>
      <c r="X15" s="17" t="s">
        <v>1443</v>
      </c>
      <c r="Y15" s="17" t="s">
        <v>1330</v>
      </c>
      <c r="Z15" s="17" t="s">
        <v>1330</v>
      </c>
      <c r="AA15" s="17" t="s">
        <v>1347</v>
      </c>
      <c r="AB15" s="17" t="s">
        <v>1444</v>
      </c>
      <c r="AC15" s="17" t="s">
        <v>1445</v>
      </c>
      <c r="AD15" s="17" t="s">
        <v>1362</v>
      </c>
      <c r="AE15" s="17">
        <f t="shared" si="6"/>
        <v>2</v>
      </c>
      <c r="AF15" s="17" t="s">
        <v>1328</v>
      </c>
      <c r="AG15" s="17" t="s">
        <v>1328</v>
      </c>
      <c r="AH15" s="17" t="s">
        <v>1336</v>
      </c>
      <c r="AI15" s="17" t="s">
        <v>1336</v>
      </c>
      <c r="AJ15" s="17" t="s">
        <v>1336</v>
      </c>
      <c r="AK15" s="17" t="s">
        <v>1336</v>
      </c>
      <c r="AL15" s="17" t="s">
        <v>1350</v>
      </c>
      <c r="AM15" s="17" t="s">
        <v>1351</v>
      </c>
      <c r="AN15" s="17" t="s">
        <v>1363</v>
      </c>
      <c r="AO15" s="17" t="s">
        <v>1388</v>
      </c>
      <c r="AP15" s="17" t="s">
        <v>1328</v>
      </c>
      <c r="AQ15" s="17" t="str">
        <f t="shared" si="7"/>
        <v>high</v>
      </c>
      <c r="AR15" s="20"/>
    </row>
    <row r="16" ht="15.75" customHeight="1">
      <c r="A16" s="16" t="s">
        <v>1883</v>
      </c>
      <c r="B16" s="16" t="s">
        <v>1884</v>
      </c>
      <c r="C16" s="16">
        <v>2006.0</v>
      </c>
      <c r="D16" s="16" t="s">
        <v>1885</v>
      </c>
      <c r="E16" s="16" t="s">
        <v>1886</v>
      </c>
      <c r="F16" s="16" t="s">
        <v>1887</v>
      </c>
      <c r="G16" s="16" t="str">
        <f t="shared" si="1"/>
        <v>No</v>
      </c>
      <c r="H16" s="16" t="s">
        <v>1324</v>
      </c>
      <c r="I16" s="16" t="s">
        <v>1324</v>
      </c>
      <c r="J16" s="16">
        <v>1.0</v>
      </c>
      <c r="K16" s="17" t="s">
        <v>1888</v>
      </c>
      <c r="L16" s="17" t="s">
        <v>5010</v>
      </c>
      <c r="M16" s="18" t="str">
        <f t="shared" si="2"/>
        <v>http://dx.doi.org/10.1016/S0065-2881(05)50001-4</v>
      </c>
      <c r="N16" s="19" t="s">
        <v>1402</v>
      </c>
      <c r="O16" s="17" t="s">
        <v>1327</v>
      </c>
      <c r="P16" s="17" t="s">
        <v>1328</v>
      </c>
      <c r="Q16" s="17" t="s">
        <v>1328</v>
      </c>
      <c r="R16" s="17" t="s">
        <v>1328</v>
      </c>
      <c r="S16" s="17" t="s">
        <v>1328</v>
      </c>
      <c r="T16" s="17" t="s">
        <v>1328</v>
      </c>
      <c r="U16" s="20" t="str">
        <f t="shared" si="3"/>
        <v>Yes</v>
      </c>
      <c r="V16" s="19" t="str">
        <f t="shared" si="4"/>
        <v>PJ</v>
      </c>
      <c r="W16" s="17" t="str">
        <f t="shared" si="5"/>
        <v>Yes</v>
      </c>
      <c r="X16" s="17" t="s">
        <v>1443</v>
      </c>
      <c r="Y16" s="17" t="s">
        <v>1330</v>
      </c>
      <c r="Z16" s="17" t="s">
        <v>1523</v>
      </c>
      <c r="AA16" s="17" t="s">
        <v>1347</v>
      </c>
      <c r="AB16" s="17" t="s">
        <v>1444</v>
      </c>
      <c r="AC16" s="17" t="s">
        <v>1445</v>
      </c>
      <c r="AD16" s="17" t="s">
        <v>1349</v>
      </c>
      <c r="AE16" s="17">
        <f t="shared" si="6"/>
        <v>3</v>
      </c>
      <c r="AF16" s="17" t="s">
        <v>1328</v>
      </c>
      <c r="AG16" s="17" t="s">
        <v>1336</v>
      </c>
      <c r="AH16" s="17" t="s">
        <v>1336</v>
      </c>
      <c r="AI16" s="17" t="s">
        <v>1328</v>
      </c>
      <c r="AJ16" s="17" t="s">
        <v>1328</v>
      </c>
      <c r="AK16" s="17" t="s">
        <v>1336</v>
      </c>
      <c r="AL16" s="17" t="s">
        <v>1395</v>
      </c>
      <c r="AM16" s="17" t="s">
        <v>1338</v>
      </c>
      <c r="AN16" s="17" t="s">
        <v>1339</v>
      </c>
      <c r="AO16" s="17" t="s">
        <v>1331</v>
      </c>
      <c r="AP16" s="17" t="s">
        <v>1328</v>
      </c>
      <c r="AQ16" s="17" t="str">
        <f t="shared" si="7"/>
        <v>high</v>
      </c>
      <c r="AR16" s="20"/>
    </row>
    <row r="17" ht="15.75" customHeight="1">
      <c r="A17" s="16" t="s">
        <v>1581</v>
      </c>
      <c r="B17" s="16" t="s">
        <v>1575</v>
      </c>
      <c r="C17" s="16">
        <v>2013.0</v>
      </c>
      <c r="D17" s="16" t="s">
        <v>1582</v>
      </c>
      <c r="E17" s="16" t="s">
        <v>1583</v>
      </c>
      <c r="F17" s="16" t="s">
        <v>1584</v>
      </c>
      <c r="G17" s="16" t="str">
        <f t="shared" si="1"/>
        <v>No</v>
      </c>
      <c r="H17" s="16" t="s">
        <v>1324</v>
      </c>
      <c r="I17" s="16" t="s">
        <v>1324</v>
      </c>
      <c r="J17" s="16">
        <v>15.0</v>
      </c>
      <c r="K17" s="17" t="s">
        <v>1585</v>
      </c>
      <c r="L17" s="17" t="s">
        <v>5010</v>
      </c>
      <c r="M17" s="18" t="str">
        <f t="shared" si="2"/>
        <v>http://dx.doi.org/10.1111/j.1600-0706.2012.19858.x</v>
      </c>
      <c r="N17" s="19" t="s">
        <v>1416</v>
      </c>
      <c r="O17" s="17" t="s">
        <v>1403</v>
      </c>
      <c r="P17" s="17" t="s">
        <v>1328</v>
      </c>
      <c r="Q17" s="17" t="s">
        <v>1328</v>
      </c>
      <c r="R17" s="17" t="s">
        <v>1328</v>
      </c>
      <c r="S17" s="17" t="s">
        <v>1328</v>
      </c>
      <c r="T17" s="17" t="s">
        <v>1328</v>
      </c>
      <c r="U17" s="20" t="str">
        <f t="shared" si="3"/>
        <v>Yes</v>
      </c>
      <c r="V17" s="19" t="str">
        <f t="shared" si="4"/>
        <v>DB</v>
      </c>
      <c r="W17" s="17" t="str">
        <f t="shared" si="5"/>
        <v>Yes</v>
      </c>
      <c r="X17" s="17" t="s">
        <v>1329</v>
      </c>
      <c r="Y17" s="17" t="s">
        <v>1330</v>
      </c>
      <c r="Z17" s="17" t="s">
        <v>1331</v>
      </c>
      <c r="AA17" s="17" t="s">
        <v>1347</v>
      </c>
      <c r="AB17" s="17" t="s">
        <v>1333</v>
      </c>
      <c r="AC17" s="17" t="s">
        <v>1361</v>
      </c>
      <c r="AD17" s="17" t="s">
        <v>1530</v>
      </c>
      <c r="AE17" s="17">
        <f t="shared" si="6"/>
        <v>2</v>
      </c>
      <c r="AF17" s="17" t="s">
        <v>1328</v>
      </c>
      <c r="AG17" s="17" t="s">
        <v>1336</v>
      </c>
      <c r="AH17" s="17" t="s">
        <v>1336</v>
      </c>
      <c r="AI17" s="17" t="s">
        <v>1336</v>
      </c>
      <c r="AJ17" s="17" t="s">
        <v>1328</v>
      </c>
      <c r="AK17" s="17" t="s">
        <v>1336</v>
      </c>
      <c r="AL17" s="17" t="s">
        <v>1350</v>
      </c>
      <c r="AM17" s="17" t="s">
        <v>1351</v>
      </c>
      <c r="AN17" s="17" t="s">
        <v>1363</v>
      </c>
      <c r="AO17" s="17" t="s">
        <v>1374</v>
      </c>
      <c r="AP17" s="17" t="s">
        <v>1328</v>
      </c>
      <c r="AQ17" s="17" t="str">
        <f t="shared" si="7"/>
        <v>intermediate</v>
      </c>
      <c r="AR17" s="20"/>
    </row>
    <row r="18" ht="15.75" customHeight="1">
      <c r="A18" s="16" t="s">
        <v>1650</v>
      </c>
      <c r="B18" s="16" t="s">
        <v>774</v>
      </c>
      <c r="C18" s="16">
        <v>2016.0</v>
      </c>
      <c r="D18" s="16" t="s">
        <v>1651</v>
      </c>
      <c r="E18" s="16" t="s">
        <v>1652</v>
      </c>
      <c r="F18" s="16" t="s">
        <v>1653</v>
      </c>
      <c r="G18" s="16" t="str">
        <f t="shared" si="1"/>
        <v>No</v>
      </c>
      <c r="H18" s="16" t="s">
        <v>1324</v>
      </c>
      <c r="I18" s="16" t="s">
        <v>1324</v>
      </c>
      <c r="J18" s="16">
        <v>190.0</v>
      </c>
      <c r="K18" s="17" t="s">
        <v>1654</v>
      </c>
      <c r="L18" s="17" t="s">
        <v>5010</v>
      </c>
      <c r="M18" s="18" t="str">
        <f t="shared" si="2"/>
        <v>http://dx.doi.org/10.1111/gcb.13091</v>
      </c>
      <c r="N18" s="19" t="s">
        <v>1482</v>
      </c>
      <c r="O18" s="17" t="s">
        <v>1470</v>
      </c>
      <c r="P18" s="17" t="s">
        <v>1328</v>
      </c>
      <c r="Q18" s="17" t="s">
        <v>1328</v>
      </c>
      <c r="R18" s="17" t="s">
        <v>1328</v>
      </c>
      <c r="S18" s="17" t="s">
        <v>1328</v>
      </c>
      <c r="T18" s="17" t="s">
        <v>1328</v>
      </c>
      <c r="U18" s="20" t="str">
        <f t="shared" si="3"/>
        <v>Yes</v>
      </c>
      <c r="V18" s="19" t="str">
        <f t="shared" si="4"/>
        <v>AG</v>
      </c>
      <c r="W18" s="17" t="str">
        <f t="shared" si="5"/>
        <v>Yes</v>
      </c>
      <c r="X18" s="17" t="s">
        <v>1329</v>
      </c>
      <c r="Y18" s="17" t="s">
        <v>1330</v>
      </c>
      <c r="Z18" s="17" t="s">
        <v>1331</v>
      </c>
      <c r="AA18" s="17" t="s">
        <v>1332</v>
      </c>
      <c r="AB18" s="17" t="s">
        <v>1333</v>
      </c>
      <c r="AC18" s="17" t="s">
        <v>1361</v>
      </c>
      <c r="AD18" s="17" t="s">
        <v>1362</v>
      </c>
      <c r="AE18" s="17">
        <f t="shared" si="6"/>
        <v>2</v>
      </c>
      <c r="AF18" s="17" t="s">
        <v>1336</v>
      </c>
      <c r="AG18" s="17" t="s">
        <v>1328</v>
      </c>
      <c r="AH18" s="17" t="s">
        <v>1336</v>
      </c>
      <c r="AI18" s="17" t="s">
        <v>1328</v>
      </c>
      <c r="AJ18" s="17" t="s">
        <v>1336</v>
      </c>
      <c r="AK18" s="17" t="s">
        <v>1336</v>
      </c>
      <c r="AL18" s="17" t="s">
        <v>1404</v>
      </c>
      <c r="AM18" s="17" t="s">
        <v>1338</v>
      </c>
      <c r="AN18" s="17" t="s">
        <v>1339</v>
      </c>
      <c r="AO18" s="17" t="s">
        <v>1331</v>
      </c>
      <c r="AP18" s="17" t="s">
        <v>1328</v>
      </c>
      <c r="AQ18" s="17" t="str">
        <f t="shared" si="7"/>
        <v>intermediate</v>
      </c>
      <c r="AR18" s="20"/>
    </row>
    <row r="19" ht="15.75" customHeight="1">
      <c r="A19" s="16" t="s">
        <v>1823</v>
      </c>
      <c r="B19" s="16" t="s">
        <v>1824</v>
      </c>
      <c r="C19" s="16">
        <v>2003.0</v>
      </c>
      <c r="D19" s="16" t="s">
        <v>1825</v>
      </c>
      <c r="E19" s="16" t="s">
        <v>1826</v>
      </c>
      <c r="F19" s="16" t="s">
        <v>1827</v>
      </c>
      <c r="G19" s="16" t="str">
        <f t="shared" si="1"/>
        <v>No</v>
      </c>
      <c r="H19" s="16" t="s">
        <v>1324</v>
      </c>
      <c r="I19" s="16" t="s">
        <v>1324</v>
      </c>
      <c r="J19" s="16">
        <v>97.0</v>
      </c>
      <c r="K19" s="17" t="s">
        <v>1828</v>
      </c>
      <c r="L19" s="17" t="s">
        <v>5010</v>
      </c>
      <c r="M19" s="18" t="str">
        <f t="shared" si="2"/>
        <v>http://dx.doi.org/10.1023/A:1024147529295</v>
      </c>
      <c r="N19" s="19" t="s">
        <v>1614</v>
      </c>
      <c r="O19" s="17" t="s">
        <v>1371</v>
      </c>
      <c r="P19" s="17" t="s">
        <v>1328</v>
      </c>
      <c r="Q19" s="17" t="s">
        <v>1328</v>
      </c>
      <c r="R19" s="17" t="s">
        <v>1328</v>
      </c>
      <c r="S19" s="17" t="s">
        <v>1328</v>
      </c>
      <c r="T19" s="17" t="s">
        <v>1328</v>
      </c>
      <c r="U19" s="20" t="str">
        <f t="shared" si="3"/>
        <v>Yes</v>
      </c>
      <c r="V19" s="19" t="str">
        <f t="shared" si="4"/>
        <v>LC</v>
      </c>
      <c r="W19" s="17" t="str">
        <f t="shared" si="5"/>
        <v>Yes</v>
      </c>
      <c r="X19" s="17" t="s">
        <v>1329</v>
      </c>
      <c r="Y19" s="17" t="s">
        <v>1372</v>
      </c>
      <c r="Z19" s="17" t="s">
        <v>1330</v>
      </c>
      <c r="AA19" s="17" t="s">
        <v>1347</v>
      </c>
      <c r="AB19" s="17" t="s">
        <v>1333</v>
      </c>
      <c r="AC19" s="17" t="s">
        <v>1348</v>
      </c>
      <c r="AD19" s="17" t="s">
        <v>1362</v>
      </c>
      <c r="AE19" s="17">
        <f t="shared" si="6"/>
        <v>2</v>
      </c>
      <c r="AF19" s="17" t="s">
        <v>1336</v>
      </c>
      <c r="AG19" s="17" t="s">
        <v>1336</v>
      </c>
      <c r="AH19" s="17" t="s">
        <v>1328</v>
      </c>
      <c r="AI19" s="17" t="s">
        <v>1336</v>
      </c>
      <c r="AJ19" s="17" t="s">
        <v>1336</v>
      </c>
      <c r="AK19" s="17" t="s">
        <v>1328</v>
      </c>
      <c r="AL19" s="17" t="s">
        <v>1350</v>
      </c>
      <c r="AM19" s="17" t="s">
        <v>1351</v>
      </c>
      <c r="AN19" s="17" t="s">
        <v>1363</v>
      </c>
      <c r="AO19" s="17" t="s">
        <v>1331</v>
      </c>
      <c r="AP19" s="17" t="s">
        <v>1328</v>
      </c>
      <c r="AQ19" s="17" t="str">
        <f t="shared" si="7"/>
        <v>intermediate</v>
      </c>
      <c r="AR19" s="20"/>
    </row>
    <row r="20" ht="15.75" customHeight="1">
      <c r="A20" s="16" t="s">
        <v>1667</v>
      </c>
      <c r="B20" s="16" t="s">
        <v>774</v>
      </c>
      <c r="C20" s="16">
        <v>2014.0</v>
      </c>
      <c r="D20" s="16" t="s">
        <v>1668</v>
      </c>
      <c r="E20" s="16" t="s">
        <v>1669</v>
      </c>
      <c r="F20" s="16" t="s">
        <v>1670</v>
      </c>
      <c r="G20" s="16" t="str">
        <f t="shared" si="1"/>
        <v>No</v>
      </c>
      <c r="H20" s="16" t="s">
        <v>1324</v>
      </c>
      <c r="I20" s="16" t="s">
        <v>1324</v>
      </c>
      <c r="J20" s="16">
        <v>142.0</v>
      </c>
      <c r="K20" s="17" t="s">
        <v>1671</v>
      </c>
      <c r="L20" s="17" t="s">
        <v>5010</v>
      </c>
      <c r="M20" s="18" t="str">
        <f t="shared" si="2"/>
        <v>http://dx.doi.org/10.1111/gcb.12588</v>
      </c>
      <c r="N20" s="19" t="s">
        <v>1358</v>
      </c>
      <c r="O20" s="17" t="s">
        <v>1436</v>
      </c>
      <c r="P20" s="17" t="s">
        <v>1328</v>
      </c>
      <c r="Q20" s="17" t="s">
        <v>1328</v>
      </c>
      <c r="R20" s="17" t="s">
        <v>1328</v>
      </c>
      <c r="S20" s="17" t="s">
        <v>1328</v>
      </c>
      <c r="T20" s="17" t="s">
        <v>1328</v>
      </c>
      <c r="U20" s="20" t="str">
        <f t="shared" si="3"/>
        <v>Yes</v>
      </c>
      <c r="V20" s="19" t="str">
        <f t="shared" si="4"/>
        <v>CG</v>
      </c>
      <c r="W20" s="17" t="str">
        <f t="shared" si="5"/>
        <v>Yes</v>
      </c>
      <c r="X20" s="17" t="s">
        <v>1329</v>
      </c>
      <c r="Y20" s="17" t="s">
        <v>1330</v>
      </c>
      <c r="Z20" s="17" t="s">
        <v>1331</v>
      </c>
      <c r="AA20" s="17" t="s">
        <v>1347</v>
      </c>
      <c r="AB20" s="17" t="s">
        <v>1333</v>
      </c>
      <c r="AC20" s="17" t="s">
        <v>1381</v>
      </c>
      <c r="AD20" s="17" t="s">
        <v>1362</v>
      </c>
      <c r="AE20" s="17">
        <f t="shared" si="6"/>
        <v>2</v>
      </c>
      <c r="AF20" s="17" t="s">
        <v>1328</v>
      </c>
      <c r="AG20" s="17" t="s">
        <v>1328</v>
      </c>
      <c r="AH20" s="17" t="s">
        <v>1336</v>
      </c>
      <c r="AI20" s="17" t="s">
        <v>1336</v>
      </c>
      <c r="AJ20" s="17" t="s">
        <v>1336</v>
      </c>
      <c r="AK20" s="17" t="s">
        <v>1336</v>
      </c>
      <c r="AL20" s="17" t="s">
        <v>1350</v>
      </c>
      <c r="AM20" s="17" t="s">
        <v>1351</v>
      </c>
      <c r="AN20" s="17" t="s">
        <v>1339</v>
      </c>
      <c r="AO20" s="17" t="s">
        <v>1388</v>
      </c>
      <c r="AP20" s="17" t="s">
        <v>1328</v>
      </c>
      <c r="AQ20" s="17" t="str">
        <f t="shared" si="7"/>
        <v>intermediate</v>
      </c>
      <c r="AR20" s="20"/>
    </row>
    <row r="21" ht="15.75" customHeight="1">
      <c r="A21" s="16" t="s">
        <v>1551</v>
      </c>
      <c r="B21" s="16" t="s">
        <v>1552</v>
      </c>
      <c r="C21" s="16">
        <v>2017.0</v>
      </c>
      <c r="D21" s="16" t="s">
        <v>1553</v>
      </c>
      <c r="E21" s="16" t="s">
        <v>1554</v>
      </c>
      <c r="F21" s="16" t="s">
        <v>1555</v>
      </c>
      <c r="G21" s="16" t="str">
        <f t="shared" si="1"/>
        <v>No</v>
      </c>
      <c r="H21" s="16" t="s">
        <v>1324</v>
      </c>
      <c r="I21" s="16" t="s">
        <v>1324</v>
      </c>
      <c r="J21" s="16">
        <v>87.0</v>
      </c>
      <c r="K21" s="17" t="s">
        <v>1556</v>
      </c>
      <c r="L21" s="17" t="s">
        <v>5010</v>
      </c>
      <c r="M21" s="18" t="str">
        <f t="shared" si="2"/>
        <v>http://dx.doi.org/10.1111/jofo.12204</v>
      </c>
      <c r="N21" s="19" t="s">
        <v>1482</v>
      </c>
      <c r="O21" s="17" t="s">
        <v>1417</v>
      </c>
      <c r="P21" s="17" t="s">
        <v>1328</v>
      </c>
      <c r="Q21" s="17" t="s">
        <v>1328</v>
      </c>
      <c r="R21" s="17" t="s">
        <v>1328</v>
      </c>
      <c r="S21" s="17" t="s">
        <v>1328</v>
      </c>
      <c r="T21" s="17" t="s">
        <v>1328</v>
      </c>
      <c r="U21" s="20" t="str">
        <f t="shared" si="3"/>
        <v>Yes</v>
      </c>
      <c r="V21" s="19" t="str">
        <f t="shared" si="4"/>
        <v>NT</v>
      </c>
      <c r="W21" s="17" t="str">
        <f t="shared" si="5"/>
        <v>Yes</v>
      </c>
      <c r="X21" s="17" t="s">
        <v>1329</v>
      </c>
      <c r="Y21" s="17" t="s">
        <v>1331</v>
      </c>
      <c r="Z21" s="17" t="s">
        <v>1330</v>
      </c>
      <c r="AA21" s="17" t="s">
        <v>1347</v>
      </c>
      <c r="AB21" s="17" t="s">
        <v>1333</v>
      </c>
      <c r="AC21" s="17" t="s">
        <v>1348</v>
      </c>
      <c r="AD21" s="17" t="s">
        <v>1362</v>
      </c>
      <c r="AE21" s="17">
        <f t="shared" si="6"/>
        <v>2</v>
      </c>
      <c r="AF21" s="17" t="s">
        <v>1328</v>
      </c>
      <c r="AG21" s="17" t="s">
        <v>1328</v>
      </c>
      <c r="AH21" s="17" t="s">
        <v>1336</v>
      </c>
      <c r="AI21" s="17" t="s">
        <v>1336</v>
      </c>
      <c r="AJ21" s="17" t="s">
        <v>1336</v>
      </c>
      <c r="AK21" s="17" t="s">
        <v>1336</v>
      </c>
      <c r="AL21" s="17" t="s">
        <v>1395</v>
      </c>
      <c r="AM21" s="17" t="s">
        <v>1338</v>
      </c>
      <c r="AN21" s="17" t="s">
        <v>1339</v>
      </c>
      <c r="AO21" s="17" t="s">
        <v>1331</v>
      </c>
      <c r="AP21" s="17" t="s">
        <v>1328</v>
      </c>
      <c r="AQ21" s="17" t="str">
        <f t="shared" si="7"/>
        <v>intermediate</v>
      </c>
      <c r="AR21" s="20"/>
    </row>
    <row r="22" ht="15.75" customHeight="1">
      <c r="A22" s="16" t="s">
        <v>1779</v>
      </c>
      <c r="B22" s="16" t="s">
        <v>1780</v>
      </c>
      <c r="C22" s="16">
        <v>2011.0</v>
      </c>
      <c r="D22" s="16" t="s">
        <v>1781</v>
      </c>
      <c r="E22" s="16" t="s">
        <v>1782</v>
      </c>
      <c r="F22" s="16" t="s">
        <v>1783</v>
      </c>
      <c r="G22" s="16" t="str">
        <f t="shared" si="1"/>
        <v>No</v>
      </c>
      <c r="H22" s="16" t="s">
        <v>1324</v>
      </c>
      <c r="I22" s="16" t="s">
        <v>1324</v>
      </c>
      <c r="J22" s="16">
        <v>138.0</v>
      </c>
      <c r="K22" s="17" t="s">
        <v>1784</v>
      </c>
      <c r="L22" s="17" t="s">
        <v>5010</v>
      </c>
      <c r="M22" s="18" t="str">
        <f t="shared" si="2"/>
        <v>http://dx.doi.org/10.1071/MU10009</v>
      </c>
      <c r="N22" s="19" t="s">
        <v>1482</v>
      </c>
      <c r="O22" s="17" t="s">
        <v>1403</v>
      </c>
      <c r="P22" s="17" t="s">
        <v>1328</v>
      </c>
      <c r="Q22" s="17" t="s">
        <v>1328</v>
      </c>
      <c r="R22" s="17" t="s">
        <v>1328</v>
      </c>
      <c r="S22" s="17" t="s">
        <v>1328</v>
      </c>
      <c r="T22" s="17" t="s">
        <v>1328</v>
      </c>
      <c r="U22" s="20" t="str">
        <f t="shared" si="3"/>
        <v>Yes</v>
      </c>
      <c r="V22" s="19" t="str">
        <f t="shared" si="4"/>
        <v>DB</v>
      </c>
      <c r="W22" s="17" t="str">
        <f t="shared" si="5"/>
        <v>Yes</v>
      </c>
      <c r="X22" s="17" t="s">
        <v>1329</v>
      </c>
      <c r="Y22" s="17" t="s">
        <v>1330</v>
      </c>
      <c r="Z22" s="17" t="s">
        <v>1331</v>
      </c>
      <c r="AA22" s="17" t="s">
        <v>1347</v>
      </c>
      <c r="AB22" s="17" t="s">
        <v>1333</v>
      </c>
      <c r="AC22" s="17" t="s">
        <v>1381</v>
      </c>
      <c r="AD22" s="17" t="s">
        <v>1362</v>
      </c>
      <c r="AE22" s="17">
        <f t="shared" si="6"/>
        <v>3</v>
      </c>
      <c r="AF22" s="17" t="s">
        <v>1328</v>
      </c>
      <c r="AG22" s="17" t="s">
        <v>1328</v>
      </c>
      <c r="AH22" s="17" t="s">
        <v>1336</v>
      </c>
      <c r="AI22" s="17" t="s">
        <v>1336</v>
      </c>
      <c r="AJ22" s="17" t="s">
        <v>1336</v>
      </c>
      <c r="AK22" s="17" t="s">
        <v>1328</v>
      </c>
      <c r="AL22" s="17" t="s">
        <v>1350</v>
      </c>
      <c r="AM22" s="17" t="s">
        <v>1351</v>
      </c>
      <c r="AN22" s="17" t="s">
        <v>1363</v>
      </c>
      <c r="AO22" s="17" t="s">
        <v>1331</v>
      </c>
      <c r="AP22" s="17" t="s">
        <v>1328</v>
      </c>
      <c r="AQ22" s="17" t="str">
        <f t="shared" si="7"/>
        <v>intermediate</v>
      </c>
      <c r="AR22" s="20"/>
    </row>
    <row r="23" ht="15.75" customHeight="1">
      <c r="A23" s="16" t="s">
        <v>1981</v>
      </c>
      <c r="B23" s="16" t="s">
        <v>1976</v>
      </c>
      <c r="C23" s="16">
        <v>2012.0</v>
      </c>
      <c r="D23" s="16" t="s">
        <v>1982</v>
      </c>
      <c r="E23" s="16" t="s">
        <v>1983</v>
      </c>
      <c r="F23" s="16" t="s">
        <v>1984</v>
      </c>
      <c r="G23" s="16" t="str">
        <f t="shared" si="1"/>
        <v>No</v>
      </c>
      <c r="H23" s="16" t="s">
        <v>1324</v>
      </c>
      <c r="I23" s="16" t="s">
        <v>1324</v>
      </c>
      <c r="J23" s="16">
        <v>43.0</v>
      </c>
      <c r="K23" s="17" t="s">
        <v>1985</v>
      </c>
      <c r="L23" s="17" t="s">
        <v>5010</v>
      </c>
      <c r="M23" s="18" t="str">
        <f t="shared" si="2"/>
        <v>http://dx.doi.org/10.1016/j.jglr.2012.09.022</v>
      </c>
      <c r="N23" s="19" t="s">
        <v>1522</v>
      </c>
      <c r="O23" s="17" t="s">
        <v>1436</v>
      </c>
      <c r="P23" s="17" t="s">
        <v>1328</v>
      </c>
      <c r="Q23" s="17" t="s">
        <v>1328</v>
      </c>
      <c r="R23" s="17" t="s">
        <v>1328</v>
      </c>
      <c r="S23" s="17" t="s">
        <v>1328</v>
      </c>
      <c r="T23" s="17" t="s">
        <v>1328</v>
      </c>
      <c r="U23" s="20" t="str">
        <f t="shared" si="3"/>
        <v>Yes</v>
      </c>
      <c r="V23" s="19" t="str">
        <f t="shared" si="4"/>
        <v>CG</v>
      </c>
      <c r="W23" s="17" t="str">
        <f t="shared" si="5"/>
        <v>Yes</v>
      </c>
      <c r="X23" s="17" t="s">
        <v>1329</v>
      </c>
      <c r="Y23" s="17" t="s">
        <v>1330</v>
      </c>
      <c r="Z23" s="17" t="s">
        <v>1330</v>
      </c>
      <c r="AA23" s="17" t="s">
        <v>1347</v>
      </c>
      <c r="AB23" s="17" t="s">
        <v>1333</v>
      </c>
      <c r="AC23" s="17" t="s">
        <v>1334</v>
      </c>
      <c r="AD23" s="17" t="s">
        <v>1530</v>
      </c>
      <c r="AE23" s="17">
        <f t="shared" si="6"/>
        <v>2</v>
      </c>
      <c r="AF23" s="17" t="s">
        <v>1328</v>
      </c>
      <c r="AG23" s="17" t="s">
        <v>1336</v>
      </c>
      <c r="AH23" s="17" t="s">
        <v>1328</v>
      </c>
      <c r="AI23" s="17" t="s">
        <v>1336</v>
      </c>
      <c r="AJ23" s="17" t="s">
        <v>1336</v>
      </c>
      <c r="AK23" s="17" t="s">
        <v>1336</v>
      </c>
      <c r="AL23" s="17" t="s">
        <v>1350</v>
      </c>
      <c r="AM23" s="17" t="s">
        <v>1351</v>
      </c>
      <c r="AN23" s="17" t="s">
        <v>1339</v>
      </c>
      <c r="AO23" s="17" t="s">
        <v>1388</v>
      </c>
      <c r="AP23" s="17" t="s">
        <v>1328</v>
      </c>
      <c r="AQ23" s="17" t="str">
        <f t="shared" si="7"/>
        <v>intermediate</v>
      </c>
      <c r="AR23" s="20"/>
    </row>
    <row r="24" ht="15.75" customHeight="1">
      <c r="A24" s="16" t="s">
        <v>1812</v>
      </c>
      <c r="B24" s="16" t="s">
        <v>1813</v>
      </c>
      <c r="C24" s="16">
        <v>2011.0</v>
      </c>
      <c r="D24" s="16" t="s">
        <v>1814</v>
      </c>
      <c r="E24" s="16" t="s">
        <v>1815</v>
      </c>
      <c r="F24" s="16" t="s">
        <v>1816</v>
      </c>
      <c r="G24" s="16" t="str">
        <f t="shared" si="1"/>
        <v>No</v>
      </c>
      <c r="H24" s="16" t="s">
        <v>1324</v>
      </c>
      <c r="I24" s="16" t="s">
        <v>1324</v>
      </c>
      <c r="J24" s="16">
        <v>168.0</v>
      </c>
      <c r="K24" s="17" t="s">
        <v>1817</v>
      </c>
      <c r="L24" s="17" t="s">
        <v>5010</v>
      </c>
      <c r="M24" s="18" t="str">
        <f t="shared" si="2"/>
        <v>http://dx.doi.org/10.1029/2010GB003838</v>
      </c>
      <c r="N24" s="19" t="s">
        <v>1358</v>
      </c>
      <c r="O24" s="17" t="s">
        <v>1436</v>
      </c>
      <c r="P24" s="17" t="s">
        <v>1328</v>
      </c>
      <c r="Q24" s="17" t="s">
        <v>1328</v>
      </c>
      <c r="R24" s="17" t="s">
        <v>1328</v>
      </c>
      <c r="S24" s="17" t="s">
        <v>1328</v>
      </c>
      <c r="T24" s="17" t="s">
        <v>1328</v>
      </c>
      <c r="U24" s="20" t="str">
        <f t="shared" si="3"/>
        <v>Yes</v>
      </c>
      <c r="V24" s="19" t="str">
        <f t="shared" si="4"/>
        <v>CG</v>
      </c>
      <c r="W24" s="17" t="str">
        <f t="shared" si="5"/>
        <v>Yes</v>
      </c>
      <c r="X24" s="17" t="s">
        <v>1329</v>
      </c>
      <c r="Y24" s="17" t="s">
        <v>1330</v>
      </c>
      <c r="Z24" s="17" t="s">
        <v>1331</v>
      </c>
      <c r="AA24" s="17" t="s">
        <v>1347</v>
      </c>
      <c r="AB24" s="17" t="s">
        <v>1333</v>
      </c>
      <c r="AC24" s="17" t="s">
        <v>1381</v>
      </c>
      <c r="AD24" s="17" t="s">
        <v>1362</v>
      </c>
      <c r="AE24" s="17">
        <f t="shared" si="6"/>
        <v>3</v>
      </c>
      <c r="AF24" s="17" t="s">
        <v>1328</v>
      </c>
      <c r="AG24" s="17" t="s">
        <v>1328</v>
      </c>
      <c r="AH24" s="17" t="s">
        <v>1336</v>
      </c>
      <c r="AI24" s="17" t="s">
        <v>1336</v>
      </c>
      <c r="AJ24" s="17" t="s">
        <v>1328</v>
      </c>
      <c r="AK24" s="17" t="s">
        <v>1336</v>
      </c>
      <c r="AL24" s="17" t="s">
        <v>1350</v>
      </c>
      <c r="AM24" s="17" t="s">
        <v>1351</v>
      </c>
      <c r="AN24" s="17" t="s">
        <v>1339</v>
      </c>
      <c r="AO24" s="17" t="s">
        <v>1388</v>
      </c>
      <c r="AP24" s="17" t="s">
        <v>1328</v>
      </c>
      <c r="AQ24" s="17" t="str">
        <f t="shared" si="7"/>
        <v>intermediate</v>
      </c>
      <c r="AR24" s="20"/>
    </row>
    <row r="25" ht="15.75" customHeight="1">
      <c r="A25" s="16" t="s">
        <v>1774</v>
      </c>
      <c r="B25" s="16" t="s">
        <v>37</v>
      </c>
      <c r="C25" s="16">
        <v>2018.0</v>
      </c>
      <c r="D25" s="16" t="s">
        <v>1775</v>
      </c>
      <c r="E25" s="16" t="s">
        <v>1776</v>
      </c>
      <c r="F25" s="16" t="s">
        <v>1777</v>
      </c>
      <c r="G25" s="16" t="str">
        <f t="shared" si="1"/>
        <v>No</v>
      </c>
      <c r="H25" s="16" t="s">
        <v>1324</v>
      </c>
      <c r="I25" s="16" t="s">
        <v>1324</v>
      </c>
      <c r="J25" s="16">
        <v>52.0</v>
      </c>
      <c r="K25" s="17" t="s">
        <v>1778</v>
      </c>
      <c r="L25" s="17" t="s">
        <v>5010</v>
      </c>
      <c r="M25" s="18" t="str">
        <f t="shared" si="2"/>
        <v>http://dx.doi.org/10.1073/pnas.1711122115</v>
      </c>
      <c r="N25" s="19" t="s">
        <v>1580</v>
      </c>
      <c r="O25" s="17" t="s">
        <v>1387</v>
      </c>
      <c r="P25" s="17" t="s">
        <v>1328</v>
      </c>
      <c r="Q25" s="17" t="s">
        <v>1328</v>
      </c>
      <c r="R25" s="17" t="s">
        <v>1328</v>
      </c>
      <c r="S25" s="17" t="s">
        <v>1328</v>
      </c>
      <c r="T25" s="17" t="s">
        <v>1328</v>
      </c>
      <c r="U25" s="20" t="str">
        <f t="shared" si="3"/>
        <v>Yes</v>
      </c>
      <c r="V25" s="19" t="str">
        <f t="shared" si="4"/>
        <v>MW</v>
      </c>
      <c r="W25" s="17" t="str">
        <f t="shared" si="5"/>
        <v>Yes</v>
      </c>
      <c r="X25" s="17" t="s">
        <v>1329</v>
      </c>
      <c r="Y25" s="17" t="s">
        <v>1330</v>
      </c>
      <c r="Z25" s="17" t="s">
        <v>1331</v>
      </c>
      <c r="AA25" s="17" t="s">
        <v>1347</v>
      </c>
      <c r="AB25" s="17" t="s">
        <v>1360</v>
      </c>
      <c r="AC25" s="17" t="s">
        <v>1348</v>
      </c>
      <c r="AD25" s="17" t="s">
        <v>1349</v>
      </c>
      <c r="AE25" s="17">
        <f t="shared" si="6"/>
        <v>3</v>
      </c>
      <c r="AF25" s="17" t="s">
        <v>1328</v>
      </c>
      <c r="AG25" s="17" t="s">
        <v>1336</v>
      </c>
      <c r="AH25" s="17" t="s">
        <v>1328</v>
      </c>
      <c r="AI25" s="17" t="s">
        <v>1336</v>
      </c>
      <c r="AJ25" s="17" t="s">
        <v>1336</v>
      </c>
      <c r="AK25" s="17" t="s">
        <v>1328</v>
      </c>
      <c r="AL25" s="17" t="s">
        <v>1350</v>
      </c>
      <c r="AM25" s="17" t="s">
        <v>1351</v>
      </c>
      <c r="AN25" s="17" t="s">
        <v>1363</v>
      </c>
      <c r="AO25" s="17" t="s">
        <v>1388</v>
      </c>
      <c r="AP25" s="17" t="s">
        <v>1328</v>
      </c>
      <c r="AQ25" s="17" t="str">
        <f t="shared" si="7"/>
        <v>high</v>
      </c>
      <c r="AR25" s="20"/>
    </row>
    <row r="26" ht="15.75" customHeight="1">
      <c r="A26" s="16" t="s">
        <v>1490</v>
      </c>
      <c r="B26" s="16" t="s">
        <v>365</v>
      </c>
      <c r="C26" s="16">
        <v>2008.0</v>
      </c>
      <c r="D26" s="16" t="s">
        <v>1491</v>
      </c>
      <c r="E26" s="16" t="s">
        <v>1492</v>
      </c>
      <c r="F26" s="16" t="s">
        <v>1493</v>
      </c>
      <c r="G26" s="16" t="str">
        <f t="shared" si="1"/>
        <v>No</v>
      </c>
      <c r="H26" s="16" t="s">
        <v>1324</v>
      </c>
      <c r="I26" s="16" t="s">
        <v>1324</v>
      </c>
      <c r="J26" s="16">
        <v>95.0</v>
      </c>
      <c r="K26" s="17" t="s">
        <v>1494</v>
      </c>
      <c r="L26" s="17" t="s">
        <v>5010</v>
      </c>
      <c r="M26" s="18" t="str">
        <f t="shared" si="2"/>
        <v>http://dx.doi.org/10.1371/journal.pone.0003039</v>
      </c>
      <c r="N26" s="19" t="s">
        <v>1495</v>
      </c>
      <c r="O26" s="17" t="s">
        <v>1436</v>
      </c>
      <c r="P26" s="17" t="s">
        <v>1328</v>
      </c>
      <c r="Q26" s="17" t="s">
        <v>1328</v>
      </c>
      <c r="R26" s="17" t="s">
        <v>1328</v>
      </c>
      <c r="S26" s="17" t="s">
        <v>1328</v>
      </c>
      <c r="T26" s="17" t="s">
        <v>1328</v>
      </c>
      <c r="U26" s="20" t="str">
        <f t="shared" si="3"/>
        <v>Yes</v>
      </c>
      <c r="V26" s="19" t="str">
        <f t="shared" si="4"/>
        <v>CG</v>
      </c>
      <c r="W26" s="17" t="str">
        <f t="shared" si="5"/>
        <v>Yes</v>
      </c>
      <c r="X26" s="17" t="s">
        <v>1329</v>
      </c>
      <c r="Y26" s="17" t="s">
        <v>1372</v>
      </c>
      <c r="Z26" s="17" t="s">
        <v>1331</v>
      </c>
      <c r="AA26" s="17" t="s">
        <v>1347</v>
      </c>
      <c r="AB26" s="17" t="s">
        <v>1360</v>
      </c>
      <c r="AC26" s="17" t="s">
        <v>1496</v>
      </c>
      <c r="AD26" s="17" t="s">
        <v>1349</v>
      </c>
      <c r="AE26" s="17">
        <f t="shared" si="6"/>
        <v>2</v>
      </c>
      <c r="AF26" s="17" t="s">
        <v>1328</v>
      </c>
      <c r="AG26" s="17" t="s">
        <v>1328</v>
      </c>
      <c r="AH26" s="17" t="s">
        <v>1336</v>
      </c>
      <c r="AI26" s="17" t="s">
        <v>1336</v>
      </c>
      <c r="AJ26" s="17" t="s">
        <v>1336</v>
      </c>
      <c r="AK26" s="17" t="s">
        <v>1336</v>
      </c>
      <c r="AL26" s="17" t="s">
        <v>1350</v>
      </c>
      <c r="AM26" s="17" t="s">
        <v>1351</v>
      </c>
      <c r="AN26" s="17" t="s">
        <v>1339</v>
      </c>
      <c r="AO26" s="17" t="s">
        <v>1374</v>
      </c>
      <c r="AP26" s="17" t="s">
        <v>1328</v>
      </c>
      <c r="AQ26" s="17" t="str">
        <f t="shared" si="7"/>
        <v>high</v>
      </c>
      <c r="AR26" s="20"/>
    </row>
    <row r="27" ht="15.75" customHeight="1">
      <c r="A27" s="16" t="s">
        <v>1909</v>
      </c>
      <c r="B27" s="16" t="s">
        <v>64</v>
      </c>
      <c r="C27" s="16">
        <v>2017.0</v>
      </c>
      <c r="D27" s="16" t="s">
        <v>1910</v>
      </c>
      <c r="E27" s="16" t="s">
        <v>1911</v>
      </c>
      <c r="F27" s="16" t="s">
        <v>1912</v>
      </c>
      <c r="G27" s="16" t="str">
        <f t="shared" si="1"/>
        <v>No</v>
      </c>
      <c r="H27" s="16" t="s">
        <v>1324</v>
      </c>
      <c r="I27" s="16" t="s">
        <v>1324</v>
      </c>
      <c r="J27" s="16">
        <v>74.0</v>
      </c>
      <c r="K27" s="17" t="s">
        <v>1913</v>
      </c>
      <c r="L27" s="17" t="s">
        <v>5010</v>
      </c>
      <c r="M27" s="18" t="str">
        <f t="shared" si="2"/>
        <v>http://dx.doi.org/10.1016/j.scitotenv.2017.02.210</v>
      </c>
      <c r="N27" s="19" t="s">
        <v>1666</v>
      </c>
      <c r="O27" s="17" t="s">
        <v>1436</v>
      </c>
      <c r="P27" s="17" t="s">
        <v>1328</v>
      </c>
      <c r="Q27" s="17" t="s">
        <v>1328</v>
      </c>
      <c r="R27" s="17" t="s">
        <v>1328</v>
      </c>
      <c r="S27" s="17" t="s">
        <v>1328</v>
      </c>
      <c r="T27" s="17" t="s">
        <v>1328</v>
      </c>
      <c r="U27" s="20" t="str">
        <f t="shared" si="3"/>
        <v>Yes</v>
      </c>
      <c r="V27" s="19" t="str">
        <f t="shared" si="4"/>
        <v>CG</v>
      </c>
      <c r="W27" s="17" t="str">
        <f t="shared" si="5"/>
        <v>Yes</v>
      </c>
      <c r="X27" s="17" t="s">
        <v>1329</v>
      </c>
      <c r="Y27" s="17" t="s">
        <v>1330</v>
      </c>
      <c r="Z27" s="17" t="s">
        <v>1330</v>
      </c>
      <c r="AA27" s="17" t="s">
        <v>1347</v>
      </c>
      <c r="AB27" s="17" t="s">
        <v>1333</v>
      </c>
      <c r="AC27" s="17" t="s">
        <v>1381</v>
      </c>
      <c r="AD27" s="17" t="s">
        <v>1464</v>
      </c>
      <c r="AE27" s="17">
        <f t="shared" si="6"/>
        <v>2</v>
      </c>
      <c r="AF27" s="17" t="s">
        <v>1328</v>
      </c>
      <c r="AG27" s="17" t="s">
        <v>1328</v>
      </c>
      <c r="AH27" s="17" t="s">
        <v>1336</v>
      </c>
      <c r="AI27" s="17" t="s">
        <v>1336</v>
      </c>
      <c r="AJ27" s="17" t="s">
        <v>1336</v>
      </c>
      <c r="AK27" s="17" t="s">
        <v>1336</v>
      </c>
      <c r="AL27" s="17" t="s">
        <v>1350</v>
      </c>
      <c r="AM27" s="17" t="s">
        <v>1351</v>
      </c>
      <c r="AN27" s="17" t="s">
        <v>1339</v>
      </c>
      <c r="AO27" s="17" t="s">
        <v>1374</v>
      </c>
      <c r="AP27" s="17" t="s">
        <v>1328</v>
      </c>
      <c r="AQ27" s="17" t="str">
        <f t="shared" si="7"/>
        <v>intermediate</v>
      </c>
      <c r="AR27" s="20"/>
    </row>
    <row r="28" ht="15.75" customHeight="1">
      <c r="A28" s="16" t="s">
        <v>1992</v>
      </c>
      <c r="B28" s="16" t="s">
        <v>193</v>
      </c>
      <c r="C28" s="16">
        <v>2012.0</v>
      </c>
      <c r="D28" s="16" t="s">
        <v>1993</v>
      </c>
      <c r="E28" s="16" t="s">
        <v>1994</v>
      </c>
      <c r="F28" s="16" t="s">
        <v>1995</v>
      </c>
      <c r="G28" s="16" t="str">
        <f t="shared" si="1"/>
        <v>No</v>
      </c>
      <c r="H28" s="16" t="s">
        <v>1324</v>
      </c>
      <c r="I28" s="16" t="s">
        <v>1324</v>
      </c>
      <c r="J28" s="16">
        <v>14.0</v>
      </c>
      <c r="K28" s="17" t="s">
        <v>1996</v>
      </c>
      <c r="L28" s="17" t="s">
        <v>5010</v>
      </c>
      <c r="M28" s="18" t="str">
        <f t="shared" si="2"/>
        <v>http://dx.doi.org/10.1016/j.jclepro.2012.06.016</v>
      </c>
      <c r="N28" s="19" t="s">
        <v>1462</v>
      </c>
      <c r="O28" s="17" t="s">
        <v>1387</v>
      </c>
      <c r="P28" s="17" t="s">
        <v>1328</v>
      </c>
      <c r="Q28" s="17" t="s">
        <v>1328</v>
      </c>
      <c r="R28" s="17" t="s">
        <v>1328</v>
      </c>
      <c r="S28" s="17" t="s">
        <v>1328</v>
      </c>
      <c r="T28" s="17" t="s">
        <v>1328</v>
      </c>
      <c r="U28" s="20" t="str">
        <f t="shared" si="3"/>
        <v>Yes</v>
      </c>
      <c r="V28" s="19" t="str">
        <f t="shared" si="4"/>
        <v>MW</v>
      </c>
      <c r="W28" s="17" t="str">
        <f t="shared" si="5"/>
        <v>Yes</v>
      </c>
      <c r="X28" s="17" t="s">
        <v>1329</v>
      </c>
      <c r="Y28" s="17" t="s">
        <v>1372</v>
      </c>
      <c r="Z28" s="17" t="s">
        <v>1331</v>
      </c>
      <c r="AA28" s="17" t="s">
        <v>1337</v>
      </c>
      <c r="AB28" s="17" t="s">
        <v>1444</v>
      </c>
      <c r="AC28" s="17" t="s">
        <v>1864</v>
      </c>
      <c r="AD28" s="17" t="s">
        <v>1446</v>
      </c>
      <c r="AE28" s="17">
        <f t="shared" si="6"/>
        <v>3</v>
      </c>
      <c r="AF28" s="17" t="s">
        <v>1328</v>
      </c>
      <c r="AG28" s="17" t="s">
        <v>1328</v>
      </c>
      <c r="AH28" s="17" t="s">
        <v>1328</v>
      </c>
      <c r="AI28" s="17" t="s">
        <v>1336</v>
      </c>
      <c r="AJ28" s="17" t="s">
        <v>1336</v>
      </c>
      <c r="AK28" s="17" t="s">
        <v>1336</v>
      </c>
      <c r="AL28" s="17" t="s">
        <v>1404</v>
      </c>
      <c r="AM28" s="17" t="s">
        <v>1351</v>
      </c>
      <c r="AN28" s="17" t="s">
        <v>1363</v>
      </c>
      <c r="AO28" s="17" t="s">
        <v>1331</v>
      </c>
      <c r="AP28" s="17" t="s">
        <v>1328</v>
      </c>
      <c r="AQ28" s="17" t="str">
        <f t="shared" si="7"/>
        <v>high</v>
      </c>
      <c r="AR28" s="20"/>
    </row>
    <row r="29" ht="15.75" customHeight="1">
      <c r="A29" s="21" t="s">
        <v>1640</v>
      </c>
      <c r="B29" s="21" t="s">
        <v>1253</v>
      </c>
      <c r="C29" s="21">
        <v>2018.0</v>
      </c>
      <c r="D29" s="21" t="s">
        <v>1641</v>
      </c>
      <c r="E29" s="21" t="s">
        <v>1642</v>
      </c>
      <c r="F29" s="21" t="s">
        <v>1643</v>
      </c>
      <c r="G29" s="16" t="str">
        <f t="shared" si="1"/>
        <v>No</v>
      </c>
      <c r="H29" s="16" t="s">
        <v>1324</v>
      </c>
      <c r="I29" s="16" t="s">
        <v>1324</v>
      </c>
      <c r="J29" s="16">
        <v>28.0</v>
      </c>
      <c r="K29" s="17" t="s">
        <v>1644</v>
      </c>
      <c r="L29" s="17" t="s">
        <v>5010</v>
      </c>
      <c r="M29" s="18" t="str">
        <f t="shared" si="2"/>
        <v>http://dx.doi.org/10.1111/geb.12690</v>
      </c>
      <c r="N29" s="19" t="s">
        <v>1346</v>
      </c>
      <c r="O29" s="17" t="s">
        <v>1371</v>
      </c>
      <c r="P29" s="17" t="s">
        <v>1328</v>
      </c>
      <c r="Q29" s="17" t="s">
        <v>1328</v>
      </c>
      <c r="R29" s="17" t="s">
        <v>1328</v>
      </c>
      <c r="S29" s="17" t="s">
        <v>1328</v>
      </c>
      <c r="T29" s="17" t="s">
        <v>1328</v>
      </c>
      <c r="U29" s="20" t="str">
        <f t="shared" si="3"/>
        <v>Yes</v>
      </c>
      <c r="V29" s="19" t="str">
        <f t="shared" si="4"/>
        <v>LC</v>
      </c>
      <c r="W29" s="17" t="str">
        <f t="shared" si="5"/>
        <v>Yes</v>
      </c>
      <c r="X29" s="17" t="s">
        <v>1329</v>
      </c>
      <c r="Y29" s="17" t="s">
        <v>1372</v>
      </c>
      <c r="Z29" s="17" t="s">
        <v>1331</v>
      </c>
      <c r="AA29" s="17" t="s">
        <v>1347</v>
      </c>
      <c r="AB29" s="17" t="s">
        <v>1360</v>
      </c>
      <c r="AC29" s="17" t="s">
        <v>1361</v>
      </c>
      <c r="AD29" s="17" t="s">
        <v>1530</v>
      </c>
      <c r="AE29" s="22">
        <f t="shared" si="6"/>
        <v>3</v>
      </c>
      <c r="AF29" s="17" t="s">
        <v>1328</v>
      </c>
      <c r="AG29" s="17" t="s">
        <v>1328</v>
      </c>
      <c r="AH29" s="17" t="s">
        <v>1336</v>
      </c>
      <c r="AI29" s="17" t="s">
        <v>1328</v>
      </c>
      <c r="AJ29" s="17" t="s">
        <v>1336</v>
      </c>
      <c r="AK29" s="17" t="s">
        <v>1336</v>
      </c>
      <c r="AL29" s="17" t="s">
        <v>1350</v>
      </c>
      <c r="AM29" s="17" t="s">
        <v>1351</v>
      </c>
      <c r="AN29" s="17" t="s">
        <v>1363</v>
      </c>
      <c r="AO29" s="17" t="s">
        <v>1388</v>
      </c>
      <c r="AP29" s="17" t="s">
        <v>1328</v>
      </c>
      <c r="AQ29" s="17" t="str">
        <f t="shared" si="7"/>
        <v>high</v>
      </c>
      <c r="AR29" s="20"/>
    </row>
    <row r="30" ht="15.75" customHeight="1">
      <c r="A30" s="16" t="s">
        <v>2041</v>
      </c>
      <c r="B30" s="16" t="s">
        <v>2030</v>
      </c>
      <c r="C30" s="16">
        <v>2015.0</v>
      </c>
      <c r="D30" s="16" t="s">
        <v>2042</v>
      </c>
      <c r="E30" s="16" t="s">
        <v>2043</v>
      </c>
      <c r="F30" s="16" t="s">
        <v>2044</v>
      </c>
      <c r="G30" s="16" t="str">
        <f t="shared" si="1"/>
        <v>No</v>
      </c>
      <c r="H30" s="16" t="s">
        <v>1324</v>
      </c>
      <c r="I30" s="16" t="s">
        <v>1324</v>
      </c>
      <c r="J30" s="16">
        <v>3.0</v>
      </c>
      <c r="K30" s="17" t="s">
        <v>2045</v>
      </c>
      <c r="L30" s="17" t="s">
        <v>5010</v>
      </c>
      <c r="M30" s="18" t="str">
        <f t="shared" si="2"/>
        <v>http://dx.doi.org/10.1016/j.fishres.2014.12.016</v>
      </c>
      <c r="N30" s="19" t="s">
        <v>1410</v>
      </c>
      <c r="O30" s="17" t="s">
        <v>1327</v>
      </c>
      <c r="P30" s="17" t="s">
        <v>1328</v>
      </c>
      <c r="Q30" s="17" t="s">
        <v>1328</v>
      </c>
      <c r="R30" s="17" t="s">
        <v>1328</v>
      </c>
      <c r="S30" s="17" t="s">
        <v>1328</v>
      </c>
      <c r="T30" s="17" t="s">
        <v>1328</v>
      </c>
      <c r="U30" s="20" t="str">
        <f t="shared" si="3"/>
        <v>Yes</v>
      </c>
      <c r="V30" s="19" t="str">
        <f t="shared" si="4"/>
        <v>PJ</v>
      </c>
      <c r="W30" s="17" t="str">
        <f t="shared" si="5"/>
        <v>Yes</v>
      </c>
      <c r="X30" s="17" t="s">
        <v>1329</v>
      </c>
      <c r="Y30" s="17" t="s">
        <v>1330</v>
      </c>
      <c r="Z30" s="17" t="s">
        <v>1331</v>
      </c>
      <c r="AA30" s="17" t="s">
        <v>1347</v>
      </c>
      <c r="AB30" s="17" t="s">
        <v>1333</v>
      </c>
      <c r="AC30" s="17" t="s">
        <v>1361</v>
      </c>
      <c r="AD30" s="17" t="s">
        <v>2046</v>
      </c>
      <c r="AE30" s="17">
        <f t="shared" si="6"/>
        <v>2</v>
      </c>
      <c r="AF30" s="17" t="s">
        <v>1328</v>
      </c>
      <c r="AG30" s="17" t="s">
        <v>1336</v>
      </c>
      <c r="AH30" s="17" t="s">
        <v>1328</v>
      </c>
      <c r="AI30" s="17" t="s">
        <v>1336</v>
      </c>
      <c r="AJ30" s="17" t="s">
        <v>1336</v>
      </c>
      <c r="AK30" s="17" t="s">
        <v>1336</v>
      </c>
      <c r="AL30" s="17" t="s">
        <v>1350</v>
      </c>
      <c r="AM30" s="17" t="s">
        <v>1351</v>
      </c>
      <c r="AN30" s="17" t="s">
        <v>1363</v>
      </c>
      <c r="AO30" s="17" t="s">
        <v>1331</v>
      </c>
      <c r="AP30" s="17" t="s">
        <v>1328</v>
      </c>
      <c r="AQ30" s="17" t="str">
        <f t="shared" si="7"/>
        <v>intermediate</v>
      </c>
      <c r="AR30" s="20"/>
    </row>
    <row r="31" ht="15.75" customHeight="1">
      <c r="A31" s="16" t="s">
        <v>2249</v>
      </c>
      <c r="B31" s="16" t="s">
        <v>2244</v>
      </c>
      <c r="C31" s="16">
        <v>2016.0</v>
      </c>
      <c r="D31" s="16" t="s">
        <v>2250</v>
      </c>
      <c r="E31" s="16" t="s">
        <v>2251</v>
      </c>
      <c r="F31" s="16" t="s">
        <v>2252</v>
      </c>
      <c r="G31" s="16" t="str">
        <f t="shared" si="1"/>
        <v>No</v>
      </c>
      <c r="H31" s="16" t="s">
        <v>1324</v>
      </c>
      <c r="I31" s="16" t="s">
        <v>1324</v>
      </c>
      <c r="J31" s="16">
        <v>9.0</v>
      </c>
      <c r="K31" s="17" t="s">
        <v>2253</v>
      </c>
      <c r="L31" s="17" t="s">
        <v>5010</v>
      </c>
      <c r="M31" s="18" t="str">
        <f t="shared" si="2"/>
        <v>http://dx.doi.org/10.1002/aqc.2710</v>
      </c>
      <c r="N31" s="19" t="s">
        <v>1326</v>
      </c>
      <c r="O31" s="17" t="s">
        <v>1327</v>
      </c>
      <c r="P31" s="17" t="s">
        <v>1328</v>
      </c>
      <c r="Q31" s="17" t="s">
        <v>1328</v>
      </c>
      <c r="R31" s="17" t="s">
        <v>1328</v>
      </c>
      <c r="S31" s="17" t="s">
        <v>1328</v>
      </c>
      <c r="T31" s="17" t="s">
        <v>1328</v>
      </c>
      <c r="U31" s="20" t="str">
        <f t="shared" si="3"/>
        <v>Yes</v>
      </c>
      <c r="V31" s="19" t="str">
        <f t="shared" si="4"/>
        <v>PJ</v>
      </c>
      <c r="W31" s="17" t="str">
        <f t="shared" si="5"/>
        <v>Yes</v>
      </c>
      <c r="X31" s="17" t="s">
        <v>1443</v>
      </c>
      <c r="Y31" s="17" t="s">
        <v>1330</v>
      </c>
      <c r="Z31" s="17" t="s">
        <v>1331</v>
      </c>
      <c r="AA31" s="17" t="s">
        <v>1347</v>
      </c>
      <c r="AB31" s="17" t="s">
        <v>1444</v>
      </c>
      <c r="AC31" s="17" t="s">
        <v>1445</v>
      </c>
      <c r="AD31" s="17" t="s">
        <v>1335</v>
      </c>
      <c r="AE31" s="17">
        <f t="shared" si="6"/>
        <v>5</v>
      </c>
      <c r="AF31" s="17" t="s">
        <v>1328</v>
      </c>
      <c r="AG31" s="17" t="s">
        <v>1328</v>
      </c>
      <c r="AH31" s="17" t="s">
        <v>1328</v>
      </c>
      <c r="AI31" s="17" t="s">
        <v>1328</v>
      </c>
      <c r="AJ31" s="17" t="s">
        <v>1328</v>
      </c>
      <c r="AK31" s="17" t="s">
        <v>1336</v>
      </c>
      <c r="AL31" s="17" t="s">
        <v>1395</v>
      </c>
      <c r="AM31" s="17" t="s">
        <v>1351</v>
      </c>
      <c r="AN31" s="17" t="s">
        <v>1363</v>
      </c>
      <c r="AO31" s="17" t="s">
        <v>1331</v>
      </c>
      <c r="AP31" s="17" t="s">
        <v>1328</v>
      </c>
      <c r="AQ31" s="17" t="str">
        <f t="shared" si="7"/>
        <v>high</v>
      </c>
      <c r="AR31" s="20"/>
    </row>
    <row r="32" ht="15.75" customHeight="1">
      <c r="A32" s="16" t="s">
        <v>1889</v>
      </c>
      <c r="B32" s="16" t="s">
        <v>251</v>
      </c>
      <c r="C32" s="16">
        <v>2003.0</v>
      </c>
      <c r="D32" s="16" t="s">
        <v>1890</v>
      </c>
      <c r="E32" s="16" t="s">
        <v>1891</v>
      </c>
      <c r="F32" s="16" t="s">
        <v>1892</v>
      </c>
      <c r="G32" s="16" t="str">
        <f t="shared" si="1"/>
        <v>No</v>
      </c>
      <c r="H32" s="16" t="s">
        <v>1324</v>
      </c>
      <c r="I32" s="16" t="s">
        <v>1324</v>
      </c>
      <c r="J32" s="16">
        <v>194.0</v>
      </c>
      <c r="K32" s="17" t="s">
        <v>1893</v>
      </c>
      <c r="L32" s="17" t="s">
        <v>5010</v>
      </c>
      <c r="M32" s="18" t="str">
        <f t="shared" si="2"/>
        <v>http://dx.doi.org/10.1016/S0006-3207(03)00051-X</v>
      </c>
      <c r="N32" s="19" t="s">
        <v>1580</v>
      </c>
      <c r="O32" s="17" t="s">
        <v>1371</v>
      </c>
      <c r="P32" s="17" t="s">
        <v>1328</v>
      </c>
      <c r="Q32" s="17" t="s">
        <v>1328</v>
      </c>
      <c r="R32" s="17" t="s">
        <v>1328</v>
      </c>
      <c r="S32" s="17" t="s">
        <v>1328</v>
      </c>
      <c r="T32" s="17" t="s">
        <v>1328</v>
      </c>
      <c r="U32" s="20" t="str">
        <f t="shared" si="3"/>
        <v>Yes</v>
      </c>
      <c r="V32" s="19" t="str">
        <f t="shared" si="4"/>
        <v>LC</v>
      </c>
      <c r="W32" s="17" t="str">
        <f t="shared" si="5"/>
        <v>Yes</v>
      </c>
      <c r="X32" s="17" t="s">
        <v>1329</v>
      </c>
      <c r="Y32" s="17" t="s">
        <v>1372</v>
      </c>
      <c r="Z32" s="17" t="s">
        <v>1331</v>
      </c>
      <c r="AA32" s="17" t="s">
        <v>1332</v>
      </c>
      <c r="AB32" s="17" t="s">
        <v>1333</v>
      </c>
      <c r="AC32" s="17" t="s">
        <v>1361</v>
      </c>
      <c r="AD32" s="17" t="s">
        <v>1464</v>
      </c>
      <c r="AE32" s="17">
        <f t="shared" si="6"/>
        <v>2</v>
      </c>
      <c r="AF32" s="17" t="s">
        <v>1336</v>
      </c>
      <c r="AG32" s="17" t="s">
        <v>1328</v>
      </c>
      <c r="AH32" s="17" t="s">
        <v>1336</v>
      </c>
      <c r="AI32" s="17" t="s">
        <v>1328</v>
      </c>
      <c r="AJ32" s="17" t="s">
        <v>1336</v>
      </c>
      <c r="AK32" s="17" t="s">
        <v>1336</v>
      </c>
      <c r="AL32" s="17" t="s">
        <v>1350</v>
      </c>
      <c r="AM32" s="17" t="s">
        <v>1351</v>
      </c>
      <c r="AN32" s="17" t="s">
        <v>1339</v>
      </c>
      <c r="AO32" s="17" t="s">
        <v>1388</v>
      </c>
      <c r="AP32" s="17" t="s">
        <v>1328</v>
      </c>
      <c r="AQ32" s="17" t="str">
        <f t="shared" si="7"/>
        <v>intermediate</v>
      </c>
      <c r="AR32" s="20"/>
    </row>
    <row r="33" ht="15.75" customHeight="1">
      <c r="A33" s="16" t="s">
        <v>2259</v>
      </c>
      <c r="B33" s="16" t="s">
        <v>2244</v>
      </c>
      <c r="C33" s="16">
        <v>2010.0</v>
      </c>
      <c r="D33" s="16" t="s">
        <v>2260</v>
      </c>
      <c r="E33" s="16" t="s">
        <v>2261</v>
      </c>
      <c r="F33" s="16" t="s">
        <v>2262</v>
      </c>
      <c r="G33" s="16" t="str">
        <f t="shared" si="1"/>
        <v>No</v>
      </c>
      <c r="H33" s="16" t="s">
        <v>1324</v>
      </c>
      <c r="I33" s="16" t="s">
        <v>1324</v>
      </c>
      <c r="J33" s="16">
        <v>10.0</v>
      </c>
      <c r="K33" s="17" t="s">
        <v>2263</v>
      </c>
      <c r="L33" s="17" t="s">
        <v>5010</v>
      </c>
      <c r="M33" s="18" t="str">
        <f t="shared" si="2"/>
        <v>http://dx.doi.org/10.1002/aqc.1079</v>
      </c>
      <c r="N33" s="19" t="s">
        <v>1835</v>
      </c>
      <c r="O33" s="17" t="s">
        <v>1403</v>
      </c>
      <c r="P33" s="17" t="s">
        <v>1328</v>
      </c>
      <c r="Q33" s="17" t="s">
        <v>1328</v>
      </c>
      <c r="R33" s="17" t="s">
        <v>1328</v>
      </c>
      <c r="S33" s="17" t="s">
        <v>1328</v>
      </c>
      <c r="T33" s="17" t="s">
        <v>1328</v>
      </c>
      <c r="U33" s="20" t="str">
        <f t="shared" si="3"/>
        <v>Yes</v>
      </c>
      <c r="V33" s="19" t="str">
        <f t="shared" si="4"/>
        <v>DB</v>
      </c>
      <c r="W33" s="17" t="str">
        <f t="shared" si="5"/>
        <v>Yes</v>
      </c>
      <c r="X33" s="17" t="s">
        <v>1443</v>
      </c>
      <c r="Y33" s="17" t="s">
        <v>1331</v>
      </c>
      <c r="Z33" s="17" t="s">
        <v>1330</v>
      </c>
      <c r="AA33" s="17" t="s">
        <v>1337</v>
      </c>
      <c r="AB33" s="17" t="s">
        <v>1333</v>
      </c>
      <c r="AC33" s="17" t="s">
        <v>1381</v>
      </c>
      <c r="AD33" s="17" t="s">
        <v>1349</v>
      </c>
      <c r="AE33" s="17">
        <f t="shared" si="6"/>
        <v>6</v>
      </c>
      <c r="AF33" s="17" t="s">
        <v>1328</v>
      </c>
      <c r="AG33" s="17" t="s">
        <v>1328</v>
      </c>
      <c r="AH33" s="17" t="s">
        <v>1328</v>
      </c>
      <c r="AI33" s="17" t="s">
        <v>1328</v>
      </c>
      <c r="AJ33" s="17" t="s">
        <v>1328</v>
      </c>
      <c r="AK33" s="17" t="s">
        <v>1328</v>
      </c>
      <c r="AL33" s="17" t="s">
        <v>1395</v>
      </c>
      <c r="AM33" s="17" t="s">
        <v>1351</v>
      </c>
      <c r="AN33" s="17" t="s">
        <v>1339</v>
      </c>
      <c r="AO33" s="17" t="s">
        <v>1331</v>
      </c>
      <c r="AP33" s="17" t="s">
        <v>1328</v>
      </c>
      <c r="AQ33" s="17" t="str">
        <f t="shared" si="7"/>
        <v>intermediate</v>
      </c>
      <c r="AR33" s="20"/>
    </row>
    <row r="34" ht="15.75" customHeight="1">
      <c r="A34" s="16" t="s">
        <v>1829</v>
      </c>
      <c r="B34" s="16" t="s">
        <v>1830</v>
      </c>
      <c r="C34" s="16">
        <v>2001.0</v>
      </c>
      <c r="D34" s="16" t="s">
        <v>1831</v>
      </c>
      <c r="E34" s="16" t="s">
        <v>1832</v>
      </c>
      <c r="F34" s="16" t="s">
        <v>1833</v>
      </c>
      <c r="G34" s="16" t="str">
        <f t="shared" si="1"/>
        <v>No</v>
      </c>
      <c r="H34" s="16" t="s">
        <v>1324</v>
      </c>
      <c r="I34" s="16" t="s">
        <v>1324</v>
      </c>
      <c r="J34" s="16">
        <v>121.0</v>
      </c>
      <c r="K34" s="17" t="s">
        <v>1834</v>
      </c>
      <c r="L34" s="17" t="s">
        <v>5010</v>
      </c>
      <c r="M34" s="18" t="str">
        <f t="shared" si="2"/>
        <v>http://dx.doi.org/10.1023/A:1011185409347</v>
      </c>
      <c r="N34" s="19" t="s">
        <v>1835</v>
      </c>
      <c r="O34" s="17" t="s">
        <v>1417</v>
      </c>
      <c r="P34" s="17" t="s">
        <v>1328</v>
      </c>
      <c r="Q34" s="17" t="s">
        <v>1328</v>
      </c>
      <c r="R34" s="17" t="s">
        <v>1328</v>
      </c>
      <c r="S34" s="17" t="s">
        <v>1328</v>
      </c>
      <c r="T34" s="17" t="s">
        <v>1328</v>
      </c>
      <c r="U34" s="20" t="str">
        <f t="shared" si="3"/>
        <v>Yes</v>
      </c>
      <c r="V34" s="19" t="str">
        <f t="shared" si="4"/>
        <v>NT</v>
      </c>
      <c r="W34" s="17" t="str">
        <f t="shared" si="5"/>
        <v>Yes</v>
      </c>
      <c r="X34" s="17" t="s">
        <v>1329</v>
      </c>
      <c r="Y34" s="17" t="s">
        <v>1331</v>
      </c>
      <c r="Z34" s="17" t="s">
        <v>1330</v>
      </c>
      <c r="AA34" s="17" t="s">
        <v>1347</v>
      </c>
      <c r="AB34" s="17" t="s">
        <v>1333</v>
      </c>
      <c r="AC34" s="17" t="s">
        <v>1348</v>
      </c>
      <c r="AD34" s="17" t="s">
        <v>1362</v>
      </c>
      <c r="AE34" s="17">
        <f t="shared" si="6"/>
        <v>2</v>
      </c>
      <c r="AF34" s="17" t="s">
        <v>1336</v>
      </c>
      <c r="AG34" s="17" t="s">
        <v>1328</v>
      </c>
      <c r="AH34" s="17" t="s">
        <v>1328</v>
      </c>
      <c r="AI34" s="17" t="s">
        <v>1336</v>
      </c>
      <c r="AJ34" s="17" t="s">
        <v>1336</v>
      </c>
      <c r="AK34" s="17" t="s">
        <v>1336</v>
      </c>
      <c r="AL34" s="17" t="s">
        <v>1350</v>
      </c>
      <c r="AM34" s="17" t="s">
        <v>1351</v>
      </c>
      <c r="AN34" s="17" t="s">
        <v>1339</v>
      </c>
      <c r="AO34" s="17" t="s">
        <v>1331</v>
      </c>
      <c r="AP34" s="17" t="s">
        <v>1328</v>
      </c>
      <c r="AQ34" s="17" t="str">
        <f t="shared" si="7"/>
        <v>intermediate</v>
      </c>
      <c r="AR34" s="20"/>
    </row>
    <row r="35" ht="15.75" customHeight="1">
      <c r="A35" s="16" t="s">
        <v>1447</v>
      </c>
      <c r="B35" s="16" t="s">
        <v>365</v>
      </c>
      <c r="C35" s="16">
        <v>2015.0</v>
      </c>
      <c r="D35" s="16" t="s">
        <v>1448</v>
      </c>
      <c r="E35" s="16" t="s">
        <v>1449</v>
      </c>
      <c r="F35" s="16" t="s">
        <v>1450</v>
      </c>
      <c r="G35" s="16" t="str">
        <f t="shared" si="1"/>
        <v>No</v>
      </c>
      <c r="H35" s="16" t="s">
        <v>1324</v>
      </c>
      <c r="I35" s="16" t="s">
        <v>1324</v>
      </c>
      <c r="J35" s="16">
        <v>14.0</v>
      </c>
      <c r="K35" s="17" t="s">
        <v>1451</v>
      </c>
      <c r="L35" s="17" t="s">
        <v>5010</v>
      </c>
      <c r="M35" s="18" t="str">
        <f t="shared" si="2"/>
        <v>http://dx.doi.org/10.1371/journal.pone.0120198</v>
      </c>
      <c r="N35" s="19" t="s">
        <v>1326</v>
      </c>
      <c r="O35" s="17" t="s">
        <v>1327</v>
      </c>
      <c r="P35" s="17" t="s">
        <v>1328</v>
      </c>
      <c r="Q35" s="17" t="s">
        <v>1328</v>
      </c>
      <c r="R35" s="17" t="s">
        <v>1328</v>
      </c>
      <c r="S35" s="17" t="s">
        <v>1328</v>
      </c>
      <c r="T35" s="17" t="s">
        <v>1328</v>
      </c>
      <c r="U35" s="20" t="str">
        <f t="shared" si="3"/>
        <v>Yes</v>
      </c>
      <c r="V35" s="19" t="str">
        <f t="shared" si="4"/>
        <v>PJ</v>
      </c>
      <c r="W35" s="17" t="str">
        <f t="shared" si="5"/>
        <v>Yes</v>
      </c>
      <c r="X35" s="17" t="s">
        <v>1443</v>
      </c>
      <c r="Y35" s="17" t="s">
        <v>1330</v>
      </c>
      <c r="Z35" s="17" t="s">
        <v>1331</v>
      </c>
      <c r="AA35" s="17" t="s">
        <v>1347</v>
      </c>
      <c r="AB35" s="17" t="s">
        <v>1444</v>
      </c>
      <c r="AC35" s="17" t="s">
        <v>1445</v>
      </c>
      <c r="AD35" s="17" t="s">
        <v>1335</v>
      </c>
      <c r="AE35" s="17">
        <f t="shared" si="6"/>
        <v>5</v>
      </c>
      <c r="AF35" s="17" t="s">
        <v>1328</v>
      </c>
      <c r="AG35" s="17" t="s">
        <v>1328</v>
      </c>
      <c r="AH35" s="17" t="s">
        <v>1328</v>
      </c>
      <c r="AI35" s="17" t="s">
        <v>1328</v>
      </c>
      <c r="AJ35" s="17" t="s">
        <v>1328</v>
      </c>
      <c r="AK35" s="17" t="s">
        <v>1336</v>
      </c>
      <c r="AL35" s="17" t="s">
        <v>1395</v>
      </c>
      <c r="AM35" s="17" t="s">
        <v>1351</v>
      </c>
      <c r="AN35" s="17" t="s">
        <v>1363</v>
      </c>
      <c r="AO35" s="17" t="s">
        <v>1331</v>
      </c>
      <c r="AP35" s="17" t="s">
        <v>1328</v>
      </c>
      <c r="AQ35" s="17" t="str">
        <f t="shared" si="7"/>
        <v>high</v>
      </c>
      <c r="AR35" s="20"/>
    </row>
    <row r="36" ht="15.75" customHeight="1">
      <c r="A36" s="16" t="s">
        <v>1724</v>
      </c>
      <c r="B36" s="16" t="s">
        <v>1725</v>
      </c>
      <c r="C36" s="16">
        <v>2010.0</v>
      </c>
      <c r="D36" s="16" t="s">
        <v>1726</v>
      </c>
      <c r="E36" s="16" t="s">
        <v>1727</v>
      </c>
      <c r="F36" s="16" t="s">
        <v>1728</v>
      </c>
      <c r="G36" s="16" t="str">
        <f t="shared" si="1"/>
        <v>No</v>
      </c>
      <c r="H36" s="16" t="s">
        <v>1324</v>
      </c>
      <c r="I36" s="16" t="s">
        <v>1324</v>
      </c>
      <c r="J36" s="16">
        <v>41.0</v>
      </c>
      <c r="K36" s="17" t="s">
        <v>1729</v>
      </c>
      <c r="L36" s="17" t="s">
        <v>5010</v>
      </c>
      <c r="M36" s="18" t="str">
        <f t="shared" si="2"/>
        <v>http://dx.doi.org/10.1098/rspb.2009.1020</v>
      </c>
      <c r="N36" s="19" t="s">
        <v>1410</v>
      </c>
      <c r="O36" s="17" t="s">
        <v>1359</v>
      </c>
      <c r="P36" s="17" t="s">
        <v>1328</v>
      </c>
      <c r="Q36" s="17" t="s">
        <v>1328</v>
      </c>
      <c r="R36" s="17" t="s">
        <v>1328</v>
      </c>
      <c r="S36" s="17" t="s">
        <v>1328</v>
      </c>
      <c r="T36" s="17" t="s">
        <v>1328</v>
      </c>
      <c r="U36" s="20" t="str">
        <f t="shared" si="3"/>
        <v>Yes</v>
      </c>
      <c r="V36" s="19" t="str">
        <f t="shared" si="4"/>
        <v>YT</v>
      </c>
      <c r="W36" s="17" t="str">
        <f t="shared" si="5"/>
        <v>Yes</v>
      </c>
      <c r="X36" s="17" t="s">
        <v>1329</v>
      </c>
      <c r="Y36" s="17" t="s">
        <v>1330</v>
      </c>
      <c r="Z36" s="17" t="s">
        <v>1330</v>
      </c>
      <c r="AA36" s="17" t="s">
        <v>1347</v>
      </c>
      <c r="AB36" s="17" t="s">
        <v>1333</v>
      </c>
      <c r="AC36" s="17" t="s">
        <v>1361</v>
      </c>
      <c r="AD36" s="17" t="s">
        <v>1349</v>
      </c>
      <c r="AE36" s="17">
        <f t="shared" si="6"/>
        <v>2</v>
      </c>
      <c r="AF36" s="17" t="s">
        <v>1328</v>
      </c>
      <c r="AG36" s="17" t="s">
        <v>1336</v>
      </c>
      <c r="AH36" s="17" t="s">
        <v>1328</v>
      </c>
      <c r="AI36" s="17" t="s">
        <v>1336</v>
      </c>
      <c r="AJ36" s="17" t="s">
        <v>1336</v>
      </c>
      <c r="AK36" s="17" t="s">
        <v>1336</v>
      </c>
      <c r="AL36" s="17" t="s">
        <v>1350</v>
      </c>
      <c r="AM36" s="17" t="s">
        <v>1351</v>
      </c>
      <c r="AN36" s="17" t="s">
        <v>1339</v>
      </c>
      <c r="AO36" s="17" t="s">
        <v>1331</v>
      </c>
      <c r="AP36" s="17" t="s">
        <v>1328</v>
      </c>
      <c r="AQ36" s="17" t="str">
        <f t="shared" si="7"/>
        <v>intermediate</v>
      </c>
      <c r="AR36" s="20"/>
    </row>
    <row r="37" ht="15.75" customHeight="1">
      <c r="A37" s="16" t="s">
        <v>1935</v>
      </c>
      <c r="B37" s="16" t="s">
        <v>1936</v>
      </c>
      <c r="C37" s="16">
        <v>2018.0</v>
      </c>
      <c r="D37" s="16" t="s">
        <v>1937</v>
      </c>
      <c r="E37" s="16" t="s">
        <v>1938</v>
      </c>
      <c r="F37" s="16" t="s">
        <v>1939</v>
      </c>
      <c r="G37" s="16" t="str">
        <f t="shared" si="1"/>
        <v>No</v>
      </c>
      <c r="H37" s="16" t="s">
        <v>1324</v>
      </c>
      <c r="I37" s="16" t="s">
        <v>1324</v>
      </c>
      <c r="J37" s="16">
        <v>184.0</v>
      </c>
      <c r="K37" s="17" t="s">
        <v>1940</v>
      </c>
      <c r="L37" s="17" t="s">
        <v>5010</v>
      </c>
      <c r="M37" s="18" t="str">
        <f t="shared" si="2"/>
        <v>http://dx.doi.org/10.1016/j.rama.2018.02.008</v>
      </c>
      <c r="N37" s="19" t="s">
        <v>1482</v>
      </c>
      <c r="O37" s="17" t="s">
        <v>1371</v>
      </c>
      <c r="P37" s="17" t="s">
        <v>1328</v>
      </c>
      <c r="Q37" s="17" t="s">
        <v>1328</v>
      </c>
      <c r="R37" s="17" t="s">
        <v>1328</v>
      </c>
      <c r="S37" s="17" t="s">
        <v>1328</v>
      </c>
      <c r="T37" s="17" t="s">
        <v>1328</v>
      </c>
      <c r="U37" s="20" t="str">
        <f t="shared" si="3"/>
        <v>Yes</v>
      </c>
      <c r="V37" s="19" t="str">
        <f t="shared" si="4"/>
        <v>LC</v>
      </c>
      <c r="W37" s="17" t="str">
        <f t="shared" si="5"/>
        <v>Yes</v>
      </c>
      <c r="X37" s="17" t="s">
        <v>1329</v>
      </c>
      <c r="Y37" s="17" t="s">
        <v>1330</v>
      </c>
      <c r="Z37" s="17" t="s">
        <v>1372</v>
      </c>
      <c r="AA37" s="17" t="s">
        <v>1347</v>
      </c>
      <c r="AB37" s="17" t="s">
        <v>1333</v>
      </c>
      <c r="AC37" s="17" t="s">
        <v>1348</v>
      </c>
      <c r="AD37" s="17" t="s">
        <v>1362</v>
      </c>
      <c r="AE37" s="17">
        <f t="shared" si="6"/>
        <v>2</v>
      </c>
      <c r="AF37" s="17" t="s">
        <v>1336</v>
      </c>
      <c r="AG37" s="17" t="s">
        <v>1328</v>
      </c>
      <c r="AH37" s="17" t="s">
        <v>1328</v>
      </c>
      <c r="AI37" s="17" t="s">
        <v>1336</v>
      </c>
      <c r="AJ37" s="17" t="s">
        <v>1336</v>
      </c>
      <c r="AK37" s="17" t="s">
        <v>1336</v>
      </c>
      <c r="AL37" s="17" t="s">
        <v>1350</v>
      </c>
      <c r="AM37" s="17" t="s">
        <v>1351</v>
      </c>
      <c r="AN37" s="17" t="s">
        <v>1363</v>
      </c>
      <c r="AO37" s="17" t="s">
        <v>1388</v>
      </c>
      <c r="AP37" s="17" t="s">
        <v>1328</v>
      </c>
      <c r="AQ37" s="17" t="str">
        <f t="shared" si="7"/>
        <v>intermediate</v>
      </c>
      <c r="AR37" s="20"/>
    </row>
    <row r="38" ht="15.75" customHeight="1">
      <c r="A38" s="16" t="s">
        <v>1574</v>
      </c>
      <c r="B38" s="16" t="s">
        <v>1575</v>
      </c>
      <c r="C38" s="16">
        <v>2013.0</v>
      </c>
      <c r="D38" s="16" t="s">
        <v>1576</v>
      </c>
      <c r="E38" s="16" t="s">
        <v>1577</v>
      </c>
      <c r="F38" s="16" t="s">
        <v>1578</v>
      </c>
      <c r="G38" s="16" t="str">
        <f t="shared" si="1"/>
        <v>No</v>
      </c>
      <c r="H38" s="16" t="s">
        <v>1324</v>
      </c>
      <c r="I38" s="16" t="s">
        <v>1324</v>
      </c>
      <c r="J38" s="16">
        <v>16.0</v>
      </c>
      <c r="K38" s="17" t="s">
        <v>1579</v>
      </c>
      <c r="L38" s="17" t="s">
        <v>5010</v>
      </c>
      <c r="M38" s="18" t="str">
        <f t="shared" si="2"/>
        <v>http://dx.doi.org/10.1111/j.1600-0706.2012.20696.x</v>
      </c>
      <c r="N38" s="19" t="s">
        <v>1580</v>
      </c>
      <c r="O38" s="17" t="s">
        <v>1387</v>
      </c>
      <c r="P38" s="17" t="s">
        <v>1328</v>
      </c>
      <c r="Q38" s="17" t="s">
        <v>1328</v>
      </c>
      <c r="R38" s="17" t="s">
        <v>1328</v>
      </c>
      <c r="S38" s="17" t="s">
        <v>1328</v>
      </c>
      <c r="T38" s="17" t="s">
        <v>1328</v>
      </c>
      <c r="U38" s="20" t="str">
        <f t="shared" si="3"/>
        <v>Yes</v>
      </c>
      <c r="V38" s="19" t="str">
        <f t="shared" si="4"/>
        <v>MW</v>
      </c>
      <c r="W38" s="17" t="str">
        <f t="shared" si="5"/>
        <v>Yes</v>
      </c>
      <c r="X38" s="17" t="s">
        <v>1329</v>
      </c>
      <c r="Y38" s="17" t="s">
        <v>1330</v>
      </c>
      <c r="Z38" s="17" t="s">
        <v>1331</v>
      </c>
      <c r="AA38" s="17" t="s">
        <v>1332</v>
      </c>
      <c r="AB38" s="17" t="s">
        <v>1333</v>
      </c>
      <c r="AC38" s="17" t="s">
        <v>1348</v>
      </c>
      <c r="AD38" s="17" t="s">
        <v>1530</v>
      </c>
      <c r="AE38" s="17">
        <f t="shared" si="6"/>
        <v>4</v>
      </c>
      <c r="AF38" s="17" t="s">
        <v>1336</v>
      </c>
      <c r="AG38" s="17" t="s">
        <v>1328</v>
      </c>
      <c r="AH38" s="17" t="s">
        <v>1336</v>
      </c>
      <c r="AI38" s="17" t="s">
        <v>1328</v>
      </c>
      <c r="AJ38" s="17" t="s">
        <v>1328</v>
      </c>
      <c r="AK38" s="17" t="s">
        <v>1328</v>
      </c>
      <c r="AL38" s="17" t="s">
        <v>1350</v>
      </c>
      <c r="AM38" s="17" t="s">
        <v>1351</v>
      </c>
      <c r="AN38" s="17" t="s">
        <v>1363</v>
      </c>
      <c r="AO38" s="17" t="s">
        <v>1388</v>
      </c>
      <c r="AP38" s="17" t="s">
        <v>1328</v>
      </c>
      <c r="AQ38" s="17" t="str">
        <f t="shared" si="7"/>
        <v>intermediate</v>
      </c>
      <c r="AR38" s="20"/>
    </row>
    <row r="39" ht="15.75" customHeight="1">
      <c r="A39" s="16" t="s">
        <v>2165</v>
      </c>
      <c r="B39" s="16" t="s">
        <v>2166</v>
      </c>
      <c r="C39" s="16">
        <v>2013.0</v>
      </c>
      <c r="D39" s="16" t="s">
        <v>2167</v>
      </c>
      <c r="E39" s="16" t="s">
        <v>2168</v>
      </c>
      <c r="F39" s="16" t="s">
        <v>2169</v>
      </c>
      <c r="G39" s="16" t="str">
        <f t="shared" si="1"/>
        <v>No</v>
      </c>
      <c r="H39" s="16" t="s">
        <v>1324</v>
      </c>
      <c r="I39" s="16" t="s">
        <v>1324</v>
      </c>
      <c r="J39" s="16">
        <v>17.0</v>
      </c>
      <c r="K39" s="17" t="s">
        <v>2170</v>
      </c>
      <c r="L39" s="17" t="s">
        <v>5010</v>
      </c>
      <c r="M39" s="18" t="str">
        <f t="shared" si="2"/>
        <v>http://dx.doi.org/10.1007/s40333-013-0181-z</v>
      </c>
      <c r="N39" s="19" t="s">
        <v>1358</v>
      </c>
      <c r="O39" s="17" t="s">
        <v>1403</v>
      </c>
      <c r="P39" s="17" t="s">
        <v>1328</v>
      </c>
      <c r="Q39" s="17" t="s">
        <v>1328</v>
      </c>
      <c r="R39" s="17" t="s">
        <v>1328</v>
      </c>
      <c r="S39" s="17" t="s">
        <v>1328</v>
      </c>
      <c r="T39" s="17" t="s">
        <v>1328</v>
      </c>
      <c r="U39" s="20" t="str">
        <f t="shared" si="3"/>
        <v>Yes</v>
      </c>
      <c r="V39" s="19" t="str">
        <f t="shared" si="4"/>
        <v>DB</v>
      </c>
      <c r="W39" s="17" t="str">
        <f t="shared" si="5"/>
        <v>Yes</v>
      </c>
      <c r="X39" s="17" t="s">
        <v>1631</v>
      </c>
      <c r="Y39" s="17" t="s">
        <v>1330</v>
      </c>
      <c r="Z39" s="17" t="s">
        <v>1331</v>
      </c>
      <c r="AA39" s="17" t="s">
        <v>1347</v>
      </c>
      <c r="AB39" s="17" t="s">
        <v>1333</v>
      </c>
      <c r="AC39" s="17" t="s">
        <v>1381</v>
      </c>
      <c r="AD39" s="17" t="s">
        <v>1362</v>
      </c>
      <c r="AE39" s="17">
        <f t="shared" si="6"/>
        <v>2</v>
      </c>
      <c r="AF39" s="17" t="s">
        <v>1328</v>
      </c>
      <c r="AG39" s="17" t="s">
        <v>1328</v>
      </c>
      <c r="AH39" s="17" t="s">
        <v>1336</v>
      </c>
      <c r="AI39" s="17" t="s">
        <v>1336</v>
      </c>
      <c r="AJ39" s="17" t="s">
        <v>1336</v>
      </c>
      <c r="AK39" s="17" t="s">
        <v>1336</v>
      </c>
      <c r="AL39" s="17" t="s">
        <v>1350</v>
      </c>
      <c r="AM39" s="17" t="s">
        <v>1351</v>
      </c>
      <c r="AN39" s="17" t="s">
        <v>1363</v>
      </c>
      <c r="AO39" s="17" t="s">
        <v>1331</v>
      </c>
      <c r="AP39" s="17" t="s">
        <v>1328</v>
      </c>
      <c r="AQ39" s="17" t="str">
        <f t="shared" si="7"/>
        <v>intermediate</v>
      </c>
      <c r="AR39" s="20" t="s">
        <v>1639</v>
      </c>
    </row>
    <row r="40" ht="15.75" customHeight="1">
      <c r="A40" s="16" t="s">
        <v>1661</v>
      </c>
      <c r="B40" s="16" t="s">
        <v>774</v>
      </c>
      <c r="C40" s="16">
        <v>2015.0</v>
      </c>
      <c r="D40" s="16" t="s">
        <v>1662</v>
      </c>
      <c r="E40" s="16" t="s">
        <v>1663</v>
      </c>
      <c r="F40" s="16" t="s">
        <v>1664</v>
      </c>
      <c r="G40" s="16" t="str">
        <f t="shared" si="1"/>
        <v>No</v>
      </c>
      <c r="H40" s="16" t="s">
        <v>1324</v>
      </c>
      <c r="I40" s="16" t="s">
        <v>1324</v>
      </c>
      <c r="J40" s="16">
        <v>195.0</v>
      </c>
      <c r="K40" s="17" t="s">
        <v>1665</v>
      </c>
      <c r="L40" s="17" t="s">
        <v>5010</v>
      </c>
      <c r="M40" s="18" t="str">
        <f t="shared" si="2"/>
        <v>http://dx.doi.org/10.1111/gcb.12795</v>
      </c>
      <c r="N40" s="19" t="s">
        <v>1666</v>
      </c>
      <c r="O40" s="17" t="s">
        <v>1417</v>
      </c>
      <c r="P40" s="17" t="s">
        <v>1328</v>
      </c>
      <c r="Q40" s="17" t="s">
        <v>1328</v>
      </c>
      <c r="R40" s="17" t="s">
        <v>1328</v>
      </c>
      <c r="S40" s="17" t="s">
        <v>1328</v>
      </c>
      <c r="T40" s="17" t="s">
        <v>1328</v>
      </c>
      <c r="U40" s="20" t="str">
        <f t="shared" si="3"/>
        <v>Yes</v>
      </c>
      <c r="V40" s="19" t="str">
        <f t="shared" si="4"/>
        <v>NT</v>
      </c>
      <c r="W40" s="17" t="str">
        <f t="shared" si="5"/>
        <v>Yes</v>
      </c>
      <c r="X40" s="17" t="s">
        <v>1329</v>
      </c>
      <c r="Y40" s="17" t="s">
        <v>1330</v>
      </c>
      <c r="Z40" s="17" t="s">
        <v>1331</v>
      </c>
      <c r="AA40" s="17" t="s">
        <v>1347</v>
      </c>
      <c r="AB40" s="17" t="s">
        <v>1360</v>
      </c>
      <c r="AC40" s="17" t="s">
        <v>1381</v>
      </c>
      <c r="AD40" s="17" t="s">
        <v>1362</v>
      </c>
      <c r="AE40" s="17">
        <f t="shared" si="6"/>
        <v>3</v>
      </c>
      <c r="AF40" s="17" t="s">
        <v>1328</v>
      </c>
      <c r="AG40" s="17" t="s">
        <v>1328</v>
      </c>
      <c r="AH40" s="17" t="s">
        <v>1336</v>
      </c>
      <c r="AI40" s="17" t="s">
        <v>1336</v>
      </c>
      <c r="AJ40" s="17" t="s">
        <v>1328</v>
      </c>
      <c r="AK40" s="17" t="s">
        <v>1336</v>
      </c>
      <c r="AL40" s="17" t="s">
        <v>1350</v>
      </c>
      <c r="AM40" s="17" t="s">
        <v>1351</v>
      </c>
      <c r="AN40" s="17" t="s">
        <v>1339</v>
      </c>
      <c r="AO40" s="17" t="s">
        <v>1331</v>
      </c>
      <c r="AP40" s="17" t="s">
        <v>1328</v>
      </c>
      <c r="AQ40" s="17" t="str">
        <f t="shared" si="7"/>
        <v>high</v>
      </c>
      <c r="AR40" s="20"/>
    </row>
    <row r="41" ht="15.75" customHeight="1">
      <c r="A41" s="16" t="s">
        <v>1919</v>
      </c>
      <c r="B41" s="16" t="s">
        <v>64</v>
      </c>
      <c r="C41" s="16">
        <v>2014.0</v>
      </c>
      <c r="D41" s="16" t="s">
        <v>1920</v>
      </c>
      <c r="E41" s="16" t="s">
        <v>1921</v>
      </c>
      <c r="F41" s="16" t="s">
        <v>1922</v>
      </c>
      <c r="G41" s="16" t="str">
        <f t="shared" si="1"/>
        <v>No</v>
      </c>
      <c r="H41" s="16" t="s">
        <v>1324</v>
      </c>
      <c r="I41" s="16" t="s">
        <v>1324</v>
      </c>
      <c r="J41" s="16">
        <v>73.0</v>
      </c>
      <c r="K41" s="17" t="s">
        <v>1923</v>
      </c>
      <c r="L41" s="17" t="s">
        <v>5010</v>
      </c>
      <c r="M41" s="18" t="str">
        <f t="shared" si="2"/>
        <v>http://dx.doi.org/10.1016/j.scitotenv.2013.10.128</v>
      </c>
      <c r="N41" s="19" t="s">
        <v>1358</v>
      </c>
      <c r="O41" s="17" t="s">
        <v>1387</v>
      </c>
      <c r="P41" s="17" t="s">
        <v>1328</v>
      </c>
      <c r="Q41" s="17" t="s">
        <v>1328</v>
      </c>
      <c r="R41" s="17" t="s">
        <v>1328</v>
      </c>
      <c r="S41" s="17" t="s">
        <v>1328</v>
      </c>
      <c r="T41" s="17" t="s">
        <v>1328</v>
      </c>
      <c r="U41" s="20" t="str">
        <f t="shared" si="3"/>
        <v>Yes</v>
      </c>
      <c r="V41" s="19" t="str">
        <f t="shared" si="4"/>
        <v>MW</v>
      </c>
      <c r="W41" s="17" t="str">
        <f t="shared" si="5"/>
        <v>Yes</v>
      </c>
      <c r="X41" s="17" t="s">
        <v>1329</v>
      </c>
      <c r="Y41" s="17" t="s">
        <v>1330</v>
      </c>
      <c r="Z41" s="17" t="s">
        <v>1331</v>
      </c>
      <c r="AA41" s="17" t="s">
        <v>1347</v>
      </c>
      <c r="AB41" s="17" t="s">
        <v>1333</v>
      </c>
      <c r="AC41" s="17" t="s">
        <v>1381</v>
      </c>
      <c r="AD41" s="17" t="s">
        <v>1362</v>
      </c>
      <c r="AE41" s="17">
        <f t="shared" si="6"/>
        <v>2</v>
      </c>
      <c r="AF41" s="17" t="s">
        <v>1328</v>
      </c>
      <c r="AG41" s="17" t="s">
        <v>1328</v>
      </c>
      <c r="AH41" s="17" t="s">
        <v>1336</v>
      </c>
      <c r="AI41" s="17" t="s">
        <v>1336</v>
      </c>
      <c r="AJ41" s="17" t="s">
        <v>1336</v>
      </c>
      <c r="AK41" s="17" t="s">
        <v>1336</v>
      </c>
      <c r="AL41" s="17" t="s">
        <v>1404</v>
      </c>
      <c r="AM41" s="17" t="s">
        <v>1351</v>
      </c>
      <c r="AN41" s="17" t="s">
        <v>1363</v>
      </c>
      <c r="AO41" s="17" t="s">
        <v>1331</v>
      </c>
      <c r="AP41" s="17" t="s">
        <v>1328</v>
      </c>
      <c r="AQ41" s="17" t="str">
        <f t="shared" si="7"/>
        <v>intermediate</v>
      </c>
      <c r="AR41" s="20"/>
    </row>
    <row r="42" ht="15.75" customHeight="1">
      <c r="A42" s="16" t="s">
        <v>1986</v>
      </c>
      <c r="B42" s="16" t="s">
        <v>1987</v>
      </c>
      <c r="C42" s="16">
        <v>2015.0</v>
      </c>
      <c r="D42" s="16" t="s">
        <v>1988</v>
      </c>
      <c r="E42" s="16" t="s">
        <v>1989</v>
      </c>
      <c r="F42" s="16" t="s">
        <v>1990</v>
      </c>
      <c r="G42" s="16" t="str">
        <f t="shared" si="1"/>
        <v>No</v>
      </c>
      <c r="H42" s="16" t="s">
        <v>1324</v>
      </c>
      <c r="I42" s="16" t="s">
        <v>1324</v>
      </c>
      <c r="J42" s="16">
        <v>85.0</v>
      </c>
      <c r="K42" s="17" t="s">
        <v>1991</v>
      </c>
      <c r="L42" s="17" t="s">
        <v>5010</v>
      </c>
      <c r="M42" s="18" t="str">
        <f t="shared" si="2"/>
        <v>http://dx.doi.org/10.1016/j.jenvman.2014.01.020</v>
      </c>
      <c r="N42" s="19" t="s">
        <v>1370</v>
      </c>
      <c r="O42" s="17" t="s">
        <v>1327</v>
      </c>
      <c r="P42" s="17" t="s">
        <v>1328</v>
      </c>
      <c r="Q42" s="17" t="s">
        <v>1328</v>
      </c>
      <c r="R42" s="17" t="s">
        <v>1328</v>
      </c>
      <c r="S42" s="17" t="s">
        <v>1328</v>
      </c>
      <c r="T42" s="17" t="s">
        <v>1328</v>
      </c>
      <c r="U42" s="20" t="str">
        <f t="shared" si="3"/>
        <v>Yes</v>
      </c>
      <c r="V42" s="19" t="str">
        <f t="shared" si="4"/>
        <v>PJ</v>
      </c>
      <c r="W42" s="17" t="str">
        <f t="shared" si="5"/>
        <v>Yes</v>
      </c>
      <c r="X42" s="17" t="s">
        <v>1329</v>
      </c>
      <c r="Y42" s="17" t="s">
        <v>1330</v>
      </c>
      <c r="Z42" s="17" t="s">
        <v>1331</v>
      </c>
      <c r="AA42" s="17" t="s">
        <v>1347</v>
      </c>
      <c r="AB42" s="17" t="s">
        <v>1360</v>
      </c>
      <c r="AC42" s="17" t="s">
        <v>1381</v>
      </c>
      <c r="AD42" s="17" t="s">
        <v>1335</v>
      </c>
      <c r="AE42" s="17">
        <f t="shared" si="6"/>
        <v>3</v>
      </c>
      <c r="AF42" s="17" t="s">
        <v>1336</v>
      </c>
      <c r="AG42" s="17" t="s">
        <v>1328</v>
      </c>
      <c r="AH42" s="17" t="s">
        <v>1328</v>
      </c>
      <c r="AI42" s="17" t="s">
        <v>1336</v>
      </c>
      <c r="AJ42" s="17" t="s">
        <v>1328</v>
      </c>
      <c r="AK42" s="17" t="s">
        <v>1336</v>
      </c>
      <c r="AL42" s="17" t="s">
        <v>1350</v>
      </c>
      <c r="AM42" s="17" t="s">
        <v>1351</v>
      </c>
      <c r="AN42" s="17" t="s">
        <v>1339</v>
      </c>
      <c r="AO42" s="17" t="s">
        <v>1331</v>
      </c>
      <c r="AP42" s="17" t="s">
        <v>1328</v>
      </c>
      <c r="AQ42" s="17" t="str">
        <f t="shared" si="7"/>
        <v>high</v>
      </c>
      <c r="AR42" s="20"/>
    </row>
    <row r="43" ht="15.75" customHeight="1">
      <c r="A43" s="16" t="s">
        <v>1872</v>
      </c>
      <c r="B43" s="16" t="s">
        <v>1873</v>
      </c>
      <c r="C43" s="16">
        <v>2012.0</v>
      </c>
      <c r="D43" s="16" t="s">
        <v>1874</v>
      </c>
      <c r="E43" s="16" t="s">
        <v>1875</v>
      </c>
      <c r="F43" s="16" t="s">
        <v>1876</v>
      </c>
      <c r="G43" s="16" t="str">
        <f t="shared" si="1"/>
        <v>No</v>
      </c>
      <c r="H43" s="16" t="s">
        <v>1324</v>
      </c>
      <c r="I43" s="16" t="s">
        <v>1324</v>
      </c>
      <c r="J43" s="16">
        <v>28.0</v>
      </c>
      <c r="K43" s="17" t="s">
        <v>1877</v>
      </c>
      <c r="L43" s="17" t="s">
        <v>5010</v>
      </c>
      <c r="M43" s="18" t="str">
        <f t="shared" si="2"/>
        <v>http://dx.doi.org/10.1017/S0030605311000937</v>
      </c>
      <c r="N43" s="19" t="s">
        <v>1482</v>
      </c>
      <c r="O43" s="17" t="s">
        <v>1470</v>
      </c>
      <c r="P43" s="17" t="s">
        <v>1328</v>
      </c>
      <c r="Q43" s="17" t="s">
        <v>1328</v>
      </c>
      <c r="R43" s="17" t="s">
        <v>1328</v>
      </c>
      <c r="S43" s="17" t="s">
        <v>1328</v>
      </c>
      <c r="T43" s="17" t="s">
        <v>1328</v>
      </c>
      <c r="U43" s="20" t="str">
        <f t="shared" si="3"/>
        <v>Yes</v>
      </c>
      <c r="V43" s="19" t="str">
        <f t="shared" si="4"/>
        <v>AG</v>
      </c>
      <c r="W43" s="17" t="str">
        <f t="shared" si="5"/>
        <v>Yes</v>
      </c>
      <c r="X43" s="17" t="s">
        <v>1329</v>
      </c>
      <c r="Y43" s="17" t="s">
        <v>1330</v>
      </c>
      <c r="Z43" s="17" t="s">
        <v>1331</v>
      </c>
      <c r="AA43" s="17" t="s">
        <v>1332</v>
      </c>
      <c r="AB43" s="17" t="s">
        <v>1333</v>
      </c>
      <c r="AC43" s="17" t="s">
        <v>1381</v>
      </c>
      <c r="AD43" s="17" t="s">
        <v>1530</v>
      </c>
      <c r="AE43" s="17">
        <f t="shared" si="6"/>
        <v>5</v>
      </c>
      <c r="AF43" s="17" t="s">
        <v>1336</v>
      </c>
      <c r="AG43" s="17" t="s">
        <v>1328</v>
      </c>
      <c r="AH43" s="17" t="s">
        <v>1328</v>
      </c>
      <c r="AI43" s="17" t="s">
        <v>1328</v>
      </c>
      <c r="AJ43" s="17" t="s">
        <v>1328</v>
      </c>
      <c r="AK43" s="17" t="s">
        <v>1328</v>
      </c>
      <c r="AL43" s="17" t="s">
        <v>1395</v>
      </c>
      <c r="AM43" s="17" t="s">
        <v>1351</v>
      </c>
      <c r="AN43" s="17" t="s">
        <v>1339</v>
      </c>
      <c r="AO43" s="17" t="s">
        <v>1388</v>
      </c>
      <c r="AP43" s="17" t="s">
        <v>1328</v>
      </c>
      <c r="AQ43" s="17" t="str">
        <f t="shared" si="7"/>
        <v>intermediate</v>
      </c>
      <c r="AR43" s="20"/>
    </row>
    <row r="44" ht="15.75" customHeight="1">
      <c r="A44" s="16" t="s">
        <v>1546</v>
      </c>
      <c r="B44" s="16" t="s">
        <v>1540</v>
      </c>
      <c r="C44" s="16">
        <v>2016.0</v>
      </c>
      <c r="D44" s="16" t="s">
        <v>1547</v>
      </c>
      <c r="E44" s="16" t="s">
        <v>1548</v>
      </c>
      <c r="F44" s="16" t="s">
        <v>1549</v>
      </c>
      <c r="G44" s="16" t="str">
        <f t="shared" si="1"/>
        <v>No</v>
      </c>
      <c r="H44" s="16" t="s">
        <v>1324</v>
      </c>
      <c r="I44" s="16" t="s">
        <v>1324</v>
      </c>
      <c r="J44" s="16">
        <v>199.0</v>
      </c>
      <c r="K44" s="17" t="s">
        <v>1550</v>
      </c>
      <c r="L44" s="17" t="s">
        <v>5010</v>
      </c>
      <c r="M44" s="18" t="str">
        <f t="shared" si="2"/>
        <v>http://dx.doi.org/10.1111/jvs.12423</v>
      </c>
      <c r="N44" s="19" t="s">
        <v>1346</v>
      </c>
      <c r="O44" s="17" t="s">
        <v>1387</v>
      </c>
      <c r="P44" s="17" t="s">
        <v>1328</v>
      </c>
      <c r="Q44" s="17" t="s">
        <v>1328</v>
      </c>
      <c r="R44" s="17" t="s">
        <v>1328</v>
      </c>
      <c r="S44" s="17" t="s">
        <v>1328</v>
      </c>
      <c r="T44" s="17" t="s">
        <v>1328</v>
      </c>
      <c r="U44" s="20" t="str">
        <f t="shared" si="3"/>
        <v>Yes</v>
      </c>
      <c r="V44" s="19" t="str">
        <f t="shared" si="4"/>
        <v>MW</v>
      </c>
      <c r="W44" s="17" t="str">
        <f t="shared" si="5"/>
        <v>Yes</v>
      </c>
      <c r="X44" s="17" t="s">
        <v>1329</v>
      </c>
      <c r="Y44" s="17" t="s">
        <v>1330</v>
      </c>
      <c r="Z44" s="17" t="s">
        <v>1331</v>
      </c>
      <c r="AA44" s="17" t="s">
        <v>1347</v>
      </c>
      <c r="AB44" s="17" t="s">
        <v>1333</v>
      </c>
      <c r="AC44" s="17" t="s">
        <v>1381</v>
      </c>
      <c r="AD44" s="17" t="s">
        <v>1362</v>
      </c>
      <c r="AE44" s="17">
        <f t="shared" si="6"/>
        <v>2</v>
      </c>
      <c r="AF44" s="17" t="s">
        <v>1328</v>
      </c>
      <c r="AG44" s="17" t="s">
        <v>1328</v>
      </c>
      <c r="AH44" s="17" t="s">
        <v>1336</v>
      </c>
      <c r="AI44" s="17" t="s">
        <v>1336</v>
      </c>
      <c r="AJ44" s="17" t="s">
        <v>1336</v>
      </c>
      <c r="AK44" s="17" t="s">
        <v>1336</v>
      </c>
      <c r="AL44" s="17" t="s">
        <v>1350</v>
      </c>
      <c r="AM44" s="17" t="s">
        <v>1351</v>
      </c>
      <c r="AN44" s="17" t="s">
        <v>1339</v>
      </c>
      <c r="AO44" s="17" t="s">
        <v>1331</v>
      </c>
      <c r="AP44" s="17" t="s">
        <v>1328</v>
      </c>
      <c r="AQ44" s="17" t="str">
        <f t="shared" si="7"/>
        <v>intermediate</v>
      </c>
      <c r="AR44" s="20"/>
    </row>
    <row r="45" ht="15.75" customHeight="1">
      <c r="A45" s="16" t="s">
        <v>1698</v>
      </c>
      <c r="B45" s="16" t="s">
        <v>1699</v>
      </c>
      <c r="C45" s="16">
        <v>2017.0</v>
      </c>
      <c r="D45" s="16" t="s">
        <v>1700</v>
      </c>
      <c r="E45" s="16" t="s">
        <v>1701</v>
      </c>
      <c r="F45" s="16" t="s">
        <v>1702</v>
      </c>
      <c r="G45" s="16" t="str">
        <f t="shared" si="1"/>
        <v>No</v>
      </c>
      <c r="H45" s="16" t="s">
        <v>1324</v>
      </c>
      <c r="I45" s="16" t="s">
        <v>1324</v>
      </c>
      <c r="J45" s="16">
        <v>40.0</v>
      </c>
      <c r="K45" s="17" t="s">
        <v>1703</v>
      </c>
      <c r="L45" s="17" t="s">
        <v>5010</v>
      </c>
      <c r="M45" s="18" t="str">
        <f t="shared" si="2"/>
        <v>http://dx.doi.org/10.1111/conl.12258</v>
      </c>
      <c r="N45" s="19" t="s">
        <v>1326</v>
      </c>
      <c r="O45" s="17" t="s">
        <v>1327</v>
      </c>
      <c r="P45" s="17" t="s">
        <v>1328</v>
      </c>
      <c r="Q45" s="17" t="s">
        <v>1328</v>
      </c>
      <c r="R45" s="17" t="s">
        <v>1328</v>
      </c>
      <c r="S45" s="17" t="s">
        <v>1328</v>
      </c>
      <c r="T45" s="17" t="s">
        <v>1328</v>
      </c>
      <c r="U45" s="20" t="str">
        <f t="shared" si="3"/>
        <v>Yes</v>
      </c>
      <c r="V45" s="19" t="str">
        <f t="shared" si="4"/>
        <v>PJ</v>
      </c>
      <c r="W45" s="17" t="str">
        <f t="shared" si="5"/>
        <v>Yes</v>
      </c>
      <c r="X45" s="17" t="s">
        <v>1443</v>
      </c>
      <c r="Y45" s="17" t="s">
        <v>1330</v>
      </c>
      <c r="Z45" s="17" t="s">
        <v>1331</v>
      </c>
      <c r="AA45" s="17" t="s">
        <v>1347</v>
      </c>
      <c r="AB45" s="17" t="s">
        <v>1444</v>
      </c>
      <c r="AC45" s="17" t="s">
        <v>1445</v>
      </c>
      <c r="AD45" s="17" t="s">
        <v>1446</v>
      </c>
      <c r="AE45" s="17">
        <f t="shared" si="6"/>
        <v>5</v>
      </c>
      <c r="AF45" s="17" t="s">
        <v>1328</v>
      </c>
      <c r="AG45" s="17" t="s">
        <v>1328</v>
      </c>
      <c r="AH45" s="17" t="s">
        <v>1328</v>
      </c>
      <c r="AI45" s="17" t="s">
        <v>1328</v>
      </c>
      <c r="AJ45" s="17" t="s">
        <v>1328</v>
      </c>
      <c r="AK45" s="17" t="s">
        <v>1336</v>
      </c>
      <c r="AL45" s="17" t="s">
        <v>1395</v>
      </c>
      <c r="AM45" s="17" t="s">
        <v>1351</v>
      </c>
      <c r="AN45" s="17" t="s">
        <v>1363</v>
      </c>
      <c r="AO45" s="17" t="s">
        <v>1331</v>
      </c>
      <c r="AP45" s="17" t="s">
        <v>1328</v>
      </c>
      <c r="AQ45" s="17" t="str">
        <f t="shared" si="7"/>
        <v>high</v>
      </c>
      <c r="AR45" s="20"/>
    </row>
    <row r="46" ht="15.75" customHeight="1">
      <c r="A46" s="16" t="s">
        <v>1655</v>
      </c>
      <c r="B46" s="16" t="s">
        <v>774</v>
      </c>
      <c r="C46" s="16">
        <v>2015.0</v>
      </c>
      <c r="D46" s="16" t="s">
        <v>1656</v>
      </c>
      <c r="E46" s="16" t="s">
        <v>1657</v>
      </c>
      <c r="F46" s="16" t="s">
        <v>1658</v>
      </c>
      <c r="G46" s="16" t="str">
        <f t="shared" si="1"/>
        <v>No</v>
      </c>
      <c r="H46" s="16" t="s">
        <v>1324</v>
      </c>
      <c r="I46" s="16" t="s">
        <v>1324</v>
      </c>
      <c r="J46" s="16">
        <v>58.0</v>
      </c>
      <c r="K46" s="17" t="s">
        <v>1659</v>
      </c>
      <c r="L46" s="17" t="s">
        <v>5010</v>
      </c>
      <c r="M46" s="18" t="str">
        <f t="shared" si="2"/>
        <v>http://dx.doi.org/10.1111/gcb.12993</v>
      </c>
      <c r="N46" s="19" t="s">
        <v>1495</v>
      </c>
      <c r="O46" s="17" t="s">
        <v>1470</v>
      </c>
      <c r="P46" s="17" t="s">
        <v>1328</v>
      </c>
      <c r="Q46" s="17" t="s">
        <v>1328</v>
      </c>
      <c r="R46" s="17" t="s">
        <v>1328</v>
      </c>
      <c r="S46" s="17" t="s">
        <v>1328</v>
      </c>
      <c r="T46" s="17" t="s">
        <v>1328</v>
      </c>
      <c r="U46" s="20" t="str">
        <f t="shared" si="3"/>
        <v>Yes</v>
      </c>
      <c r="V46" s="19" t="str">
        <f t="shared" si="4"/>
        <v>AG</v>
      </c>
      <c r="W46" s="17" t="str">
        <f t="shared" si="5"/>
        <v>Yes</v>
      </c>
      <c r="X46" s="17" t="s">
        <v>1463</v>
      </c>
      <c r="Y46" s="17" t="s">
        <v>1372</v>
      </c>
      <c r="Z46" s="17" t="s">
        <v>1331</v>
      </c>
      <c r="AA46" s="17" t="s">
        <v>1347</v>
      </c>
      <c r="AB46" s="17" t="s">
        <v>1660</v>
      </c>
      <c r="AC46" s="17" t="s">
        <v>1361</v>
      </c>
      <c r="AD46" s="17" t="s">
        <v>1362</v>
      </c>
      <c r="AE46" s="17">
        <f t="shared" si="6"/>
        <v>3</v>
      </c>
      <c r="AF46" s="17" t="s">
        <v>1328</v>
      </c>
      <c r="AG46" s="17" t="s">
        <v>1336</v>
      </c>
      <c r="AH46" s="17" t="s">
        <v>1328</v>
      </c>
      <c r="AI46" s="17" t="s">
        <v>1336</v>
      </c>
      <c r="AJ46" s="17" t="s">
        <v>1328</v>
      </c>
      <c r="AK46" s="17" t="s">
        <v>1336</v>
      </c>
      <c r="AL46" s="17" t="s">
        <v>1350</v>
      </c>
      <c r="AM46" s="17" t="s">
        <v>1351</v>
      </c>
      <c r="AN46" s="17" t="s">
        <v>1339</v>
      </c>
      <c r="AO46" s="17" t="s">
        <v>1331</v>
      </c>
      <c r="AP46" s="17" t="s">
        <v>1328</v>
      </c>
      <c r="AQ46" s="17" t="str">
        <f t="shared" si="7"/>
        <v>high</v>
      </c>
      <c r="AR46" s="20"/>
    </row>
    <row r="47" ht="15.75" customHeight="1">
      <c r="A47" s="16" t="s">
        <v>1457</v>
      </c>
      <c r="B47" s="16" t="s">
        <v>365</v>
      </c>
      <c r="C47" s="16">
        <v>2013.0</v>
      </c>
      <c r="D47" s="16" t="s">
        <v>1458</v>
      </c>
      <c r="E47" s="16" t="s">
        <v>1459</v>
      </c>
      <c r="F47" s="16" t="s">
        <v>1460</v>
      </c>
      <c r="G47" s="16" t="str">
        <f t="shared" si="1"/>
        <v>No</v>
      </c>
      <c r="H47" s="16" t="s">
        <v>1324</v>
      </c>
      <c r="I47" s="16" t="s">
        <v>1324</v>
      </c>
      <c r="J47" s="16">
        <v>31.0</v>
      </c>
      <c r="K47" s="17" t="s">
        <v>1461</v>
      </c>
      <c r="L47" s="17" t="s">
        <v>5010</v>
      </c>
      <c r="M47" s="18" t="str">
        <f t="shared" si="2"/>
        <v>http://dx.doi.org/10.1371/journal.pone.0081292</v>
      </c>
      <c r="N47" s="19" t="s">
        <v>1462</v>
      </c>
      <c r="O47" s="17" t="s">
        <v>1371</v>
      </c>
      <c r="P47" s="17" t="s">
        <v>1328</v>
      </c>
      <c r="Q47" s="17" t="s">
        <v>1328</v>
      </c>
      <c r="R47" s="17" t="s">
        <v>1328</v>
      </c>
      <c r="S47" s="17" t="s">
        <v>1328</v>
      </c>
      <c r="T47" s="17" t="s">
        <v>1328</v>
      </c>
      <c r="U47" s="20" t="str">
        <f t="shared" si="3"/>
        <v>Yes</v>
      </c>
      <c r="V47" s="19" t="str">
        <f t="shared" si="4"/>
        <v>LC</v>
      </c>
      <c r="W47" s="17" t="str">
        <f t="shared" si="5"/>
        <v>Yes</v>
      </c>
      <c r="X47" s="17" t="s">
        <v>1463</v>
      </c>
      <c r="Y47" s="17" t="s">
        <v>1331</v>
      </c>
      <c r="Z47" s="17" t="s">
        <v>1372</v>
      </c>
      <c r="AA47" s="17" t="s">
        <v>1347</v>
      </c>
      <c r="AB47" s="17" t="s">
        <v>1444</v>
      </c>
      <c r="AC47" s="17" t="s">
        <v>1445</v>
      </c>
      <c r="AD47" s="17" t="s">
        <v>1464</v>
      </c>
      <c r="AE47" s="17">
        <f t="shared" si="6"/>
        <v>4</v>
      </c>
      <c r="AF47" s="17" t="s">
        <v>1328</v>
      </c>
      <c r="AG47" s="17" t="s">
        <v>1328</v>
      </c>
      <c r="AH47" s="17" t="s">
        <v>1328</v>
      </c>
      <c r="AI47" s="17" t="s">
        <v>1336</v>
      </c>
      <c r="AJ47" s="17" t="s">
        <v>1336</v>
      </c>
      <c r="AK47" s="17" t="s">
        <v>1328</v>
      </c>
      <c r="AL47" s="17" t="s">
        <v>1350</v>
      </c>
      <c r="AM47" s="17" t="s">
        <v>1351</v>
      </c>
      <c r="AN47" s="17" t="s">
        <v>1339</v>
      </c>
      <c r="AO47" s="17" t="s">
        <v>1388</v>
      </c>
      <c r="AP47" s="17" t="s">
        <v>1328</v>
      </c>
      <c r="AQ47" s="17" t="str">
        <f t="shared" si="7"/>
        <v>intermediate</v>
      </c>
      <c r="AR47" s="20"/>
    </row>
    <row r="48" ht="15.75" customHeight="1">
      <c r="A48" s="16" t="s">
        <v>1866</v>
      </c>
      <c r="B48" s="16" t="s">
        <v>1867</v>
      </c>
      <c r="C48" s="16">
        <v>2005.0</v>
      </c>
      <c r="D48" s="16" t="s">
        <v>1868</v>
      </c>
      <c r="E48" s="16" t="s">
        <v>1869</v>
      </c>
      <c r="F48" s="16" t="s">
        <v>1870</v>
      </c>
      <c r="G48" s="16" t="str">
        <f t="shared" si="1"/>
        <v>No</v>
      </c>
      <c r="H48" s="16" t="s">
        <v>1324</v>
      </c>
      <c r="I48" s="16" t="s">
        <v>1324</v>
      </c>
      <c r="J48" s="16">
        <v>157.0</v>
      </c>
      <c r="K48" s="17" t="s">
        <v>1871</v>
      </c>
      <c r="L48" s="17" t="s">
        <v>5010</v>
      </c>
      <c r="M48" s="18" t="str">
        <f t="shared" si="2"/>
        <v>http://dx.doi.org/10.1017/S0266467404001683</v>
      </c>
      <c r="N48" s="19" t="s">
        <v>1614</v>
      </c>
      <c r="O48" s="17" t="s">
        <v>1470</v>
      </c>
      <c r="P48" s="17" t="s">
        <v>1328</v>
      </c>
      <c r="Q48" s="17" t="s">
        <v>1328</v>
      </c>
      <c r="R48" s="17" t="s">
        <v>1328</v>
      </c>
      <c r="S48" s="17" t="s">
        <v>1328</v>
      </c>
      <c r="T48" s="17" t="s">
        <v>1328</v>
      </c>
      <c r="U48" s="20" t="str">
        <f t="shared" si="3"/>
        <v>Yes</v>
      </c>
      <c r="V48" s="19" t="str">
        <f t="shared" si="4"/>
        <v>AG</v>
      </c>
      <c r="W48" s="17" t="str">
        <f t="shared" si="5"/>
        <v>Yes</v>
      </c>
      <c r="X48" s="17" t="s">
        <v>1329</v>
      </c>
      <c r="Y48" s="17" t="s">
        <v>1330</v>
      </c>
      <c r="Z48" s="17" t="s">
        <v>1331</v>
      </c>
      <c r="AA48" s="17" t="s">
        <v>1332</v>
      </c>
      <c r="AB48" s="17" t="s">
        <v>1333</v>
      </c>
      <c r="AC48" s="17" t="s">
        <v>1348</v>
      </c>
      <c r="AD48" s="17" t="s">
        <v>1362</v>
      </c>
      <c r="AE48" s="17">
        <f t="shared" si="6"/>
        <v>2</v>
      </c>
      <c r="AF48" s="17" t="s">
        <v>1336</v>
      </c>
      <c r="AG48" s="17" t="s">
        <v>1328</v>
      </c>
      <c r="AH48" s="17" t="s">
        <v>1328</v>
      </c>
      <c r="AI48" s="17" t="s">
        <v>1336</v>
      </c>
      <c r="AJ48" s="17" t="s">
        <v>1336</v>
      </c>
      <c r="AK48" s="17" t="s">
        <v>1336</v>
      </c>
      <c r="AL48" s="17" t="s">
        <v>1350</v>
      </c>
      <c r="AM48" s="17" t="s">
        <v>1351</v>
      </c>
      <c r="AN48" s="17" t="s">
        <v>1339</v>
      </c>
      <c r="AO48" s="17" t="s">
        <v>1331</v>
      </c>
      <c r="AP48" s="17" t="s">
        <v>1328</v>
      </c>
      <c r="AQ48" s="17" t="str">
        <f t="shared" si="7"/>
        <v>intermediate</v>
      </c>
      <c r="AR48" s="20"/>
    </row>
    <row r="49" ht="15.75" customHeight="1">
      <c r="A49" s="16" t="s">
        <v>2147</v>
      </c>
      <c r="B49" s="16" t="s">
        <v>2148</v>
      </c>
      <c r="C49" s="16">
        <v>2014.0</v>
      </c>
      <c r="D49" s="16" t="s">
        <v>2149</v>
      </c>
      <c r="E49" s="16" t="s">
        <v>2150</v>
      </c>
      <c r="F49" s="16" t="s">
        <v>2151</v>
      </c>
      <c r="G49" s="16" t="str">
        <f t="shared" si="1"/>
        <v>No</v>
      </c>
      <c r="H49" s="16" t="s">
        <v>1324</v>
      </c>
      <c r="I49" s="16" t="s">
        <v>1324</v>
      </c>
      <c r="J49" s="16">
        <v>35.0</v>
      </c>
      <c r="K49" s="17" t="s">
        <v>2152</v>
      </c>
      <c r="L49" s="17" t="s">
        <v>5010</v>
      </c>
      <c r="M49" s="18" t="str">
        <f t="shared" si="2"/>
        <v>http://dx.doi.org/10.1016/j.actao.2013.12.006</v>
      </c>
      <c r="N49" s="19" t="s">
        <v>1358</v>
      </c>
      <c r="O49" s="17" t="s">
        <v>1403</v>
      </c>
      <c r="P49" s="17" t="s">
        <v>1328</v>
      </c>
      <c r="Q49" s="17" t="s">
        <v>1328</v>
      </c>
      <c r="R49" s="17" t="s">
        <v>1328</v>
      </c>
      <c r="S49" s="17" t="s">
        <v>1328</v>
      </c>
      <c r="T49" s="17" t="s">
        <v>1328</v>
      </c>
      <c r="U49" s="20" t="str">
        <f t="shared" si="3"/>
        <v>Yes</v>
      </c>
      <c r="V49" s="19" t="str">
        <f t="shared" si="4"/>
        <v>DB</v>
      </c>
      <c r="W49" s="17" t="str">
        <f t="shared" si="5"/>
        <v>Yes</v>
      </c>
      <c r="X49" s="17" t="s">
        <v>1631</v>
      </c>
      <c r="Y49" s="17" t="s">
        <v>1330</v>
      </c>
      <c r="Z49" s="17" t="s">
        <v>1331</v>
      </c>
      <c r="AA49" s="17" t="s">
        <v>1347</v>
      </c>
      <c r="AB49" s="17" t="s">
        <v>1333</v>
      </c>
      <c r="AC49" s="17" t="s">
        <v>1381</v>
      </c>
      <c r="AD49" s="17" t="s">
        <v>1362</v>
      </c>
      <c r="AE49" s="17">
        <f t="shared" si="6"/>
        <v>2</v>
      </c>
      <c r="AF49" s="17" t="s">
        <v>1328</v>
      </c>
      <c r="AG49" s="17" t="s">
        <v>1328</v>
      </c>
      <c r="AH49" s="17" t="s">
        <v>1336</v>
      </c>
      <c r="AI49" s="17" t="s">
        <v>1336</v>
      </c>
      <c r="AJ49" s="17" t="s">
        <v>1336</v>
      </c>
      <c r="AK49" s="17" t="s">
        <v>1336</v>
      </c>
      <c r="AL49" s="17" t="s">
        <v>1350</v>
      </c>
      <c r="AM49" s="17" t="s">
        <v>1351</v>
      </c>
      <c r="AN49" s="17" t="s">
        <v>1363</v>
      </c>
      <c r="AO49" s="17" t="s">
        <v>1331</v>
      </c>
      <c r="AP49" s="17" t="s">
        <v>1328</v>
      </c>
      <c r="AQ49" s="17" t="str">
        <f t="shared" si="7"/>
        <v>intermediate</v>
      </c>
      <c r="AR49" s="20" t="s">
        <v>1639</v>
      </c>
    </row>
    <row r="50" ht="15.75" customHeight="1">
      <c r="A50" s="16" t="s">
        <v>2215</v>
      </c>
      <c r="B50" s="16" t="s">
        <v>1824</v>
      </c>
      <c r="C50" s="16">
        <v>2016.0</v>
      </c>
      <c r="D50" s="16" t="s">
        <v>2216</v>
      </c>
      <c r="E50" s="16" t="s">
        <v>2217</v>
      </c>
      <c r="F50" s="16" t="s">
        <v>2218</v>
      </c>
      <c r="G50" s="16" t="str">
        <f t="shared" si="1"/>
        <v>Yes</v>
      </c>
      <c r="H50" s="16" t="s">
        <v>1324</v>
      </c>
      <c r="I50" s="16" t="s">
        <v>1328</v>
      </c>
      <c r="J50" s="16">
        <v>48.0</v>
      </c>
      <c r="K50" s="17" t="s">
        <v>2219</v>
      </c>
      <c r="L50" s="17" t="s">
        <v>5010</v>
      </c>
      <c r="M50" s="18" t="str">
        <f t="shared" si="2"/>
        <v>http://dx.doi.org/10.1007/s10531-015-1036-z</v>
      </c>
      <c r="N50" s="19" t="s">
        <v>1442</v>
      </c>
      <c r="O50" s="17" t="s">
        <v>1327</v>
      </c>
      <c r="P50" s="17" t="s">
        <v>1328</v>
      </c>
      <c r="Q50" s="17" t="s">
        <v>1328</v>
      </c>
      <c r="R50" s="17" t="s">
        <v>1328</v>
      </c>
      <c r="S50" s="17" t="s">
        <v>1328</v>
      </c>
      <c r="T50" s="17" t="s">
        <v>1328</v>
      </c>
      <c r="U50" s="20" t="str">
        <f t="shared" si="3"/>
        <v>Yes</v>
      </c>
      <c r="V50" s="19" t="str">
        <f t="shared" si="4"/>
        <v>PJ</v>
      </c>
      <c r="W50" s="17" t="str">
        <f t="shared" si="5"/>
        <v>Yes</v>
      </c>
      <c r="X50" s="17" t="s">
        <v>1443</v>
      </c>
      <c r="Y50" s="17" t="s">
        <v>1330</v>
      </c>
      <c r="Z50" s="17" t="s">
        <v>1331</v>
      </c>
      <c r="AA50" s="17" t="s">
        <v>1347</v>
      </c>
      <c r="AB50" s="17" t="s">
        <v>1444</v>
      </c>
      <c r="AC50" s="17" t="s">
        <v>1445</v>
      </c>
      <c r="AD50" s="17" t="s">
        <v>1446</v>
      </c>
      <c r="AE50" s="17">
        <f t="shared" si="6"/>
        <v>6</v>
      </c>
      <c r="AF50" s="17" t="s">
        <v>1328</v>
      </c>
      <c r="AG50" s="17" t="s">
        <v>1328</v>
      </c>
      <c r="AH50" s="17" t="s">
        <v>1328</v>
      </c>
      <c r="AI50" s="17" t="s">
        <v>1328</v>
      </c>
      <c r="AJ50" s="17" t="s">
        <v>1328</v>
      </c>
      <c r="AK50" s="17" t="s">
        <v>1328</v>
      </c>
      <c r="AL50" s="17" t="s">
        <v>1395</v>
      </c>
      <c r="AM50" s="17" t="s">
        <v>1351</v>
      </c>
      <c r="AN50" s="17" t="s">
        <v>1363</v>
      </c>
      <c r="AO50" s="17" t="s">
        <v>1331</v>
      </c>
      <c r="AP50" s="17" t="s">
        <v>1328</v>
      </c>
      <c r="AQ50" s="17" t="str">
        <f t="shared" si="7"/>
        <v>high</v>
      </c>
      <c r="AR50" s="20"/>
    </row>
    <row r="51" ht="15.75" customHeight="1">
      <c r="A51" s="16" t="s">
        <v>1524</v>
      </c>
      <c r="B51" s="16" t="s">
        <v>1525</v>
      </c>
      <c r="C51" s="16">
        <v>2005.0</v>
      </c>
      <c r="D51" s="16" t="s">
        <v>1526</v>
      </c>
      <c r="E51" s="16" t="s">
        <v>1527</v>
      </c>
      <c r="F51" s="16" t="s">
        <v>1528</v>
      </c>
      <c r="G51" s="16" t="str">
        <f t="shared" si="1"/>
        <v>No</v>
      </c>
      <c r="H51" s="16" t="s">
        <v>1324</v>
      </c>
      <c r="I51" s="16" t="s">
        <v>1324</v>
      </c>
      <c r="J51" s="16">
        <v>9.0</v>
      </c>
      <c r="K51" s="17" t="s">
        <v>1529</v>
      </c>
      <c r="L51" s="17" t="s">
        <v>5010</v>
      </c>
      <c r="M51" s="18" t="str">
        <f t="shared" si="2"/>
        <v>http://dx.doi.org/10.1139/F05-061</v>
      </c>
      <c r="N51" s="19" t="s">
        <v>1410</v>
      </c>
      <c r="O51" s="17" t="s">
        <v>1371</v>
      </c>
      <c r="P51" s="17" t="s">
        <v>1328</v>
      </c>
      <c r="Q51" s="17" t="s">
        <v>1328</v>
      </c>
      <c r="R51" s="17" t="s">
        <v>1328</v>
      </c>
      <c r="S51" s="17" t="s">
        <v>1328</v>
      </c>
      <c r="T51" s="17" t="s">
        <v>1328</v>
      </c>
      <c r="U51" s="20" t="str">
        <f t="shared" si="3"/>
        <v>Yes</v>
      </c>
      <c r="V51" s="19" t="str">
        <f t="shared" si="4"/>
        <v>LC</v>
      </c>
      <c r="W51" s="17" t="str">
        <f t="shared" si="5"/>
        <v>Yes</v>
      </c>
      <c r="X51" s="17" t="s">
        <v>1329</v>
      </c>
      <c r="Y51" s="17" t="s">
        <v>1372</v>
      </c>
      <c r="Z51" s="17" t="s">
        <v>1331</v>
      </c>
      <c r="AA51" s="17" t="s">
        <v>1347</v>
      </c>
      <c r="AB51" s="17" t="s">
        <v>1333</v>
      </c>
      <c r="AC51" s="17" t="s">
        <v>1348</v>
      </c>
      <c r="AD51" s="17" t="s">
        <v>1530</v>
      </c>
      <c r="AE51" s="17">
        <f t="shared" si="6"/>
        <v>4</v>
      </c>
      <c r="AF51" s="17" t="s">
        <v>1336</v>
      </c>
      <c r="AG51" s="17" t="s">
        <v>1328</v>
      </c>
      <c r="AH51" s="17" t="s">
        <v>1328</v>
      </c>
      <c r="AI51" s="17" t="s">
        <v>1328</v>
      </c>
      <c r="AJ51" s="17" t="s">
        <v>1328</v>
      </c>
      <c r="AK51" s="17" t="s">
        <v>1336</v>
      </c>
      <c r="AL51" s="17" t="s">
        <v>1350</v>
      </c>
      <c r="AM51" s="17" t="s">
        <v>1351</v>
      </c>
      <c r="AN51" s="17" t="s">
        <v>1339</v>
      </c>
      <c r="AO51" s="17" t="s">
        <v>1374</v>
      </c>
      <c r="AP51" s="17" t="s">
        <v>1328</v>
      </c>
      <c r="AQ51" s="17" t="str">
        <f t="shared" si="7"/>
        <v>intermediate</v>
      </c>
      <c r="AR51" s="20"/>
    </row>
    <row r="52" ht="15.75" customHeight="1">
      <c r="A52" s="16" t="s">
        <v>1633</v>
      </c>
      <c r="B52" s="16" t="s">
        <v>1634</v>
      </c>
      <c r="C52" s="16">
        <v>2014.0</v>
      </c>
      <c r="D52" s="16" t="s">
        <v>1635</v>
      </c>
      <c r="E52" s="16" t="s">
        <v>1636</v>
      </c>
      <c r="F52" s="16" t="s">
        <v>1637</v>
      </c>
      <c r="G52" s="16" t="str">
        <f t="shared" si="1"/>
        <v>No</v>
      </c>
      <c r="H52" s="16" t="s">
        <v>1324</v>
      </c>
      <c r="I52" s="16" t="s">
        <v>1324</v>
      </c>
      <c r="J52" s="16">
        <v>143.0</v>
      </c>
      <c r="K52" s="17" t="s">
        <v>1638</v>
      </c>
      <c r="L52" s="17" t="s">
        <v>5010</v>
      </c>
      <c r="M52" s="18" t="str">
        <f t="shared" si="2"/>
        <v>http://dx.doi.org/10.1111/gfs.12073</v>
      </c>
      <c r="N52" s="19" t="s">
        <v>1358</v>
      </c>
      <c r="O52" s="17" t="s">
        <v>1403</v>
      </c>
      <c r="P52" s="17" t="s">
        <v>1328</v>
      </c>
      <c r="Q52" s="17" t="s">
        <v>1328</v>
      </c>
      <c r="R52" s="17" t="s">
        <v>1328</v>
      </c>
      <c r="S52" s="17" t="s">
        <v>1328</v>
      </c>
      <c r="T52" s="17" t="s">
        <v>1328</v>
      </c>
      <c r="U52" s="20" t="str">
        <f t="shared" si="3"/>
        <v>Yes</v>
      </c>
      <c r="V52" s="19" t="str">
        <f t="shared" si="4"/>
        <v>DB</v>
      </c>
      <c r="W52" s="17" t="str">
        <f t="shared" si="5"/>
        <v>Yes</v>
      </c>
      <c r="X52" s="17" t="s">
        <v>1631</v>
      </c>
      <c r="Y52" s="17" t="s">
        <v>1330</v>
      </c>
      <c r="Z52" s="17" t="s">
        <v>1331</v>
      </c>
      <c r="AA52" s="17" t="s">
        <v>1347</v>
      </c>
      <c r="AB52" s="17" t="s">
        <v>1333</v>
      </c>
      <c r="AC52" s="17" t="s">
        <v>1381</v>
      </c>
      <c r="AD52" s="17" t="s">
        <v>1362</v>
      </c>
      <c r="AE52" s="17">
        <f t="shared" si="6"/>
        <v>2</v>
      </c>
      <c r="AF52" s="17" t="s">
        <v>1328</v>
      </c>
      <c r="AG52" s="17" t="s">
        <v>1328</v>
      </c>
      <c r="AH52" s="17" t="s">
        <v>1336</v>
      </c>
      <c r="AI52" s="17" t="s">
        <v>1336</v>
      </c>
      <c r="AJ52" s="17" t="s">
        <v>1336</v>
      </c>
      <c r="AK52" s="17" t="s">
        <v>1336</v>
      </c>
      <c r="AL52" s="17" t="s">
        <v>1350</v>
      </c>
      <c r="AM52" s="17" t="s">
        <v>1351</v>
      </c>
      <c r="AN52" s="17" t="s">
        <v>1363</v>
      </c>
      <c r="AO52" s="17" t="s">
        <v>1331</v>
      </c>
      <c r="AP52" s="17" t="s">
        <v>1328</v>
      </c>
      <c r="AQ52" s="17" t="str">
        <f t="shared" si="7"/>
        <v>intermediate</v>
      </c>
      <c r="AR52" s="20" t="s">
        <v>1639</v>
      </c>
    </row>
    <row r="53" ht="15.75" customHeight="1">
      <c r="A53" s="16" t="s">
        <v>2104</v>
      </c>
      <c r="B53" s="16" t="s">
        <v>251</v>
      </c>
      <c r="C53" s="16">
        <v>2016.0</v>
      </c>
      <c r="D53" s="16" t="s">
        <v>2105</v>
      </c>
      <c r="E53" s="16" t="s">
        <v>2106</v>
      </c>
      <c r="F53" s="16" t="s">
        <v>2107</v>
      </c>
      <c r="G53" s="16" t="str">
        <f t="shared" si="1"/>
        <v>No</v>
      </c>
      <c r="H53" s="16" t="s">
        <v>1324</v>
      </c>
      <c r="I53" s="16" t="s">
        <v>1324</v>
      </c>
      <c r="J53" s="16">
        <v>61.0</v>
      </c>
      <c r="K53" s="17" t="s">
        <v>2108</v>
      </c>
      <c r="L53" s="17" t="s">
        <v>5010</v>
      </c>
      <c r="M53" s="18" t="str">
        <f t="shared" si="2"/>
        <v>http://dx.doi.org/10.1016/j.biocon.2016.04.013</v>
      </c>
      <c r="N53" s="19" t="s">
        <v>1614</v>
      </c>
      <c r="O53" s="17" t="s">
        <v>1371</v>
      </c>
      <c r="P53" s="17" t="s">
        <v>1328</v>
      </c>
      <c r="Q53" s="17" t="s">
        <v>1328</v>
      </c>
      <c r="R53" s="17" t="s">
        <v>1328</v>
      </c>
      <c r="S53" s="17" t="s">
        <v>1328</v>
      </c>
      <c r="T53" s="17" t="s">
        <v>1328</v>
      </c>
      <c r="U53" s="20" t="str">
        <f t="shared" si="3"/>
        <v>Yes</v>
      </c>
      <c r="V53" s="19" t="str">
        <f t="shared" si="4"/>
        <v>LC</v>
      </c>
      <c r="W53" s="17" t="str">
        <f t="shared" si="5"/>
        <v>Yes</v>
      </c>
      <c r="X53" s="17" t="s">
        <v>1329</v>
      </c>
      <c r="Y53" s="17" t="s">
        <v>1330</v>
      </c>
      <c r="Z53" s="17" t="s">
        <v>1330</v>
      </c>
      <c r="AA53" s="17" t="s">
        <v>1332</v>
      </c>
      <c r="AB53" s="17" t="s">
        <v>1333</v>
      </c>
      <c r="AC53" s="17" t="s">
        <v>1334</v>
      </c>
      <c r="AD53" s="17" t="s">
        <v>1362</v>
      </c>
      <c r="AE53" s="17">
        <f t="shared" si="6"/>
        <v>2</v>
      </c>
      <c r="AF53" s="17" t="s">
        <v>1336</v>
      </c>
      <c r="AG53" s="17" t="s">
        <v>1328</v>
      </c>
      <c r="AH53" s="17" t="s">
        <v>1328</v>
      </c>
      <c r="AI53" s="17" t="s">
        <v>1336</v>
      </c>
      <c r="AJ53" s="17" t="s">
        <v>1336</v>
      </c>
      <c r="AK53" s="17" t="s">
        <v>1336</v>
      </c>
      <c r="AL53" s="17" t="s">
        <v>1395</v>
      </c>
      <c r="AM53" s="17" t="s">
        <v>1351</v>
      </c>
      <c r="AN53" s="17" t="s">
        <v>1363</v>
      </c>
      <c r="AO53" s="17" t="s">
        <v>1374</v>
      </c>
      <c r="AP53" s="17" t="s">
        <v>1328</v>
      </c>
      <c r="AQ53" s="17" t="str">
        <f t="shared" si="7"/>
        <v>intermediate</v>
      </c>
      <c r="AR53" s="20"/>
    </row>
    <row r="54" ht="15.75" customHeight="1">
      <c r="A54" s="16" t="s">
        <v>2136</v>
      </c>
      <c r="B54" s="16" t="s">
        <v>2131</v>
      </c>
      <c r="C54" s="16">
        <v>2012.0</v>
      </c>
      <c r="D54" s="16" t="s">
        <v>2137</v>
      </c>
      <c r="E54" s="16" t="s">
        <v>2138</v>
      </c>
      <c r="F54" s="16" t="s">
        <v>2139</v>
      </c>
      <c r="G54" s="16" t="str">
        <f t="shared" si="1"/>
        <v>No</v>
      </c>
      <c r="H54" s="16" t="s">
        <v>1324</v>
      </c>
      <c r="I54" s="16" t="s">
        <v>1324</v>
      </c>
      <c r="J54" s="16">
        <v>49.0</v>
      </c>
      <c r="K54" s="17" t="s">
        <v>2140</v>
      </c>
      <c r="L54" s="17" t="s">
        <v>5010</v>
      </c>
      <c r="M54" s="18" t="str">
        <f t="shared" si="2"/>
        <v>http://dx.doi.org/10.1016/j.agrformet.2012.07.007</v>
      </c>
      <c r="N54" s="19" t="s">
        <v>1666</v>
      </c>
      <c r="O54" s="17" t="s">
        <v>1371</v>
      </c>
      <c r="P54" s="17" t="s">
        <v>1328</v>
      </c>
      <c r="Q54" s="17" t="s">
        <v>1328</v>
      </c>
      <c r="R54" s="17" t="s">
        <v>1328</v>
      </c>
      <c r="S54" s="17" t="s">
        <v>1328</v>
      </c>
      <c r="T54" s="17" t="s">
        <v>1328</v>
      </c>
      <c r="U54" s="20" t="str">
        <f t="shared" si="3"/>
        <v>Yes</v>
      </c>
      <c r="V54" s="19" t="str">
        <f t="shared" si="4"/>
        <v>LC</v>
      </c>
      <c r="W54" s="17" t="str">
        <f t="shared" si="5"/>
        <v>Yes</v>
      </c>
      <c r="X54" s="17" t="s">
        <v>1329</v>
      </c>
      <c r="Y54" s="17" t="s">
        <v>1372</v>
      </c>
      <c r="Z54" s="17" t="s">
        <v>1372</v>
      </c>
      <c r="AA54" s="17" t="s">
        <v>1347</v>
      </c>
      <c r="AB54" s="17" t="s">
        <v>1333</v>
      </c>
      <c r="AC54" s="17" t="s">
        <v>1348</v>
      </c>
      <c r="AD54" s="17" t="s">
        <v>1362</v>
      </c>
      <c r="AE54" s="17">
        <f t="shared" si="6"/>
        <v>2</v>
      </c>
      <c r="AF54" s="17" t="s">
        <v>1336</v>
      </c>
      <c r="AG54" s="17" t="s">
        <v>1336</v>
      </c>
      <c r="AH54" s="17" t="s">
        <v>1336</v>
      </c>
      <c r="AI54" s="17" t="s">
        <v>1328</v>
      </c>
      <c r="AJ54" s="17" t="s">
        <v>1336</v>
      </c>
      <c r="AK54" s="17" t="s">
        <v>1328</v>
      </c>
      <c r="AL54" s="17" t="s">
        <v>1350</v>
      </c>
      <c r="AM54" s="17" t="s">
        <v>1351</v>
      </c>
      <c r="AN54" s="17" t="s">
        <v>1363</v>
      </c>
      <c r="AO54" s="17" t="s">
        <v>1388</v>
      </c>
      <c r="AP54" s="17" t="s">
        <v>1328</v>
      </c>
      <c r="AQ54" s="17" t="str">
        <f t="shared" si="7"/>
        <v>intermediate</v>
      </c>
      <c r="AR54" s="20"/>
    </row>
    <row r="55" ht="15.75" customHeight="1">
      <c r="A55" s="16" t="s">
        <v>1704</v>
      </c>
      <c r="B55" s="16" t="s">
        <v>1587</v>
      </c>
      <c r="C55" s="16">
        <v>2016.0</v>
      </c>
      <c r="D55" s="16" t="s">
        <v>1705</v>
      </c>
      <c r="E55" s="16" t="s">
        <v>1706</v>
      </c>
      <c r="F55" s="16" t="s">
        <v>1707</v>
      </c>
      <c r="G55" s="16" t="str">
        <f t="shared" si="1"/>
        <v>No</v>
      </c>
      <c r="H55" s="16" t="s">
        <v>1324</v>
      </c>
      <c r="I55" s="16" t="s">
        <v>1324</v>
      </c>
      <c r="J55" s="16">
        <v>33.0</v>
      </c>
      <c r="K55" s="17" t="s">
        <v>1708</v>
      </c>
      <c r="L55" s="17" t="s">
        <v>5010</v>
      </c>
      <c r="M55" s="18" t="str">
        <f t="shared" si="2"/>
        <v>http://dx.doi.org/10.1111/cobi.12576</v>
      </c>
      <c r="N55" s="19" t="s">
        <v>1402</v>
      </c>
      <c r="O55" s="17" t="s">
        <v>1403</v>
      </c>
      <c r="P55" s="17" t="s">
        <v>1328</v>
      </c>
      <c r="Q55" s="17" t="s">
        <v>1328</v>
      </c>
      <c r="R55" s="17" t="s">
        <v>1328</v>
      </c>
      <c r="S55" s="17" t="s">
        <v>1328</v>
      </c>
      <c r="T55" s="17" t="s">
        <v>1328</v>
      </c>
      <c r="U55" s="20" t="str">
        <f t="shared" si="3"/>
        <v>Yes</v>
      </c>
      <c r="V55" s="19" t="str">
        <f t="shared" si="4"/>
        <v>DB</v>
      </c>
      <c r="W55" s="17" t="str">
        <f t="shared" si="5"/>
        <v>Yes</v>
      </c>
      <c r="X55" s="17" t="s">
        <v>1329</v>
      </c>
      <c r="Y55" s="17" t="s">
        <v>1330</v>
      </c>
      <c r="Z55" s="17" t="s">
        <v>1331</v>
      </c>
      <c r="AA55" s="17" t="s">
        <v>1347</v>
      </c>
      <c r="AB55" s="17" t="s">
        <v>1333</v>
      </c>
      <c r="AC55" s="17" t="s">
        <v>1381</v>
      </c>
      <c r="AD55" s="17" t="s">
        <v>1349</v>
      </c>
      <c r="AE55" s="17">
        <f t="shared" si="6"/>
        <v>2</v>
      </c>
      <c r="AF55" s="17" t="s">
        <v>1336</v>
      </c>
      <c r="AG55" s="17" t="s">
        <v>1336</v>
      </c>
      <c r="AH55" s="17" t="s">
        <v>1328</v>
      </c>
      <c r="AI55" s="17" t="s">
        <v>1336</v>
      </c>
      <c r="AJ55" s="17" t="s">
        <v>1328</v>
      </c>
      <c r="AK55" s="17" t="s">
        <v>1336</v>
      </c>
      <c r="AL55" s="17" t="s">
        <v>1350</v>
      </c>
      <c r="AM55" s="17" t="s">
        <v>1351</v>
      </c>
      <c r="AN55" s="17" t="s">
        <v>1363</v>
      </c>
      <c r="AO55" s="17" t="s">
        <v>1388</v>
      </c>
      <c r="AP55" s="17" t="s">
        <v>1328</v>
      </c>
      <c r="AQ55" s="17" t="str">
        <f t="shared" si="7"/>
        <v>intermediate</v>
      </c>
      <c r="AR55" s="20"/>
    </row>
    <row r="56" ht="15.75" customHeight="1">
      <c r="A56" s="16" t="s">
        <v>1586</v>
      </c>
      <c r="B56" s="16" t="s">
        <v>1587</v>
      </c>
      <c r="C56" s="16">
        <v>2009.0</v>
      </c>
      <c r="D56" s="16" t="s">
        <v>1588</v>
      </c>
      <c r="E56" s="16" t="s">
        <v>1589</v>
      </c>
      <c r="F56" s="16" t="s">
        <v>1590</v>
      </c>
      <c r="G56" s="16" t="str">
        <f t="shared" si="1"/>
        <v>No</v>
      </c>
      <c r="H56" s="16" t="s">
        <v>1324</v>
      </c>
      <c r="I56" s="16" t="s">
        <v>1324</v>
      </c>
      <c r="J56" s="16">
        <v>3.0</v>
      </c>
      <c r="K56" s="17" t="s">
        <v>1591</v>
      </c>
      <c r="L56" s="17" t="s">
        <v>5010</v>
      </c>
      <c r="M56" s="18" t="str">
        <f t="shared" si="2"/>
        <v>http://dx.doi.org/10.1111/j.1523-1739.2009.01336.x</v>
      </c>
      <c r="N56" s="19" t="s">
        <v>1326</v>
      </c>
      <c r="O56" s="17" t="s">
        <v>1327</v>
      </c>
      <c r="P56" s="17" t="s">
        <v>1328</v>
      </c>
      <c r="Q56" s="17" t="s">
        <v>1328</v>
      </c>
      <c r="R56" s="17" t="s">
        <v>1328</v>
      </c>
      <c r="S56" s="17" t="s">
        <v>1328</v>
      </c>
      <c r="T56" s="17" t="s">
        <v>1328</v>
      </c>
      <c r="U56" s="20" t="str">
        <f t="shared" si="3"/>
        <v>Yes</v>
      </c>
      <c r="V56" s="19" t="str">
        <f t="shared" si="4"/>
        <v>PJ</v>
      </c>
      <c r="W56" s="17" t="str">
        <f t="shared" si="5"/>
        <v>Yes</v>
      </c>
      <c r="X56" s="17" t="s">
        <v>1329</v>
      </c>
      <c r="Y56" s="17" t="s">
        <v>1330</v>
      </c>
      <c r="Z56" s="17" t="s">
        <v>1331</v>
      </c>
      <c r="AA56" s="17" t="s">
        <v>1347</v>
      </c>
      <c r="AB56" s="17" t="s">
        <v>1444</v>
      </c>
      <c r="AC56" s="17" t="s">
        <v>1476</v>
      </c>
      <c r="AD56" s="17" t="s">
        <v>1446</v>
      </c>
      <c r="AE56" s="17">
        <f t="shared" si="6"/>
        <v>6</v>
      </c>
      <c r="AF56" s="17" t="s">
        <v>1328</v>
      </c>
      <c r="AG56" s="17" t="s">
        <v>1328</v>
      </c>
      <c r="AH56" s="17" t="s">
        <v>1328</v>
      </c>
      <c r="AI56" s="17" t="s">
        <v>1328</v>
      </c>
      <c r="AJ56" s="17" t="s">
        <v>1328</v>
      </c>
      <c r="AK56" s="17" t="s">
        <v>1328</v>
      </c>
      <c r="AL56" s="17" t="s">
        <v>1395</v>
      </c>
      <c r="AM56" s="17" t="s">
        <v>1351</v>
      </c>
      <c r="AN56" s="17" t="s">
        <v>1363</v>
      </c>
      <c r="AO56" s="17" t="s">
        <v>1374</v>
      </c>
      <c r="AP56" s="17" t="s">
        <v>1328</v>
      </c>
      <c r="AQ56" s="17" t="str">
        <f t="shared" si="7"/>
        <v>high</v>
      </c>
      <c r="AR56" s="20"/>
    </row>
    <row r="57" ht="15.75" customHeight="1">
      <c r="A57" s="16" t="s">
        <v>2064</v>
      </c>
      <c r="B57" s="16" t="s">
        <v>2059</v>
      </c>
      <c r="C57" s="16">
        <v>2011.0</v>
      </c>
      <c r="D57" s="16" t="s">
        <v>2065</v>
      </c>
      <c r="E57" s="16" t="s">
        <v>2066</v>
      </c>
      <c r="F57" s="16" t="s">
        <v>2067</v>
      </c>
      <c r="G57" s="16" t="str">
        <f t="shared" si="1"/>
        <v>No</v>
      </c>
      <c r="H57" s="16" t="s">
        <v>1324</v>
      </c>
      <c r="I57" s="16" t="s">
        <v>1324</v>
      </c>
      <c r="J57" s="16">
        <v>21.0</v>
      </c>
      <c r="K57" s="17" t="s">
        <v>2068</v>
      </c>
      <c r="L57" s="17" t="s">
        <v>5010</v>
      </c>
      <c r="M57" s="18" t="str">
        <f t="shared" si="2"/>
        <v>http://dx.doi.org/10.1016/j.ecolmodel.2011.03.042</v>
      </c>
      <c r="N57" s="19" t="s">
        <v>1358</v>
      </c>
      <c r="O57" s="17" t="s">
        <v>1327</v>
      </c>
      <c r="P57" s="17" t="s">
        <v>1328</v>
      </c>
      <c r="Q57" s="17" t="s">
        <v>1328</v>
      </c>
      <c r="R57" s="17" t="s">
        <v>1328</v>
      </c>
      <c r="S57" s="17" t="s">
        <v>1328</v>
      </c>
      <c r="T57" s="17" t="s">
        <v>1328</v>
      </c>
      <c r="U57" s="20" t="str">
        <f t="shared" si="3"/>
        <v>Yes</v>
      </c>
      <c r="V57" s="19" t="str">
        <f t="shared" si="4"/>
        <v>PJ</v>
      </c>
      <c r="W57" s="17" t="str">
        <f t="shared" si="5"/>
        <v>Yes</v>
      </c>
      <c r="X57" s="17" t="s">
        <v>1329</v>
      </c>
      <c r="Y57" s="17" t="s">
        <v>1330</v>
      </c>
      <c r="Z57" s="17" t="s">
        <v>1331</v>
      </c>
      <c r="AA57" s="17" t="s">
        <v>1347</v>
      </c>
      <c r="AB57" s="17" t="s">
        <v>1360</v>
      </c>
      <c r="AC57" s="17" t="s">
        <v>1348</v>
      </c>
      <c r="AD57" s="17" t="s">
        <v>2069</v>
      </c>
      <c r="AE57" s="17">
        <f t="shared" si="6"/>
        <v>3</v>
      </c>
      <c r="AF57" s="17" t="s">
        <v>1336</v>
      </c>
      <c r="AG57" s="17" t="s">
        <v>1328</v>
      </c>
      <c r="AH57" s="17" t="s">
        <v>1328</v>
      </c>
      <c r="AI57" s="17" t="s">
        <v>1336</v>
      </c>
      <c r="AJ57" s="17" t="s">
        <v>1336</v>
      </c>
      <c r="AK57" s="17" t="s">
        <v>1328</v>
      </c>
      <c r="AL57" s="17" t="s">
        <v>1350</v>
      </c>
      <c r="AM57" s="17" t="s">
        <v>1351</v>
      </c>
      <c r="AN57" s="17" t="s">
        <v>1363</v>
      </c>
      <c r="AO57" s="17" t="s">
        <v>1331</v>
      </c>
      <c r="AP57" s="17" t="s">
        <v>1328</v>
      </c>
      <c r="AQ57" s="17" t="str">
        <f t="shared" si="7"/>
        <v>high</v>
      </c>
      <c r="AR57" s="20"/>
    </row>
    <row r="58" ht="15.75" customHeight="1">
      <c r="A58" s="16" t="s">
        <v>2153</v>
      </c>
      <c r="B58" s="16" t="s">
        <v>2154</v>
      </c>
      <c r="C58" s="16">
        <v>2008.0</v>
      </c>
      <c r="D58" s="16" t="s">
        <v>2155</v>
      </c>
      <c r="E58" s="16" t="s">
        <v>2156</v>
      </c>
      <c r="F58" s="16" t="s">
        <v>2157</v>
      </c>
      <c r="G58" s="16" t="str">
        <f t="shared" si="1"/>
        <v>No</v>
      </c>
      <c r="H58" s="16" t="s">
        <v>1324</v>
      </c>
      <c r="I58" s="16" t="s">
        <v>1324</v>
      </c>
      <c r="J58" s="16">
        <v>46.0</v>
      </c>
      <c r="K58" s="17" t="s">
        <v>2158</v>
      </c>
      <c r="L58" s="17" t="s">
        <v>5010</v>
      </c>
      <c r="M58" s="18" t="str">
        <f t="shared" si="2"/>
        <v>http://dx.doi.org/10.1016/B978-012088449-0.50007-8</v>
      </c>
      <c r="N58" s="19" t="s">
        <v>1495</v>
      </c>
      <c r="O58" s="17" t="s">
        <v>1327</v>
      </c>
      <c r="P58" s="17" t="s">
        <v>1328</v>
      </c>
      <c r="Q58" s="17" t="s">
        <v>1328</v>
      </c>
      <c r="R58" s="17" t="s">
        <v>1328</v>
      </c>
      <c r="S58" s="17" t="s">
        <v>1328</v>
      </c>
      <c r="T58" s="17" t="s">
        <v>1328</v>
      </c>
      <c r="U58" s="20" t="str">
        <f t="shared" si="3"/>
        <v>Yes</v>
      </c>
      <c r="V58" s="19" t="str">
        <f t="shared" si="4"/>
        <v>PJ</v>
      </c>
      <c r="W58" s="17" t="str">
        <f t="shared" si="5"/>
        <v>Yes</v>
      </c>
      <c r="X58" s="17" t="s">
        <v>1443</v>
      </c>
      <c r="Y58" s="17" t="s">
        <v>1372</v>
      </c>
      <c r="Z58" s="17" t="s">
        <v>1331</v>
      </c>
      <c r="AA58" s="17" t="s">
        <v>1332</v>
      </c>
      <c r="AB58" s="17" t="s">
        <v>1444</v>
      </c>
      <c r="AC58" s="17" t="s">
        <v>1476</v>
      </c>
      <c r="AD58" s="17" t="s">
        <v>1530</v>
      </c>
      <c r="AE58" s="17">
        <f t="shared" si="6"/>
        <v>5</v>
      </c>
      <c r="AF58" s="17" t="s">
        <v>1336</v>
      </c>
      <c r="AG58" s="17" t="s">
        <v>1328</v>
      </c>
      <c r="AH58" s="17" t="s">
        <v>1328</v>
      </c>
      <c r="AI58" s="17" t="s">
        <v>1328</v>
      </c>
      <c r="AJ58" s="17" t="s">
        <v>1328</v>
      </c>
      <c r="AK58" s="17" t="s">
        <v>1328</v>
      </c>
      <c r="AL58" s="17" t="s">
        <v>1350</v>
      </c>
      <c r="AM58" s="17" t="s">
        <v>1351</v>
      </c>
      <c r="AN58" s="17" t="s">
        <v>1339</v>
      </c>
      <c r="AO58" s="17" t="s">
        <v>1331</v>
      </c>
      <c r="AP58" s="17" t="s">
        <v>1328</v>
      </c>
      <c r="AQ58" s="17" t="str">
        <f t="shared" si="7"/>
        <v>high</v>
      </c>
      <c r="AR58" s="20"/>
    </row>
    <row r="59" ht="15.75" customHeight="1">
      <c r="A59" s="16" t="s">
        <v>1340</v>
      </c>
      <c r="B59" s="16" t="s">
        <v>1341</v>
      </c>
      <c r="C59" s="16">
        <v>2018.0</v>
      </c>
      <c r="D59" s="16" t="s">
        <v>1342</v>
      </c>
      <c r="E59" s="16" t="s">
        <v>1343</v>
      </c>
      <c r="F59" s="16" t="s">
        <v>1344</v>
      </c>
      <c r="G59" s="16" t="str">
        <f t="shared" si="1"/>
        <v>No</v>
      </c>
      <c r="H59" s="16" t="s">
        <v>1324</v>
      </c>
      <c r="I59" s="16" t="s">
        <v>1324</v>
      </c>
      <c r="J59" s="16">
        <v>85.0</v>
      </c>
      <c r="K59" s="17" t="s">
        <v>1345</v>
      </c>
      <c r="L59" s="17" t="s">
        <v>5010</v>
      </c>
      <c r="M59" s="18" t="str">
        <f t="shared" si="2"/>
        <v>http://dx.doi.org/10.5343/bms.2017.1061</v>
      </c>
      <c r="N59" s="19" t="s">
        <v>1346</v>
      </c>
      <c r="O59" s="17" t="s">
        <v>1327</v>
      </c>
      <c r="P59" s="17" t="s">
        <v>1328</v>
      </c>
      <c r="Q59" s="17" t="s">
        <v>1328</v>
      </c>
      <c r="R59" s="17" t="s">
        <v>1328</v>
      </c>
      <c r="S59" s="17" t="s">
        <v>1328</v>
      </c>
      <c r="T59" s="17" t="s">
        <v>1328</v>
      </c>
      <c r="U59" s="20" t="str">
        <f t="shared" si="3"/>
        <v>Yes</v>
      </c>
      <c r="V59" s="19" t="str">
        <f t="shared" si="4"/>
        <v>PJ</v>
      </c>
      <c r="W59" s="17" t="str">
        <f t="shared" si="5"/>
        <v>Yes</v>
      </c>
      <c r="X59" s="17" t="s">
        <v>1329</v>
      </c>
      <c r="Y59" s="17" t="s">
        <v>1330</v>
      </c>
      <c r="Z59" s="17" t="s">
        <v>1331</v>
      </c>
      <c r="AA59" s="17" t="s">
        <v>1347</v>
      </c>
      <c r="AB59" s="17" t="s">
        <v>1333</v>
      </c>
      <c r="AC59" s="17" t="s">
        <v>1348</v>
      </c>
      <c r="AD59" s="17" t="s">
        <v>1349</v>
      </c>
      <c r="AE59" s="17">
        <f t="shared" si="6"/>
        <v>3</v>
      </c>
      <c r="AF59" s="17" t="s">
        <v>1328</v>
      </c>
      <c r="AG59" s="17" t="s">
        <v>1336</v>
      </c>
      <c r="AH59" s="17" t="s">
        <v>1328</v>
      </c>
      <c r="AI59" s="17" t="s">
        <v>1336</v>
      </c>
      <c r="AJ59" s="17" t="s">
        <v>1328</v>
      </c>
      <c r="AK59" s="17" t="s">
        <v>1336</v>
      </c>
      <c r="AL59" s="17" t="s">
        <v>1350</v>
      </c>
      <c r="AM59" s="17" t="s">
        <v>1351</v>
      </c>
      <c r="AN59" s="17" t="s">
        <v>1339</v>
      </c>
      <c r="AO59" s="17" t="s">
        <v>1331</v>
      </c>
      <c r="AP59" s="17" t="s">
        <v>1328</v>
      </c>
      <c r="AQ59" s="17" t="str">
        <f t="shared" si="7"/>
        <v>intermediate</v>
      </c>
      <c r="AR59" s="20"/>
    </row>
    <row r="60" ht="15.75" customHeight="1">
      <c r="A60" s="16" t="s">
        <v>1818</v>
      </c>
      <c r="B60" s="16" t="s">
        <v>1807</v>
      </c>
      <c r="C60" s="16">
        <v>2009.0</v>
      </c>
      <c r="D60" s="16" t="s">
        <v>1819</v>
      </c>
      <c r="E60" s="16" t="s">
        <v>1820</v>
      </c>
      <c r="F60" s="16" t="s">
        <v>1821</v>
      </c>
      <c r="G60" s="16" t="str">
        <f t="shared" si="1"/>
        <v>No</v>
      </c>
      <c r="H60" s="16" t="s">
        <v>1324</v>
      </c>
      <c r="I60" s="16" t="s">
        <v>1324</v>
      </c>
      <c r="J60" s="16">
        <v>47.0</v>
      </c>
      <c r="K60" s="17" t="s">
        <v>1822</v>
      </c>
      <c r="L60" s="17" t="s">
        <v>5010</v>
      </c>
      <c r="M60" s="18" t="str">
        <f t="shared" si="2"/>
        <v>http://dx.doi.org/10.1029/2008JG000911</v>
      </c>
      <c r="N60" s="19" t="s">
        <v>1358</v>
      </c>
      <c r="O60" s="17" t="s">
        <v>1417</v>
      </c>
      <c r="P60" s="17" t="s">
        <v>1328</v>
      </c>
      <c r="Q60" s="17" t="s">
        <v>1328</v>
      </c>
      <c r="R60" s="17" t="s">
        <v>1328</v>
      </c>
      <c r="S60" s="17" t="s">
        <v>1328</v>
      </c>
      <c r="T60" s="17" t="s">
        <v>1328</v>
      </c>
      <c r="U60" s="20" t="str">
        <f t="shared" si="3"/>
        <v>Yes</v>
      </c>
      <c r="V60" s="19" t="str">
        <f t="shared" si="4"/>
        <v>NT</v>
      </c>
      <c r="W60" s="17" t="str">
        <f t="shared" si="5"/>
        <v>Yes</v>
      </c>
      <c r="X60" s="17" t="s">
        <v>1443</v>
      </c>
      <c r="Y60" s="17" t="s">
        <v>1331</v>
      </c>
      <c r="Z60" s="17" t="s">
        <v>1330</v>
      </c>
      <c r="AA60" s="17" t="s">
        <v>1337</v>
      </c>
      <c r="AB60" s="17" t="s">
        <v>1444</v>
      </c>
      <c r="AC60" s="17" t="s">
        <v>1445</v>
      </c>
      <c r="AD60" s="17" t="s">
        <v>1362</v>
      </c>
      <c r="AE60" s="17">
        <f t="shared" si="6"/>
        <v>6</v>
      </c>
      <c r="AF60" s="17" t="s">
        <v>1328</v>
      </c>
      <c r="AG60" s="17" t="s">
        <v>1328</v>
      </c>
      <c r="AH60" s="17" t="s">
        <v>1328</v>
      </c>
      <c r="AI60" s="17" t="s">
        <v>1328</v>
      </c>
      <c r="AJ60" s="17" t="s">
        <v>1328</v>
      </c>
      <c r="AK60" s="17" t="s">
        <v>1328</v>
      </c>
      <c r="AL60" s="17" t="s">
        <v>1337</v>
      </c>
      <c r="AM60" s="17" t="s">
        <v>1338</v>
      </c>
      <c r="AN60" s="17" t="s">
        <v>1339</v>
      </c>
      <c r="AO60" s="17" t="s">
        <v>1331</v>
      </c>
      <c r="AP60" s="17" t="s">
        <v>1328</v>
      </c>
      <c r="AQ60" s="17" t="str">
        <f t="shared" si="7"/>
        <v>intermediate</v>
      </c>
      <c r="AR60" s="20"/>
    </row>
    <row r="61" ht="15.75" customHeight="1">
      <c r="A61" s="16" t="s">
        <v>2120</v>
      </c>
      <c r="B61" s="16" t="s">
        <v>251</v>
      </c>
      <c r="C61" s="16">
        <v>2008.0</v>
      </c>
      <c r="D61" s="16" t="s">
        <v>2121</v>
      </c>
      <c r="E61" s="16" t="s">
        <v>2122</v>
      </c>
      <c r="F61" s="16" t="s">
        <v>2123</v>
      </c>
      <c r="G61" s="16" t="str">
        <f t="shared" si="1"/>
        <v>No</v>
      </c>
      <c r="H61" s="16" t="s">
        <v>1324</v>
      </c>
      <c r="I61" s="16" t="s">
        <v>1324</v>
      </c>
      <c r="J61" s="16">
        <v>40.0</v>
      </c>
      <c r="K61" s="17" t="s">
        <v>2124</v>
      </c>
      <c r="L61" s="17" t="s">
        <v>5010</v>
      </c>
      <c r="M61" s="18" t="str">
        <f t="shared" si="2"/>
        <v>http://dx.doi.org/10.1016/j.biocon.2008.04.024</v>
      </c>
      <c r="N61" s="19" t="s">
        <v>1614</v>
      </c>
      <c r="O61" s="17" t="s">
        <v>1470</v>
      </c>
      <c r="P61" s="17" t="s">
        <v>1328</v>
      </c>
      <c r="Q61" s="17" t="s">
        <v>1328</v>
      </c>
      <c r="R61" s="17" t="s">
        <v>1328</v>
      </c>
      <c r="S61" s="17" t="s">
        <v>1328</v>
      </c>
      <c r="T61" s="17" t="s">
        <v>1328</v>
      </c>
      <c r="U61" s="20" t="str">
        <f t="shared" si="3"/>
        <v>Yes</v>
      </c>
      <c r="V61" s="19" t="str">
        <f t="shared" si="4"/>
        <v>AG</v>
      </c>
      <c r="W61" s="17" t="str">
        <f t="shared" si="5"/>
        <v>Yes</v>
      </c>
      <c r="X61" s="17" t="s">
        <v>1329</v>
      </c>
      <c r="Y61" s="17" t="s">
        <v>1331</v>
      </c>
      <c r="Z61" s="17" t="s">
        <v>1330</v>
      </c>
      <c r="AA61" s="17" t="s">
        <v>1347</v>
      </c>
      <c r="AB61" s="17" t="s">
        <v>1333</v>
      </c>
      <c r="AC61" s="17" t="s">
        <v>1348</v>
      </c>
      <c r="AD61" s="17" t="s">
        <v>1362</v>
      </c>
      <c r="AE61" s="17">
        <f t="shared" si="6"/>
        <v>2</v>
      </c>
      <c r="AF61" s="17" t="s">
        <v>1336</v>
      </c>
      <c r="AG61" s="17" t="s">
        <v>1328</v>
      </c>
      <c r="AH61" s="17" t="s">
        <v>1328</v>
      </c>
      <c r="AI61" s="17" t="s">
        <v>1336</v>
      </c>
      <c r="AJ61" s="17" t="s">
        <v>1336</v>
      </c>
      <c r="AK61" s="17" t="s">
        <v>1336</v>
      </c>
      <c r="AL61" s="17" t="s">
        <v>1350</v>
      </c>
      <c r="AM61" s="17" t="s">
        <v>1351</v>
      </c>
      <c r="AN61" s="17" t="s">
        <v>1363</v>
      </c>
      <c r="AO61" s="17" t="s">
        <v>1388</v>
      </c>
      <c r="AP61" s="17" t="s">
        <v>1328</v>
      </c>
      <c r="AQ61" s="17" t="str">
        <f t="shared" si="7"/>
        <v>intermediate</v>
      </c>
      <c r="AR61" s="20"/>
    </row>
    <row r="62" ht="15.75" customHeight="1">
      <c r="A62" s="16" t="s">
        <v>1477</v>
      </c>
      <c r="B62" s="16" t="s">
        <v>365</v>
      </c>
      <c r="C62" s="16">
        <v>2011.0</v>
      </c>
      <c r="D62" s="16" t="s">
        <v>1478</v>
      </c>
      <c r="E62" s="16" t="s">
        <v>1479</v>
      </c>
      <c r="F62" s="16" t="s">
        <v>1480</v>
      </c>
      <c r="G62" s="16" t="str">
        <f t="shared" si="1"/>
        <v>No</v>
      </c>
      <c r="H62" s="16" t="s">
        <v>1324</v>
      </c>
      <c r="I62" s="16" t="s">
        <v>1324</v>
      </c>
      <c r="J62" s="16">
        <v>140.0</v>
      </c>
      <c r="K62" s="17" t="s">
        <v>1481</v>
      </c>
      <c r="L62" s="17" t="s">
        <v>5010</v>
      </c>
      <c r="M62" s="18" t="str">
        <f t="shared" si="2"/>
        <v>http://dx.doi.org/10.1371/journal.pone.0027785</v>
      </c>
      <c r="N62" s="19" t="s">
        <v>1482</v>
      </c>
      <c r="O62" s="17" t="s">
        <v>1387</v>
      </c>
      <c r="P62" s="17" t="s">
        <v>1328</v>
      </c>
      <c r="Q62" s="17" t="s">
        <v>1328</v>
      </c>
      <c r="R62" s="17" t="s">
        <v>1328</v>
      </c>
      <c r="S62" s="17" t="s">
        <v>1328</v>
      </c>
      <c r="T62" s="17" t="s">
        <v>1328</v>
      </c>
      <c r="U62" s="20" t="str">
        <f t="shared" si="3"/>
        <v>Yes</v>
      </c>
      <c r="V62" s="19" t="str">
        <f t="shared" si="4"/>
        <v>MW</v>
      </c>
      <c r="W62" s="17" t="str">
        <f t="shared" si="5"/>
        <v>Yes</v>
      </c>
      <c r="X62" s="17" t="s">
        <v>1329</v>
      </c>
      <c r="Y62" s="17" t="s">
        <v>1372</v>
      </c>
      <c r="Z62" s="17" t="s">
        <v>1331</v>
      </c>
      <c r="AA62" s="17" t="s">
        <v>1347</v>
      </c>
      <c r="AB62" s="17" t="s">
        <v>1333</v>
      </c>
      <c r="AC62" s="17" t="s">
        <v>1334</v>
      </c>
      <c r="AD62" s="17" t="s">
        <v>1362</v>
      </c>
      <c r="AE62" s="17">
        <f t="shared" si="6"/>
        <v>2</v>
      </c>
      <c r="AF62" s="17" t="s">
        <v>1336</v>
      </c>
      <c r="AG62" s="17" t="s">
        <v>1328</v>
      </c>
      <c r="AH62" s="17" t="s">
        <v>1328</v>
      </c>
      <c r="AI62" s="17" t="s">
        <v>1336</v>
      </c>
      <c r="AJ62" s="17" t="s">
        <v>1336</v>
      </c>
      <c r="AK62" s="17" t="s">
        <v>1336</v>
      </c>
      <c r="AL62" s="17" t="s">
        <v>1350</v>
      </c>
      <c r="AM62" s="17" t="s">
        <v>1351</v>
      </c>
      <c r="AN62" s="17" t="s">
        <v>1363</v>
      </c>
      <c r="AO62" s="17" t="s">
        <v>1388</v>
      </c>
      <c r="AP62" s="17" t="s">
        <v>1328</v>
      </c>
      <c r="AQ62" s="17" t="str">
        <f t="shared" si="7"/>
        <v>intermediate</v>
      </c>
      <c r="AR62" s="20"/>
    </row>
    <row r="63" ht="15.75" customHeight="1">
      <c r="A63" s="16" t="s">
        <v>2284</v>
      </c>
      <c r="B63" s="16" t="s">
        <v>2285</v>
      </c>
      <c r="C63" s="16">
        <v>2011.0</v>
      </c>
      <c r="D63" s="16" t="s">
        <v>2286</v>
      </c>
      <c r="E63" s="16" t="s">
        <v>1479</v>
      </c>
      <c r="F63" s="23" t="s">
        <v>1324</v>
      </c>
      <c r="G63" s="16" t="str">
        <f t="shared" si="1"/>
        <v>No</v>
      </c>
      <c r="H63" s="16" t="s">
        <v>1324</v>
      </c>
      <c r="I63" s="16" t="s">
        <v>1324</v>
      </c>
      <c r="J63" s="16">
        <v>139.0</v>
      </c>
      <c r="K63" s="17" t="s">
        <v>2287</v>
      </c>
      <c r="L63" s="17" t="s">
        <v>5010</v>
      </c>
      <c r="M63" s="18" t="str">
        <f t="shared" si="2"/>
        <v/>
      </c>
      <c r="N63" s="19" t="s">
        <v>1482</v>
      </c>
      <c r="O63" s="17" t="s">
        <v>1371</v>
      </c>
      <c r="P63" s="17" t="s">
        <v>1328</v>
      </c>
      <c r="Q63" s="17" t="s">
        <v>1328</v>
      </c>
      <c r="R63" s="17" t="s">
        <v>1328</v>
      </c>
      <c r="S63" s="17" t="s">
        <v>1328</v>
      </c>
      <c r="T63" s="17" t="s">
        <v>1328</v>
      </c>
      <c r="U63" s="20" t="str">
        <f t="shared" si="3"/>
        <v>Yes</v>
      </c>
      <c r="V63" s="19" t="str">
        <f t="shared" si="4"/>
        <v>LC</v>
      </c>
      <c r="W63" s="17" t="str">
        <f t="shared" si="5"/>
        <v>Yes</v>
      </c>
      <c r="X63" s="17" t="s">
        <v>1329</v>
      </c>
      <c r="Y63" s="17" t="s">
        <v>1372</v>
      </c>
      <c r="Z63" s="17" t="s">
        <v>1331</v>
      </c>
      <c r="AA63" s="17" t="s">
        <v>1332</v>
      </c>
      <c r="AB63" s="17" t="s">
        <v>1333</v>
      </c>
      <c r="AC63" s="17" t="s">
        <v>1334</v>
      </c>
      <c r="AD63" s="17" t="s">
        <v>1362</v>
      </c>
      <c r="AE63" s="17">
        <f t="shared" si="6"/>
        <v>2</v>
      </c>
      <c r="AF63" s="17" t="s">
        <v>1336</v>
      </c>
      <c r="AG63" s="17" t="s">
        <v>1328</v>
      </c>
      <c r="AH63" s="17" t="s">
        <v>1328</v>
      </c>
      <c r="AI63" s="17" t="s">
        <v>1336</v>
      </c>
      <c r="AJ63" s="17" t="s">
        <v>1336</v>
      </c>
      <c r="AK63" s="17" t="s">
        <v>1336</v>
      </c>
      <c r="AL63" s="17" t="s">
        <v>1350</v>
      </c>
      <c r="AM63" s="17" t="s">
        <v>1351</v>
      </c>
      <c r="AN63" s="17" t="s">
        <v>1363</v>
      </c>
      <c r="AO63" s="17" t="s">
        <v>1388</v>
      </c>
      <c r="AP63" s="17" t="s">
        <v>1328</v>
      </c>
      <c r="AQ63" s="17" t="str">
        <f t="shared" si="7"/>
        <v>intermediate</v>
      </c>
      <c r="AR63" s="20"/>
    </row>
    <row r="64" ht="15.75" customHeight="1">
      <c r="A64" s="16" t="s">
        <v>2013</v>
      </c>
      <c r="B64" s="16" t="s">
        <v>2008</v>
      </c>
      <c r="C64" s="16">
        <v>2014.0</v>
      </c>
      <c r="D64" s="16" t="s">
        <v>2014</v>
      </c>
      <c r="E64" s="16" t="s">
        <v>2015</v>
      </c>
      <c r="F64" s="16" t="s">
        <v>2016</v>
      </c>
      <c r="G64" s="16" t="str">
        <f t="shared" si="1"/>
        <v>No</v>
      </c>
      <c r="H64" s="16" t="s">
        <v>1324</v>
      </c>
      <c r="I64" s="16" t="s">
        <v>1324</v>
      </c>
      <c r="J64" s="16">
        <v>189.0</v>
      </c>
      <c r="K64" s="17" t="s">
        <v>2017</v>
      </c>
      <c r="L64" s="17" t="s">
        <v>5010</v>
      </c>
      <c r="M64" s="18" t="str">
        <f t="shared" si="2"/>
        <v>http://dx.doi.org/10.1016/j.foreco.2013.10.039</v>
      </c>
      <c r="N64" s="19" t="s">
        <v>1835</v>
      </c>
      <c r="O64" s="17" t="s">
        <v>1436</v>
      </c>
      <c r="P64" s="17" t="s">
        <v>1328</v>
      </c>
      <c r="Q64" s="17" t="s">
        <v>1328</v>
      </c>
      <c r="R64" s="17" t="s">
        <v>1328</v>
      </c>
      <c r="S64" s="17" t="s">
        <v>1328</v>
      </c>
      <c r="T64" s="17" t="s">
        <v>1328</v>
      </c>
      <c r="U64" s="20" t="str">
        <f t="shared" si="3"/>
        <v>Yes</v>
      </c>
      <c r="V64" s="19" t="str">
        <f t="shared" si="4"/>
        <v>CG</v>
      </c>
      <c r="W64" s="17" t="str">
        <f t="shared" si="5"/>
        <v>Yes</v>
      </c>
      <c r="X64" s="17" t="s">
        <v>1329</v>
      </c>
      <c r="Y64" s="17" t="s">
        <v>1372</v>
      </c>
      <c r="Z64" s="17" t="s">
        <v>1330</v>
      </c>
      <c r="AA64" s="17" t="s">
        <v>1347</v>
      </c>
      <c r="AB64" s="17" t="s">
        <v>1333</v>
      </c>
      <c r="AC64" s="17" t="s">
        <v>1348</v>
      </c>
      <c r="AD64" s="17" t="s">
        <v>1362</v>
      </c>
      <c r="AE64" s="17">
        <f t="shared" si="6"/>
        <v>4</v>
      </c>
      <c r="AF64" s="17" t="s">
        <v>1328</v>
      </c>
      <c r="AG64" s="17" t="s">
        <v>1328</v>
      </c>
      <c r="AH64" s="17" t="s">
        <v>1328</v>
      </c>
      <c r="AI64" s="17" t="s">
        <v>1336</v>
      </c>
      <c r="AJ64" s="17" t="s">
        <v>1336</v>
      </c>
      <c r="AK64" s="17" t="s">
        <v>1328</v>
      </c>
      <c r="AL64" s="17" t="s">
        <v>1350</v>
      </c>
      <c r="AM64" s="17" t="s">
        <v>1351</v>
      </c>
      <c r="AN64" s="17" t="s">
        <v>1339</v>
      </c>
      <c r="AO64" s="17" t="s">
        <v>1388</v>
      </c>
      <c r="AP64" s="17" t="s">
        <v>1328</v>
      </c>
      <c r="AQ64" s="17" t="str">
        <f t="shared" si="7"/>
        <v>intermediate</v>
      </c>
      <c r="AR64" s="20"/>
    </row>
    <row r="65" ht="15.75" customHeight="1">
      <c r="A65" s="16" t="s">
        <v>1709</v>
      </c>
      <c r="B65" s="16" t="s">
        <v>1151</v>
      </c>
      <c r="C65" s="16">
        <v>2018.0</v>
      </c>
      <c r="D65" s="16" t="s">
        <v>1710</v>
      </c>
      <c r="E65" s="16" t="s">
        <v>1711</v>
      </c>
      <c r="F65" s="16" t="s">
        <v>1712</v>
      </c>
      <c r="G65" s="16" t="str">
        <f t="shared" si="1"/>
        <v>No</v>
      </c>
      <c r="H65" s="16" t="s">
        <v>1324</v>
      </c>
      <c r="I65" s="16" t="s">
        <v>1324</v>
      </c>
      <c r="J65" s="16">
        <v>68.0</v>
      </c>
      <c r="K65" s="17" t="s">
        <v>1713</v>
      </c>
      <c r="L65" s="17" t="s">
        <v>5010</v>
      </c>
      <c r="M65" s="18" t="str">
        <f t="shared" si="2"/>
        <v>http://dx.doi.org/10.1111/1365-2664.13137</v>
      </c>
      <c r="N65" s="19" t="s">
        <v>1482</v>
      </c>
      <c r="O65" s="17" t="s">
        <v>1387</v>
      </c>
      <c r="P65" s="17" t="s">
        <v>1328</v>
      </c>
      <c r="Q65" s="17" t="s">
        <v>1328</v>
      </c>
      <c r="R65" s="17" t="s">
        <v>1328</v>
      </c>
      <c r="S65" s="17" t="s">
        <v>1328</v>
      </c>
      <c r="T65" s="17" t="s">
        <v>1328</v>
      </c>
      <c r="U65" s="20" t="str">
        <f t="shared" si="3"/>
        <v>Yes</v>
      </c>
      <c r="V65" s="19" t="str">
        <f t="shared" si="4"/>
        <v>MW</v>
      </c>
      <c r="W65" s="17" t="str">
        <f t="shared" si="5"/>
        <v>Yes</v>
      </c>
      <c r="X65" s="17" t="s">
        <v>1329</v>
      </c>
      <c r="Y65" s="17" t="s">
        <v>1330</v>
      </c>
      <c r="Z65" s="17" t="s">
        <v>1331</v>
      </c>
      <c r="AA65" s="17" t="s">
        <v>1347</v>
      </c>
      <c r="AB65" s="17" t="s">
        <v>1333</v>
      </c>
      <c r="AC65" s="17" t="s">
        <v>1381</v>
      </c>
      <c r="AD65" s="17" t="s">
        <v>1362</v>
      </c>
      <c r="AE65" s="17">
        <f t="shared" si="6"/>
        <v>2</v>
      </c>
      <c r="AF65" s="17" t="s">
        <v>1336</v>
      </c>
      <c r="AG65" s="17" t="s">
        <v>1336</v>
      </c>
      <c r="AH65" s="17" t="s">
        <v>1328</v>
      </c>
      <c r="AI65" s="17" t="s">
        <v>1336</v>
      </c>
      <c r="AJ65" s="17" t="s">
        <v>1336</v>
      </c>
      <c r="AK65" s="17" t="s">
        <v>1328</v>
      </c>
      <c r="AL65" s="17" t="s">
        <v>1350</v>
      </c>
      <c r="AM65" s="17" t="s">
        <v>1351</v>
      </c>
      <c r="AN65" s="17" t="s">
        <v>1363</v>
      </c>
      <c r="AO65" s="17" t="s">
        <v>1388</v>
      </c>
      <c r="AP65" s="17" t="s">
        <v>1328</v>
      </c>
      <c r="AQ65" s="17" t="str">
        <f t="shared" si="7"/>
        <v>intermediate</v>
      </c>
      <c r="AR65" s="20"/>
    </row>
    <row r="66" ht="15.75" customHeight="1">
      <c r="A66" s="16" t="s">
        <v>1531</v>
      </c>
      <c r="B66" s="16" t="s">
        <v>1532</v>
      </c>
      <c r="C66" s="16">
        <v>2017.0</v>
      </c>
      <c r="D66" s="16" t="s">
        <v>1533</v>
      </c>
      <c r="E66" s="16" t="s">
        <v>1534</v>
      </c>
      <c r="F66" s="16" t="s">
        <v>1535</v>
      </c>
      <c r="G66" s="16" t="str">
        <f t="shared" si="1"/>
        <v>No</v>
      </c>
      <c r="H66" s="16" t="s">
        <v>1324</v>
      </c>
      <c r="I66" s="16" t="s">
        <v>1324</v>
      </c>
      <c r="J66" s="16">
        <v>1.0</v>
      </c>
      <c r="K66" s="17" t="s">
        <v>1536</v>
      </c>
      <c r="L66" s="17" t="s">
        <v>5010</v>
      </c>
      <c r="M66" s="18" t="str">
        <f t="shared" si="2"/>
        <v>http://dx.doi.org/10.1139/er-2016-0085</v>
      </c>
      <c r="N66" s="19" t="s">
        <v>1482</v>
      </c>
      <c r="O66" s="17" t="s">
        <v>1470</v>
      </c>
      <c r="P66" s="17" t="s">
        <v>1328</v>
      </c>
      <c r="Q66" s="17" t="s">
        <v>1328</v>
      </c>
      <c r="R66" s="17" t="s">
        <v>1328</v>
      </c>
      <c r="S66" s="17" t="s">
        <v>1328</v>
      </c>
      <c r="T66" s="17" t="s">
        <v>1328</v>
      </c>
      <c r="U66" s="20" t="str">
        <f t="shared" si="3"/>
        <v>Yes</v>
      </c>
      <c r="V66" s="19" t="str">
        <f t="shared" si="4"/>
        <v>AG</v>
      </c>
      <c r="W66" s="17" t="str">
        <f t="shared" si="5"/>
        <v>Yes</v>
      </c>
      <c r="X66" s="17" t="s">
        <v>1443</v>
      </c>
      <c r="Y66" s="17" t="s">
        <v>1330</v>
      </c>
      <c r="Z66" s="17" t="s">
        <v>1331</v>
      </c>
      <c r="AA66" s="17" t="s">
        <v>1537</v>
      </c>
      <c r="AB66" s="17" t="s">
        <v>1360</v>
      </c>
      <c r="AC66" s="17" t="s">
        <v>1538</v>
      </c>
      <c r="AD66" s="17" t="s">
        <v>1446</v>
      </c>
      <c r="AE66" s="17">
        <f t="shared" si="6"/>
        <v>5</v>
      </c>
      <c r="AF66" s="17" t="s">
        <v>1328</v>
      </c>
      <c r="AG66" s="17" t="s">
        <v>1328</v>
      </c>
      <c r="AH66" s="17" t="s">
        <v>1336</v>
      </c>
      <c r="AI66" s="17" t="s">
        <v>1328</v>
      </c>
      <c r="AJ66" s="17" t="s">
        <v>1328</v>
      </c>
      <c r="AK66" s="17" t="s">
        <v>1328</v>
      </c>
      <c r="AL66" s="17" t="s">
        <v>1395</v>
      </c>
      <c r="AM66" s="17" t="s">
        <v>1338</v>
      </c>
      <c r="AN66" s="17" t="s">
        <v>1339</v>
      </c>
      <c r="AO66" s="17" t="s">
        <v>1331</v>
      </c>
      <c r="AP66" s="17" t="s">
        <v>1328</v>
      </c>
      <c r="AQ66" s="17" t="str">
        <f t="shared" si="7"/>
        <v>high</v>
      </c>
      <c r="AR66" s="20"/>
    </row>
    <row r="67" ht="15.75" customHeight="1">
      <c r="A67" s="16" t="s">
        <v>2159</v>
      </c>
      <c r="B67" s="16" t="s">
        <v>2160</v>
      </c>
      <c r="C67" s="16">
        <v>2012.0</v>
      </c>
      <c r="D67" s="16" t="s">
        <v>2161</v>
      </c>
      <c r="E67" s="16" t="s">
        <v>2162</v>
      </c>
      <c r="F67" s="16" t="s">
        <v>2163</v>
      </c>
      <c r="G67" s="16" t="str">
        <f t="shared" si="1"/>
        <v>No</v>
      </c>
      <c r="H67" s="16" t="s">
        <v>1324</v>
      </c>
      <c r="I67" s="16" t="s">
        <v>1324</v>
      </c>
      <c r="J67" s="16">
        <v>61.0</v>
      </c>
      <c r="K67" s="17" t="s">
        <v>2164</v>
      </c>
      <c r="L67" s="17" t="s">
        <v>5010</v>
      </c>
      <c r="M67" s="18" t="str">
        <f t="shared" si="2"/>
        <v>http://dx.doi.org/10.1016/B978-0-12-385140-6.00064-5</v>
      </c>
      <c r="N67" s="19" t="s">
        <v>1402</v>
      </c>
      <c r="O67" s="17" t="s">
        <v>1371</v>
      </c>
      <c r="P67" s="17" t="s">
        <v>1328</v>
      </c>
      <c r="Q67" s="17" t="s">
        <v>1328</v>
      </c>
      <c r="R67" s="17" t="s">
        <v>1328</v>
      </c>
      <c r="S67" s="17" t="s">
        <v>1328</v>
      </c>
      <c r="T67" s="17" t="s">
        <v>1328</v>
      </c>
      <c r="U67" s="20" t="str">
        <f t="shared" si="3"/>
        <v>Yes</v>
      </c>
      <c r="V67" s="19" t="str">
        <f t="shared" si="4"/>
        <v>LC</v>
      </c>
      <c r="W67" s="17" t="str">
        <f t="shared" si="5"/>
        <v>Yes</v>
      </c>
      <c r="X67" s="17" t="s">
        <v>1463</v>
      </c>
      <c r="Y67" s="17" t="s">
        <v>1330</v>
      </c>
      <c r="Z67" s="17" t="s">
        <v>1331</v>
      </c>
      <c r="AA67" s="17" t="s">
        <v>1331</v>
      </c>
      <c r="AB67" s="17" t="s">
        <v>1444</v>
      </c>
      <c r="AC67" s="17" t="s">
        <v>1445</v>
      </c>
      <c r="AD67" s="17" t="s">
        <v>1349</v>
      </c>
      <c r="AE67" s="17">
        <f t="shared" si="6"/>
        <v>6</v>
      </c>
      <c r="AF67" s="17" t="s">
        <v>1328</v>
      </c>
      <c r="AG67" s="17" t="s">
        <v>1328</v>
      </c>
      <c r="AH67" s="17" t="s">
        <v>1328</v>
      </c>
      <c r="AI67" s="17" t="s">
        <v>1328</v>
      </c>
      <c r="AJ67" s="17" t="s">
        <v>1328</v>
      </c>
      <c r="AK67" s="17" t="s">
        <v>1328</v>
      </c>
      <c r="AL67" s="17" t="s">
        <v>1395</v>
      </c>
      <c r="AM67" s="17" t="s">
        <v>1338</v>
      </c>
      <c r="AN67" s="17" t="s">
        <v>1339</v>
      </c>
      <c r="AO67" s="17" t="s">
        <v>1331</v>
      </c>
      <c r="AP67" s="17" t="s">
        <v>1328</v>
      </c>
      <c r="AQ67" s="17" t="str">
        <f t="shared" si="7"/>
        <v>high</v>
      </c>
      <c r="AR67" s="20"/>
    </row>
    <row r="68" ht="15.75" customHeight="1">
      <c r="A68" s="16" t="s">
        <v>1592</v>
      </c>
      <c r="B68" s="16" t="s">
        <v>1593</v>
      </c>
      <c r="C68" s="16">
        <v>2010.0</v>
      </c>
      <c r="D68" s="16" t="s">
        <v>1594</v>
      </c>
      <c r="E68" s="16" t="s">
        <v>1595</v>
      </c>
      <c r="F68" s="16" t="s">
        <v>1596</v>
      </c>
      <c r="G68" s="16" t="str">
        <f t="shared" si="1"/>
        <v>No</v>
      </c>
      <c r="H68" s="16" t="s">
        <v>1324</v>
      </c>
      <c r="I68" s="16" t="s">
        <v>1324</v>
      </c>
      <c r="J68" s="16">
        <v>43.0</v>
      </c>
      <c r="K68" s="17" t="s">
        <v>1597</v>
      </c>
      <c r="L68" s="17" t="s">
        <v>5010</v>
      </c>
      <c r="M68" s="18" t="str">
        <f t="shared" si="2"/>
        <v>http://dx.doi.org/10.1111/j.1472-4642.2009.00633.x</v>
      </c>
      <c r="N68" s="19" t="s">
        <v>1442</v>
      </c>
      <c r="O68" s="17" t="s">
        <v>1327</v>
      </c>
      <c r="P68" s="17" t="s">
        <v>1328</v>
      </c>
      <c r="Q68" s="17" t="s">
        <v>1328</v>
      </c>
      <c r="R68" s="17" t="s">
        <v>1328</v>
      </c>
      <c r="S68" s="17" t="s">
        <v>1328</v>
      </c>
      <c r="T68" s="17" t="s">
        <v>1328</v>
      </c>
      <c r="U68" s="20" t="str">
        <f t="shared" si="3"/>
        <v>Yes</v>
      </c>
      <c r="V68" s="19" t="str">
        <f t="shared" si="4"/>
        <v>PJ</v>
      </c>
      <c r="W68" s="17" t="str">
        <f t="shared" si="5"/>
        <v>Yes</v>
      </c>
      <c r="X68" s="17" t="s">
        <v>1443</v>
      </c>
      <c r="Y68" s="17" t="s">
        <v>1330</v>
      </c>
      <c r="Z68" s="17" t="s">
        <v>1331</v>
      </c>
      <c r="AA68" s="17" t="s">
        <v>1347</v>
      </c>
      <c r="AB68" s="17" t="s">
        <v>1444</v>
      </c>
      <c r="AC68" s="17" t="s">
        <v>1445</v>
      </c>
      <c r="AD68" s="17" t="s">
        <v>1446</v>
      </c>
      <c r="AE68" s="17">
        <f t="shared" si="6"/>
        <v>6</v>
      </c>
      <c r="AF68" s="17" t="s">
        <v>1328</v>
      </c>
      <c r="AG68" s="17" t="s">
        <v>1328</v>
      </c>
      <c r="AH68" s="17" t="s">
        <v>1328</v>
      </c>
      <c r="AI68" s="17" t="s">
        <v>1328</v>
      </c>
      <c r="AJ68" s="17" t="s">
        <v>1328</v>
      </c>
      <c r="AK68" s="17" t="s">
        <v>1328</v>
      </c>
      <c r="AL68" s="17" t="s">
        <v>1395</v>
      </c>
      <c r="AM68" s="17" t="s">
        <v>1351</v>
      </c>
      <c r="AN68" s="17" t="s">
        <v>1363</v>
      </c>
      <c r="AO68" s="17" t="s">
        <v>1331</v>
      </c>
      <c r="AP68" s="17" t="s">
        <v>1328</v>
      </c>
      <c r="AQ68" s="17" t="str">
        <f t="shared" si="7"/>
        <v>high</v>
      </c>
      <c r="AR68" s="20"/>
    </row>
    <row r="69" ht="15.75" customHeight="1">
      <c r="A69" s="16" t="s">
        <v>1516</v>
      </c>
      <c r="B69" s="16" t="s">
        <v>1517</v>
      </c>
      <c r="C69" s="16">
        <v>2015.0</v>
      </c>
      <c r="D69" s="16" t="s">
        <v>1518</v>
      </c>
      <c r="E69" s="16" t="s">
        <v>1519</v>
      </c>
      <c r="F69" s="16" t="s">
        <v>1520</v>
      </c>
      <c r="G69" s="16" t="str">
        <f t="shared" si="1"/>
        <v>No</v>
      </c>
      <c r="H69" s="16" t="s">
        <v>1324</v>
      </c>
      <c r="I69" s="16" t="s">
        <v>1324</v>
      </c>
      <c r="J69" s="16">
        <v>111.0</v>
      </c>
      <c r="K69" s="17" t="s">
        <v>1521</v>
      </c>
      <c r="L69" s="17" t="s">
        <v>5010</v>
      </c>
      <c r="M69" s="18" t="str">
        <f t="shared" si="2"/>
        <v>http://dx.doi.org/10.1153/9789004284081_018</v>
      </c>
      <c r="N69" s="19" t="s">
        <v>1522</v>
      </c>
      <c r="O69" s="17" t="s">
        <v>1327</v>
      </c>
      <c r="P69" s="17" t="s">
        <v>1328</v>
      </c>
      <c r="Q69" s="17" t="s">
        <v>1328</v>
      </c>
      <c r="R69" s="17" t="s">
        <v>1328</v>
      </c>
      <c r="S69" s="17" t="s">
        <v>1328</v>
      </c>
      <c r="T69" s="17" t="s">
        <v>1328</v>
      </c>
      <c r="U69" s="20" t="str">
        <f t="shared" si="3"/>
        <v>Yes</v>
      </c>
      <c r="V69" s="19" t="str">
        <f t="shared" si="4"/>
        <v>PJ</v>
      </c>
      <c r="W69" s="17" t="str">
        <f t="shared" si="5"/>
        <v>Yes</v>
      </c>
      <c r="X69" s="17" t="s">
        <v>1443</v>
      </c>
      <c r="Y69" s="17" t="s">
        <v>1523</v>
      </c>
      <c r="Z69" s="17" t="s">
        <v>1372</v>
      </c>
      <c r="AA69" s="17" t="s">
        <v>1332</v>
      </c>
      <c r="AB69" s="17" t="s">
        <v>1444</v>
      </c>
      <c r="AC69" s="17" t="s">
        <v>1445</v>
      </c>
      <c r="AD69" s="17" t="s">
        <v>1349</v>
      </c>
      <c r="AE69" s="17">
        <f t="shared" si="6"/>
        <v>4</v>
      </c>
      <c r="AF69" s="17" t="s">
        <v>1328</v>
      </c>
      <c r="AG69" s="17" t="s">
        <v>1328</v>
      </c>
      <c r="AH69" s="17" t="s">
        <v>1328</v>
      </c>
      <c r="AI69" s="17" t="s">
        <v>1336</v>
      </c>
      <c r="AJ69" s="17" t="s">
        <v>1328</v>
      </c>
      <c r="AK69" s="17" t="s">
        <v>1336</v>
      </c>
      <c r="AL69" s="17" t="s">
        <v>1337</v>
      </c>
      <c r="AM69" s="17" t="s">
        <v>1338</v>
      </c>
      <c r="AN69" s="17" t="s">
        <v>1339</v>
      </c>
      <c r="AO69" s="17" t="s">
        <v>1331</v>
      </c>
      <c r="AP69" s="17" t="s">
        <v>1328</v>
      </c>
      <c r="AQ69" s="17" t="str">
        <f t="shared" si="7"/>
        <v>intermediate</v>
      </c>
      <c r="AR69" s="20"/>
    </row>
    <row r="70" ht="15.75" customHeight="1">
      <c r="A70" s="16" t="s">
        <v>1800</v>
      </c>
      <c r="B70" s="16" t="s">
        <v>1801</v>
      </c>
      <c r="C70" s="16">
        <v>1996.0</v>
      </c>
      <c r="D70" s="16" t="s">
        <v>1802</v>
      </c>
      <c r="E70" s="16" t="s">
        <v>1803</v>
      </c>
      <c r="F70" s="16" t="s">
        <v>1804</v>
      </c>
      <c r="G70" s="16" t="str">
        <f t="shared" si="1"/>
        <v>No</v>
      </c>
      <c r="H70" s="16" t="s">
        <v>1324</v>
      </c>
      <c r="I70" s="16" t="s">
        <v>1324</v>
      </c>
      <c r="J70" s="16">
        <v>128.0</v>
      </c>
      <c r="K70" s="17" t="s">
        <v>1805</v>
      </c>
      <c r="L70" s="17" t="s">
        <v>5010</v>
      </c>
      <c r="M70" s="18" t="str">
        <f t="shared" si="2"/>
        <v>http://dx.doi.org/10.1029/95JD02138</v>
      </c>
      <c r="N70" s="19" t="s">
        <v>1666</v>
      </c>
      <c r="O70" s="17" t="s">
        <v>1436</v>
      </c>
      <c r="P70" s="17" t="s">
        <v>1328</v>
      </c>
      <c r="Q70" s="17" t="s">
        <v>1328</v>
      </c>
      <c r="R70" s="17" t="s">
        <v>1328</v>
      </c>
      <c r="S70" s="17" t="s">
        <v>1328</v>
      </c>
      <c r="T70" s="17" t="s">
        <v>1328</v>
      </c>
      <c r="U70" s="20" t="str">
        <f t="shared" si="3"/>
        <v>Yes</v>
      </c>
      <c r="V70" s="19" t="str">
        <f t="shared" si="4"/>
        <v>CG</v>
      </c>
      <c r="W70" s="17" t="str">
        <f t="shared" si="5"/>
        <v>Yes</v>
      </c>
      <c r="X70" s="17" t="s">
        <v>1329</v>
      </c>
      <c r="Y70" s="17" t="s">
        <v>1330</v>
      </c>
      <c r="Z70" s="17" t="s">
        <v>1331</v>
      </c>
      <c r="AA70" s="17" t="s">
        <v>1537</v>
      </c>
      <c r="AB70" s="17" t="s">
        <v>1444</v>
      </c>
      <c r="AC70" s="17" t="s">
        <v>1445</v>
      </c>
      <c r="AD70" s="17" t="s">
        <v>1362</v>
      </c>
      <c r="AE70" s="17">
        <f t="shared" si="6"/>
        <v>2</v>
      </c>
      <c r="AF70" s="17" t="s">
        <v>1328</v>
      </c>
      <c r="AG70" s="17" t="s">
        <v>1328</v>
      </c>
      <c r="AH70" s="17" t="s">
        <v>1336</v>
      </c>
      <c r="AI70" s="17" t="s">
        <v>1336</v>
      </c>
      <c r="AJ70" s="17" t="s">
        <v>1336</v>
      </c>
      <c r="AK70" s="17" t="s">
        <v>1336</v>
      </c>
      <c r="AL70" s="17" t="s">
        <v>1350</v>
      </c>
      <c r="AM70" s="17" t="s">
        <v>1351</v>
      </c>
      <c r="AN70" s="17" t="s">
        <v>1339</v>
      </c>
      <c r="AO70" s="17" t="s">
        <v>1374</v>
      </c>
      <c r="AP70" s="17" t="s">
        <v>1328</v>
      </c>
      <c r="AQ70" s="17" t="str">
        <f t="shared" si="7"/>
        <v>intermediate</v>
      </c>
      <c r="AR70" s="20"/>
    </row>
    <row r="71" ht="15.75" customHeight="1">
      <c r="A71" s="16" t="s">
        <v>1437</v>
      </c>
      <c r="B71" s="16" t="s">
        <v>365</v>
      </c>
      <c r="C71" s="16">
        <v>2015.0</v>
      </c>
      <c r="D71" s="16" t="s">
        <v>1438</v>
      </c>
      <c r="E71" s="16" t="s">
        <v>1439</v>
      </c>
      <c r="F71" s="16" t="s">
        <v>1440</v>
      </c>
      <c r="G71" s="16" t="str">
        <f t="shared" si="1"/>
        <v>Yes</v>
      </c>
      <c r="H71" s="16" t="s">
        <v>1324</v>
      </c>
      <c r="I71" s="16" t="s">
        <v>1328</v>
      </c>
      <c r="J71" s="16">
        <v>9.0</v>
      </c>
      <c r="K71" s="17" t="s">
        <v>1441</v>
      </c>
      <c r="L71" s="17" t="s">
        <v>5010</v>
      </c>
      <c r="M71" s="18" t="str">
        <f t="shared" si="2"/>
        <v>http://dx.doi.org/10.1371/journal.pone.0135152</v>
      </c>
      <c r="N71" s="19" t="s">
        <v>1442</v>
      </c>
      <c r="O71" s="17" t="s">
        <v>1327</v>
      </c>
      <c r="P71" s="17" t="s">
        <v>1328</v>
      </c>
      <c r="Q71" s="17" t="s">
        <v>1328</v>
      </c>
      <c r="R71" s="17" t="s">
        <v>1328</v>
      </c>
      <c r="S71" s="17" t="s">
        <v>1328</v>
      </c>
      <c r="T71" s="17" t="s">
        <v>1328</v>
      </c>
      <c r="U71" s="20" t="str">
        <f t="shared" si="3"/>
        <v>Yes</v>
      </c>
      <c r="V71" s="19" t="str">
        <f t="shared" si="4"/>
        <v>PJ</v>
      </c>
      <c r="W71" s="17" t="str">
        <f t="shared" si="5"/>
        <v>Yes</v>
      </c>
      <c r="X71" s="17" t="s">
        <v>1443</v>
      </c>
      <c r="Y71" s="17" t="s">
        <v>1330</v>
      </c>
      <c r="Z71" s="17" t="s">
        <v>1330</v>
      </c>
      <c r="AA71" s="17" t="s">
        <v>1347</v>
      </c>
      <c r="AB71" s="17" t="s">
        <v>1444</v>
      </c>
      <c r="AC71" s="17" t="s">
        <v>1445</v>
      </c>
      <c r="AD71" s="17" t="s">
        <v>1446</v>
      </c>
      <c r="AE71" s="17">
        <f t="shared" si="6"/>
        <v>6</v>
      </c>
      <c r="AF71" s="17" t="s">
        <v>1328</v>
      </c>
      <c r="AG71" s="17" t="s">
        <v>1328</v>
      </c>
      <c r="AH71" s="17" t="s">
        <v>1328</v>
      </c>
      <c r="AI71" s="17" t="s">
        <v>1328</v>
      </c>
      <c r="AJ71" s="17" t="s">
        <v>1328</v>
      </c>
      <c r="AK71" s="17" t="s">
        <v>1328</v>
      </c>
      <c r="AL71" s="17" t="s">
        <v>1395</v>
      </c>
      <c r="AM71" s="17" t="s">
        <v>1351</v>
      </c>
      <c r="AN71" s="17" t="s">
        <v>1363</v>
      </c>
      <c r="AO71" s="17" t="s">
        <v>1331</v>
      </c>
      <c r="AP71" s="17" t="s">
        <v>1328</v>
      </c>
      <c r="AQ71" s="17" t="str">
        <f t="shared" si="7"/>
        <v>high</v>
      </c>
      <c r="AR71" s="20"/>
    </row>
    <row r="72" ht="15.75" customHeight="1">
      <c r="A72" s="16" t="s">
        <v>1405</v>
      </c>
      <c r="B72" s="16" t="s">
        <v>1397</v>
      </c>
      <c r="C72" s="16">
        <v>2017.0</v>
      </c>
      <c r="D72" s="16" t="s">
        <v>1406</v>
      </c>
      <c r="E72" s="16" t="s">
        <v>1407</v>
      </c>
      <c r="F72" s="16" t="s">
        <v>1408</v>
      </c>
      <c r="G72" s="16" t="str">
        <f t="shared" si="1"/>
        <v>No</v>
      </c>
      <c r="H72" s="16" t="s">
        <v>1324</v>
      </c>
      <c r="I72" s="16" t="s">
        <v>1324</v>
      </c>
      <c r="J72" s="16">
        <v>19.0</v>
      </c>
      <c r="K72" s="17" t="s">
        <v>1409</v>
      </c>
      <c r="L72" s="17" t="s">
        <v>5010</v>
      </c>
      <c r="M72" s="18" t="str">
        <f t="shared" si="2"/>
        <v>http://dx.doi.org/10.3354/meps12221</v>
      </c>
      <c r="N72" s="19" t="s">
        <v>1410</v>
      </c>
      <c r="O72" s="17" t="s">
        <v>1387</v>
      </c>
      <c r="P72" s="17" t="s">
        <v>1328</v>
      </c>
      <c r="Q72" s="17" t="s">
        <v>1328</v>
      </c>
      <c r="R72" s="17" t="s">
        <v>1328</v>
      </c>
      <c r="S72" s="17" t="s">
        <v>1328</v>
      </c>
      <c r="T72" s="17" t="s">
        <v>1328</v>
      </c>
      <c r="U72" s="20" t="str">
        <f t="shared" si="3"/>
        <v>Yes</v>
      </c>
      <c r="V72" s="19" t="str">
        <f t="shared" si="4"/>
        <v>MW</v>
      </c>
      <c r="W72" s="17" t="str">
        <f t="shared" si="5"/>
        <v>Yes</v>
      </c>
      <c r="X72" s="17" t="s">
        <v>1329</v>
      </c>
      <c r="Y72" s="17" t="s">
        <v>1330</v>
      </c>
      <c r="Z72" s="17" t="s">
        <v>1331</v>
      </c>
      <c r="AA72" s="17" t="s">
        <v>1332</v>
      </c>
      <c r="AB72" s="17" t="s">
        <v>1333</v>
      </c>
      <c r="AC72" s="17" t="s">
        <v>1381</v>
      </c>
      <c r="AD72" s="17" t="s">
        <v>1349</v>
      </c>
      <c r="AE72" s="17">
        <f t="shared" si="6"/>
        <v>4</v>
      </c>
      <c r="AF72" s="17" t="s">
        <v>1328</v>
      </c>
      <c r="AG72" s="17" t="s">
        <v>1328</v>
      </c>
      <c r="AH72" s="17" t="s">
        <v>1328</v>
      </c>
      <c r="AI72" s="17" t="s">
        <v>1336</v>
      </c>
      <c r="AJ72" s="17" t="s">
        <v>1328</v>
      </c>
      <c r="AK72" s="17" t="s">
        <v>1336</v>
      </c>
      <c r="AL72" s="17" t="s">
        <v>1350</v>
      </c>
      <c r="AM72" s="17" t="s">
        <v>1351</v>
      </c>
      <c r="AN72" s="17" t="s">
        <v>1363</v>
      </c>
      <c r="AO72" s="17" t="s">
        <v>1388</v>
      </c>
      <c r="AP72" s="17" t="s">
        <v>1328</v>
      </c>
      <c r="AQ72" s="17" t="str">
        <f t="shared" si="7"/>
        <v>intermediate</v>
      </c>
      <c r="AR72" s="20"/>
    </row>
    <row r="73" ht="15.75" customHeight="1">
      <c r="A73" s="16" t="s">
        <v>1904</v>
      </c>
      <c r="B73" s="16" t="s">
        <v>629</v>
      </c>
      <c r="C73" s="16">
        <v>2009.0</v>
      </c>
      <c r="D73" s="16" t="s">
        <v>1905</v>
      </c>
      <c r="E73" s="16" t="s">
        <v>1906</v>
      </c>
      <c r="F73" s="16" t="s">
        <v>1907</v>
      </c>
      <c r="G73" s="16" t="str">
        <f t="shared" si="1"/>
        <v>No</v>
      </c>
      <c r="H73" s="16" t="s">
        <v>1324</v>
      </c>
      <c r="I73" s="16" t="s">
        <v>1324</v>
      </c>
      <c r="J73" s="16">
        <v>24.0</v>
      </c>
      <c r="K73" s="17" t="s">
        <v>1908</v>
      </c>
      <c r="L73" s="17" t="s">
        <v>5010</v>
      </c>
      <c r="M73" s="18" t="str">
        <f t="shared" si="2"/>
        <v>http://dx.doi.org/10.1016/j.tree.2008.12.004</v>
      </c>
      <c r="N73" s="19" t="s">
        <v>1580</v>
      </c>
      <c r="O73" s="17" t="s">
        <v>1371</v>
      </c>
      <c r="P73" s="17" t="s">
        <v>1328</v>
      </c>
      <c r="Q73" s="17" t="s">
        <v>1328</v>
      </c>
      <c r="R73" s="17" t="s">
        <v>1328</v>
      </c>
      <c r="S73" s="17" t="s">
        <v>1328</v>
      </c>
      <c r="T73" s="17" t="s">
        <v>1328</v>
      </c>
      <c r="U73" s="20" t="str">
        <f t="shared" si="3"/>
        <v>Yes</v>
      </c>
      <c r="V73" s="19" t="str">
        <f t="shared" si="4"/>
        <v>LC</v>
      </c>
      <c r="W73" s="17" t="str">
        <f t="shared" si="5"/>
        <v>Yes</v>
      </c>
      <c r="X73" s="17" t="s">
        <v>1443</v>
      </c>
      <c r="Y73" s="17" t="s">
        <v>1330</v>
      </c>
      <c r="Z73" s="17" t="s">
        <v>1372</v>
      </c>
      <c r="AA73" s="17" t="s">
        <v>1347</v>
      </c>
      <c r="AB73" s="17" t="s">
        <v>1444</v>
      </c>
      <c r="AC73" s="17" t="s">
        <v>1445</v>
      </c>
      <c r="AD73" s="17" t="s">
        <v>1349</v>
      </c>
      <c r="AE73" s="17">
        <f t="shared" si="6"/>
        <v>2</v>
      </c>
      <c r="AF73" s="17" t="s">
        <v>1328</v>
      </c>
      <c r="AG73" s="17" t="s">
        <v>1336</v>
      </c>
      <c r="AH73" s="17" t="s">
        <v>1328</v>
      </c>
      <c r="AI73" s="17" t="s">
        <v>1336</v>
      </c>
      <c r="AJ73" s="17" t="s">
        <v>1336</v>
      </c>
      <c r="AK73" s="17" t="s">
        <v>1336</v>
      </c>
      <c r="AL73" s="17" t="s">
        <v>1350</v>
      </c>
      <c r="AM73" s="17" t="s">
        <v>1338</v>
      </c>
      <c r="AN73" s="17" t="s">
        <v>1339</v>
      </c>
      <c r="AO73" s="17" t="s">
        <v>1331</v>
      </c>
      <c r="AP73" s="17" t="s">
        <v>1328</v>
      </c>
      <c r="AQ73" s="17" t="str">
        <f t="shared" si="7"/>
        <v>high</v>
      </c>
      <c r="AR73" s="20"/>
    </row>
    <row r="74" ht="15.75" customHeight="1">
      <c r="A74" s="16" t="s">
        <v>1924</v>
      </c>
      <c r="B74" s="16" t="s">
        <v>1925</v>
      </c>
      <c r="C74" s="16">
        <v>2016.0</v>
      </c>
      <c r="D74" s="16" t="s">
        <v>1926</v>
      </c>
      <c r="E74" s="16" t="s">
        <v>1927</v>
      </c>
      <c r="F74" s="16" t="s">
        <v>1928</v>
      </c>
      <c r="G74" s="16" t="str">
        <f t="shared" si="1"/>
        <v>No</v>
      </c>
      <c r="H74" s="16" t="s">
        <v>1324</v>
      </c>
      <c r="I74" s="16" t="s">
        <v>1324</v>
      </c>
      <c r="J74" s="16">
        <v>10.0</v>
      </c>
      <c r="K74" s="17" t="s">
        <v>1929</v>
      </c>
      <c r="L74" s="17" t="s">
        <v>5010</v>
      </c>
      <c r="M74" s="18" t="str">
        <f t="shared" si="2"/>
        <v>http://dx.doi.org/10.1016/j.rsma.2016.09.001</v>
      </c>
      <c r="N74" s="19" t="s">
        <v>1326</v>
      </c>
      <c r="O74" s="17" t="s">
        <v>1327</v>
      </c>
      <c r="P74" s="17" t="s">
        <v>1328</v>
      </c>
      <c r="Q74" s="17" t="s">
        <v>1328</v>
      </c>
      <c r="R74" s="17" t="s">
        <v>1328</v>
      </c>
      <c r="S74" s="17" t="s">
        <v>1328</v>
      </c>
      <c r="T74" s="17" t="s">
        <v>1328</v>
      </c>
      <c r="U74" s="20" t="str">
        <f t="shared" si="3"/>
        <v>Yes</v>
      </c>
      <c r="V74" s="19" t="str">
        <f t="shared" si="4"/>
        <v>PJ</v>
      </c>
      <c r="W74" s="17" t="str">
        <f t="shared" si="5"/>
        <v>Yes</v>
      </c>
      <c r="X74" s="17" t="s">
        <v>1443</v>
      </c>
      <c r="Y74" s="17" t="s">
        <v>1330</v>
      </c>
      <c r="Z74" s="17" t="s">
        <v>1331</v>
      </c>
      <c r="AA74" s="17" t="s">
        <v>1347</v>
      </c>
      <c r="AB74" s="17" t="s">
        <v>1360</v>
      </c>
      <c r="AC74" s="17" t="s">
        <v>1381</v>
      </c>
      <c r="AD74" s="17" t="s">
        <v>1349</v>
      </c>
      <c r="AE74" s="17">
        <f t="shared" si="6"/>
        <v>5</v>
      </c>
      <c r="AF74" s="17" t="s">
        <v>1328</v>
      </c>
      <c r="AG74" s="17" t="s">
        <v>1328</v>
      </c>
      <c r="AH74" s="17" t="s">
        <v>1328</v>
      </c>
      <c r="AI74" s="17" t="s">
        <v>1328</v>
      </c>
      <c r="AJ74" s="17" t="s">
        <v>1328</v>
      </c>
      <c r="AK74" s="17" t="s">
        <v>1336</v>
      </c>
      <c r="AL74" s="17" t="s">
        <v>1395</v>
      </c>
      <c r="AM74" s="17" t="s">
        <v>1351</v>
      </c>
      <c r="AN74" s="17" t="s">
        <v>1363</v>
      </c>
      <c r="AO74" s="17" t="s">
        <v>1331</v>
      </c>
      <c r="AP74" s="17" t="s">
        <v>1328</v>
      </c>
      <c r="AQ74" s="17" t="str">
        <f t="shared" si="7"/>
        <v>high</v>
      </c>
      <c r="AR74" s="20"/>
    </row>
    <row r="75" ht="15.75" customHeight="1">
      <c r="A75" s="16" t="s">
        <v>1997</v>
      </c>
      <c r="B75" s="16" t="s">
        <v>1055</v>
      </c>
      <c r="C75" s="16">
        <v>2014.0</v>
      </c>
      <c r="D75" s="16" t="s">
        <v>1998</v>
      </c>
      <c r="E75" s="16" t="s">
        <v>1999</v>
      </c>
      <c r="F75" s="16" t="s">
        <v>2000</v>
      </c>
      <c r="G75" s="16" t="str">
        <f t="shared" si="1"/>
        <v>No</v>
      </c>
      <c r="H75" s="16" t="s">
        <v>1324</v>
      </c>
      <c r="I75" s="16" t="s">
        <v>1324</v>
      </c>
      <c r="J75" s="16">
        <v>72.0</v>
      </c>
      <c r="K75" s="17" t="s">
        <v>2001</v>
      </c>
      <c r="L75" s="17" t="s">
        <v>5010</v>
      </c>
      <c r="M75" s="18" t="str">
        <f t="shared" si="2"/>
        <v>http://dx.doi.org/10.1016/j.gloplacha.2014.07.007</v>
      </c>
      <c r="N75" s="19" t="s">
        <v>1358</v>
      </c>
      <c r="O75" s="17" t="s">
        <v>1371</v>
      </c>
      <c r="P75" s="17" t="s">
        <v>1328</v>
      </c>
      <c r="Q75" s="17" t="s">
        <v>1328</v>
      </c>
      <c r="R75" s="17" t="s">
        <v>1328</v>
      </c>
      <c r="S75" s="17" t="s">
        <v>1328</v>
      </c>
      <c r="T75" s="17" t="s">
        <v>1328</v>
      </c>
      <c r="U75" s="20" t="str">
        <f t="shared" si="3"/>
        <v>Yes</v>
      </c>
      <c r="V75" s="19" t="str">
        <f t="shared" si="4"/>
        <v>LC</v>
      </c>
      <c r="W75" s="17" t="str">
        <f t="shared" si="5"/>
        <v>Yes</v>
      </c>
      <c r="X75" s="17" t="s">
        <v>1329</v>
      </c>
      <c r="Y75" s="17" t="s">
        <v>1330</v>
      </c>
      <c r="Z75" s="17" t="s">
        <v>1330</v>
      </c>
      <c r="AA75" s="17" t="s">
        <v>1347</v>
      </c>
      <c r="AB75" s="17" t="s">
        <v>1333</v>
      </c>
      <c r="AC75" s="17" t="s">
        <v>1381</v>
      </c>
      <c r="AD75" s="17" t="s">
        <v>1362</v>
      </c>
      <c r="AE75" s="17">
        <f t="shared" si="6"/>
        <v>2</v>
      </c>
      <c r="AF75" s="17" t="s">
        <v>1328</v>
      </c>
      <c r="AG75" s="17" t="s">
        <v>1328</v>
      </c>
      <c r="AH75" s="17" t="s">
        <v>1336</v>
      </c>
      <c r="AI75" s="17" t="s">
        <v>1336</v>
      </c>
      <c r="AJ75" s="17" t="s">
        <v>1336</v>
      </c>
      <c r="AK75" s="17" t="s">
        <v>1336</v>
      </c>
      <c r="AL75" s="17" t="s">
        <v>1350</v>
      </c>
      <c r="AM75" s="17" t="s">
        <v>1351</v>
      </c>
      <c r="AN75" s="17" t="s">
        <v>1363</v>
      </c>
      <c r="AO75" s="17" t="s">
        <v>1388</v>
      </c>
      <c r="AP75" s="17" t="s">
        <v>1328</v>
      </c>
      <c r="AQ75" s="17" t="str">
        <f t="shared" si="7"/>
        <v>intermediate</v>
      </c>
      <c r="AR75" s="20"/>
    </row>
    <row r="76" ht="15.75" customHeight="1">
      <c r="A76" s="16" t="s">
        <v>1836</v>
      </c>
      <c r="B76" s="16" t="s">
        <v>1837</v>
      </c>
      <c r="C76" s="16">
        <v>1997.0</v>
      </c>
      <c r="D76" s="16" t="s">
        <v>1838</v>
      </c>
      <c r="E76" s="16" t="s">
        <v>1839</v>
      </c>
      <c r="F76" s="16" t="s">
        <v>1840</v>
      </c>
      <c r="G76" s="16" t="str">
        <f t="shared" si="1"/>
        <v>No</v>
      </c>
      <c r="H76" s="16" t="s">
        <v>1324</v>
      </c>
      <c r="I76" s="16" t="s">
        <v>1324</v>
      </c>
      <c r="J76" s="16">
        <v>11.0</v>
      </c>
      <c r="K76" s="17" t="s">
        <v>1841</v>
      </c>
      <c r="L76" s="17" t="s">
        <v>5010</v>
      </c>
      <c r="M76" s="18" t="str">
        <f t="shared" si="2"/>
        <v>http://dx.doi.org/10.1023/A:1007320932349</v>
      </c>
      <c r="N76" s="19" t="s">
        <v>1522</v>
      </c>
      <c r="O76" s="17" t="s">
        <v>1417</v>
      </c>
      <c r="P76" s="17" t="s">
        <v>1328</v>
      </c>
      <c r="Q76" s="17" t="s">
        <v>1328</v>
      </c>
      <c r="R76" s="17" t="s">
        <v>1328</v>
      </c>
      <c r="S76" s="17" t="s">
        <v>1328</v>
      </c>
      <c r="T76" s="17" t="s">
        <v>1328</v>
      </c>
      <c r="U76" s="20" t="str">
        <f t="shared" si="3"/>
        <v>Yes</v>
      </c>
      <c r="V76" s="19" t="str">
        <f t="shared" si="4"/>
        <v>NT</v>
      </c>
      <c r="W76" s="17" t="str">
        <f t="shared" si="5"/>
        <v>Yes</v>
      </c>
      <c r="X76" s="17" t="s">
        <v>1443</v>
      </c>
      <c r="Y76" s="17" t="s">
        <v>1331</v>
      </c>
      <c r="Z76" s="17" t="s">
        <v>1330</v>
      </c>
      <c r="AA76" s="17" t="s">
        <v>1337</v>
      </c>
      <c r="AB76" s="17" t="s">
        <v>1660</v>
      </c>
      <c r="AC76" s="17" t="s">
        <v>1334</v>
      </c>
      <c r="AD76" s="17" t="s">
        <v>1530</v>
      </c>
      <c r="AE76" s="17">
        <f t="shared" si="6"/>
        <v>5</v>
      </c>
      <c r="AF76" s="17" t="s">
        <v>1328</v>
      </c>
      <c r="AG76" s="17" t="s">
        <v>1328</v>
      </c>
      <c r="AH76" s="17" t="s">
        <v>1328</v>
      </c>
      <c r="AI76" s="17" t="s">
        <v>1328</v>
      </c>
      <c r="AJ76" s="17" t="s">
        <v>1328</v>
      </c>
      <c r="AK76" s="17" t="s">
        <v>1336</v>
      </c>
      <c r="AL76" s="17" t="s">
        <v>1337</v>
      </c>
      <c r="AM76" s="17" t="s">
        <v>1338</v>
      </c>
      <c r="AN76" s="17" t="s">
        <v>1339</v>
      </c>
      <c r="AO76" s="17" t="s">
        <v>1331</v>
      </c>
      <c r="AP76" s="17" t="s">
        <v>1328</v>
      </c>
      <c r="AQ76" s="17" t="str">
        <f t="shared" si="7"/>
        <v>intermediate</v>
      </c>
      <c r="AR76" s="20"/>
    </row>
    <row r="77" ht="15.75" customHeight="1">
      <c r="A77" s="16" t="s">
        <v>1768</v>
      </c>
      <c r="B77" s="16" t="s">
        <v>1769</v>
      </c>
      <c r="C77" s="16">
        <v>2017.0</v>
      </c>
      <c r="D77" s="16" t="s">
        <v>1770</v>
      </c>
      <c r="E77" s="16" t="s">
        <v>1771</v>
      </c>
      <c r="F77" s="16" t="s">
        <v>1772</v>
      </c>
      <c r="G77" s="16" t="str">
        <f t="shared" si="1"/>
        <v>No</v>
      </c>
      <c r="H77" s="16" t="s">
        <v>1324</v>
      </c>
      <c r="I77" s="16" t="s">
        <v>1324</v>
      </c>
      <c r="J77" s="16">
        <v>7.0</v>
      </c>
      <c r="K77" s="17" t="s">
        <v>1773</v>
      </c>
      <c r="L77" s="17" t="s">
        <v>5010</v>
      </c>
      <c r="M77" s="18" t="str">
        <f t="shared" si="2"/>
        <v>http://dx.doi.org/10.1080/02705060.2017.1319431</v>
      </c>
      <c r="N77" s="19" t="s">
        <v>1580</v>
      </c>
      <c r="O77" s="17" t="s">
        <v>1387</v>
      </c>
      <c r="P77" s="17" t="s">
        <v>1328</v>
      </c>
      <c r="Q77" s="17" t="s">
        <v>1328</v>
      </c>
      <c r="R77" s="17" t="s">
        <v>1328</v>
      </c>
      <c r="S77" s="17" t="s">
        <v>1328</v>
      </c>
      <c r="T77" s="17" t="s">
        <v>1328</v>
      </c>
      <c r="U77" s="20" t="str">
        <f t="shared" si="3"/>
        <v>Yes</v>
      </c>
      <c r="V77" s="19" t="str">
        <f t="shared" si="4"/>
        <v>MW</v>
      </c>
      <c r="W77" s="17" t="str">
        <f t="shared" si="5"/>
        <v>Yes</v>
      </c>
      <c r="X77" s="17" t="s">
        <v>1329</v>
      </c>
      <c r="Y77" s="17" t="s">
        <v>1372</v>
      </c>
      <c r="Z77" s="17" t="s">
        <v>1331</v>
      </c>
      <c r="AA77" s="17" t="s">
        <v>1347</v>
      </c>
      <c r="AB77" s="17" t="s">
        <v>1333</v>
      </c>
      <c r="AC77" s="17" t="s">
        <v>1348</v>
      </c>
      <c r="AD77" s="17" t="s">
        <v>1530</v>
      </c>
      <c r="AE77" s="17">
        <f t="shared" si="6"/>
        <v>2</v>
      </c>
      <c r="AF77" s="17" t="s">
        <v>1336</v>
      </c>
      <c r="AG77" s="17" t="s">
        <v>1336</v>
      </c>
      <c r="AH77" s="17" t="s">
        <v>1328</v>
      </c>
      <c r="AI77" s="17" t="s">
        <v>1336</v>
      </c>
      <c r="AJ77" s="17" t="s">
        <v>1328</v>
      </c>
      <c r="AK77" s="17" t="s">
        <v>1336</v>
      </c>
      <c r="AL77" s="17" t="s">
        <v>1350</v>
      </c>
      <c r="AM77" s="17" t="s">
        <v>1351</v>
      </c>
      <c r="AN77" s="17" t="s">
        <v>1363</v>
      </c>
      <c r="AO77" s="17" t="s">
        <v>1374</v>
      </c>
      <c r="AP77" s="17" t="s">
        <v>1328</v>
      </c>
      <c r="AQ77" s="17" t="str">
        <f t="shared" si="7"/>
        <v>intermediate</v>
      </c>
      <c r="AR77" s="20"/>
    </row>
    <row r="78" ht="15.75" customHeight="1">
      <c r="A78" s="16" t="s">
        <v>1693</v>
      </c>
      <c r="B78" s="16" t="s">
        <v>1593</v>
      </c>
      <c r="C78" s="16">
        <v>2018.0</v>
      </c>
      <c r="D78" s="16" t="s">
        <v>1694</v>
      </c>
      <c r="E78" s="16" t="s">
        <v>1695</v>
      </c>
      <c r="F78" s="16" t="s">
        <v>1696</v>
      </c>
      <c r="G78" s="16" t="str">
        <f t="shared" si="1"/>
        <v>No</v>
      </c>
      <c r="H78" s="16" t="s">
        <v>1324</v>
      </c>
      <c r="I78" s="16" t="s">
        <v>1324</v>
      </c>
      <c r="J78" s="16">
        <v>139.0</v>
      </c>
      <c r="K78" s="17" t="s">
        <v>1697</v>
      </c>
      <c r="L78" s="17" t="s">
        <v>5010</v>
      </c>
      <c r="M78" s="18" t="str">
        <f t="shared" si="2"/>
        <v>http://dx.doi.org/10.1111/ddi.12693</v>
      </c>
      <c r="N78" s="19" t="s">
        <v>1666</v>
      </c>
      <c r="O78" s="17" t="s">
        <v>1371</v>
      </c>
      <c r="P78" s="17" t="s">
        <v>1328</v>
      </c>
      <c r="Q78" s="17" t="s">
        <v>1328</v>
      </c>
      <c r="R78" s="17" t="s">
        <v>1328</v>
      </c>
      <c r="S78" s="17" t="s">
        <v>1328</v>
      </c>
      <c r="T78" s="17" t="s">
        <v>1328</v>
      </c>
      <c r="U78" s="20" t="str">
        <f t="shared" si="3"/>
        <v>Yes</v>
      </c>
      <c r="V78" s="19" t="str">
        <f t="shared" si="4"/>
        <v>LC</v>
      </c>
      <c r="W78" s="17" t="str">
        <f t="shared" si="5"/>
        <v>Yes</v>
      </c>
      <c r="X78" s="17" t="s">
        <v>1329</v>
      </c>
      <c r="Y78" s="17" t="s">
        <v>1330</v>
      </c>
      <c r="Z78" s="17" t="s">
        <v>1372</v>
      </c>
      <c r="AA78" s="17" t="s">
        <v>1347</v>
      </c>
      <c r="AB78" s="17" t="s">
        <v>1333</v>
      </c>
      <c r="AC78" s="17" t="s">
        <v>1348</v>
      </c>
      <c r="AD78" s="17" t="s">
        <v>1362</v>
      </c>
      <c r="AE78" s="17">
        <f t="shared" si="6"/>
        <v>3</v>
      </c>
      <c r="AF78" s="17" t="s">
        <v>1328</v>
      </c>
      <c r="AG78" s="17" t="s">
        <v>1336</v>
      </c>
      <c r="AH78" s="17" t="s">
        <v>1336</v>
      </c>
      <c r="AI78" s="17" t="s">
        <v>1328</v>
      </c>
      <c r="AJ78" s="17" t="s">
        <v>1336</v>
      </c>
      <c r="AK78" s="17" t="s">
        <v>1328</v>
      </c>
      <c r="AL78" s="17" t="s">
        <v>1350</v>
      </c>
      <c r="AM78" s="17" t="s">
        <v>1351</v>
      </c>
      <c r="AN78" s="17" t="s">
        <v>1363</v>
      </c>
      <c r="AO78" s="17" t="s">
        <v>1388</v>
      </c>
      <c r="AP78" s="17" t="s">
        <v>1328</v>
      </c>
      <c r="AQ78" s="17" t="str">
        <f t="shared" si="7"/>
        <v>intermediate</v>
      </c>
      <c r="AR78" s="20"/>
    </row>
    <row r="79" ht="15.75" customHeight="1">
      <c r="A79" s="16" t="s">
        <v>2226</v>
      </c>
      <c r="B79" s="16" t="s">
        <v>2227</v>
      </c>
      <c r="C79" s="16">
        <v>2007.0</v>
      </c>
      <c r="D79" s="16" t="s">
        <v>2228</v>
      </c>
      <c r="E79" s="16" t="s">
        <v>2229</v>
      </c>
      <c r="F79" s="16" t="s">
        <v>2230</v>
      </c>
      <c r="G79" s="16" t="str">
        <f t="shared" si="1"/>
        <v>No</v>
      </c>
      <c r="H79" s="16" t="s">
        <v>1324</v>
      </c>
      <c r="I79" s="16" t="s">
        <v>1324</v>
      </c>
      <c r="J79" s="16">
        <v>77.0</v>
      </c>
      <c r="K79" s="17" t="s">
        <v>2231</v>
      </c>
      <c r="L79" s="17" t="s">
        <v>5010</v>
      </c>
      <c r="M79" s="18" t="str">
        <f t="shared" si="2"/>
        <v>http://dx.doi.org/10.1007/s00442-006-0655-1</v>
      </c>
      <c r="N79" s="19" t="s">
        <v>1495</v>
      </c>
      <c r="O79" s="17" t="s">
        <v>1436</v>
      </c>
      <c r="P79" s="17" t="s">
        <v>1328</v>
      </c>
      <c r="Q79" s="17" t="s">
        <v>1328</v>
      </c>
      <c r="R79" s="17" t="s">
        <v>1328</v>
      </c>
      <c r="S79" s="17" t="s">
        <v>1328</v>
      </c>
      <c r="T79" s="17" t="s">
        <v>1328</v>
      </c>
      <c r="U79" s="20" t="str">
        <f t="shared" si="3"/>
        <v>Yes</v>
      </c>
      <c r="V79" s="19" t="str">
        <f t="shared" si="4"/>
        <v>CG</v>
      </c>
      <c r="W79" s="17" t="str">
        <f t="shared" si="5"/>
        <v>Yes</v>
      </c>
      <c r="X79" s="17" t="s">
        <v>1329</v>
      </c>
      <c r="Y79" s="17" t="s">
        <v>1372</v>
      </c>
      <c r="Z79" s="17" t="s">
        <v>1331</v>
      </c>
      <c r="AA79" s="17" t="s">
        <v>1347</v>
      </c>
      <c r="AB79" s="17" t="s">
        <v>1333</v>
      </c>
      <c r="AC79" s="17" t="s">
        <v>1361</v>
      </c>
      <c r="AD79" s="17" t="s">
        <v>1530</v>
      </c>
      <c r="AE79" s="17">
        <f t="shared" si="6"/>
        <v>2</v>
      </c>
      <c r="AF79" s="17" t="s">
        <v>1328</v>
      </c>
      <c r="AG79" s="17" t="s">
        <v>1336</v>
      </c>
      <c r="AH79" s="17" t="s">
        <v>1336</v>
      </c>
      <c r="AI79" s="17" t="s">
        <v>1336</v>
      </c>
      <c r="AJ79" s="17" t="s">
        <v>1328</v>
      </c>
      <c r="AK79" s="17" t="s">
        <v>1336</v>
      </c>
      <c r="AL79" s="17" t="s">
        <v>1350</v>
      </c>
      <c r="AM79" s="17" t="s">
        <v>1351</v>
      </c>
      <c r="AN79" s="17" t="s">
        <v>1339</v>
      </c>
      <c r="AO79" s="17" t="s">
        <v>1388</v>
      </c>
      <c r="AP79" s="17" t="s">
        <v>1328</v>
      </c>
      <c r="AQ79" s="17" t="str">
        <f t="shared" si="7"/>
        <v>intermediate</v>
      </c>
      <c r="AR79" s="20"/>
    </row>
    <row r="80" ht="15.75" customHeight="1">
      <c r="A80" s="16" t="s">
        <v>1608</v>
      </c>
      <c r="B80" s="16" t="s">
        <v>1609</v>
      </c>
      <c r="C80" s="16">
        <v>2009.0</v>
      </c>
      <c r="D80" s="16" t="s">
        <v>1610</v>
      </c>
      <c r="E80" s="16" t="s">
        <v>1611</v>
      </c>
      <c r="F80" s="16" t="s">
        <v>1612</v>
      </c>
      <c r="G80" s="16" t="str">
        <f t="shared" si="1"/>
        <v>No</v>
      </c>
      <c r="H80" s="16" t="s">
        <v>1324</v>
      </c>
      <c r="I80" s="16" t="s">
        <v>1324</v>
      </c>
      <c r="J80" s="16">
        <v>85.0</v>
      </c>
      <c r="K80" s="17" t="s">
        <v>1613</v>
      </c>
      <c r="L80" s="17" t="s">
        <v>5010</v>
      </c>
      <c r="M80" s="18" t="str">
        <f t="shared" si="2"/>
        <v>http://dx.doi.org/10.1111/j.1442-9993.2009.01979.x</v>
      </c>
      <c r="N80" s="19" t="s">
        <v>1614</v>
      </c>
      <c r="O80" s="17" t="s">
        <v>1470</v>
      </c>
      <c r="P80" s="17" t="s">
        <v>1328</v>
      </c>
      <c r="Q80" s="17" t="s">
        <v>1328</v>
      </c>
      <c r="R80" s="17" t="s">
        <v>1328</v>
      </c>
      <c r="S80" s="17" t="s">
        <v>1328</v>
      </c>
      <c r="T80" s="17" t="s">
        <v>1328</v>
      </c>
      <c r="U80" s="20" t="str">
        <f t="shared" si="3"/>
        <v>Yes</v>
      </c>
      <c r="V80" s="19" t="str">
        <f t="shared" si="4"/>
        <v>AG</v>
      </c>
      <c r="W80" s="17" t="str">
        <f t="shared" si="5"/>
        <v>Yes</v>
      </c>
      <c r="X80" s="17" t="s">
        <v>1329</v>
      </c>
      <c r="Y80" s="17" t="s">
        <v>1372</v>
      </c>
      <c r="Z80" s="17" t="s">
        <v>1331</v>
      </c>
      <c r="AA80" s="17" t="s">
        <v>1332</v>
      </c>
      <c r="AB80" s="17" t="s">
        <v>1333</v>
      </c>
      <c r="AC80" s="17" t="s">
        <v>1381</v>
      </c>
      <c r="AD80" s="17" t="s">
        <v>1362</v>
      </c>
      <c r="AE80" s="17">
        <f t="shared" si="6"/>
        <v>2</v>
      </c>
      <c r="AF80" s="17" t="s">
        <v>1336</v>
      </c>
      <c r="AG80" s="17" t="s">
        <v>1328</v>
      </c>
      <c r="AH80" s="17" t="s">
        <v>1328</v>
      </c>
      <c r="AI80" s="17" t="s">
        <v>1336</v>
      </c>
      <c r="AJ80" s="17" t="s">
        <v>1336</v>
      </c>
      <c r="AK80" s="17" t="s">
        <v>1336</v>
      </c>
      <c r="AL80" s="17" t="s">
        <v>1404</v>
      </c>
      <c r="AM80" s="17" t="s">
        <v>1351</v>
      </c>
      <c r="AN80" s="17" t="s">
        <v>1339</v>
      </c>
      <c r="AO80" s="17" t="s">
        <v>1388</v>
      </c>
      <c r="AP80" s="17" t="s">
        <v>1328</v>
      </c>
      <c r="AQ80" s="17" t="str">
        <f t="shared" si="7"/>
        <v>intermediate</v>
      </c>
      <c r="AR80" s="20"/>
    </row>
    <row r="81" ht="15.75" customHeight="1">
      <c r="A81" s="16" t="s">
        <v>1858</v>
      </c>
      <c r="B81" s="16" t="s">
        <v>1859</v>
      </c>
      <c r="C81" s="16">
        <v>2009.0</v>
      </c>
      <c r="D81" s="16" t="s">
        <v>1860</v>
      </c>
      <c r="E81" s="16" t="s">
        <v>1861</v>
      </c>
      <c r="F81" s="16" t="s">
        <v>1862</v>
      </c>
      <c r="G81" s="16" t="str">
        <f t="shared" si="1"/>
        <v>No</v>
      </c>
      <c r="H81" s="16" t="s">
        <v>1324</v>
      </c>
      <c r="I81" s="16" t="s">
        <v>1324</v>
      </c>
      <c r="J81" s="16">
        <v>59.0</v>
      </c>
      <c r="K81" s="17" t="s">
        <v>1863</v>
      </c>
      <c r="L81" s="17" t="s">
        <v>5010</v>
      </c>
      <c r="M81" s="18" t="str">
        <f t="shared" si="2"/>
        <v>http://dx.doi.org/10.1017/S0954102009001722</v>
      </c>
      <c r="N81" s="19" t="s">
        <v>1835</v>
      </c>
      <c r="O81" s="17" t="s">
        <v>1327</v>
      </c>
      <c r="P81" s="17" t="s">
        <v>1328</v>
      </c>
      <c r="Q81" s="17" t="s">
        <v>1328</v>
      </c>
      <c r="R81" s="17" t="s">
        <v>1328</v>
      </c>
      <c r="S81" s="17" t="s">
        <v>1328</v>
      </c>
      <c r="T81" s="17" t="s">
        <v>1328</v>
      </c>
      <c r="U81" s="20" t="str">
        <f t="shared" si="3"/>
        <v>Yes</v>
      </c>
      <c r="V81" s="19" t="str">
        <f t="shared" si="4"/>
        <v>PJ</v>
      </c>
      <c r="W81" s="17" t="str">
        <f t="shared" si="5"/>
        <v>Yes</v>
      </c>
      <c r="X81" s="17" t="s">
        <v>1443</v>
      </c>
      <c r="Y81" s="17" t="s">
        <v>1523</v>
      </c>
      <c r="Z81" s="17" t="s">
        <v>1330</v>
      </c>
      <c r="AA81" s="17" t="s">
        <v>1332</v>
      </c>
      <c r="AB81" s="17" t="s">
        <v>1660</v>
      </c>
      <c r="AC81" s="17" t="s">
        <v>1864</v>
      </c>
      <c r="AD81" s="17" t="s">
        <v>1373</v>
      </c>
      <c r="AE81" s="17">
        <f t="shared" si="6"/>
        <v>5</v>
      </c>
      <c r="AF81" s="17" t="s">
        <v>1336</v>
      </c>
      <c r="AG81" s="17" t="s">
        <v>1328</v>
      </c>
      <c r="AH81" s="17" t="s">
        <v>1328</v>
      </c>
      <c r="AI81" s="17" t="s">
        <v>1328</v>
      </c>
      <c r="AJ81" s="17" t="s">
        <v>1328</v>
      </c>
      <c r="AK81" s="17" t="s">
        <v>1328</v>
      </c>
      <c r="AL81" s="17" t="s">
        <v>1337</v>
      </c>
      <c r="AM81" s="17" t="s">
        <v>1338</v>
      </c>
      <c r="AN81" s="17" t="s">
        <v>1339</v>
      </c>
      <c r="AO81" s="17" t="s">
        <v>1331</v>
      </c>
      <c r="AP81" s="17" t="s">
        <v>1328</v>
      </c>
      <c r="AQ81" s="17" t="str">
        <f t="shared" si="7"/>
        <v>intermediate</v>
      </c>
      <c r="AR81" s="20" t="s">
        <v>1865</v>
      </c>
    </row>
    <row r="82" ht="15.75" customHeight="1">
      <c r="A82" s="16" t="s">
        <v>1930</v>
      </c>
      <c r="B82" s="16" t="s">
        <v>1925</v>
      </c>
      <c r="C82" s="16">
        <v>2016.0</v>
      </c>
      <c r="D82" s="16" t="s">
        <v>1931</v>
      </c>
      <c r="E82" s="16" t="s">
        <v>1932</v>
      </c>
      <c r="F82" s="16" t="s">
        <v>1933</v>
      </c>
      <c r="G82" s="16" t="str">
        <f t="shared" si="1"/>
        <v>No</v>
      </c>
      <c r="H82" s="16" t="s">
        <v>1324</v>
      </c>
      <c r="I82" s="16" t="s">
        <v>1324</v>
      </c>
      <c r="J82" s="16">
        <v>53.0</v>
      </c>
      <c r="K82" s="17" t="s">
        <v>1934</v>
      </c>
      <c r="L82" s="17" t="s">
        <v>5010</v>
      </c>
      <c r="M82" s="18" t="str">
        <f t="shared" si="2"/>
        <v>http://dx.doi.org/10.1016/j.rsma.2015.06.001</v>
      </c>
      <c r="N82" s="19" t="s">
        <v>1346</v>
      </c>
      <c r="O82" s="17" t="s">
        <v>1436</v>
      </c>
      <c r="P82" s="17" t="s">
        <v>1328</v>
      </c>
      <c r="Q82" s="17" t="s">
        <v>1328</v>
      </c>
      <c r="R82" s="17" t="s">
        <v>1328</v>
      </c>
      <c r="S82" s="17" t="s">
        <v>1328</v>
      </c>
      <c r="T82" s="17" t="s">
        <v>1328</v>
      </c>
      <c r="U82" s="20" t="str">
        <f t="shared" si="3"/>
        <v>Yes</v>
      </c>
      <c r="V82" s="19" t="str">
        <f t="shared" si="4"/>
        <v>CG</v>
      </c>
      <c r="W82" s="17" t="str">
        <f t="shared" si="5"/>
        <v>Yes</v>
      </c>
      <c r="X82" s="17" t="s">
        <v>1329</v>
      </c>
      <c r="Y82" s="17" t="s">
        <v>1372</v>
      </c>
      <c r="Z82" s="17" t="s">
        <v>1523</v>
      </c>
      <c r="AA82" s="17" t="s">
        <v>1347</v>
      </c>
      <c r="AB82" s="17" t="s">
        <v>1333</v>
      </c>
      <c r="AC82" s="17" t="s">
        <v>1348</v>
      </c>
      <c r="AD82" s="17" t="s">
        <v>1349</v>
      </c>
      <c r="AE82" s="17">
        <f t="shared" si="6"/>
        <v>3</v>
      </c>
      <c r="AF82" s="17" t="s">
        <v>1328</v>
      </c>
      <c r="AG82" s="17" t="s">
        <v>1336</v>
      </c>
      <c r="AH82" s="17" t="s">
        <v>1336</v>
      </c>
      <c r="AI82" s="17" t="s">
        <v>1336</v>
      </c>
      <c r="AJ82" s="17" t="s">
        <v>1328</v>
      </c>
      <c r="AK82" s="17" t="s">
        <v>1328</v>
      </c>
      <c r="AL82" s="17" t="s">
        <v>1350</v>
      </c>
      <c r="AM82" s="17" t="s">
        <v>1351</v>
      </c>
      <c r="AN82" s="17" t="s">
        <v>1339</v>
      </c>
      <c r="AO82" s="17" t="s">
        <v>1388</v>
      </c>
      <c r="AP82" s="17" t="s">
        <v>1328</v>
      </c>
      <c r="AQ82" s="17" t="str">
        <f t="shared" si="7"/>
        <v>intermediate</v>
      </c>
      <c r="AR82" s="20"/>
    </row>
    <row r="83" ht="15.75" customHeight="1">
      <c r="A83" s="16" t="s">
        <v>1785</v>
      </c>
      <c r="B83" s="16" t="s">
        <v>774</v>
      </c>
      <c r="C83" s="16">
        <v>2002.0</v>
      </c>
      <c r="D83" s="16" t="s">
        <v>1786</v>
      </c>
      <c r="E83" s="16" t="s">
        <v>1787</v>
      </c>
      <c r="F83" s="16" t="s">
        <v>1788</v>
      </c>
      <c r="G83" s="16" t="str">
        <f t="shared" si="1"/>
        <v>No</v>
      </c>
      <c r="H83" s="16" t="s">
        <v>1324</v>
      </c>
      <c r="I83" s="16" t="s">
        <v>1324</v>
      </c>
      <c r="J83" s="16">
        <v>99.0</v>
      </c>
      <c r="K83" s="17" t="s">
        <v>1789</v>
      </c>
      <c r="L83" s="17" t="s">
        <v>5010</v>
      </c>
      <c r="M83" s="18" t="str">
        <f t="shared" si="2"/>
        <v>http://dx.doi.org/10.1046/j.1365-2486.2002.00482.x</v>
      </c>
      <c r="N83" s="19" t="s">
        <v>1614</v>
      </c>
      <c r="O83" s="17" t="s">
        <v>1417</v>
      </c>
      <c r="P83" s="17" t="s">
        <v>1328</v>
      </c>
      <c r="Q83" s="17" t="s">
        <v>1328</v>
      </c>
      <c r="R83" s="17" t="s">
        <v>1328</v>
      </c>
      <c r="S83" s="17" t="s">
        <v>1328</v>
      </c>
      <c r="T83" s="17" t="s">
        <v>1328</v>
      </c>
      <c r="U83" s="20" t="str">
        <f t="shared" si="3"/>
        <v>Yes</v>
      </c>
      <c r="V83" s="19" t="str">
        <f t="shared" si="4"/>
        <v>NT</v>
      </c>
      <c r="W83" s="17" t="str">
        <f t="shared" si="5"/>
        <v>Yes</v>
      </c>
      <c r="X83" s="17" t="s">
        <v>1329</v>
      </c>
      <c r="Y83" s="17" t="s">
        <v>1331</v>
      </c>
      <c r="Z83" s="17" t="s">
        <v>1372</v>
      </c>
      <c r="AA83" s="17" t="s">
        <v>1347</v>
      </c>
      <c r="AB83" s="17" t="s">
        <v>1360</v>
      </c>
      <c r="AC83" s="17" t="s">
        <v>1348</v>
      </c>
      <c r="AD83" s="17" t="s">
        <v>1362</v>
      </c>
      <c r="AE83" s="17">
        <f t="shared" si="6"/>
        <v>3</v>
      </c>
      <c r="AF83" s="17" t="s">
        <v>1336</v>
      </c>
      <c r="AG83" s="17" t="s">
        <v>1328</v>
      </c>
      <c r="AH83" s="17" t="s">
        <v>1328</v>
      </c>
      <c r="AI83" s="17" t="s">
        <v>1336</v>
      </c>
      <c r="AJ83" s="17" t="s">
        <v>1328</v>
      </c>
      <c r="AK83" s="17" t="s">
        <v>1336</v>
      </c>
      <c r="AL83" s="17" t="s">
        <v>1350</v>
      </c>
      <c r="AM83" s="17" t="s">
        <v>1351</v>
      </c>
      <c r="AN83" s="17" t="s">
        <v>1339</v>
      </c>
      <c r="AO83" s="17" t="s">
        <v>1331</v>
      </c>
      <c r="AP83" s="17" t="s">
        <v>1328</v>
      </c>
      <c r="AQ83" s="17" t="str">
        <f t="shared" si="7"/>
        <v>intermediate</v>
      </c>
      <c r="AR83" s="20"/>
    </row>
    <row r="84" ht="15.75" customHeight="1">
      <c r="A84" s="16" t="s">
        <v>2254</v>
      </c>
      <c r="B84" s="16" t="s">
        <v>2244</v>
      </c>
      <c r="C84" s="16">
        <v>2013.0</v>
      </c>
      <c r="D84" s="16" t="s">
        <v>2255</v>
      </c>
      <c r="E84" s="16" t="s">
        <v>2256</v>
      </c>
      <c r="F84" s="16" t="s">
        <v>2257</v>
      </c>
      <c r="G84" s="16" t="str">
        <f t="shared" si="1"/>
        <v>No</v>
      </c>
      <c r="H84" s="16" t="s">
        <v>1324</v>
      </c>
      <c r="I84" s="16" t="s">
        <v>1324</v>
      </c>
      <c r="J84" s="16">
        <v>70.0</v>
      </c>
      <c r="K84" s="17" t="s">
        <v>2258</v>
      </c>
      <c r="L84" s="17" t="s">
        <v>5010</v>
      </c>
      <c r="M84" s="18" t="str">
        <f t="shared" si="2"/>
        <v>http://dx.doi.org/10.1002/aqc.2345</v>
      </c>
      <c r="N84" s="19" t="s">
        <v>1346</v>
      </c>
      <c r="O84" s="17" t="s">
        <v>1470</v>
      </c>
      <c r="P84" s="17" t="s">
        <v>1328</v>
      </c>
      <c r="Q84" s="17" t="s">
        <v>1328</v>
      </c>
      <c r="R84" s="17" t="s">
        <v>1328</v>
      </c>
      <c r="S84" s="17" t="s">
        <v>1328</v>
      </c>
      <c r="T84" s="17" t="s">
        <v>1328</v>
      </c>
      <c r="U84" s="20" t="str">
        <f t="shared" si="3"/>
        <v>Yes</v>
      </c>
      <c r="V84" s="19" t="str">
        <f t="shared" si="4"/>
        <v>AG</v>
      </c>
      <c r="W84" s="17" t="str">
        <f t="shared" si="5"/>
        <v>Yes</v>
      </c>
      <c r="X84" s="17" t="s">
        <v>1329</v>
      </c>
      <c r="Y84" s="17" t="s">
        <v>1372</v>
      </c>
      <c r="Z84" s="17" t="s">
        <v>1331</v>
      </c>
      <c r="AA84" s="17" t="s">
        <v>1347</v>
      </c>
      <c r="AB84" s="17" t="s">
        <v>1333</v>
      </c>
      <c r="AC84" s="17" t="s">
        <v>1361</v>
      </c>
      <c r="AD84" s="17" t="s">
        <v>1530</v>
      </c>
      <c r="AE84" s="17">
        <f t="shared" si="6"/>
        <v>2</v>
      </c>
      <c r="AF84" s="17" t="s">
        <v>1336</v>
      </c>
      <c r="AG84" s="17" t="s">
        <v>1336</v>
      </c>
      <c r="AH84" s="17" t="s">
        <v>1336</v>
      </c>
      <c r="AI84" s="17" t="s">
        <v>1328</v>
      </c>
      <c r="AJ84" s="17" t="s">
        <v>1328</v>
      </c>
      <c r="AK84" s="17" t="s">
        <v>1336</v>
      </c>
      <c r="AL84" s="17" t="s">
        <v>1350</v>
      </c>
      <c r="AM84" s="17" t="s">
        <v>1351</v>
      </c>
      <c r="AN84" s="17" t="s">
        <v>1339</v>
      </c>
      <c r="AO84" s="17" t="s">
        <v>1331</v>
      </c>
      <c r="AP84" s="17" t="s">
        <v>1328</v>
      </c>
      <c r="AQ84" s="17" t="str">
        <f t="shared" si="7"/>
        <v>intermediate</v>
      </c>
      <c r="AR84" s="20"/>
    </row>
    <row r="85" ht="15.75" customHeight="1">
      <c r="A85" s="16" t="s">
        <v>2036</v>
      </c>
      <c r="B85" s="16" t="s">
        <v>2030</v>
      </c>
      <c r="C85" s="16">
        <v>2016.0</v>
      </c>
      <c r="D85" s="16" t="s">
        <v>2037</v>
      </c>
      <c r="E85" s="16" t="s">
        <v>2038</v>
      </c>
      <c r="F85" s="16" t="s">
        <v>2039</v>
      </c>
      <c r="G85" s="16" t="str">
        <f t="shared" si="1"/>
        <v>No</v>
      </c>
      <c r="H85" s="16" t="s">
        <v>1324</v>
      </c>
      <c r="I85" s="16" t="s">
        <v>1324</v>
      </c>
      <c r="J85" s="16">
        <v>96.0</v>
      </c>
      <c r="K85" s="17" t="s">
        <v>2040</v>
      </c>
      <c r="L85" s="17" t="s">
        <v>5010</v>
      </c>
      <c r="M85" s="18" t="str">
        <f t="shared" si="2"/>
        <v>http://dx.doi.org/10.1016/j.fishres.2016.01.005</v>
      </c>
      <c r="N85" s="19" t="s">
        <v>1416</v>
      </c>
      <c r="O85" s="17" t="s">
        <v>1403</v>
      </c>
      <c r="P85" s="17" t="s">
        <v>1328</v>
      </c>
      <c r="Q85" s="17" t="s">
        <v>1328</v>
      </c>
      <c r="R85" s="17" t="s">
        <v>1328</v>
      </c>
      <c r="S85" s="17" t="s">
        <v>1328</v>
      </c>
      <c r="T85" s="17" t="s">
        <v>1328</v>
      </c>
      <c r="U85" s="20" t="str">
        <f t="shared" si="3"/>
        <v>Yes</v>
      </c>
      <c r="V85" s="19" t="str">
        <f t="shared" si="4"/>
        <v>DB</v>
      </c>
      <c r="W85" s="17" t="str">
        <f t="shared" si="5"/>
        <v>Yes</v>
      </c>
      <c r="X85" s="17" t="s">
        <v>1329</v>
      </c>
      <c r="Y85" s="17" t="s">
        <v>1330</v>
      </c>
      <c r="Z85" s="17" t="s">
        <v>1331</v>
      </c>
      <c r="AA85" s="17" t="s">
        <v>1347</v>
      </c>
      <c r="AB85" s="17" t="s">
        <v>1333</v>
      </c>
      <c r="AC85" s="17" t="s">
        <v>1361</v>
      </c>
      <c r="AD85" s="17" t="s">
        <v>1349</v>
      </c>
      <c r="AE85" s="17">
        <f t="shared" si="6"/>
        <v>2</v>
      </c>
      <c r="AF85" s="17" t="s">
        <v>1328</v>
      </c>
      <c r="AG85" s="17" t="s">
        <v>1336</v>
      </c>
      <c r="AH85" s="17" t="s">
        <v>1328</v>
      </c>
      <c r="AI85" s="17" t="s">
        <v>1336</v>
      </c>
      <c r="AJ85" s="17" t="s">
        <v>1336</v>
      </c>
      <c r="AK85" s="17" t="s">
        <v>1336</v>
      </c>
      <c r="AL85" s="17" t="s">
        <v>1350</v>
      </c>
      <c r="AM85" s="17" t="s">
        <v>1351</v>
      </c>
      <c r="AN85" s="17" t="s">
        <v>1363</v>
      </c>
      <c r="AO85" s="17" t="s">
        <v>1331</v>
      </c>
      <c r="AP85" s="17" t="s">
        <v>1328</v>
      </c>
      <c r="AQ85" s="17" t="str">
        <f t="shared" si="7"/>
        <v>intermediate</v>
      </c>
      <c r="AR85" s="20"/>
    </row>
    <row r="86" ht="15.75" customHeight="1">
      <c r="A86" s="16" t="s">
        <v>1970</v>
      </c>
      <c r="B86" s="16" t="s">
        <v>168</v>
      </c>
      <c r="C86" s="16">
        <v>2017.0</v>
      </c>
      <c r="D86" s="16" t="s">
        <v>1971</v>
      </c>
      <c r="E86" s="16" t="s">
        <v>1972</v>
      </c>
      <c r="F86" s="16" t="s">
        <v>1973</v>
      </c>
      <c r="G86" s="16" t="str">
        <f t="shared" si="1"/>
        <v>No</v>
      </c>
      <c r="H86" s="16" t="s">
        <v>1324</v>
      </c>
      <c r="I86" s="16" t="s">
        <v>1324</v>
      </c>
      <c r="J86" s="16">
        <v>187.0</v>
      </c>
      <c r="K86" s="17" t="s">
        <v>1974</v>
      </c>
      <c r="L86" s="17" t="s">
        <v>5010</v>
      </c>
      <c r="M86" s="18" t="str">
        <f t="shared" si="2"/>
        <v>http://dx.doi.org/10.1016/j.landusepol.2017.09.045</v>
      </c>
      <c r="N86" s="19" t="s">
        <v>1482</v>
      </c>
      <c r="O86" s="17" t="s">
        <v>1327</v>
      </c>
      <c r="P86" s="17" t="s">
        <v>1328</v>
      </c>
      <c r="Q86" s="17" t="s">
        <v>1328</v>
      </c>
      <c r="R86" s="17" t="s">
        <v>1328</v>
      </c>
      <c r="S86" s="17" t="s">
        <v>1328</v>
      </c>
      <c r="T86" s="17" t="s">
        <v>1328</v>
      </c>
      <c r="U86" s="20" t="str">
        <f t="shared" si="3"/>
        <v>Yes</v>
      </c>
      <c r="V86" s="19" t="str">
        <f t="shared" si="4"/>
        <v>PJ</v>
      </c>
      <c r="W86" s="17" t="str">
        <f t="shared" si="5"/>
        <v>Yes</v>
      </c>
      <c r="X86" s="17" t="s">
        <v>1443</v>
      </c>
      <c r="Y86" s="17" t="s">
        <v>1330</v>
      </c>
      <c r="Z86" s="17" t="s">
        <v>1331</v>
      </c>
      <c r="AA86" s="17" t="s">
        <v>1332</v>
      </c>
      <c r="AB86" s="17" t="s">
        <v>1660</v>
      </c>
      <c r="AC86" s="17" t="s">
        <v>1361</v>
      </c>
      <c r="AD86" s="17" t="s">
        <v>1446</v>
      </c>
      <c r="AE86" s="17">
        <f t="shared" si="6"/>
        <v>2</v>
      </c>
      <c r="AF86" s="17" t="s">
        <v>1336</v>
      </c>
      <c r="AG86" s="17" t="s">
        <v>1328</v>
      </c>
      <c r="AH86" s="17" t="s">
        <v>1328</v>
      </c>
      <c r="AI86" s="17" t="s">
        <v>1336</v>
      </c>
      <c r="AJ86" s="17" t="s">
        <v>1336</v>
      </c>
      <c r="AK86" s="17" t="s">
        <v>1336</v>
      </c>
      <c r="AL86" s="17" t="s">
        <v>1395</v>
      </c>
      <c r="AM86" s="17" t="s">
        <v>1351</v>
      </c>
      <c r="AN86" s="17" t="s">
        <v>1339</v>
      </c>
      <c r="AO86" s="17" t="s">
        <v>1331</v>
      </c>
      <c r="AP86" s="17" t="s">
        <v>1328</v>
      </c>
      <c r="AQ86" s="17" t="str">
        <f t="shared" si="7"/>
        <v>high</v>
      </c>
      <c r="AR86" s="20"/>
    </row>
    <row r="87" ht="15.75" customHeight="1">
      <c r="A87" s="16" t="s">
        <v>1853</v>
      </c>
      <c r="B87" s="16" t="s">
        <v>1848</v>
      </c>
      <c r="C87" s="16">
        <v>2008.0</v>
      </c>
      <c r="D87" s="16" t="s">
        <v>1854</v>
      </c>
      <c r="E87" s="16" t="s">
        <v>1855</v>
      </c>
      <c r="F87" s="16" t="s">
        <v>1856</v>
      </c>
      <c r="G87" s="16" t="str">
        <f t="shared" si="1"/>
        <v>Yes</v>
      </c>
      <c r="H87" s="16" t="s">
        <v>1324</v>
      </c>
      <c r="I87" s="16" t="s">
        <v>1328</v>
      </c>
      <c r="J87" s="16">
        <v>36.0</v>
      </c>
      <c r="K87" s="17" t="s">
        <v>1857</v>
      </c>
      <c r="L87" s="17" t="s">
        <v>5010</v>
      </c>
      <c r="M87" s="18" t="str">
        <f t="shared" si="2"/>
        <v>http://dx.doi.org/10.1017/S0959270908000439</v>
      </c>
      <c r="N87" s="19" t="s">
        <v>1442</v>
      </c>
      <c r="O87" s="17" t="s">
        <v>1327</v>
      </c>
      <c r="P87" s="17" t="s">
        <v>1328</v>
      </c>
      <c r="Q87" s="17" t="s">
        <v>1328</v>
      </c>
      <c r="R87" s="17" t="s">
        <v>1328</v>
      </c>
      <c r="S87" s="17" t="s">
        <v>1328</v>
      </c>
      <c r="T87" s="17" t="s">
        <v>1328</v>
      </c>
      <c r="U87" s="20" t="str">
        <f t="shared" si="3"/>
        <v>Yes</v>
      </c>
      <c r="V87" s="19" t="str">
        <f t="shared" si="4"/>
        <v>PJ</v>
      </c>
      <c r="W87" s="17" t="str">
        <f t="shared" si="5"/>
        <v>Yes</v>
      </c>
      <c r="X87" s="17" t="s">
        <v>1443</v>
      </c>
      <c r="Y87" s="17" t="s">
        <v>1330</v>
      </c>
      <c r="Z87" s="17" t="s">
        <v>1331</v>
      </c>
      <c r="AA87" s="17" t="s">
        <v>1347</v>
      </c>
      <c r="AB87" s="17" t="s">
        <v>1444</v>
      </c>
      <c r="AC87" s="17" t="s">
        <v>1445</v>
      </c>
      <c r="AD87" s="17" t="s">
        <v>1446</v>
      </c>
      <c r="AE87" s="17">
        <f t="shared" si="6"/>
        <v>6</v>
      </c>
      <c r="AF87" s="17" t="s">
        <v>1328</v>
      </c>
      <c r="AG87" s="17" t="s">
        <v>1328</v>
      </c>
      <c r="AH87" s="17" t="s">
        <v>1328</v>
      </c>
      <c r="AI87" s="17" t="s">
        <v>1328</v>
      </c>
      <c r="AJ87" s="17" t="s">
        <v>1328</v>
      </c>
      <c r="AK87" s="17" t="s">
        <v>1328</v>
      </c>
      <c r="AL87" s="17" t="s">
        <v>1395</v>
      </c>
      <c r="AM87" s="17" t="s">
        <v>1351</v>
      </c>
      <c r="AN87" s="17" t="s">
        <v>1363</v>
      </c>
      <c r="AO87" s="17" t="s">
        <v>1331</v>
      </c>
      <c r="AP87" s="17" t="s">
        <v>1328</v>
      </c>
      <c r="AQ87" s="17" t="str">
        <f t="shared" si="7"/>
        <v>high</v>
      </c>
      <c r="AR87" s="20"/>
    </row>
    <row r="88" ht="15.75" customHeight="1">
      <c r="A88" s="21" t="s">
        <v>1975</v>
      </c>
      <c r="B88" s="21" t="s">
        <v>1976</v>
      </c>
      <c r="C88" s="21">
        <v>2016.0</v>
      </c>
      <c r="D88" s="21" t="s">
        <v>1977</v>
      </c>
      <c r="E88" s="21" t="s">
        <v>1978</v>
      </c>
      <c r="F88" s="21" t="s">
        <v>1979</v>
      </c>
      <c r="G88" s="16" t="str">
        <f t="shared" si="1"/>
        <v>No</v>
      </c>
      <c r="H88" s="16" t="s">
        <v>1324</v>
      </c>
      <c r="I88" s="16" t="s">
        <v>1324</v>
      </c>
      <c r="J88" s="16">
        <v>21.0</v>
      </c>
      <c r="K88" s="17" t="s">
        <v>1980</v>
      </c>
      <c r="L88" s="17" t="s">
        <v>5010</v>
      </c>
      <c r="M88" s="18" t="str">
        <f t="shared" si="2"/>
        <v>http://dx.doi.org/10.1016/j.jglr.2015.11.006</v>
      </c>
      <c r="N88" s="19" t="s">
        <v>1346</v>
      </c>
      <c r="O88" s="17" t="s">
        <v>1417</v>
      </c>
      <c r="P88" s="17" t="s">
        <v>1328</v>
      </c>
      <c r="Q88" s="17" t="s">
        <v>1328</v>
      </c>
      <c r="R88" s="17" t="s">
        <v>1328</v>
      </c>
      <c r="S88" s="17" t="s">
        <v>1328</v>
      </c>
      <c r="T88" s="17" t="s">
        <v>1328</v>
      </c>
      <c r="U88" s="20" t="str">
        <f t="shared" si="3"/>
        <v>Yes</v>
      </c>
      <c r="V88" s="19" t="str">
        <f t="shared" si="4"/>
        <v>NT</v>
      </c>
      <c r="W88" s="17" t="str">
        <f t="shared" si="5"/>
        <v>Yes</v>
      </c>
      <c r="X88" s="17" t="s">
        <v>1329</v>
      </c>
      <c r="Y88" s="17" t="s">
        <v>1331</v>
      </c>
      <c r="Z88" s="17" t="s">
        <v>1330</v>
      </c>
      <c r="AA88" s="17" t="s">
        <v>1347</v>
      </c>
      <c r="AB88" s="17" t="s">
        <v>1333</v>
      </c>
      <c r="AC88" s="17" t="s">
        <v>1361</v>
      </c>
      <c r="AD88" s="17" t="s">
        <v>1530</v>
      </c>
      <c r="AE88" s="22">
        <f t="shared" si="6"/>
        <v>2</v>
      </c>
      <c r="AF88" s="17" t="s">
        <v>1328</v>
      </c>
      <c r="AG88" s="17" t="s">
        <v>1336</v>
      </c>
      <c r="AH88" s="17" t="s">
        <v>1336</v>
      </c>
      <c r="AI88" s="17" t="s">
        <v>1336</v>
      </c>
      <c r="AJ88" s="17" t="s">
        <v>1328</v>
      </c>
      <c r="AK88" s="17" t="s">
        <v>1336</v>
      </c>
      <c r="AL88" s="17" t="s">
        <v>1404</v>
      </c>
      <c r="AM88" s="17" t="s">
        <v>1351</v>
      </c>
      <c r="AN88" s="17" t="s">
        <v>1339</v>
      </c>
      <c r="AO88" s="17" t="s">
        <v>1331</v>
      </c>
      <c r="AP88" s="17" t="s">
        <v>1328</v>
      </c>
      <c r="AQ88" s="17" t="str">
        <f t="shared" si="7"/>
        <v>intermediate</v>
      </c>
      <c r="AR88" s="20"/>
    </row>
    <row r="89" ht="15.75" customHeight="1">
      <c r="A89" s="16" t="s">
        <v>2007</v>
      </c>
      <c r="B89" s="16" t="s">
        <v>2008</v>
      </c>
      <c r="C89" s="16">
        <v>2018.0</v>
      </c>
      <c r="D89" s="16" t="s">
        <v>2009</v>
      </c>
      <c r="E89" s="16" t="s">
        <v>2010</v>
      </c>
      <c r="F89" s="16" t="s">
        <v>2011</v>
      </c>
      <c r="G89" s="16" t="str">
        <f t="shared" si="1"/>
        <v>No</v>
      </c>
      <c r="H89" s="16" t="s">
        <v>1324</v>
      </c>
      <c r="I89" s="16" t="s">
        <v>1324</v>
      </c>
      <c r="J89" s="16">
        <v>31.0</v>
      </c>
      <c r="K89" s="17" t="s">
        <v>2012</v>
      </c>
      <c r="L89" s="17" t="s">
        <v>5010</v>
      </c>
      <c r="M89" s="18" t="str">
        <f t="shared" si="2"/>
        <v>http://dx.doi.org/10.1016/j.foreco.2018.04.012</v>
      </c>
      <c r="N89" s="19" t="s">
        <v>1835</v>
      </c>
      <c r="O89" s="17" t="s">
        <v>1417</v>
      </c>
      <c r="P89" s="17" t="s">
        <v>1328</v>
      </c>
      <c r="Q89" s="17" t="s">
        <v>1328</v>
      </c>
      <c r="R89" s="17" t="s">
        <v>1328</v>
      </c>
      <c r="S89" s="17" t="s">
        <v>1328</v>
      </c>
      <c r="T89" s="17" t="s">
        <v>1328</v>
      </c>
      <c r="U89" s="20" t="str">
        <f t="shared" si="3"/>
        <v>Yes</v>
      </c>
      <c r="V89" s="19" t="str">
        <f t="shared" si="4"/>
        <v>NT</v>
      </c>
      <c r="W89" s="17" t="str">
        <f t="shared" si="5"/>
        <v>Yes</v>
      </c>
      <c r="X89" s="17" t="s">
        <v>1329</v>
      </c>
      <c r="Y89" s="17" t="s">
        <v>1331</v>
      </c>
      <c r="Z89" s="17" t="s">
        <v>1330</v>
      </c>
      <c r="AA89" s="17" t="s">
        <v>1347</v>
      </c>
      <c r="AB89" s="17" t="s">
        <v>1360</v>
      </c>
      <c r="AC89" s="17" t="s">
        <v>1348</v>
      </c>
      <c r="AD89" s="17" t="s">
        <v>1362</v>
      </c>
      <c r="AE89" s="17">
        <f t="shared" si="6"/>
        <v>4</v>
      </c>
      <c r="AF89" s="17" t="s">
        <v>1328</v>
      </c>
      <c r="AG89" s="17" t="s">
        <v>1328</v>
      </c>
      <c r="AH89" s="17" t="s">
        <v>1328</v>
      </c>
      <c r="AI89" s="17" t="s">
        <v>1336</v>
      </c>
      <c r="AJ89" s="17" t="s">
        <v>1336</v>
      </c>
      <c r="AK89" s="17" t="s">
        <v>1328</v>
      </c>
      <c r="AL89" s="17" t="s">
        <v>1404</v>
      </c>
      <c r="AM89" s="17" t="s">
        <v>1338</v>
      </c>
      <c r="AN89" s="17" t="s">
        <v>1339</v>
      </c>
      <c r="AO89" s="17" t="s">
        <v>1331</v>
      </c>
      <c r="AP89" s="17" t="s">
        <v>1328</v>
      </c>
      <c r="AQ89" s="17" t="str">
        <f t="shared" si="7"/>
        <v>intermediate</v>
      </c>
      <c r="AR89" s="20"/>
    </row>
    <row r="90" ht="15.75" customHeight="1">
      <c r="A90" s="16" t="s">
        <v>1598</v>
      </c>
      <c r="B90" s="16" t="s">
        <v>1120</v>
      </c>
      <c r="C90" s="16">
        <v>2010.0</v>
      </c>
      <c r="D90" s="16" t="s">
        <v>1599</v>
      </c>
      <c r="E90" s="16" t="s">
        <v>1600</v>
      </c>
      <c r="F90" s="16" t="s">
        <v>1601</v>
      </c>
      <c r="G90" s="16" t="str">
        <f t="shared" si="1"/>
        <v>No</v>
      </c>
      <c r="H90" s="16" t="s">
        <v>1324</v>
      </c>
      <c r="I90" s="16" t="s">
        <v>1324</v>
      </c>
      <c r="J90" s="16">
        <v>4.0</v>
      </c>
      <c r="K90" s="17" t="s">
        <v>1602</v>
      </c>
      <c r="L90" s="17" t="s">
        <v>5010</v>
      </c>
      <c r="M90" s="18" t="str">
        <f t="shared" si="2"/>
        <v>http://dx.doi.org/10.1111/j.1469-1795.2010.00369.x</v>
      </c>
      <c r="N90" s="19" t="s">
        <v>1482</v>
      </c>
      <c r="O90" s="17" t="s">
        <v>1371</v>
      </c>
      <c r="P90" s="17" t="s">
        <v>1328</v>
      </c>
      <c r="Q90" s="17" t="s">
        <v>1328</v>
      </c>
      <c r="R90" s="17" t="s">
        <v>1328</v>
      </c>
      <c r="S90" s="17" t="s">
        <v>1328</v>
      </c>
      <c r="T90" s="17" t="s">
        <v>1328</v>
      </c>
      <c r="U90" s="20" t="str">
        <f t="shared" si="3"/>
        <v>Yes</v>
      </c>
      <c r="V90" s="19" t="str">
        <f t="shared" si="4"/>
        <v>LC</v>
      </c>
      <c r="W90" s="17" t="str">
        <f t="shared" si="5"/>
        <v>Yes</v>
      </c>
      <c r="X90" s="17" t="s">
        <v>1329</v>
      </c>
      <c r="Y90" s="17" t="s">
        <v>1330</v>
      </c>
      <c r="Z90" s="17" t="s">
        <v>1331</v>
      </c>
      <c r="AA90" s="17" t="s">
        <v>1347</v>
      </c>
      <c r="AB90" s="17" t="s">
        <v>1333</v>
      </c>
      <c r="AC90" s="17" t="s">
        <v>1334</v>
      </c>
      <c r="AD90" s="17" t="s">
        <v>1362</v>
      </c>
      <c r="AE90" s="17">
        <f t="shared" si="6"/>
        <v>2</v>
      </c>
      <c r="AF90" s="17" t="s">
        <v>1336</v>
      </c>
      <c r="AG90" s="17" t="s">
        <v>1328</v>
      </c>
      <c r="AH90" s="17" t="s">
        <v>1336</v>
      </c>
      <c r="AI90" s="17" t="s">
        <v>1336</v>
      </c>
      <c r="AJ90" s="17" t="s">
        <v>1336</v>
      </c>
      <c r="AK90" s="17" t="s">
        <v>1328</v>
      </c>
      <c r="AL90" s="17" t="s">
        <v>1350</v>
      </c>
      <c r="AM90" s="17" t="s">
        <v>1351</v>
      </c>
      <c r="AN90" s="17" t="s">
        <v>1363</v>
      </c>
      <c r="AO90" s="17" t="s">
        <v>1374</v>
      </c>
      <c r="AP90" s="17" t="s">
        <v>1328</v>
      </c>
      <c r="AQ90" s="17" t="str">
        <f t="shared" si="7"/>
        <v>intermediate</v>
      </c>
      <c r="AR90" s="20"/>
    </row>
    <row r="91" ht="15.75" customHeight="1">
      <c r="A91" s="16" t="s">
        <v>1621</v>
      </c>
      <c r="B91" s="16" t="s">
        <v>774</v>
      </c>
      <c r="C91" s="16">
        <v>2012.0</v>
      </c>
      <c r="D91" s="16" t="s">
        <v>1622</v>
      </c>
      <c r="E91" s="16" t="s">
        <v>1623</v>
      </c>
      <c r="F91" s="16" t="s">
        <v>1624</v>
      </c>
      <c r="G91" s="16" t="str">
        <f t="shared" si="1"/>
        <v>No</v>
      </c>
      <c r="H91" s="16" t="s">
        <v>1324</v>
      </c>
      <c r="I91" s="16" t="s">
        <v>1324</v>
      </c>
      <c r="J91" s="16">
        <v>33.0</v>
      </c>
      <c r="K91" s="17" t="s">
        <v>1625</v>
      </c>
      <c r="L91" s="17" t="s">
        <v>5010</v>
      </c>
      <c r="M91" s="18" t="str">
        <f t="shared" si="2"/>
        <v>http://dx.doi.org/10.1111/j.1365-2486.2012.02662.x</v>
      </c>
      <c r="N91" s="19" t="s">
        <v>1495</v>
      </c>
      <c r="O91" s="17" t="s">
        <v>1403</v>
      </c>
      <c r="P91" s="17" t="s">
        <v>1328</v>
      </c>
      <c r="Q91" s="17" t="s">
        <v>1328</v>
      </c>
      <c r="R91" s="17" t="s">
        <v>1328</v>
      </c>
      <c r="S91" s="17" t="s">
        <v>1328</v>
      </c>
      <c r="T91" s="17" t="s">
        <v>1328</v>
      </c>
      <c r="U91" s="20" t="str">
        <f t="shared" si="3"/>
        <v>Yes</v>
      </c>
      <c r="V91" s="19" t="str">
        <f t="shared" si="4"/>
        <v>DB</v>
      </c>
      <c r="W91" s="17" t="str">
        <f t="shared" si="5"/>
        <v>Yes</v>
      </c>
      <c r="X91" s="17" t="s">
        <v>1329</v>
      </c>
      <c r="Y91" s="17" t="s">
        <v>1330</v>
      </c>
      <c r="Z91" s="17" t="s">
        <v>1331</v>
      </c>
      <c r="AA91" s="17" t="s">
        <v>1347</v>
      </c>
      <c r="AB91" s="17" t="s">
        <v>1333</v>
      </c>
      <c r="AC91" s="17" t="s">
        <v>1361</v>
      </c>
      <c r="AD91" s="17" t="s">
        <v>1530</v>
      </c>
      <c r="AE91" s="17">
        <f t="shared" si="6"/>
        <v>3</v>
      </c>
      <c r="AF91" s="17" t="s">
        <v>1336</v>
      </c>
      <c r="AG91" s="17" t="s">
        <v>1328</v>
      </c>
      <c r="AH91" s="17" t="s">
        <v>1336</v>
      </c>
      <c r="AI91" s="17" t="s">
        <v>1336</v>
      </c>
      <c r="AJ91" s="17" t="s">
        <v>1328</v>
      </c>
      <c r="AK91" s="17" t="s">
        <v>1328</v>
      </c>
      <c r="AL91" s="17" t="s">
        <v>1350</v>
      </c>
      <c r="AM91" s="17" t="s">
        <v>1351</v>
      </c>
      <c r="AN91" s="17" t="s">
        <v>1363</v>
      </c>
      <c r="AO91" s="17" t="s">
        <v>1331</v>
      </c>
      <c r="AP91" s="17" t="s">
        <v>1328</v>
      </c>
      <c r="AQ91" s="17" t="str">
        <f t="shared" si="7"/>
        <v>intermediate</v>
      </c>
      <c r="AR91" s="20"/>
    </row>
    <row r="92" ht="15.75" customHeight="1">
      <c r="A92" s="16" t="s">
        <v>1959</v>
      </c>
      <c r="B92" s="16" t="s">
        <v>260</v>
      </c>
      <c r="C92" s="16">
        <v>2017.0</v>
      </c>
      <c r="D92" s="16" t="s">
        <v>1960</v>
      </c>
      <c r="E92" s="16" t="s">
        <v>1961</v>
      </c>
      <c r="F92" s="16" t="s">
        <v>1962</v>
      </c>
      <c r="G92" s="16" t="str">
        <f t="shared" si="1"/>
        <v>No</v>
      </c>
      <c r="H92" s="16" t="s">
        <v>1324</v>
      </c>
      <c r="I92" s="16" t="s">
        <v>1324</v>
      </c>
      <c r="J92" s="16">
        <v>19.0</v>
      </c>
      <c r="K92" s="17" t="s">
        <v>1963</v>
      </c>
      <c r="L92" s="17" t="s">
        <v>5010</v>
      </c>
      <c r="M92" s="18" t="str">
        <f t="shared" si="2"/>
        <v>http://dx.doi.org/10.1016/j.marpolbul.2017.06.054</v>
      </c>
      <c r="N92" s="19" t="s">
        <v>1402</v>
      </c>
      <c r="O92" s="17" t="s">
        <v>1327</v>
      </c>
      <c r="P92" s="17" t="s">
        <v>1328</v>
      </c>
      <c r="Q92" s="17" t="s">
        <v>1328</v>
      </c>
      <c r="R92" s="17" t="s">
        <v>1328</v>
      </c>
      <c r="S92" s="17" t="s">
        <v>1328</v>
      </c>
      <c r="T92" s="17" t="s">
        <v>1328</v>
      </c>
      <c r="U92" s="20" t="str">
        <f t="shared" si="3"/>
        <v>Yes</v>
      </c>
      <c r="V92" s="19" t="str">
        <f t="shared" si="4"/>
        <v>PJ</v>
      </c>
      <c r="W92" s="17" t="str">
        <f t="shared" si="5"/>
        <v>Yes</v>
      </c>
      <c r="X92" s="17" t="s">
        <v>1443</v>
      </c>
      <c r="Y92" s="17" t="s">
        <v>1330</v>
      </c>
      <c r="Z92" s="17" t="s">
        <v>1523</v>
      </c>
      <c r="AA92" s="17" t="s">
        <v>1347</v>
      </c>
      <c r="AB92" s="17" t="s">
        <v>1333</v>
      </c>
      <c r="AC92" s="17" t="s">
        <v>1381</v>
      </c>
      <c r="AD92" s="17" t="s">
        <v>1349</v>
      </c>
      <c r="AE92" s="17">
        <f t="shared" si="6"/>
        <v>2</v>
      </c>
      <c r="AF92" s="17" t="s">
        <v>1336</v>
      </c>
      <c r="AG92" s="17" t="s">
        <v>1328</v>
      </c>
      <c r="AH92" s="17" t="s">
        <v>1336</v>
      </c>
      <c r="AI92" s="17" t="s">
        <v>1336</v>
      </c>
      <c r="AJ92" s="17" t="s">
        <v>1328</v>
      </c>
      <c r="AK92" s="17" t="s">
        <v>1336</v>
      </c>
      <c r="AL92" s="17" t="s">
        <v>1350</v>
      </c>
      <c r="AM92" s="17" t="s">
        <v>1351</v>
      </c>
      <c r="AN92" s="17" t="s">
        <v>1339</v>
      </c>
      <c r="AO92" s="17" t="s">
        <v>1331</v>
      </c>
      <c r="AP92" s="17" t="s">
        <v>1328</v>
      </c>
      <c r="AQ92" s="17" t="str">
        <f t="shared" si="7"/>
        <v>intermediate</v>
      </c>
      <c r="AR92" s="20"/>
    </row>
    <row r="93" ht="15.75" customHeight="1">
      <c r="A93" s="16" t="s">
        <v>1411</v>
      </c>
      <c r="B93" s="16" t="s">
        <v>1397</v>
      </c>
      <c r="C93" s="16">
        <v>2010.0</v>
      </c>
      <c r="D93" s="16" t="s">
        <v>1412</v>
      </c>
      <c r="E93" s="16" t="s">
        <v>1413</v>
      </c>
      <c r="F93" s="16" t="s">
        <v>1414</v>
      </c>
      <c r="G93" s="16" t="str">
        <f t="shared" si="1"/>
        <v>No</v>
      </c>
      <c r="H93" s="16" t="s">
        <v>1324</v>
      </c>
      <c r="I93" s="16" t="s">
        <v>1324</v>
      </c>
      <c r="J93" s="16">
        <v>63.0</v>
      </c>
      <c r="K93" s="17" t="s">
        <v>1415</v>
      </c>
      <c r="L93" s="17" t="s">
        <v>5010</v>
      </c>
      <c r="M93" s="18" t="str">
        <f t="shared" si="2"/>
        <v>http://dx.doi.org/10.3354/meps08592</v>
      </c>
      <c r="N93" s="19" t="s">
        <v>1416</v>
      </c>
      <c r="O93" s="17" t="s">
        <v>1417</v>
      </c>
      <c r="P93" s="17" t="s">
        <v>1328</v>
      </c>
      <c r="Q93" s="17" t="s">
        <v>1328</v>
      </c>
      <c r="R93" s="17" t="s">
        <v>1328</v>
      </c>
      <c r="S93" s="17" t="s">
        <v>1328</v>
      </c>
      <c r="T93" s="17" t="s">
        <v>1328</v>
      </c>
      <c r="U93" s="20" t="str">
        <f t="shared" si="3"/>
        <v>Yes</v>
      </c>
      <c r="V93" s="19" t="str">
        <f t="shared" si="4"/>
        <v>NT</v>
      </c>
      <c r="W93" s="17" t="str">
        <f t="shared" si="5"/>
        <v>Yes</v>
      </c>
      <c r="X93" s="17" t="s">
        <v>1329</v>
      </c>
      <c r="Y93" s="17" t="s">
        <v>1331</v>
      </c>
      <c r="Z93" s="17" t="s">
        <v>1330</v>
      </c>
      <c r="AA93" s="17" t="s">
        <v>1347</v>
      </c>
      <c r="AB93" s="17" t="s">
        <v>1360</v>
      </c>
      <c r="AC93" s="17" t="s">
        <v>1361</v>
      </c>
      <c r="AD93" s="17" t="s">
        <v>1349</v>
      </c>
      <c r="AE93" s="17">
        <f t="shared" si="6"/>
        <v>2</v>
      </c>
      <c r="AF93" s="17" t="s">
        <v>1328</v>
      </c>
      <c r="AG93" s="17" t="s">
        <v>1336</v>
      </c>
      <c r="AH93" s="17" t="s">
        <v>1328</v>
      </c>
      <c r="AI93" s="17" t="s">
        <v>1336</v>
      </c>
      <c r="AJ93" s="17" t="s">
        <v>1336</v>
      </c>
      <c r="AK93" s="17" t="s">
        <v>1336</v>
      </c>
      <c r="AL93" s="17" t="s">
        <v>1350</v>
      </c>
      <c r="AM93" s="17" t="s">
        <v>1351</v>
      </c>
      <c r="AN93" s="17" t="s">
        <v>1339</v>
      </c>
      <c r="AO93" s="17" t="s">
        <v>1331</v>
      </c>
      <c r="AP93" s="17" t="s">
        <v>1328</v>
      </c>
      <c r="AQ93" s="17" t="str">
        <f t="shared" si="7"/>
        <v>intermediate</v>
      </c>
      <c r="AR93" s="20"/>
    </row>
    <row r="94" ht="15.75" customHeight="1">
      <c r="A94" s="16" t="s">
        <v>2029</v>
      </c>
      <c r="B94" s="16" t="s">
        <v>2030</v>
      </c>
      <c r="C94" s="16">
        <v>2018.0</v>
      </c>
      <c r="D94" s="16" t="s">
        <v>2031</v>
      </c>
      <c r="E94" s="16" t="s">
        <v>2032</v>
      </c>
      <c r="F94" s="16" t="s">
        <v>2033</v>
      </c>
      <c r="G94" s="16" t="str">
        <f t="shared" si="1"/>
        <v>No</v>
      </c>
      <c r="H94" s="16" t="s">
        <v>1324</v>
      </c>
      <c r="I94" s="16" t="s">
        <v>1324</v>
      </c>
      <c r="J94" s="16">
        <v>129.0</v>
      </c>
      <c r="K94" s="17" t="s">
        <v>2034</v>
      </c>
      <c r="L94" s="17" t="s">
        <v>5010</v>
      </c>
      <c r="M94" s="18" t="str">
        <f t="shared" si="2"/>
        <v>http://dx.doi.org/10.1016/j.fishres.2017.10.012</v>
      </c>
      <c r="N94" s="19" t="s">
        <v>1346</v>
      </c>
      <c r="O94" s="17" t="s">
        <v>1417</v>
      </c>
      <c r="P94" s="17" t="s">
        <v>1328</v>
      </c>
      <c r="Q94" s="17" t="s">
        <v>1328</v>
      </c>
      <c r="R94" s="17" t="s">
        <v>1328</v>
      </c>
      <c r="S94" s="17" t="s">
        <v>1328</v>
      </c>
      <c r="T94" s="17" t="s">
        <v>1328</v>
      </c>
      <c r="U94" s="20" t="str">
        <f t="shared" si="3"/>
        <v>Yes</v>
      </c>
      <c r="V94" s="19" t="str">
        <f t="shared" si="4"/>
        <v>NT</v>
      </c>
      <c r="W94" s="17" t="str">
        <f t="shared" si="5"/>
        <v>Yes</v>
      </c>
      <c r="X94" s="17" t="s">
        <v>1329</v>
      </c>
      <c r="Y94" s="17" t="s">
        <v>1331</v>
      </c>
      <c r="Z94" s="17" t="s">
        <v>1330</v>
      </c>
      <c r="AA94" s="17" t="s">
        <v>1347</v>
      </c>
      <c r="AB94" s="17" t="s">
        <v>1360</v>
      </c>
      <c r="AC94" s="17" t="s">
        <v>1361</v>
      </c>
      <c r="AD94" s="17" t="s">
        <v>1335</v>
      </c>
      <c r="AE94" s="17">
        <f t="shared" si="6"/>
        <v>2</v>
      </c>
      <c r="AF94" s="17" t="s">
        <v>1328</v>
      </c>
      <c r="AG94" s="17" t="s">
        <v>1336</v>
      </c>
      <c r="AH94" s="17" t="s">
        <v>1328</v>
      </c>
      <c r="AI94" s="17" t="s">
        <v>1336</v>
      </c>
      <c r="AJ94" s="17" t="s">
        <v>1336</v>
      </c>
      <c r="AK94" s="17" t="s">
        <v>1336</v>
      </c>
      <c r="AL94" s="17" t="s">
        <v>1350</v>
      </c>
      <c r="AM94" s="17" t="s">
        <v>1351</v>
      </c>
      <c r="AN94" s="17" t="s">
        <v>1339</v>
      </c>
      <c r="AO94" s="17" t="s">
        <v>1331</v>
      </c>
      <c r="AP94" s="17" t="s">
        <v>1328</v>
      </c>
      <c r="AQ94" s="17" t="str">
        <f t="shared" si="7"/>
        <v>intermediate</v>
      </c>
      <c r="AR94" s="20" t="s">
        <v>2035</v>
      </c>
    </row>
    <row r="95" ht="15.75" customHeight="1">
      <c r="A95" s="16" t="s">
        <v>1790</v>
      </c>
      <c r="B95" s="16" t="s">
        <v>104</v>
      </c>
      <c r="C95" s="16">
        <v>2017.0</v>
      </c>
      <c r="D95" s="16" t="s">
        <v>1791</v>
      </c>
      <c r="E95" s="16" t="s">
        <v>1792</v>
      </c>
      <c r="F95" s="16" t="s">
        <v>1793</v>
      </c>
      <c r="G95" s="16" t="str">
        <f t="shared" si="1"/>
        <v>No</v>
      </c>
      <c r="H95" s="16" t="s">
        <v>1324</v>
      </c>
      <c r="I95" s="16" t="s">
        <v>1324</v>
      </c>
      <c r="J95" s="16">
        <v>58.0</v>
      </c>
      <c r="K95" s="17" t="s">
        <v>1794</v>
      </c>
      <c r="L95" s="17" t="s">
        <v>5010</v>
      </c>
      <c r="M95" s="18" t="str">
        <f t="shared" si="2"/>
        <v>http://dx.doi.org/10.1038/s41467-017-01997-0</v>
      </c>
      <c r="N95" s="19" t="s">
        <v>1614</v>
      </c>
      <c r="O95" s="17" t="s">
        <v>1470</v>
      </c>
      <c r="P95" s="17" t="s">
        <v>1328</v>
      </c>
      <c r="Q95" s="17" t="s">
        <v>1328</v>
      </c>
      <c r="R95" s="17" t="s">
        <v>1328</v>
      </c>
      <c r="S95" s="17" t="s">
        <v>1328</v>
      </c>
      <c r="T95" s="17" t="s">
        <v>1328</v>
      </c>
      <c r="U95" s="20" t="str">
        <f t="shared" si="3"/>
        <v>Yes</v>
      </c>
      <c r="V95" s="19" t="str">
        <f t="shared" si="4"/>
        <v>AG</v>
      </c>
      <c r="W95" s="17" t="str">
        <f t="shared" si="5"/>
        <v>Yes</v>
      </c>
      <c r="X95" s="17" t="s">
        <v>1329</v>
      </c>
      <c r="Y95" s="17" t="s">
        <v>1372</v>
      </c>
      <c r="Z95" s="17" t="s">
        <v>1331</v>
      </c>
      <c r="AA95" s="17" t="s">
        <v>1347</v>
      </c>
      <c r="AB95" s="17" t="s">
        <v>1360</v>
      </c>
      <c r="AC95" s="17" t="s">
        <v>1381</v>
      </c>
      <c r="AD95" s="17" t="s">
        <v>1362</v>
      </c>
      <c r="AE95" s="17">
        <f t="shared" si="6"/>
        <v>3</v>
      </c>
      <c r="AF95" s="17" t="s">
        <v>1328</v>
      </c>
      <c r="AG95" s="17" t="s">
        <v>1328</v>
      </c>
      <c r="AH95" s="17" t="s">
        <v>1328</v>
      </c>
      <c r="AI95" s="17" t="s">
        <v>1336</v>
      </c>
      <c r="AJ95" s="17" t="s">
        <v>1336</v>
      </c>
      <c r="AK95" s="17" t="s">
        <v>1336</v>
      </c>
      <c r="AL95" s="17" t="s">
        <v>1350</v>
      </c>
      <c r="AM95" s="17" t="s">
        <v>1351</v>
      </c>
      <c r="AN95" s="17" t="s">
        <v>1339</v>
      </c>
      <c r="AO95" s="17" t="s">
        <v>1331</v>
      </c>
      <c r="AP95" s="17" t="s">
        <v>1328</v>
      </c>
      <c r="AQ95" s="17" t="str">
        <f t="shared" si="7"/>
        <v>high</v>
      </c>
      <c r="AR95" s="20"/>
    </row>
    <row r="96" ht="15.75" customHeight="1">
      <c r="A96" s="21" t="s">
        <v>2182</v>
      </c>
      <c r="B96" s="21" t="s">
        <v>2183</v>
      </c>
      <c r="C96" s="21">
        <v>2012.0</v>
      </c>
      <c r="D96" s="21" t="s">
        <v>2184</v>
      </c>
      <c r="E96" s="21" t="s">
        <v>2185</v>
      </c>
      <c r="F96" s="21" t="s">
        <v>2186</v>
      </c>
      <c r="G96" s="16" t="str">
        <f t="shared" si="1"/>
        <v>No</v>
      </c>
      <c r="H96" s="16" t="s">
        <v>1324</v>
      </c>
      <c r="I96" s="16" t="s">
        <v>1324</v>
      </c>
      <c r="J96" s="16">
        <v>11.0</v>
      </c>
      <c r="K96" s="17" t="s">
        <v>2187</v>
      </c>
      <c r="L96" s="17" t="s">
        <v>5010</v>
      </c>
      <c r="M96" s="18" t="str">
        <f t="shared" si="2"/>
        <v>http://dx.doi.org/10.1007/s12237-012-9506-y</v>
      </c>
      <c r="N96" s="19" t="s">
        <v>1346</v>
      </c>
      <c r="O96" s="17" t="s">
        <v>1387</v>
      </c>
      <c r="P96" s="17" t="s">
        <v>1328</v>
      </c>
      <c r="Q96" s="17" t="s">
        <v>1328</v>
      </c>
      <c r="R96" s="17" t="s">
        <v>1328</v>
      </c>
      <c r="S96" s="17" t="s">
        <v>1328</v>
      </c>
      <c r="T96" s="17" t="s">
        <v>1328</v>
      </c>
      <c r="U96" s="20" t="str">
        <f t="shared" si="3"/>
        <v>Yes</v>
      </c>
      <c r="V96" s="19" t="str">
        <f t="shared" si="4"/>
        <v>MW</v>
      </c>
      <c r="W96" s="17" t="str">
        <f t="shared" si="5"/>
        <v>Yes</v>
      </c>
      <c r="X96" s="17" t="s">
        <v>1329</v>
      </c>
      <c r="Y96" s="17" t="s">
        <v>1330</v>
      </c>
      <c r="Z96" s="17" t="s">
        <v>1331</v>
      </c>
      <c r="AA96" s="17" t="s">
        <v>1347</v>
      </c>
      <c r="AB96" s="17" t="s">
        <v>1333</v>
      </c>
      <c r="AC96" s="17" t="s">
        <v>1361</v>
      </c>
      <c r="AD96" s="17" t="s">
        <v>1530</v>
      </c>
      <c r="AE96" s="22">
        <f t="shared" si="6"/>
        <v>3</v>
      </c>
      <c r="AF96" s="17" t="s">
        <v>1328</v>
      </c>
      <c r="AG96" s="17" t="s">
        <v>1328</v>
      </c>
      <c r="AH96" s="17" t="s">
        <v>1336</v>
      </c>
      <c r="AI96" s="17" t="s">
        <v>1336</v>
      </c>
      <c r="AJ96" s="17" t="s">
        <v>1336</v>
      </c>
      <c r="AK96" s="17" t="s">
        <v>1328</v>
      </c>
      <c r="AL96" s="17" t="s">
        <v>1350</v>
      </c>
      <c r="AM96" s="17" t="s">
        <v>1351</v>
      </c>
      <c r="AN96" s="17" t="s">
        <v>1363</v>
      </c>
      <c r="AO96" s="17" t="s">
        <v>1374</v>
      </c>
      <c r="AP96" s="17" t="s">
        <v>1328</v>
      </c>
      <c r="AQ96" s="17" t="str">
        <f t="shared" si="7"/>
        <v>intermediate</v>
      </c>
      <c r="AR96" s="20"/>
    </row>
    <row r="97" ht="15.75" customHeight="1">
      <c r="A97" s="16" t="s">
        <v>1539</v>
      </c>
      <c r="B97" s="16" t="s">
        <v>1540</v>
      </c>
      <c r="C97" s="16">
        <v>2017.0</v>
      </c>
      <c r="D97" s="16" t="s">
        <v>1541</v>
      </c>
      <c r="E97" s="16" t="s">
        <v>1542</v>
      </c>
      <c r="F97" s="16" t="s">
        <v>1543</v>
      </c>
      <c r="G97" s="16" t="str">
        <f t="shared" si="1"/>
        <v>No</v>
      </c>
      <c r="H97" s="16" t="s">
        <v>1324</v>
      </c>
      <c r="I97" s="16" t="s">
        <v>1324</v>
      </c>
      <c r="J97" s="16">
        <v>183.0</v>
      </c>
      <c r="K97" s="17" t="s">
        <v>1544</v>
      </c>
      <c r="L97" s="17" t="s">
        <v>5010</v>
      </c>
      <c r="M97" s="18" t="str">
        <f t="shared" si="2"/>
        <v>http://dx.doi.org/10.1111/jvs.12579</v>
      </c>
      <c r="N97" s="19" t="s">
        <v>1545</v>
      </c>
      <c r="O97" s="17" t="s">
        <v>1403</v>
      </c>
      <c r="P97" s="17" t="s">
        <v>1328</v>
      </c>
      <c r="Q97" s="17" t="s">
        <v>1328</v>
      </c>
      <c r="R97" s="17" t="s">
        <v>1328</v>
      </c>
      <c r="S97" s="17" t="s">
        <v>1328</v>
      </c>
      <c r="T97" s="17" t="s">
        <v>1328</v>
      </c>
      <c r="U97" s="20" t="str">
        <f t="shared" si="3"/>
        <v>Yes</v>
      </c>
      <c r="V97" s="19" t="str">
        <f t="shared" si="4"/>
        <v>DB</v>
      </c>
      <c r="W97" s="17" t="str">
        <f t="shared" si="5"/>
        <v>Yes</v>
      </c>
      <c r="X97" s="17" t="s">
        <v>1329</v>
      </c>
      <c r="Y97" s="17" t="s">
        <v>1330</v>
      </c>
      <c r="Z97" s="17" t="s">
        <v>1331</v>
      </c>
      <c r="AA97" s="17" t="s">
        <v>1347</v>
      </c>
      <c r="AB97" s="17" t="s">
        <v>1333</v>
      </c>
      <c r="AC97" s="17" t="s">
        <v>1361</v>
      </c>
      <c r="AD97" s="17" t="s">
        <v>1362</v>
      </c>
      <c r="AE97" s="17">
        <f t="shared" si="6"/>
        <v>3</v>
      </c>
      <c r="AF97" s="17" t="s">
        <v>1328</v>
      </c>
      <c r="AG97" s="17" t="s">
        <v>1328</v>
      </c>
      <c r="AH97" s="17" t="s">
        <v>1336</v>
      </c>
      <c r="AI97" s="17" t="s">
        <v>1336</v>
      </c>
      <c r="AJ97" s="17" t="s">
        <v>1328</v>
      </c>
      <c r="AK97" s="17" t="s">
        <v>1336</v>
      </c>
      <c r="AL97" s="17" t="s">
        <v>1404</v>
      </c>
      <c r="AM97" s="17" t="s">
        <v>1351</v>
      </c>
      <c r="AN97" s="17" t="s">
        <v>1363</v>
      </c>
      <c r="AO97" s="17" t="s">
        <v>1331</v>
      </c>
      <c r="AP97" s="17" t="s">
        <v>1328</v>
      </c>
      <c r="AQ97" s="17" t="str">
        <f t="shared" si="7"/>
        <v>intermediate</v>
      </c>
      <c r="AR97" s="20"/>
    </row>
    <row r="98" ht="15.75" customHeight="1">
      <c r="A98" s="16" t="s">
        <v>1603</v>
      </c>
      <c r="B98" s="16" t="s">
        <v>1253</v>
      </c>
      <c r="C98" s="16">
        <v>2011.0</v>
      </c>
      <c r="D98" s="16" t="s">
        <v>1604</v>
      </c>
      <c r="E98" s="16" t="s">
        <v>1605</v>
      </c>
      <c r="F98" s="16" t="s">
        <v>1606</v>
      </c>
      <c r="G98" s="16" t="str">
        <f t="shared" si="1"/>
        <v>No</v>
      </c>
      <c r="H98" s="16" t="s">
        <v>1324</v>
      </c>
      <c r="I98" s="16" t="s">
        <v>1324</v>
      </c>
      <c r="J98" s="16">
        <v>111.0</v>
      </c>
      <c r="K98" s="17" t="s">
        <v>1607</v>
      </c>
      <c r="L98" s="17" t="s">
        <v>5010</v>
      </c>
      <c r="M98" s="18" t="str">
        <f t="shared" si="2"/>
        <v>http://dx.doi.org/10.1111/j.1466-8238.2010.00575.x</v>
      </c>
      <c r="N98" s="19" t="s">
        <v>1346</v>
      </c>
      <c r="O98" s="17" t="s">
        <v>1417</v>
      </c>
      <c r="P98" s="17" t="s">
        <v>1328</v>
      </c>
      <c r="Q98" s="17" t="s">
        <v>1328</v>
      </c>
      <c r="R98" s="17" t="s">
        <v>1328</v>
      </c>
      <c r="S98" s="17" t="s">
        <v>1328</v>
      </c>
      <c r="T98" s="17" t="s">
        <v>1328</v>
      </c>
      <c r="U98" s="20" t="str">
        <f t="shared" si="3"/>
        <v>Yes</v>
      </c>
      <c r="V98" s="19" t="str">
        <f t="shared" si="4"/>
        <v>NT</v>
      </c>
      <c r="W98" s="17" t="str">
        <f t="shared" si="5"/>
        <v>Yes</v>
      </c>
      <c r="X98" s="17" t="s">
        <v>1329</v>
      </c>
      <c r="Y98" s="17" t="s">
        <v>1331</v>
      </c>
      <c r="Z98" s="17" t="s">
        <v>1372</v>
      </c>
      <c r="AA98" s="17" t="s">
        <v>1347</v>
      </c>
      <c r="AB98" s="17" t="s">
        <v>1360</v>
      </c>
      <c r="AC98" s="17" t="s">
        <v>1381</v>
      </c>
      <c r="AD98" s="17" t="s">
        <v>1349</v>
      </c>
      <c r="AE98" s="17">
        <f t="shared" si="6"/>
        <v>3</v>
      </c>
      <c r="AF98" s="17" t="s">
        <v>1328</v>
      </c>
      <c r="AG98" s="17" t="s">
        <v>1328</v>
      </c>
      <c r="AH98" s="17" t="s">
        <v>1328</v>
      </c>
      <c r="AI98" s="17" t="s">
        <v>1336</v>
      </c>
      <c r="AJ98" s="17" t="s">
        <v>1336</v>
      </c>
      <c r="AK98" s="17" t="s">
        <v>1336</v>
      </c>
      <c r="AL98" s="17" t="s">
        <v>1350</v>
      </c>
      <c r="AM98" s="17" t="s">
        <v>1338</v>
      </c>
      <c r="AN98" s="17" t="s">
        <v>1339</v>
      </c>
      <c r="AO98" s="17" t="s">
        <v>1331</v>
      </c>
      <c r="AP98" s="17" t="s">
        <v>1328</v>
      </c>
      <c r="AQ98" s="17" t="str">
        <f t="shared" si="7"/>
        <v>intermediate</v>
      </c>
      <c r="AR98" s="20"/>
    </row>
    <row r="99" ht="15.75" customHeight="1">
      <c r="A99" s="16" t="s">
        <v>1948</v>
      </c>
      <c r="B99" s="16" t="s">
        <v>1949</v>
      </c>
      <c r="C99" s="16">
        <v>2016.0</v>
      </c>
      <c r="D99" s="16" t="s">
        <v>1950</v>
      </c>
      <c r="E99" s="16" t="s">
        <v>1951</v>
      </c>
      <c r="F99" s="16" t="s">
        <v>1952</v>
      </c>
      <c r="G99" s="16" t="str">
        <f t="shared" si="1"/>
        <v>No</v>
      </c>
      <c r="H99" s="16" t="s">
        <v>1324</v>
      </c>
      <c r="I99" s="16" t="s">
        <v>1324</v>
      </c>
      <c r="J99" s="16">
        <v>19.0</v>
      </c>
      <c r="K99" s="17" t="s">
        <v>1953</v>
      </c>
      <c r="L99" s="17" t="s">
        <v>5010</v>
      </c>
      <c r="M99" s="18" t="str">
        <f t="shared" si="2"/>
        <v>http://dx.doi.org/10.1016/j.orggeochem.2016.06.001</v>
      </c>
      <c r="N99" s="19" t="s">
        <v>1370</v>
      </c>
      <c r="O99" s="17" t="s">
        <v>1371</v>
      </c>
      <c r="P99" s="17" t="s">
        <v>1328</v>
      </c>
      <c r="Q99" s="17" t="s">
        <v>1328</v>
      </c>
      <c r="R99" s="17" t="s">
        <v>1328</v>
      </c>
      <c r="S99" s="17" t="s">
        <v>1328</v>
      </c>
      <c r="T99" s="17" t="s">
        <v>1328</v>
      </c>
      <c r="U99" s="20" t="str">
        <f t="shared" si="3"/>
        <v>Yes</v>
      </c>
      <c r="V99" s="19" t="str">
        <f t="shared" si="4"/>
        <v>LC</v>
      </c>
      <c r="W99" s="17" t="str">
        <f t="shared" si="5"/>
        <v>Yes</v>
      </c>
      <c r="X99" s="17" t="s">
        <v>1329</v>
      </c>
      <c r="Y99" s="17" t="s">
        <v>1330</v>
      </c>
      <c r="Z99" s="17" t="s">
        <v>1331</v>
      </c>
      <c r="AA99" s="17" t="s">
        <v>1347</v>
      </c>
      <c r="AB99" s="17" t="s">
        <v>1333</v>
      </c>
      <c r="AC99" s="17" t="s">
        <v>1381</v>
      </c>
      <c r="AD99" s="17" t="s">
        <v>1373</v>
      </c>
      <c r="AE99" s="17">
        <f t="shared" si="6"/>
        <v>2</v>
      </c>
      <c r="AF99" s="17" t="s">
        <v>1328</v>
      </c>
      <c r="AG99" s="17" t="s">
        <v>1328</v>
      </c>
      <c r="AH99" s="17" t="s">
        <v>1336</v>
      </c>
      <c r="AI99" s="17" t="s">
        <v>1336</v>
      </c>
      <c r="AJ99" s="17" t="s">
        <v>1336</v>
      </c>
      <c r="AK99" s="17" t="s">
        <v>1336</v>
      </c>
      <c r="AL99" s="17" t="s">
        <v>1350</v>
      </c>
      <c r="AM99" s="17" t="s">
        <v>1351</v>
      </c>
      <c r="AN99" s="17" t="s">
        <v>1339</v>
      </c>
      <c r="AO99" s="17" t="s">
        <v>1374</v>
      </c>
      <c r="AP99" s="17" t="s">
        <v>1328</v>
      </c>
      <c r="AQ99" s="17" t="str">
        <f t="shared" si="7"/>
        <v>intermediate</v>
      </c>
      <c r="AR99" s="20"/>
    </row>
    <row r="100" ht="15.75" customHeight="1">
      <c r="A100" s="16" t="s">
        <v>1389</v>
      </c>
      <c r="B100" s="16" t="s">
        <v>1390</v>
      </c>
      <c r="C100" s="16">
        <v>2016.0</v>
      </c>
      <c r="D100" s="16" t="s">
        <v>1391</v>
      </c>
      <c r="E100" s="16" t="s">
        <v>1392</v>
      </c>
      <c r="F100" s="16" t="s">
        <v>1393</v>
      </c>
      <c r="G100" s="16" t="str">
        <f t="shared" si="1"/>
        <v>No</v>
      </c>
      <c r="H100" s="16" t="s">
        <v>1324</v>
      </c>
      <c r="I100" s="16" t="s">
        <v>1324</v>
      </c>
      <c r="J100" s="16">
        <v>76.0</v>
      </c>
      <c r="K100" s="17" t="s">
        <v>1394</v>
      </c>
      <c r="L100" s="17" t="s">
        <v>5010</v>
      </c>
      <c r="M100" s="18" t="str">
        <f t="shared" si="2"/>
        <v>http://dx.doi.org/10.3390/f7120305</v>
      </c>
      <c r="N100" s="19" t="s">
        <v>1370</v>
      </c>
      <c r="O100" s="17" t="s">
        <v>1327</v>
      </c>
      <c r="P100" s="17" t="s">
        <v>1328</v>
      </c>
      <c r="Q100" s="17" t="s">
        <v>1328</v>
      </c>
      <c r="R100" s="17" t="s">
        <v>1328</v>
      </c>
      <c r="S100" s="17" t="s">
        <v>1328</v>
      </c>
      <c r="T100" s="17" t="s">
        <v>1328</v>
      </c>
      <c r="U100" s="20" t="str">
        <f t="shared" si="3"/>
        <v>Yes</v>
      </c>
      <c r="V100" s="19" t="str">
        <f t="shared" si="4"/>
        <v>PJ</v>
      </c>
      <c r="W100" s="17" t="str">
        <f t="shared" si="5"/>
        <v>Yes</v>
      </c>
      <c r="X100" s="17" t="s">
        <v>1329</v>
      </c>
      <c r="Y100" s="17" t="s">
        <v>1330</v>
      </c>
      <c r="Z100" s="17" t="s">
        <v>1331</v>
      </c>
      <c r="AA100" s="17" t="s">
        <v>1347</v>
      </c>
      <c r="AB100" s="17" t="s">
        <v>1333</v>
      </c>
      <c r="AC100" s="17" t="s">
        <v>1381</v>
      </c>
      <c r="AD100" s="17" t="s">
        <v>1335</v>
      </c>
      <c r="AE100" s="17">
        <f t="shared" si="6"/>
        <v>4</v>
      </c>
      <c r="AF100" s="17" t="s">
        <v>1328</v>
      </c>
      <c r="AG100" s="17" t="s">
        <v>1328</v>
      </c>
      <c r="AH100" s="17" t="s">
        <v>1328</v>
      </c>
      <c r="AI100" s="17" t="s">
        <v>1336</v>
      </c>
      <c r="AJ100" s="17" t="s">
        <v>1328</v>
      </c>
      <c r="AK100" s="17" t="s">
        <v>1336</v>
      </c>
      <c r="AL100" s="17" t="s">
        <v>1395</v>
      </c>
      <c r="AM100" s="17" t="s">
        <v>1338</v>
      </c>
      <c r="AN100" s="17" t="s">
        <v>1339</v>
      </c>
      <c r="AO100" s="17" t="s">
        <v>1331</v>
      </c>
      <c r="AP100" s="17" t="s">
        <v>1328</v>
      </c>
      <c r="AQ100" s="17" t="str">
        <f t="shared" si="7"/>
        <v>intermediate</v>
      </c>
      <c r="AR100" s="20"/>
    </row>
    <row r="101" ht="15.75" customHeight="1">
      <c r="A101" s="16" t="s">
        <v>1430</v>
      </c>
      <c r="B101" s="16" t="s">
        <v>1431</v>
      </c>
      <c r="C101" s="16">
        <v>2014.0</v>
      </c>
      <c r="D101" s="16" t="s">
        <v>1432</v>
      </c>
      <c r="E101" s="16" t="s">
        <v>1433</v>
      </c>
      <c r="F101" s="16" t="s">
        <v>1434</v>
      </c>
      <c r="G101" s="16" t="str">
        <f t="shared" si="1"/>
        <v>No</v>
      </c>
      <c r="H101" s="16" t="s">
        <v>1324</v>
      </c>
      <c r="I101" s="16" t="s">
        <v>1324</v>
      </c>
      <c r="J101" s="16">
        <v>167.0</v>
      </c>
      <c r="K101" s="17" t="s">
        <v>1435</v>
      </c>
      <c r="L101" s="17" t="s">
        <v>5010</v>
      </c>
      <c r="M101" s="18" t="str">
        <f t="shared" si="2"/>
        <v>http://dx.doi.org/10.15517/rbt.v62i0.15922</v>
      </c>
      <c r="N101" s="19" t="s">
        <v>1402</v>
      </c>
      <c r="O101" s="17" t="s">
        <v>1436</v>
      </c>
      <c r="P101" s="17" t="s">
        <v>1328</v>
      </c>
      <c r="Q101" s="17" t="s">
        <v>1328</v>
      </c>
      <c r="R101" s="17" t="s">
        <v>1328</v>
      </c>
      <c r="S101" s="17" t="s">
        <v>1328</v>
      </c>
      <c r="T101" s="17" t="s">
        <v>1328</v>
      </c>
      <c r="U101" s="20" t="str">
        <f t="shared" si="3"/>
        <v>Yes</v>
      </c>
      <c r="V101" s="19" t="str">
        <f t="shared" si="4"/>
        <v>CG</v>
      </c>
      <c r="W101" s="17" t="str">
        <f t="shared" si="5"/>
        <v>Yes</v>
      </c>
      <c r="X101" s="17" t="s">
        <v>1329</v>
      </c>
      <c r="Y101" s="17" t="s">
        <v>1372</v>
      </c>
      <c r="Z101" s="17" t="s">
        <v>1331</v>
      </c>
      <c r="AA101" s="17" t="s">
        <v>1347</v>
      </c>
      <c r="AB101" s="17" t="s">
        <v>1333</v>
      </c>
      <c r="AC101" s="17" t="s">
        <v>1348</v>
      </c>
      <c r="AD101" s="17" t="s">
        <v>1349</v>
      </c>
      <c r="AE101" s="17">
        <f t="shared" si="6"/>
        <v>3</v>
      </c>
      <c r="AF101" s="17" t="s">
        <v>1328</v>
      </c>
      <c r="AG101" s="17" t="s">
        <v>1328</v>
      </c>
      <c r="AH101" s="17" t="s">
        <v>1336</v>
      </c>
      <c r="AI101" s="17" t="s">
        <v>1328</v>
      </c>
      <c r="AJ101" s="17" t="s">
        <v>1336</v>
      </c>
      <c r="AK101" s="17" t="s">
        <v>1336</v>
      </c>
      <c r="AL101" s="17" t="s">
        <v>1350</v>
      </c>
      <c r="AM101" s="17" t="s">
        <v>1351</v>
      </c>
      <c r="AN101" s="17" t="s">
        <v>1339</v>
      </c>
      <c r="AO101" s="17" t="s">
        <v>1374</v>
      </c>
      <c r="AP101" s="17" t="s">
        <v>1328</v>
      </c>
      <c r="AQ101" s="17" t="str">
        <f t="shared" si="7"/>
        <v>intermediate</v>
      </c>
      <c r="AR101" s="20"/>
    </row>
    <row r="102" ht="15.75" customHeight="1">
      <c r="A102" s="16" t="s">
        <v>2194</v>
      </c>
      <c r="B102" s="16" t="s">
        <v>468</v>
      </c>
      <c r="C102" s="16">
        <v>2014.0</v>
      </c>
      <c r="D102" s="16" t="s">
        <v>2195</v>
      </c>
      <c r="E102" s="16" t="s">
        <v>2196</v>
      </c>
      <c r="F102" s="16" t="s">
        <v>2197</v>
      </c>
      <c r="G102" s="16" t="str">
        <f t="shared" si="1"/>
        <v>No</v>
      </c>
      <c r="H102" s="16" t="s">
        <v>1324</v>
      </c>
      <c r="I102" s="16" t="s">
        <v>1324</v>
      </c>
      <c r="J102" s="16">
        <v>68.0</v>
      </c>
      <c r="K102" s="17" t="s">
        <v>2198</v>
      </c>
      <c r="L102" s="17" t="s">
        <v>5010</v>
      </c>
      <c r="M102" s="18" t="str">
        <f t="shared" si="2"/>
        <v>http://dx.doi.org/10.1007/s11270-014-1925-x</v>
      </c>
      <c r="N102" s="19" t="s">
        <v>1358</v>
      </c>
      <c r="O102" s="17" t="s">
        <v>1359</v>
      </c>
      <c r="P102" s="17" t="s">
        <v>1328</v>
      </c>
      <c r="Q102" s="17" t="s">
        <v>1328</v>
      </c>
      <c r="R102" s="17" t="s">
        <v>1328</v>
      </c>
      <c r="S102" s="17" t="s">
        <v>1328</v>
      </c>
      <c r="T102" s="17" t="s">
        <v>1328</v>
      </c>
      <c r="U102" s="20" t="str">
        <f t="shared" si="3"/>
        <v>Yes</v>
      </c>
      <c r="V102" s="19" t="str">
        <f t="shared" si="4"/>
        <v>YT</v>
      </c>
      <c r="W102" s="17" t="str">
        <f t="shared" si="5"/>
        <v>Yes</v>
      </c>
      <c r="X102" s="17" t="s">
        <v>1329</v>
      </c>
      <c r="Y102" s="17" t="s">
        <v>1331</v>
      </c>
      <c r="Z102" s="17" t="s">
        <v>1372</v>
      </c>
      <c r="AA102" s="17" t="s">
        <v>1347</v>
      </c>
      <c r="AB102" s="17" t="s">
        <v>1333</v>
      </c>
      <c r="AC102" s="17" t="s">
        <v>1348</v>
      </c>
      <c r="AD102" s="17" t="s">
        <v>1362</v>
      </c>
      <c r="AE102" s="17">
        <f t="shared" si="6"/>
        <v>2</v>
      </c>
      <c r="AF102" s="17" t="s">
        <v>1336</v>
      </c>
      <c r="AG102" s="17" t="s">
        <v>1328</v>
      </c>
      <c r="AH102" s="17" t="s">
        <v>1328</v>
      </c>
      <c r="AI102" s="17" t="s">
        <v>1336</v>
      </c>
      <c r="AJ102" s="17" t="s">
        <v>1336</v>
      </c>
      <c r="AK102" s="17" t="s">
        <v>1336</v>
      </c>
      <c r="AL102" s="17" t="s">
        <v>1395</v>
      </c>
      <c r="AM102" s="17" t="s">
        <v>1351</v>
      </c>
      <c r="AN102" s="17" t="s">
        <v>1339</v>
      </c>
      <c r="AO102" s="17" t="s">
        <v>1331</v>
      </c>
      <c r="AP102" s="17" t="s">
        <v>1328</v>
      </c>
      <c r="AQ102" s="17" t="str">
        <f t="shared" si="7"/>
        <v>intermediate</v>
      </c>
      <c r="AR102" s="20"/>
    </row>
    <row r="103" ht="15.75" customHeight="1">
      <c r="A103" s="21" t="s">
        <v>2098</v>
      </c>
      <c r="B103" s="21" t="s">
        <v>251</v>
      </c>
      <c r="C103" s="21">
        <v>2016.0</v>
      </c>
      <c r="D103" s="21" t="s">
        <v>2099</v>
      </c>
      <c r="E103" s="21" t="s">
        <v>2100</v>
      </c>
      <c r="F103" s="21" t="s">
        <v>2101</v>
      </c>
      <c r="G103" s="16" t="str">
        <f t="shared" si="1"/>
        <v>No</v>
      </c>
      <c r="H103" s="16" t="s">
        <v>1324</v>
      </c>
      <c r="I103" s="16" t="s">
        <v>1324</v>
      </c>
      <c r="J103" s="16">
        <v>41.0</v>
      </c>
      <c r="K103" s="17" t="s">
        <v>2102</v>
      </c>
      <c r="L103" s="17" t="s">
        <v>5010</v>
      </c>
      <c r="M103" s="18" t="str">
        <f t="shared" si="2"/>
        <v>http://dx.doi.org/10.1016/j.biocon.2016.05.031</v>
      </c>
      <c r="N103" s="19" t="s">
        <v>2103</v>
      </c>
      <c r="O103" s="17" t="s">
        <v>1403</v>
      </c>
      <c r="P103" s="17" t="s">
        <v>1328</v>
      </c>
      <c r="Q103" s="17" t="s">
        <v>1328</v>
      </c>
      <c r="R103" s="17" t="s">
        <v>1328</v>
      </c>
      <c r="S103" s="17" t="s">
        <v>1328</v>
      </c>
      <c r="T103" s="17" t="s">
        <v>1328</v>
      </c>
      <c r="U103" s="20" t="str">
        <f t="shared" si="3"/>
        <v>Yes</v>
      </c>
      <c r="V103" s="19" t="str">
        <f t="shared" si="4"/>
        <v>DB</v>
      </c>
      <c r="W103" s="17" t="str">
        <f t="shared" si="5"/>
        <v>Yes</v>
      </c>
      <c r="X103" s="17" t="s">
        <v>1329</v>
      </c>
      <c r="Y103" s="17" t="s">
        <v>1330</v>
      </c>
      <c r="Z103" s="17" t="s">
        <v>1331</v>
      </c>
      <c r="AA103" s="17" t="s">
        <v>1347</v>
      </c>
      <c r="AB103" s="17" t="s">
        <v>1333</v>
      </c>
      <c r="AC103" s="17" t="s">
        <v>1361</v>
      </c>
      <c r="AD103" s="17" t="s">
        <v>1464</v>
      </c>
      <c r="AE103" s="22">
        <f t="shared" si="6"/>
        <v>2</v>
      </c>
      <c r="AF103" s="17" t="s">
        <v>1336</v>
      </c>
      <c r="AG103" s="17" t="s">
        <v>1328</v>
      </c>
      <c r="AH103" s="17" t="s">
        <v>1336</v>
      </c>
      <c r="AI103" s="17" t="s">
        <v>1336</v>
      </c>
      <c r="AJ103" s="17" t="s">
        <v>1328</v>
      </c>
      <c r="AK103" s="17" t="s">
        <v>1336</v>
      </c>
      <c r="AL103" s="17" t="s">
        <v>1404</v>
      </c>
      <c r="AM103" s="17" t="s">
        <v>1338</v>
      </c>
      <c r="AN103" s="17" t="s">
        <v>1363</v>
      </c>
      <c r="AO103" s="17" t="s">
        <v>1331</v>
      </c>
      <c r="AP103" s="17" t="s">
        <v>1328</v>
      </c>
      <c r="AQ103" s="17" t="str">
        <f t="shared" si="7"/>
        <v>intermediate</v>
      </c>
      <c r="AR103" s="20"/>
    </row>
    <row r="104" ht="15.75" customHeight="1">
      <c r="A104" s="16" t="s">
        <v>1418</v>
      </c>
      <c r="B104" s="16" t="s">
        <v>1419</v>
      </c>
      <c r="C104" s="16">
        <v>2008.0</v>
      </c>
      <c r="D104" s="16" t="s">
        <v>1420</v>
      </c>
      <c r="E104" s="16" t="s">
        <v>1421</v>
      </c>
      <c r="F104" s="16" t="s">
        <v>1422</v>
      </c>
      <c r="G104" s="16" t="str">
        <f t="shared" si="1"/>
        <v>No</v>
      </c>
      <c r="H104" s="16" t="s">
        <v>1324</v>
      </c>
      <c r="I104" s="16" t="s">
        <v>1324</v>
      </c>
      <c r="J104" s="16">
        <v>136.0</v>
      </c>
      <c r="K104" s="17" t="s">
        <v>1423</v>
      </c>
      <c r="L104" s="17" t="s">
        <v>5010</v>
      </c>
      <c r="M104" s="18" t="str">
        <f t="shared" si="2"/>
        <v>http://dx.doi.org/10.1890/07-1254.1</v>
      </c>
      <c r="N104" s="19" t="s">
        <v>1410</v>
      </c>
      <c r="O104" s="17" t="s">
        <v>1387</v>
      </c>
      <c r="P104" s="17" t="s">
        <v>1328</v>
      </c>
      <c r="Q104" s="17" t="s">
        <v>1328</v>
      </c>
      <c r="R104" s="17" t="s">
        <v>1328</v>
      </c>
      <c r="S104" s="17" t="s">
        <v>1328</v>
      </c>
      <c r="T104" s="17" t="s">
        <v>1328</v>
      </c>
      <c r="U104" s="20" t="str">
        <f t="shared" si="3"/>
        <v>Yes</v>
      </c>
      <c r="V104" s="19" t="str">
        <f t="shared" si="4"/>
        <v>MW</v>
      </c>
      <c r="W104" s="17" t="str">
        <f t="shared" si="5"/>
        <v>Yes</v>
      </c>
      <c r="X104" s="17" t="s">
        <v>1329</v>
      </c>
      <c r="Y104" s="17" t="s">
        <v>1330</v>
      </c>
      <c r="Z104" s="17" t="s">
        <v>1330</v>
      </c>
      <c r="AA104" s="17" t="s">
        <v>1347</v>
      </c>
      <c r="AB104" s="17" t="s">
        <v>1333</v>
      </c>
      <c r="AC104" s="17" t="s">
        <v>1348</v>
      </c>
      <c r="AD104" s="17" t="s">
        <v>1349</v>
      </c>
      <c r="AE104" s="17">
        <f t="shared" si="6"/>
        <v>3</v>
      </c>
      <c r="AF104" s="17" t="s">
        <v>1328</v>
      </c>
      <c r="AG104" s="17" t="s">
        <v>1336</v>
      </c>
      <c r="AH104" s="17" t="s">
        <v>1328</v>
      </c>
      <c r="AI104" s="17" t="s">
        <v>1336</v>
      </c>
      <c r="AJ104" s="17" t="s">
        <v>1336</v>
      </c>
      <c r="AK104" s="17" t="s">
        <v>1328</v>
      </c>
      <c r="AL104" s="17" t="s">
        <v>1350</v>
      </c>
      <c r="AM104" s="17" t="s">
        <v>1351</v>
      </c>
      <c r="AN104" s="17" t="s">
        <v>1363</v>
      </c>
      <c r="AO104" s="17" t="s">
        <v>1388</v>
      </c>
      <c r="AP104" s="17" t="s">
        <v>1328</v>
      </c>
      <c r="AQ104" s="17" t="str">
        <f t="shared" si="7"/>
        <v>intermediate</v>
      </c>
      <c r="AR104" s="20"/>
    </row>
    <row r="105" ht="15.75" customHeight="1">
      <c r="A105" s="16" t="s">
        <v>2109</v>
      </c>
      <c r="B105" s="16" t="s">
        <v>251</v>
      </c>
      <c r="C105" s="16">
        <v>2013.0</v>
      </c>
      <c r="D105" s="16" t="s">
        <v>2110</v>
      </c>
      <c r="E105" s="16" t="s">
        <v>2111</v>
      </c>
      <c r="F105" s="16" t="s">
        <v>2112</v>
      </c>
      <c r="G105" s="16" t="str">
        <f t="shared" si="1"/>
        <v>No</v>
      </c>
      <c r="H105" s="16" t="s">
        <v>1324</v>
      </c>
      <c r="I105" s="16" t="s">
        <v>1324</v>
      </c>
      <c r="J105" s="16">
        <v>37.0</v>
      </c>
      <c r="K105" s="17" t="s">
        <v>2113</v>
      </c>
      <c r="L105" s="17" t="s">
        <v>5010</v>
      </c>
      <c r="M105" s="18" t="str">
        <f t="shared" si="2"/>
        <v>http://dx.doi.org/10.1016/j.biocon.2013.07.012</v>
      </c>
      <c r="N105" s="19" t="s">
        <v>1442</v>
      </c>
      <c r="O105" s="17" t="s">
        <v>1327</v>
      </c>
      <c r="P105" s="17" t="s">
        <v>1328</v>
      </c>
      <c r="Q105" s="17" t="s">
        <v>1328</v>
      </c>
      <c r="R105" s="17" t="s">
        <v>1328</v>
      </c>
      <c r="S105" s="17" t="s">
        <v>1328</v>
      </c>
      <c r="T105" s="17" t="s">
        <v>1328</v>
      </c>
      <c r="U105" s="20" t="str">
        <f t="shared" si="3"/>
        <v>Yes</v>
      </c>
      <c r="V105" s="19" t="str">
        <f t="shared" si="4"/>
        <v>PJ</v>
      </c>
      <c r="W105" s="17" t="str">
        <f t="shared" si="5"/>
        <v>Yes</v>
      </c>
      <c r="X105" s="17" t="s">
        <v>1443</v>
      </c>
      <c r="Y105" s="17" t="s">
        <v>1330</v>
      </c>
      <c r="Z105" s="17" t="s">
        <v>1331</v>
      </c>
      <c r="AA105" s="17" t="s">
        <v>1331</v>
      </c>
      <c r="AB105" s="17" t="s">
        <v>1333</v>
      </c>
      <c r="AC105" s="17" t="s">
        <v>1381</v>
      </c>
      <c r="AD105" s="17" t="s">
        <v>1446</v>
      </c>
      <c r="AE105" s="17">
        <f t="shared" si="6"/>
        <v>2</v>
      </c>
      <c r="AF105" s="17" t="s">
        <v>1336</v>
      </c>
      <c r="AG105" s="17" t="s">
        <v>1328</v>
      </c>
      <c r="AH105" s="17" t="s">
        <v>1328</v>
      </c>
      <c r="AI105" s="17" t="s">
        <v>1336</v>
      </c>
      <c r="AJ105" s="17" t="s">
        <v>1336</v>
      </c>
      <c r="AK105" s="17" t="s">
        <v>1336</v>
      </c>
      <c r="AL105" s="17" t="s">
        <v>1395</v>
      </c>
      <c r="AM105" s="17" t="s">
        <v>1338</v>
      </c>
      <c r="AN105" s="17" t="s">
        <v>1339</v>
      </c>
      <c r="AO105" s="17" t="s">
        <v>1331</v>
      </c>
      <c r="AP105" s="17" t="s">
        <v>1328</v>
      </c>
      <c r="AQ105" s="17" t="str">
        <f t="shared" si="7"/>
        <v>intermediate</v>
      </c>
      <c r="AR105" s="20"/>
    </row>
    <row r="106" ht="15.75" customHeight="1">
      <c r="A106" s="16" t="s">
        <v>1894</v>
      </c>
      <c r="B106" s="16" t="s">
        <v>629</v>
      </c>
      <c r="C106" s="16">
        <v>2013.0</v>
      </c>
      <c r="D106" s="16" t="s">
        <v>1895</v>
      </c>
      <c r="E106" s="16" t="s">
        <v>1896</v>
      </c>
      <c r="F106" s="16" t="s">
        <v>1897</v>
      </c>
      <c r="G106" s="16" t="str">
        <f t="shared" si="1"/>
        <v>No</v>
      </c>
      <c r="H106" s="16" t="s">
        <v>1324</v>
      </c>
      <c r="I106" s="16" t="s">
        <v>1324</v>
      </c>
      <c r="J106" s="16">
        <v>199.0</v>
      </c>
      <c r="K106" s="17" t="s">
        <v>1898</v>
      </c>
      <c r="L106" s="17" t="s">
        <v>5010</v>
      </c>
      <c r="M106" s="18" t="str">
        <f t="shared" si="2"/>
        <v>http://dx.doi.org/10.1016/j.tree.2013.04.005</v>
      </c>
      <c r="N106" s="19" t="s">
        <v>1482</v>
      </c>
      <c r="O106" s="17" t="s">
        <v>1470</v>
      </c>
      <c r="P106" s="17" t="s">
        <v>1328</v>
      </c>
      <c r="Q106" s="17" t="s">
        <v>1328</v>
      </c>
      <c r="R106" s="17" t="s">
        <v>1328</v>
      </c>
      <c r="S106" s="17" t="s">
        <v>1328</v>
      </c>
      <c r="T106" s="17" t="s">
        <v>1328</v>
      </c>
      <c r="U106" s="20" t="str">
        <f t="shared" si="3"/>
        <v>Yes</v>
      </c>
      <c r="V106" s="19" t="str">
        <f t="shared" si="4"/>
        <v>AG</v>
      </c>
      <c r="W106" s="17" t="str">
        <f t="shared" si="5"/>
        <v>Yes</v>
      </c>
      <c r="X106" s="17" t="s">
        <v>1443</v>
      </c>
      <c r="Y106" s="17" t="s">
        <v>1330</v>
      </c>
      <c r="Z106" s="17" t="s">
        <v>1331</v>
      </c>
      <c r="AA106" s="17" t="s">
        <v>1331</v>
      </c>
      <c r="AB106" s="17" t="s">
        <v>1360</v>
      </c>
      <c r="AC106" s="17" t="s">
        <v>1381</v>
      </c>
      <c r="AD106" s="17" t="s">
        <v>1362</v>
      </c>
      <c r="AE106" s="17">
        <f t="shared" si="6"/>
        <v>2</v>
      </c>
      <c r="AF106" s="17" t="s">
        <v>1336</v>
      </c>
      <c r="AG106" s="17" t="s">
        <v>1328</v>
      </c>
      <c r="AH106" s="17" t="s">
        <v>1328</v>
      </c>
      <c r="AI106" s="17" t="s">
        <v>1336</v>
      </c>
      <c r="AJ106" s="17" t="s">
        <v>1336</v>
      </c>
      <c r="AK106" s="17" t="s">
        <v>1336</v>
      </c>
      <c r="AL106" s="17" t="s">
        <v>1350</v>
      </c>
      <c r="AM106" s="17" t="s">
        <v>1351</v>
      </c>
      <c r="AN106" s="17" t="s">
        <v>1363</v>
      </c>
      <c r="AO106" s="17" t="s">
        <v>1331</v>
      </c>
      <c r="AP106" s="17" t="s">
        <v>1328</v>
      </c>
      <c r="AQ106" s="17" t="str">
        <f t="shared" si="7"/>
        <v>high</v>
      </c>
      <c r="AR106" s="20"/>
    </row>
    <row r="107" ht="15.75" customHeight="1">
      <c r="A107" s="16" t="s">
        <v>1878</v>
      </c>
      <c r="B107" s="16" t="s">
        <v>1873</v>
      </c>
      <c r="C107" s="16">
        <v>2007.0</v>
      </c>
      <c r="D107" s="16" t="s">
        <v>1879</v>
      </c>
      <c r="E107" s="16" t="s">
        <v>1880</v>
      </c>
      <c r="F107" s="16" t="s">
        <v>1881</v>
      </c>
      <c r="G107" s="16" t="str">
        <f t="shared" si="1"/>
        <v>No</v>
      </c>
      <c r="H107" s="16" t="s">
        <v>1324</v>
      </c>
      <c r="I107" s="16" t="s">
        <v>1324</v>
      </c>
      <c r="J107" s="16">
        <v>19.0</v>
      </c>
      <c r="K107" s="17" t="s">
        <v>1882</v>
      </c>
      <c r="L107" s="17" t="s">
        <v>5010</v>
      </c>
      <c r="M107" s="18" t="str">
        <f t="shared" si="2"/>
        <v>http://dx.doi.org/10.1017/S0030605307001883</v>
      </c>
      <c r="N107" s="19" t="s">
        <v>1614</v>
      </c>
      <c r="O107" s="17" t="s">
        <v>1327</v>
      </c>
      <c r="P107" s="17" t="s">
        <v>1328</v>
      </c>
      <c r="Q107" s="17" t="s">
        <v>1328</v>
      </c>
      <c r="R107" s="17" t="s">
        <v>1328</v>
      </c>
      <c r="S107" s="17" t="s">
        <v>1328</v>
      </c>
      <c r="T107" s="17" t="s">
        <v>1328</v>
      </c>
      <c r="U107" s="20" t="str">
        <f t="shared" si="3"/>
        <v>Yes</v>
      </c>
      <c r="V107" s="19" t="str">
        <f t="shared" si="4"/>
        <v>PJ</v>
      </c>
      <c r="W107" s="17" t="str">
        <f t="shared" si="5"/>
        <v>Yes</v>
      </c>
      <c r="X107" s="17" t="s">
        <v>1329</v>
      </c>
      <c r="Y107" s="17" t="s">
        <v>1523</v>
      </c>
      <c r="Z107" s="17" t="s">
        <v>1330</v>
      </c>
      <c r="AA107" s="17" t="s">
        <v>1347</v>
      </c>
      <c r="AB107" s="17" t="s">
        <v>1333</v>
      </c>
      <c r="AC107" s="17" t="s">
        <v>1334</v>
      </c>
      <c r="AD107" s="17" t="s">
        <v>1362</v>
      </c>
      <c r="AE107" s="17">
        <f t="shared" si="6"/>
        <v>2</v>
      </c>
      <c r="AF107" s="17" t="s">
        <v>1336</v>
      </c>
      <c r="AG107" s="17" t="s">
        <v>1336</v>
      </c>
      <c r="AH107" s="17" t="s">
        <v>1328</v>
      </c>
      <c r="AI107" s="17" t="s">
        <v>1336</v>
      </c>
      <c r="AJ107" s="17" t="s">
        <v>1336</v>
      </c>
      <c r="AK107" s="17" t="s">
        <v>1328</v>
      </c>
      <c r="AL107" s="17" t="s">
        <v>1395</v>
      </c>
      <c r="AM107" s="17" t="s">
        <v>1338</v>
      </c>
      <c r="AN107" s="17" t="s">
        <v>1339</v>
      </c>
      <c r="AO107" s="17" t="s">
        <v>1331</v>
      </c>
      <c r="AP107" s="17" t="s">
        <v>1328</v>
      </c>
      <c r="AQ107" s="17" t="str">
        <f t="shared" si="7"/>
        <v>intermediate</v>
      </c>
      <c r="AR107" s="20"/>
    </row>
    <row r="108" ht="15.75" customHeight="1">
      <c r="A108" s="16" t="s">
        <v>1747</v>
      </c>
      <c r="B108" s="16" t="s">
        <v>318</v>
      </c>
      <c r="C108" s="16">
        <v>2018.0</v>
      </c>
      <c r="D108" s="16" t="s">
        <v>1748</v>
      </c>
      <c r="E108" s="16" t="s">
        <v>1749</v>
      </c>
      <c r="F108" s="16" t="s">
        <v>1750</v>
      </c>
      <c r="G108" s="16" t="str">
        <f t="shared" si="1"/>
        <v>No</v>
      </c>
      <c r="H108" s="16" t="s">
        <v>1324</v>
      </c>
      <c r="I108" s="16" t="s">
        <v>1324</v>
      </c>
      <c r="J108" s="16">
        <v>54.0</v>
      </c>
      <c r="K108" s="17" t="s">
        <v>1751</v>
      </c>
      <c r="L108" s="17" t="s">
        <v>5010</v>
      </c>
      <c r="M108" s="18" t="str">
        <f t="shared" si="2"/>
        <v>http://dx.doi.org/10.1088/1748-9326/aacd1c</v>
      </c>
      <c r="N108" s="19" t="s">
        <v>1614</v>
      </c>
      <c r="O108" s="17" t="s">
        <v>1417</v>
      </c>
      <c r="P108" s="17" t="s">
        <v>1328</v>
      </c>
      <c r="Q108" s="17" t="s">
        <v>1328</v>
      </c>
      <c r="R108" s="17" t="s">
        <v>1328</v>
      </c>
      <c r="S108" s="17" t="s">
        <v>1328</v>
      </c>
      <c r="T108" s="17" t="s">
        <v>1328</v>
      </c>
      <c r="U108" s="20" t="str">
        <f t="shared" si="3"/>
        <v>Yes</v>
      </c>
      <c r="V108" s="19" t="str">
        <f t="shared" si="4"/>
        <v>NT</v>
      </c>
      <c r="W108" s="17" t="str">
        <f t="shared" si="5"/>
        <v>Yes</v>
      </c>
      <c r="X108" s="17" t="s">
        <v>1329</v>
      </c>
      <c r="Y108" s="17" t="s">
        <v>1330</v>
      </c>
      <c r="Z108" s="17" t="s">
        <v>1330</v>
      </c>
      <c r="AA108" s="17" t="s">
        <v>1347</v>
      </c>
      <c r="AB108" s="17" t="s">
        <v>1444</v>
      </c>
      <c r="AC108" s="17" t="s">
        <v>1476</v>
      </c>
      <c r="AD108" s="17" t="s">
        <v>1362</v>
      </c>
      <c r="AE108" s="17">
        <f t="shared" si="6"/>
        <v>2</v>
      </c>
      <c r="AF108" s="17" t="s">
        <v>1336</v>
      </c>
      <c r="AG108" s="17" t="s">
        <v>1328</v>
      </c>
      <c r="AH108" s="17" t="s">
        <v>1328</v>
      </c>
      <c r="AI108" s="17" t="s">
        <v>1336</v>
      </c>
      <c r="AJ108" s="17" t="s">
        <v>1336</v>
      </c>
      <c r="AK108" s="17" t="s">
        <v>1336</v>
      </c>
      <c r="AL108" s="17" t="s">
        <v>1350</v>
      </c>
      <c r="AM108" s="17" t="s">
        <v>1351</v>
      </c>
      <c r="AN108" s="17" t="s">
        <v>1339</v>
      </c>
      <c r="AO108" s="17" t="s">
        <v>1331</v>
      </c>
      <c r="AP108" s="17" t="s">
        <v>1328</v>
      </c>
      <c r="AQ108" s="17" t="str">
        <f t="shared" si="7"/>
        <v>high</v>
      </c>
      <c r="AR108" s="20"/>
    </row>
    <row r="109" ht="15.75" customHeight="1">
      <c r="A109" s="16" t="s">
        <v>1563</v>
      </c>
      <c r="B109" s="16" t="s">
        <v>1558</v>
      </c>
      <c r="C109" s="16">
        <v>2013.0</v>
      </c>
      <c r="D109" s="16" t="s">
        <v>1564</v>
      </c>
      <c r="E109" s="16" t="s">
        <v>1565</v>
      </c>
      <c r="F109" s="16" t="s">
        <v>1566</v>
      </c>
      <c r="G109" s="16" t="str">
        <f t="shared" si="1"/>
        <v>No</v>
      </c>
      <c r="H109" s="16" t="s">
        <v>1324</v>
      </c>
      <c r="I109" s="16" t="s">
        <v>1324</v>
      </c>
      <c r="J109" s="16">
        <v>154.0</v>
      </c>
      <c r="K109" s="17" t="s">
        <v>1567</v>
      </c>
      <c r="L109" s="17" t="s">
        <v>5010</v>
      </c>
      <c r="M109" s="18" t="str">
        <f t="shared" si="2"/>
        <v>http://dx.doi.org/10.1111/jbi.12105</v>
      </c>
      <c r="N109" s="19" t="s">
        <v>1346</v>
      </c>
      <c r="O109" s="17" t="s">
        <v>1371</v>
      </c>
      <c r="P109" s="17" t="s">
        <v>1328</v>
      </c>
      <c r="Q109" s="17" t="s">
        <v>1328</v>
      </c>
      <c r="R109" s="17" t="s">
        <v>1328</v>
      </c>
      <c r="S109" s="17" t="s">
        <v>1328</v>
      </c>
      <c r="T109" s="17" t="s">
        <v>1328</v>
      </c>
      <c r="U109" s="20" t="str">
        <f t="shared" si="3"/>
        <v>Yes</v>
      </c>
      <c r="V109" s="19" t="str">
        <f t="shared" si="4"/>
        <v>LC</v>
      </c>
      <c r="W109" s="17" t="str">
        <f t="shared" si="5"/>
        <v>Yes</v>
      </c>
      <c r="X109" s="17" t="s">
        <v>1329</v>
      </c>
      <c r="Y109" s="17" t="s">
        <v>1372</v>
      </c>
      <c r="Z109" s="17" t="s">
        <v>1331</v>
      </c>
      <c r="AA109" s="17" t="s">
        <v>1347</v>
      </c>
      <c r="AB109" s="17" t="s">
        <v>1333</v>
      </c>
      <c r="AC109" s="17" t="s">
        <v>1361</v>
      </c>
      <c r="AD109" s="17" t="s">
        <v>1362</v>
      </c>
      <c r="AE109" s="17">
        <f t="shared" si="6"/>
        <v>2</v>
      </c>
      <c r="AF109" s="17" t="s">
        <v>1328</v>
      </c>
      <c r="AG109" s="17" t="s">
        <v>1336</v>
      </c>
      <c r="AH109" s="17" t="s">
        <v>1328</v>
      </c>
      <c r="AI109" s="17" t="s">
        <v>1336</v>
      </c>
      <c r="AJ109" s="17" t="s">
        <v>1336</v>
      </c>
      <c r="AK109" s="17" t="s">
        <v>1336</v>
      </c>
      <c r="AL109" s="17" t="s">
        <v>1350</v>
      </c>
      <c r="AM109" s="17" t="s">
        <v>1351</v>
      </c>
      <c r="AN109" s="17" t="s">
        <v>1363</v>
      </c>
      <c r="AO109" s="17" t="s">
        <v>1388</v>
      </c>
      <c r="AP109" s="17" t="s">
        <v>1328</v>
      </c>
      <c r="AQ109" s="17" t="str">
        <f t="shared" si="7"/>
        <v>intermediate</v>
      </c>
      <c r="AR109" s="20"/>
    </row>
    <row r="110" ht="15.75" customHeight="1">
      <c r="A110" s="16" t="s">
        <v>1672</v>
      </c>
      <c r="B110" s="16" t="s">
        <v>126</v>
      </c>
      <c r="C110" s="16">
        <v>2017.0</v>
      </c>
      <c r="D110" s="16" t="s">
        <v>1673</v>
      </c>
      <c r="E110" s="16" t="s">
        <v>1674</v>
      </c>
      <c r="F110" s="16" t="s">
        <v>1675</v>
      </c>
      <c r="G110" s="16" t="str">
        <f t="shared" si="1"/>
        <v>No</v>
      </c>
      <c r="H110" s="16" t="s">
        <v>1324</v>
      </c>
      <c r="I110" s="16" t="s">
        <v>1324</v>
      </c>
      <c r="J110" s="16">
        <v>9.0</v>
      </c>
      <c r="K110" s="17" t="s">
        <v>1676</v>
      </c>
      <c r="L110" s="17" t="s">
        <v>5010</v>
      </c>
      <c r="M110" s="18" t="str">
        <f t="shared" si="2"/>
        <v>http://dx.doi.org/10.1111/fwb.12929</v>
      </c>
      <c r="N110" s="19" t="s">
        <v>1416</v>
      </c>
      <c r="O110" s="17" t="s">
        <v>1417</v>
      </c>
      <c r="P110" s="17" t="s">
        <v>1328</v>
      </c>
      <c r="Q110" s="17" t="s">
        <v>1328</v>
      </c>
      <c r="R110" s="17" t="s">
        <v>1328</v>
      </c>
      <c r="S110" s="17" t="s">
        <v>1328</v>
      </c>
      <c r="T110" s="17" t="s">
        <v>1328</v>
      </c>
      <c r="U110" s="20" t="str">
        <f t="shared" si="3"/>
        <v>Yes</v>
      </c>
      <c r="V110" s="19" t="str">
        <f t="shared" si="4"/>
        <v>NT</v>
      </c>
      <c r="W110" s="17" t="str">
        <f t="shared" si="5"/>
        <v>Yes</v>
      </c>
      <c r="X110" s="17" t="s">
        <v>1329</v>
      </c>
      <c r="Y110" s="17" t="s">
        <v>1330</v>
      </c>
      <c r="Z110" s="17" t="s">
        <v>1331</v>
      </c>
      <c r="AA110" s="17" t="s">
        <v>1347</v>
      </c>
      <c r="AB110" s="17" t="s">
        <v>1360</v>
      </c>
      <c r="AC110" s="17" t="s">
        <v>1361</v>
      </c>
      <c r="AD110" s="17" t="s">
        <v>1530</v>
      </c>
      <c r="AE110" s="17">
        <f t="shared" si="6"/>
        <v>2</v>
      </c>
      <c r="AF110" s="17" t="s">
        <v>1328</v>
      </c>
      <c r="AG110" s="17" t="s">
        <v>1336</v>
      </c>
      <c r="AH110" s="17" t="s">
        <v>1328</v>
      </c>
      <c r="AI110" s="17" t="s">
        <v>1336</v>
      </c>
      <c r="AJ110" s="17" t="s">
        <v>1336</v>
      </c>
      <c r="AK110" s="17" t="s">
        <v>1336</v>
      </c>
      <c r="AL110" s="17" t="s">
        <v>1350</v>
      </c>
      <c r="AM110" s="17" t="s">
        <v>1351</v>
      </c>
      <c r="AN110" s="17" t="s">
        <v>1339</v>
      </c>
      <c r="AO110" s="17" t="s">
        <v>1331</v>
      </c>
      <c r="AP110" s="17" t="s">
        <v>1328</v>
      </c>
      <c r="AQ110" s="17" t="str">
        <f t="shared" si="7"/>
        <v>high</v>
      </c>
      <c r="AR110" s="20"/>
    </row>
    <row r="111" ht="15.75" customHeight="1">
      <c r="A111" s="16" t="s">
        <v>2293</v>
      </c>
      <c r="B111" s="16" t="s">
        <v>2294</v>
      </c>
      <c r="C111" s="16">
        <v>2015.0</v>
      </c>
      <c r="D111" s="16" t="s">
        <v>2295</v>
      </c>
      <c r="E111" s="16" t="s">
        <v>2296</v>
      </c>
      <c r="F111" s="23" t="s">
        <v>1324</v>
      </c>
      <c r="G111" s="16" t="str">
        <f t="shared" si="1"/>
        <v>No</v>
      </c>
      <c r="H111" s="16" t="s">
        <v>1324</v>
      </c>
      <c r="I111" s="16" t="s">
        <v>1324</v>
      </c>
      <c r="J111" s="16">
        <v>15.0</v>
      </c>
      <c r="K111" s="17" t="s">
        <v>2297</v>
      </c>
      <c r="L111" s="17" t="s">
        <v>5010</v>
      </c>
      <c r="M111" s="18" t="str">
        <f t="shared" si="2"/>
        <v/>
      </c>
      <c r="N111" s="19" t="s">
        <v>1326</v>
      </c>
      <c r="O111" s="17" t="s">
        <v>1327</v>
      </c>
      <c r="P111" s="17" t="s">
        <v>1328</v>
      </c>
      <c r="Q111" s="17" t="s">
        <v>1328</v>
      </c>
      <c r="R111" s="17" t="s">
        <v>1328</v>
      </c>
      <c r="S111" s="17" t="s">
        <v>1328</v>
      </c>
      <c r="T111" s="17" t="s">
        <v>1328</v>
      </c>
      <c r="U111" s="20" t="str">
        <f t="shared" si="3"/>
        <v>Yes</v>
      </c>
      <c r="V111" s="19" t="str">
        <f t="shared" si="4"/>
        <v>PJ</v>
      </c>
      <c r="W111" s="17" t="str">
        <f t="shared" si="5"/>
        <v>Yes</v>
      </c>
      <c r="X111" s="17" t="s">
        <v>1329</v>
      </c>
      <c r="Y111" s="17" t="s">
        <v>1330</v>
      </c>
      <c r="Z111" s="17" t="s">
        <v>1331</v>
      </c>
      <c r="AA111" s="17" t="s">
        <v>1347</v>
      </c>
      <c r="AB111" s="17" t="s">
        <v>1333</v>
      </c>
      <c r="AC111" s="17" t="s">
        <v>1334</v>
      </c>
      <c r="AD111" s="17" t="s">
        <v>1362</v>
      </c>
      <c r="AE111" s="17">
        <f t="shared" si="6"/>
        <v>5</v>
      </c>
      <c r="AF111" s="17" t="s">
        <v>1328</v>
      </c>
      <c r="AG111" s="17" t="s">
        <v>1328</v>
      </c>
      <c r="AH111" s="17" t="s">
        <v>1328</v>
      </c>
      <c r="AI111" s="17" t="s">
        <v>1328</v>
      </c>
      <c r="AJ111" s="17" t="s">
        <v>1328</v>
      </c>
      <c r="AK111" s="17" t="s">
        <v>1336</v>
      </c>
      <c r="AL111" s="17" t="s">
        <v>1395</v>
      </c>
      <c r="AM111" s="17" t="s">
        <v>1351</v>
      </c>
      <c r="AN111" s="17" t="s">
        <v>1363</v>
      </c>
      <c r="AO111" s="17" t="s">
        <v>1331</v>
      </c>
      <c r="AP111" s="17" t="s">
        <v>1328</v>
      </c>
      <c r="AQ111" s="17" t="str">
        <f t="shared" si="7"/>
        <v>intermediate</v>
      </c>
      <c r="AR111" s="20"/>
    </row>
    <row r="112" ht="15.75" customHeight="1">
      <c r="A112" s="16" t="s">
        <v>1504</v>
      </c>
      <c r="B112" s="16" t="s">
        <v>1505</v>
      </c>
      <c r="C112" s="16">
        <v>2018.0</v>
      </c>
      <c r="D112" s="16" t="s">
        <v>1506</v>
      </c>
      <c r="E112" s="16" t="s">
        <v>1507</v>
      </c>
      <c r="F112" s="16" t="s">
        <v>1508</v>
      </c>
      <c r="G112" s="16" t="str">
        <f t="shared" si="1"/>
        <v>No</v>
      </c>
      <c r="H112" s="16" t="s">
        <v>1324</v>
      </c>
      <c r="I112" s="16" t="s">
        <v>1324</v>
      </c>
      <c r="J112" s="16">
        <v>8.0</v>
      </c>
      <c r="K112" s="17" t="s">
        <v>1509</v>
      </c>
      <c r="L112" s="17" t="s">
        <v>5010</v>
      </c>
      <c r="M112" s="18" t="str">
        <f t="shared" si="2"/>
        <v>http://dx.doi.org/10.1186/s40657-018-0106-9</v>
      </c>
      <c r="N112" s="19" t="s">
        <v>1326</v>
      </c>
      <c r="O112" s="17" t="s">
        <v>1327</v>
      </c>
      <c r="P112" s="17" t="s">
        <v>1328</v>
      </c>
      <c r="Q112" s="17" t="s">
        <v>1328</v>
      </c>
      <c r="R112" s="17" t="s">
        <v>1328</v>
      </c>
      <c r="S112" s="17" t="s">
        <v>1328</v>
      </c>
      <c r="T112" s="17" t="s">
        <v>1328</v>
      </c>
      <c r="U112" s="20" t="str">
        <f t="shared" si="3"/>
        <v>Yes</v>
      </c>
      <c r="V112" s="19" t="str">
        <f t="shared" si="4"/>
        <v>PJ</v>
      </c>
      <c r="W112" s="17" t="str">
        <f t="shared" si="5"/>
        <v>Yes</v>
      </c>
      <c r="X112" s="17" t="s">
        <v>1443</v>
      </c>
      <c r="Y112" s="17" t="s">
        <v>1330</v>
      </c>
      <c r="Z112" s="17" t="s">
        <v>1331</v>
      </c>
      <c r="AA112" s="17" t="s">
        <v>1347</v>
      </c>
      <c r="AB112" s="17" t="s">
        <v>1360</v>
      </c>
      <c r="AC112" s="17" t="s">
        <v>1381</v>
      </c>
      <c r="AD112" s="17" t="s">
        <v>1335</v>
      </c>
      <c r="AE112" s="17">
        <f t="shared" si="6"/>
        <v>4</v>
      </c>
      <c r="AF112" s="17" t="s">
        <v>1336</v>
      </c>
      <c r="AG112" s="17" t="s">
        <v>1328</v>
      </c>
      <c r="AH112" s="17" t="s">
        <v>1328</v>
      </c>
      <c r="AI112" s="17" t="s">
        <v>1336</v>
      </c>
      <c r="AJ112" s="17" t="s">
        <v>1328</v>
      </c>
      <c r="AK112" s="17" t="s">
        <v>1328</v>
      </c>
      <c r="AL112" s="17" t="s">
        <v>1395</v>
      </c>
      <c r="AM112" s="17" t="s">
        <v>1351</v>
      </c>
      <c r="AN112" s="17" t="s">
        <v>1363</v>
      </c>
      <c r="AO112" s="17" t="s">
        <v>1331</v>
      </c>
      <c r="AP112" s="17" t="s">
        <v>1328</v>
      </c>
      <c r="AQ112" s="17" t="str">
        <f t="shared" si="7"/>
        <v>high</v>
      </c>
      <c r="AR112" s="20"/>
    </row>
    <row r="113" ht="15.75" customHeight="1">
      <c r="A113" s="16" t="s">
        <v>1687</v>
      </c>
      <c r="B113" s="16" t="s">
        <v>1688</v>
      </c>
      <c r="C113" s="16">
        <v>2018.0</v>
      </c>
      <c r="D113" s="16" t="s">
        <v>1689</v>
      </c>
      <c r="E113" s="16" t="s">
        <v>1690</v>
      </c>
      <c r="F113" s="16" t="s">
        <v>1691</v>
      </c>
      <c r="G113" s="16" t="str">
        <f t="shared" si="1"/>
        <v>No</v>
      </c>
      <c r="H113" s="16" t="s">
        <v>1324</v>
      </c>
      <c r="I113" s="16" t="s">
        <v>1324</v>
      </c>
      <c r="J113" s="16">
        <v>53.0</v>
      </c>
      <c r="K113" s="17" t="s">
        <v>1692</v>
      </c>
      <c r="L113" s="17" t="s">
        <v>5010</v>
      </c>
      <c r="M113" s="18" t="str">
        <f t="shared" si="2"/>
        <v>http://dx.doi.org/10.1111/fog.12246</v>
      </c>
      <c r="N113" s="19" t="s">
        <v>1580</v>
      </c>
      <c r="O113" s="17" t="s">
        <v>1417</v>
      </c>
      <c r="P113" s="17" t="s">
        <v>1328</v>
      </c>
      <c r="Q113" s="17" t="s">
        <v>1328</v>
      </c>
      <c r="R113" s="17" t="s">
        <v>1328</v>
      </c>
      <c r="S113" s="17" t="s">
        <v>1328</v>
      </c>
      <c r="T113" s="17" t="s">
        <v>1328</v>
      </c>
      <c r="U113" s="20" t="str">
        <f t="shared" si="3"/>
        <v>Yes</v>
      </c>
      <c r="V113" s="19" t="str">
        <f t="shared" si="4"/>
        <v>NT</v>
      </c>
      <c r="W113" s="17" t="str">
        <f t="shared" si="5"/>
        <v>Yes</v>
      </c>
      <c r="X113" s="17" t="s">
        <v>1329</v>
      </c>
      <c r="Y113" s="17" t="s">
        <v>1331</v>
      </c>
      <c r="Z113" s="17" t="s">
        <v>1330</v>
      </c>
      <c r="AA113" s="17" t="s">
        <v>1347</v>
      </c>
      <c r="AB113" s="17" t="s">
        <v>1360</v>
      </c>
      <c r="AC113" s="17" t="s">
        <v>1361</v>
      </c>
      <c r="AD113" s="17" t="s">
        <v>1349</v>
      </c>
      <c r="AE113" s="17">
        <f t="shared" si="6"/>
        <v>2</v>
      </c>
      <c r="AF113" s="17" t="s">
        <v>1328</v>
      </c>
      <c r="AG113" s="17" t="s">
        <v>1336</v>
      </c>
      <c r="AH113" s="17" t="s">
        <v>1328</v>
      </c>
      <c r="AI113" s="17" t="s">
        <v>1336</v>
      </c>
      <c r="AJ113" s="17" t="s">
        <v>1336</v>
      </c>
      <c r="AK113" s="17" t="s">
        <v>1336</v>
      </c>
      <c r="AL113" s="17" t="s">
        <v>1350</v>
      </c>
      <c r="AM113" s="17" t="s">
        <v>1351</v>
      </c>
      <c r="AN113" s="17" t="s">
        <v>1339</v>
      </c>
      <c r="AO113" s="17" t="s">
        <v>1374</v>
      </c>
      <c r="AP113" s="17" t="s">
        <v>1328</v>
      </c>
      <c r="AQ113" s="17" t="str">
        <f t="shared" si="7"/>
        <v>intermediate</v>
      </c>
      <c r="AR113" s="20"/>
    </row>
    <row r="114" ht="15.75" customHeight="1">
      <c r="A114" s="16" t="s">
        <v>1842</v>
      </c>
      <c r="B114" s="16" t="s">
        <v>507</v>
      </c>
      <c r="C114" s="16">
        <v>2017.0</v>
      </c>
      <c r="D114" s="16" t="s">
        <v>1843</v>
      </c>
      <c r="E114" s="16" t="s">
        <v>1844</v>
      </c>
      <c r="F114" s="16" t="s">
        <v>1845</v>
      </c>
      <c r="G114" s="16" t="str">
        <f t="shared" si="1"/>
        <v>No</v>
      </c>
      <c r="H114" s="16" t="s">
        <v>1324</v>
      </c>
      <c r="I114" s="16" t="s">
        <v>1324</v>
      </c>
      <c r="J114" s="16">
        <v>27.0</v>
      </c>
      <c r="K114" s="17" t="s">
        <v>1846</v>
      </c>
      <c r="L114" s="17" t="s">
        <v>5010</v>
      </c>
      <c r="M114" s="18" t="str">
        <f t="shared" si="2"/>
        <v>http://dx.doi.org/10.1021/acs.est.6b05296</v>
      </c>
      <c r="N114" s="19" t="s">
        <v>1462</v>
      </c>
      <c r="O114" s="17" t="s">
        <v>1359</v>
      </c>
      <c r="P114" s="17" t="s">
        <v>1328</v>
      </c>
      <c r="Q114" s="17" t="s">
        <v>1328</v>
      </c>
      <c r="R114" s="17" t="s">
        <v>1328</v>
      </c>
      <c r="S114" s="17" t="s">
        <v>1328</v>
      </c>
      <c r="T114" s="17" t="s">
        <v>1328</v>
      </c>
      <c r="U114" s="20" t="str">
        <f t="shared" si="3"/>
        <v>Yes</v>
      </c>
      <c r="V114" s="19" t="str">
        <f t="shared" si="4"/>
        <v>YT</v>
      </c>
      <c r="W114" s="17" t="str">
        <f t="shared" si="5"/>
        <v>Yes</v>
      </c>
      <c r="X114" s="17" t="s">
        <v>1329</v>
      </c>
      <c r="Y114" s="17" t="s">
        <v>1330</v>
      </c>
      <c r="Z114" s="17" t="s">
        <v>1331</v>
      </c>
      <c r="AA114" s="17" t="s">
        <v>1347</v>
      </c>
      <c r="AB114" s="17" t="s">
        <v>1444</v>
      </c>
      <c r="AC114" s="17" t="s">
        <v>1445</v>
      </c>
      <c r="AD114" s="17" t="s">
        <v>1362</v>
      </c>
      <c r="AE114" s="17">
        <f t="shared" si="6"/>
        <v>2</v>
      </c>
      <c r="AF114" s="17" t="s">
        <v>1328</v>
      </c>
      <c r="AG114" s="17" t="s">
        <v>1328</v>
      </c>
      <c r="AH114" s="17" t="s">
        <v>1336</v>
      </c>
      <c r="AI114" s="17" t="s">
        <v>1336</v>
      </c>
      <c r="AJ114" s="17" t="s">
        <v>1336</v>
      </c>
      <c r="AK114" s="17" t="s">
        <v>1336</v>
      </c>
      <c r="AL114" s="17" t="s">
        <v>1350</v>
      </c>
      <c r="AM114" s="17" t="s">
        <v>1351</v>
      </c>
      <c r="AN114" s="17" t="s">
        <v>1363</v>
      </c>
      <c r="AO114" s="17" t="s">
        <v>1331</v>
      </c>
      <c r="AP114" s="17" t="s">
        <v>1328</v>
      </c>
      <c r="AQ114" s="17" t="str">
        <f t="shared" si="7"/>
        <v>high</v>
      </c>
      <c r="AR114" s="20"/>
    </row>
    <row r="115" ht="15.75" customHeight="1">
      <c r="A115" s="16" t="s">
        <v>1752</v>
      </c>
      <c r="B115" s="16" t="s">
        <v>318</v>
      </c>
      <c r="C115" s="16">
        <v>2018.0</v>
      </c>
      <c r="D115" s="16" t="s">
        <v>1753</v>
      </c>
      <c r="E115" s="16" t="s">
        <v>1754</v>
      </c>
      <c r="F115" s="16" t="s">
        <v>1755</v>
      </c>
      <c r="G115" s="16" t="str">
        <f t="shared" si="1"/>
        <v>No</v>
      </c>
      <c r="H115" s="16" t="s">
        <v>1324</v>
      </c>
      <c r="I115" s="16" t="s">
        <v>1324</v>
      </c>
      <c r="J115" s="16">
        <v>1.0</v>
      </c>
      <c r="K115" s="17" t="s">
        <v>1756</v>
      </c>
      <c r="L115" s="17" t="s">
        <v>5010</v>
      </c>
      <c r="M115" s="18" t="str">
        <f t="shared" si="2"/>
        <v>http://dx.doi.org/10.1088/1748-9326/aac331</v>
      </c>
      <c r="N115" s="19" t="s">
        <v>1614</v>
      </c>
      <c r="O115" s="17" t="s">
        <v>1327</v>
      </c>
      <c r="P115" s="17" t="s">
        <v>1328</v>
      </c>
      <c r="Q115" s="17" t="s">
        <v>1328</v>
      </c>
      <c r="R115" s="17" t="s">
        <v>1328</v>
      </c>
      <c r="S115" s="17" t="s">
        <v>1328</v>
      </c>
      <c r="T115" s="17" t="s">
        <v>1328</v>
      </c>
      <c r="U115" s="20" t="str">
        <f t="shared" si="3"/>
        <v>Yes</v>
      </c>
      <c r="V115" s="19" t="str">
        <f t="shared" si="4"/>
        <v>PJ</v>
      </c>
      <c r="W115" s="17" t="str">
        <f t="shared" si="5"/>
        <v>Yes</v>
      </c>
      <c r="X115" s="17" t="s">
        <v>1329</v>
      </c>
      <c r="Y115" s="17" t="s">
        <v>1523</v>
      </c>
      <c r="Z115" s="17" t="s">
        <v>1330</v>
      </c>
      <c r="AA115" s="17" t="s">
        <v>1347</v>
      </c>
      <c r="AB115" s="17" t="s">
        <v>1360</v>
      </c>
      <c r="AC115" s="17" t="s">
        <v>1348</v>
      </c>
      <c r="AD115" s="17" t="s">
        <v>1464</v>
      </c>
      <c r="AE115" s="17">
        <f t="shared" si="6"/>
        <v>2</v>
      </c>
      <c r="AF115" s="17" t="s">
        <v>1336</v>
      </c>
      <c r="AG115" s="17" t="s">
        <v>1336</v>
      </c>
      <c r="AH115" s="17" t="s">
        <v>1328</v>
      </c>
      <c r="AI115" s="17" t="s">
        <v>1336</v>
      </c>
      <c r="AJ115" s="17" t="s">
        <v>1336</v>
      </c>
      <c r="AK115" s="17" t="s">
        <v>1328</v>
      </c>
      <c r="AL115" s="17" t="s">
        <v>1395</v>
      </c>
      <c r="AM115" s="17" t="s">
        <v>1351</v>
      </c>
      <c r="AN115" s="17" t="s">
        <v>1363</v>
      </c>
      <c r="AO115" s="17" t="s">
        <v>1331</v>
      </c>
      <c r="AP115" s="17" t="s">
        <v>1328</v>
      </c>
      <c r="AQ115" s="17" t="str">
        <f t="shared" si="7"/>
        <v>intermediate</v>
      </c>
      <c r="AR115" s="20"/>
    </row>
    <row r="116" ht="15.75" customHeight="1">
      <c r="A116" s="16" t="s">
        <v>2141</v>
      </c>
      <c r="B116" s="16" t="s">
        <v>2142</v>
      </c>
      <c r="C116" s="16">
        <v>2006.0</v>
      </c>
      <c r="D116" s="16" t="s">
        <v>2143</v>
      </c>
      <c r="E116" s="16" t="s">
        <v>2144</v>
      </c>
      <c r="F116" s="16" t="s">
        <v>2145</v>
      </c>
      <c r="G116" s="16" t="str">
        <f t="shared" si="1"/>
        <v>No</v>
      </c>
      <c r="H116" s="16" t="s">
        <v>1324</v>
      </c>
      <c r="I116" s="16" t="s">
        <v>1324</v>
      </c>
      <c r="J116" s="16">
        <v>142.0</v>
      </c>
      <c r="K116" s="17" t="s">
        <v>2146</v>
      </c>
      <c r="L116" s="17" t="s">
        <v>5010</v>
      </c>
      <c r="M116" s="18" t="str">
        <f t="shared" si="2"/>
        <v>http://dx.doi.org/10.1016/j.agee.2005.10.019</v>
      </c>
      <c r="N116" s="19" t="s">
        <v>1947</v>
      </c>
      <c r="O116" s="17" t="s">
        <v>1327</v>
      </c>
      <c r="P116" s="17" t="s">
        <v>1328</v>
      </c>
      <c r="Q116" s="17" t="s">
        <v>1328</v>
      </c>
      <c r="R116" s="17" t="s">
        <v>1328</v>
      </c>
      <c r="S116" s="17" t="s">
        <v>1328</v>
      </c>
      <c r="T116" s="17" t="s">
        <v>1328</v>
      </c>
      <c r="U116" s="20" t="str">
        <f t="shared" si="3"/>
        <v>Yes</v>
      </c>
      <c r="V116" s="19" t="str">
        <f t="shared" si="4"/>
        <v>PJ</v>
      </c>
      <c r="W116" s="17" t="str">
        <f t="shared" si="5"/>
        <v>Yes</v>
      </c>
      <c r="X116" s="17" t="s">
        <v>1329</v>
      </c>
      <c r="Y116" s="17" t="s">
        <v>1330</v>
      </c>
      <c r="Z116" s="17" t="s">
        <v>1331</v>
      </c>
      <c r="AA116" s="17" t="s">
        <v>1347</v>
      </c>
      <c r="AB116" s="17" t="s">
        <v>1333</v>
      </c>
      <c r="AC116" s="17" t="s">
        <v>1334</v>
      </c>
      <c r="AD116" s="17" t="s">
        <v>1362</v>
      </c>
      <c r="AE116" s="17">
        <f t="shared" si="6"/>
        <v>2</v>
      </c>
      <c r="AF116" s="17" t="s">
        <v>1336</v>
      </c>
      <c r="AG116" s="17" t="s">
        <v>1328</v>
      </c>
      <c r="AH116" s="17" t="s">
        <v>1328</v>
      </c>
      <c r="AI116" s="17" t="s">
        <v>1336</v>
      </c>
      <c r="AJ116" s="17" t="s">
        <v>1336</v>
      </c>
      <c r="AK116" s="17" t="s">
        <v>1336</v>
      </c>
      <c r="AL116" s="17" t="s">
        <v>1350</v>
      </c>
      <c r="AM116" s="17" t="s">
        <v>1351</v>
      </c>
      <c r="AN116" s="17" t="s">
        <v>1363</v>
      </c>
      <c r="AO116" s="17" t="s">
        <v>1331</v>
      </c>
      <c r="AP116" s="17" t="s">
        <v>1328</v>
      </c>
      <c r="AQ116" s="17" t="str">
        <f t="shared" si="7"/>
        <v>intermediate</v>
      </c>
      <c r="AR116" s="20"/>
    </row>
    <row r="117" ht="15.75" customHeight="1">
      <c r="A117" s="16" t="s">
        <v>1964</v>
      </c>
      <c r="B117" s="16" t="s">
        <v>1965</v>
      </c>
      <c r="C117" s="16">
        <v>2018.0</v>
      </c>
      <c r="D117" s="16" t="s">
        <v>1966</v>
      </c>
      <c r="E117" s="16" t="s">
        <v>1967</v>
      </c>
      <c r="F117" s="16" t="s">
        <v>1968</v>
      </c>
      <c r="G117" s="16" t="str">
        <f t="shared" si="1"/>
        <v>No</v>
      </c>
      <c r="H117" s="16" t="s">
        <v>1324</v>
      </c>
      <c r="I117" s="16" t="s">
        <v>1324</v>
      </c>
      <c r="J117" s="16">
        <v>17.0</v>
      </c>
      <c r="K117" s="17" t="s">
        <v>1969</v>
      </c>
      <c r="L117" s="17" t="s">
        <v>5010</v>
      </c>
      <c r="M117" s="18" t="str">
        <f t="shared" si="2"/>
        <v>http://dx.doi.org/10.1016/j.marenvres.2018.05.008</v>
      </c>
      <c r="N117" s="19" t="s">
        <v>1402</v>
      </c>
      <c r="O117" s="17" t="s">
        <v>1387</v>
      </c>
      <c r="P117" s="17" t="s">
        <v>1328</v>
      </c>
      <c r="Q117" s="17" t="s">
        <v>1328</v>
      </c>
      <c r="R117" s="17" t="s">
        <v>1328</v>
      </c>
      <c r="S117" s="17" t="s">
        <v>1328</v>
      </c>
      <c r="T117" s="17" t="s">
        <v>1328</v>
      </c>
      <c r="U117" s="20" t="str">
        <f t="shared" si="3"/>
        <v>Yes</v>
      </c>
      <c r="V117" s="19" t="str">
        <f t="shared" si="4"/>
        <v>MW</v>
      </c>
      <c r="W117" s="17" t="str">
        <f t="shared" si="5"/>
        <v>Yes</v>
      </c>
      <c r="X117" s="17" t="s">
        <v>1329</v>
      </c>
      <c r="Y117" s="17" t="s">
        <v>1330</v>
      </c>
      <c r="Z117" s="17" t="s">
        <v>1331</v>
      </c>
      <c r="AA117" s="17" t="s">
        <v>1347</v>
      </c>
      <c r="AB117" s="17" t="s">
        <v>1333</v>
      </c>
      <c r="AC117" s="17" t="s">
        <v>1348</v>
      </c>
      <c r="AD117" s="17" t="s">
        <v>1349</v>
      </c>
      <c r="AE117" s="17">
        <f t="shared" si="6"/>
        <v>3</v>
      </c>
      <c r="AF117" s="17" t="s">
        <v>1336</v>
      </c>
      <c r="AG117" s="17" t="s">
        <v>1336</v>
      </c>
      <c r="AH117" s="17" t="s">
        <v>1328</v>
      </c>
      <c r="AI117" s="17" t="s">
        <v>1336</v>
      </c>
      <c r="AJ117" s="17" t="s">
        <v>1328</v>
      </c>
      <c r="AK117" s="17" t="s">
        <v>1328</v>
      </c>
      <c r="AL117" s="17" t="s">
        <v>1350</v>
      </c>
      <c r="AM117" s="17" t="s">
        <v>1351</v>
      </c>
      <c r="AN117" s="17" t="s">
        <v>1363</v>
      </c>
      <c r="AO117" s="17" t="s">
        <v>1388</v>
      </c>
      <c r="AP117" s="17" t="s">
        <v>1328</v>
      </c>
      <c r="AQ117" s="17" t="str">
        <f t="shared" si="7"/>
        <v>intermediate</v>
      </c>
      <c r="AR117" s="20"/>
    </row>
    <row r="118" ht="15.75" customHeight="1">
      <c r="A118" s="16" t="s">
        <v>1510</v>
      </c>
      <c r="B118" s="16" t="s">
        <v>1511</v>
      </c>
      <c r="C118" s="16">
        <v>2018.0</v>
      </c>
      <c r="D118" s="16" t="s">
        <v>1512</v>
      </c>
      <c r="E118" s="16" t="s">
        <v>1513</v>
      </c>
      <c r="F118" s="16" t="s">
        <v>1514</v>
      </c>
      <c r="G118" s="16" t="str">
        <f t="shared" si="1"/>
        <v>No</v>
      </c>
      <c r="H118" s="16" t="s">
        <v>1324</v>
      </c>
      <c r="I118" s="16" t="s">
        <v>1324</v>
      </c>
      <c r="J118" s="16">
        <v>66.0</v>
      </c>
      <c r="K118" s="17" t="s">
        <v>1515</v>
      </c>
      <c r="L118" s="17" t="s">
        <v>5010</v>
      </c>
      <c r="M118" s="18" t="str">
        <f t="shared" si="2"/>
        <v>http://dx.doi.org/10.1177/1940082918769460</v>
      </c>
      <c r="N118" s="19" t="s">
        <v>1482</v>
      </c>
      <c r="O118" s="17" t="s">
        <v>1403</v>
      </c>
      <c r="P118" s="17" t="s">
        <v>1328</v>
      </c>
      <c r="Q118" s="17" t="s">
        <v>1328</v>
      </c>
      <c r="R118" s="17" t="s">
        <v>1328</v>
      </c>
      <c r="S118" s="17" t="s">
        <v>1328</v>
      </c>
      <c r="T118" s="17" t="s">
        <v>1328</v>
      </c>
      <c r="U118" s="20" t="str">
        <f t="shared" si="3"/>
        <v>Yes</v>
      </c>
      <c r="V118" s="19" t="str">
        <f t="shared" si="4"/>
        <v>DB</v>
      </c>
      <c r="W118" s="17" t="str">
        <f t="shared" si="5"/>
        <v>Yes</v>
      </c>
      <c r="X118" s="17" t="s">
        <v>1329</v>
      </c>
      <c r="Y118" s="17" t="s">
        <v>1330</v>
      </c>
      <c r="Z118" s="17" t="s">
        <v>1331</v>
      </c>
      <c r="AA118" s="17" t="s">
        <v>1347</v>
      </c>
      <c r="AB118" s="17" t="s">
        <v>1333</v>
      </c>
      <c r="AC118" s="17" t="s">
        <v>1381</v>
      </c>
      <c r="AD118" s="17" t="s">
        <v>1362</v>
      </c>
      <c r="AE118" s="17">
        <f t="shared" si="6"/>
        <v>2</v>
      </c>
      <c r="AF118" s="17" t="s">
        <v>1336</v>
      </c>
      <c r="AG118" s="17" t="s">
        <v>1328</v>
      </c>
      <c r="AH118" s="17" t="s">
        <v>1336</v>
      </c>
      <c r="AI118" s="17" t="s">
        <v>1336</v>
      </c>
      <c r="AJ118" s="17" t="s">
        <v>1336</v>
      </c>
      <c r="AK118" s="17" t="s">
        <v>1328</v>
      </c>
      <c r="AL118" s="17" t="s">
        <v>1350</v>
      </c>
      <c r="AM118" s="17" t="s">
        <v>1351</v>
      </c>
      <c r="AN118" s="17" t="s">
        <v>1363</v>
      </c>
      <c r="AO118" s="17" t="s">
        <v>1374</v>
      </c>
      <c r="AP118" s="17" t="s">
        <v>1328</v>
      </c>
      <c r="AQ118" s="17" t="str">
        <f t="shared" si="7"/>
        <v>intermediate</v>
      </c>
      <c r="AR118" s="20"/>
    </row>
    <row r="119" ht="15.75" customHeight="1">
      <c r="A119" s="16" t="s">
        <v>1557</v>
      </c>
      <c r="B119" s="16" t="s">
        <v>1558</v>
      </c>
      <c r="C119" s="16">
        <v>2017.0</v>
      </c>
      <c r="D119" s="16" t="s">
        <v>1559</v>
      </c>
      <c r="E119" s="16" t="s">
        <v>1560</v>
      </c>
      <c r="F119" s="16" t="s">
        <v>1561</v>
      </c>
      <c r="G119" s="16" t="str">
        <f t="shared" si="1"/>
        <v>No</v>
      </c>
      <c r="H119" s="16" t="s">
        <v>1324</v>
      </c>
      <c r="I119" s="16" t="s">
        <v>1324</v>
      </c>
      <c r="J119" s="16">
        <v>124.0</v>
      </c>
      <c r="K119" s="17" t="s">
        <v>1562</v>
      </c>
      <c r="L119" s="17" t="s">
        <v>5010</v>
      </c>
      <c r="M119" s="18" t="str">
        <f t="shared" si="2"/>
        <v>http://dx.doi.org/10.1111/jbi.12808</v>
      </c>
      <c r="N119" s="19" t="s">
        <v>1495</v>
      </c>
      <c r="O119" s="17" t="s">
        <v>1371</v>
      </c>
      <c r="P119" s="17" t="s">
        <v>1328</v>
      </c>
      <c r="Q119" s="17" t="s">
        <v>1328</v>
      </c>
      <c r="R119" s="17" t="s">
        <v>1328</v>
      </c>
      <c r="S119" s="17" t="s">
        <v>1328</v>
      </c>
      <c r="T119" s="17" t="s">
        <v>1328</v>
      </c>
      <c r="U119" s="20" t="str">
        <f t="shared" si="3"/>
        <v>Yes</v>
      </c>
      <c r="V119" s="19" t="str">
        <f t="shared" si="4"/>
        <v>LC</v>
      </c>
      <c r="W119" s="17" t="str">
        <f t="shared" si="5"/>
        <v>Yes</v>
      </c>
      <c r="X119" s="17" t="s">
        <v>1329</v>
      </c>
      <c r="Y119" s="17" t="s">
        <v>1330</v>
      </c>
      <c r="Z119" s="17" t="s">
        <v>1372</v>
      </c>
      <c r="AA119" s="17" t="s">
        <v>1332</v>
      </c>
      <c r="AB119" s="17" t="s">
        <v>1444</v>
      </c>
      <c r="AC119" s="17" t="s">
        <v>1445</v>
      </c>
      <c r="AD119" s="17" t="s">
        <v>1464</v>
      </c>
      <c r="AE119" s="17">
        <f t="shared" si="6"/>
        <v>2</v>
      </c>
      <c r="AF119" s="17" t="s">
        <v>1328</v>
      </c>
      <c r="AG119" s="17" t="s">
        <v>1336</v>
      </c>
      <c r="AH119" s="17" t="s">
        <v>1336</v>
      </c>
      <c r="AI119" s="17" t="s">
        <v>1328</v>
      </c>
      <c r="AJ119" s="17" t="s">
        <v>1336</v>
      </c>
      <c r="AK119" s="17" t="s">
        <v>1336</v>
      </c>
      <c r="AL119" s="17" t="s">
        <v>1350</v>
      </c>
      <c r="AM119" s="17" t="s">
        <v>1351</v>
      </c>
      <c r="AN119" s="17" t="s">
        <v>1363</v>
      </c>
      <c r="AO119" s="17" t="s">
        <v>1388</v>
      </c>
      <c r="AP119" s="17" t="s">
        <v>1328</v>
      </c>
      <c r="AQ119" s="17" t="str">
        <f t="shared" si="7"/>
        <v>high</v>
      </c>
      <c r="AR119" s="20"/>
    </row>
    <row r="120" ht="15.75" customHeight="1">
      <c r="A120" s="16" t="s">
        <v>1899</v>
      </c>
      <c r="B120" s="16" t="s">
        <v>629</v>
      </c>
      <c r="C120" s="16">
        <v>2011.0</v>
      </c>
      <c r="D120" s="16" t="s">
        <v>1900</v>
      </c>
      <c r="E120" s="16" t="s">
        <v>1901</v>
      </c>
      <c r="F120" s="16" t="s">
        <v>1902</v>
      </c>
      <c r="G120" s="16" t="str">
        <f t="shared" si="1"/>
        <v>No</v>
      </c>
      <c r="H120" s="16" t="s">
        <v>1324</v>
      </c>
      <c r="I120" s="16" t="s">
        <v>1324</v>
      </c>
      <c r="J120" s="16">
        <v>21.0</v>
      </c>
      <c r="K120" s="17" t="s">
        <v>1903</v>
      </c>
      <c r="L120" s="17" t="s">
        <v>5010</v>
      </c>
      <c r="M120" s="18" t="str">
        <f t="shared" si="2"/>
        <v>http://dx.doi.org/10.1016/j.tree.2011.07.008</v>
      </c>
      <c r="N120" s="19" t="s">
        <v>1580</v>
      </c>
      <c r="O120" s="17" t="s">
        <v>1470</v>
      </c>
      <c r="P120" s="17" t="s">
        <v>1328</v>
      </c>
      <c r="Q120" s="17" t="s">
        <v>1328</v>
      </c>
      <c r="R120" s="17" t="s">
        <v>1328</v>
      </c>
      <c r="S120" s="17" t="s">
        <v>1328</v>
      </c>
      <c r="T120" s="17" t="s">
        <v>1328</v>
      </c>
      <c r="U120" s="20" t="str">
        <f t="shared" si="3"/>
        <v>Yes</v>
      </c>
      <c r="V120" s="19" t="str">
        <f t="shared" si="4"/>
        <v>AG</v>
      </c>
      <c r="W120" s="17" t="str">
        <f t="shared" si="5"/>
        <v>Yes</v>
      </c>
      <c r="X120" s="17" t="s">
        <v>1443</v>
      </c>
      <c r="Y120" s="17" t="s">
        <v>1372</v>
      </c>
      <c r="Z120" s="17" t="s">
        <v>1331</v>
      </c>
      <c r="AA120" s="17" t="s">
        <v>1347</v>
      </c>
      <c r="AB120" s="17" t="s">
        <v>1444</v>
      </c>
      <c r="AC120" s="17" t="s">
        <v>1445</v>
      </c>
      <c r="AD120" s="17" t="s">
        <v>1349</v>
      </c>
      <c r="AE120" s="17">
        <f t="shared" si="6"/>
        <v>3</v>
      </c>
      <c r="AF120" s="17" t="s">
        <v>1336</v>
      </c>
      <c r="AG120" s="17" t="s">
        <v>1328</v>
      </c>
      <c r="AH120" s="17" t="s">
        <v>1328</v>
      </c>
      <c r="AI120" s="17" t="s">
        <v>1336</v>
      </c>
      <c r="AJ120" s="17" t="s">
        <v>1328</v>
      </c>
      <c r="AK120" s="17" t="s">
        <v>1336</v>
      </c>
      <c r="AL120" s="17" t="s">
        <v>1395</v>
      </c>
      <c r="AM120" s="17" t="s">
        <v>1338</v>
      </c>
      <c r="AN120" s="17" t="s">
        <v>1363</v>
      </c>
      <c r="AO120" s="17" t="s">
        <v>1374</v>
      </c>
      <c r="AP120" s="17" t="s">
        <v>1328</v>
      </c>
      <c r="AQ120" s="17" t="str">
        <f t="shared" si="7"/>
        <v>high</v>
      </c>
      <c r="AR120" s="20"/>
    </row>
    <row r="121" ht="15.75" customHeight="1">
      <c r="A121" s="16" t="s">
        <v>1396</v>
      </c>
      <c r="B121" s="16" t="s">
        <v>1397</v>
      </c>
      <c r="C121" s="16">
        <v>2018.0</v>
      </c>
      <c r="D121" s="16" t="s">
        <v>1398</v>
      </c>
      <c r="E121" s="16" t="s">
        <v>1399</v>
      </c>
      <c r="F121" s="16" t="s">
        <v>1400</v>
      </c>
      <c r="G121" s="16" t="str">
        <f t="shared" si="1"/>
        <v>No</v>
      </c>
      <c r="H121" s="16" t="s">
        <v>1324</v>
      </c>
      <c r="I121" s="16" t="s">
        <v>1324</v>
      </c>
      <c r="J121" s="16">
        <v>132.0</v>
      </c>
      <c r="K121" s="17" t="s">
        <v>1401</v>
      </c>
      <c r="L121" s="17" t="s">
        <v>5010</v>
      </c>
      <c r="M121" s="18" t="str">
        <f t="shared" si="2"/>
        <v>http://dx.doi.org/10.3354/meps12462</v>
      </c>
      <c r="N121" s="19" t="s">
        <v>1402</v>
      </c>
      <c r="O121" s="17" t="s">
        <v>1403</v>
      </c>
      <c r="P121" s="17" t="s">
        <v>1328</v>
      </c>
      <c r="Q121" s="17" t="s">
        <v>1328</v>
      </c>
      <c r="R121" s="17" t="s">
        <v>1328</v>
      </c>
      <c r="S121" s="17" t="s">
        <v>1328</v>
      </c>
      <c r="T121" s="17" t="s">
        <v>1328</v>
      </c>
      <c r="U121" s="20" t="str">
        <f t="shared" si="3"/>
        <v>Yes</v>
      </c>
      <c r="V121" s="19" t="str">
        <f t="shared" si="4"/>
        <v>DB</v>
      </c>
      <c r="W121" s="17" t="str">
        <f t="shared" si="5"/>
        <v>Yes</v>
      </c>
      <c r="X121" s="17" t="s">
        <v>1329</v>
      </c>
      <c r="Y121" s="17" t="s">
        <v>1330</v>
      </c>
      <c r="Z121" s="17" t="s">
        <v>1331</v>
      </c>
      <c r="AA121" s="17" t="s">
        <v>1347</v>
      </c>
      <c r="AB121" s="17" t="s">
        <v>1360</v>
      </c>
      <c r="AC121" s="17" t="s">
        <v>1348</v>
      </c>
      <c r="AD121" s="17" t="s">
        <v>1349</v>
      </c>
      <c r="AE121" s="17">
        <f t="shared" si="6"/>
        <v>2</v>
      </c>
      <c r="AF121" s="17" t="s">
        <v>1328</v>
      </c>
      <c r="AG121" s="17" t="s">
        <v>1336</v>
      </c>
      <c r="AH121" s="17" t="s">
        <v>1328</v>
      </c>
      <c r="AI121" s="17" t="s">
        <v>1336</v>
      </c>
      <c r="AJ121" s="17" t="s">
        <v>1336</v>
      </c>
      <c r="AK121" s="17" t="s">
        <v>1336</v>
      </c>
      <c r="AL121" s="17" t="s">
        <v>1404</v>
      </c>
      <c r="AM121" s="17" t="s">
        <v>1351</v>
      </c>
      <c r="AN121" s="17" t="s">
        <v>1363</v>
      </c>
      <c r="AO121" s="17" t="s">
        <v>1388</v>
      </c>
      <c r="AP121" s="17" t="s">
        <v>1328</v>
      </c>
      <c r="AQ121" s="17" t="str">
        <f t="shared" si="7"/>
        <v>high</v>
      </c>
      <c r="AR121" s="20"/>
    </row>
    <row r="122" ht="15.75" customHeight="1">
      <c r="A122" s="16" t="s">
        <v>1941</v>
      </c>
      <c r="B122" s="16" t="s">
        <v>1942</v>
      </c>
      <c r="C122" s="16">
        <v>2011.0</v>
      </c>
      <c r="D122" s="16" t="s">
        <v>1943</v>
      </c>
      <c r="E122" s="16" t="s">
        <v>1944</v>
      </c>
      <c r="F122" s="16" t="s">
        <v>1945</v>
      </c>
      <c r="G122" s="16" t="str">
        <f t="shared" si="1"/>
        <v>No</v>
      </c>
      <c r="H122" s="16" t="s">
        <v>1324</v>
      </c>
      <c r="I122" s="16" t="s">
        <v>1324</v>
      </c>
      <c r="J122" s="16">
        <v>112.0</v>
      </c>
      <c r="K122" s="17" t="s">
        <v>1946</v>
      </c>
      <c r="L122" s="17" t="s">
        <v>5010</v>
      </c>
      <c r="M122" s="18" t="str">
        <f t="shared" si="2"/>
        <v>http://dx.doi.org/10.1016/j.proenv.2011.09.341</v>
      </c>
      <c r="N122" s="19" t="s">
        <v>1947</v>
      </c>
      <c r="O122" s="17" t="s">
        <v>1371</v>
      </c>
      <c r="P122" s="17" t="s">
        <v>1328</v>
      </c>
      <c r="Q122" s="17" t="s">
        <v>1328</v>
      </c>
      <c r="R122" s="17" t="s">
        <v>1328</v>
      </c>
      <c r="S122" s="17" t="s">
        <v>1328</v>
      </c>
      <c r="T122" s="17" t="s">
        <v>1328</v>
      </c>
      <c r="U122" s="20" t="str">
        <f t="shared" si="3"/>
        <v>Yes</v>
      </c>
      <c r="V122" s="19" t="str">
        <f t="shared" si="4"/>
        <v>LC</v>
      </c>
      <c r="W122" s="17" t="str">
        <f t="shared" si="5"/>
        <v>Yes</v>
      </c>
      <c r="X122" s="17" t="s">
        <v>1329</v>
      </c>
      <c r="Y122" s="17" t="s">
        <v>1372</v>
      </c>
      <c r="Z122" s="17" t="s">
        <v>1331</v>
      </c>
      <c r="AA122" s="17" t="s">
        <v>1347</v>
      </c>
      <c r="AB122" s="17" t="s">
        <v>1333</v>
      </c>
      <c r="AC122" s="17" t="s">
        <v>1381</v>
      </c>
      <c r="AD122" s="17" t="s">
        <v>1464</v>
      </c>
      <c r="AE122" s="17">
        <f t="shared" si="6"/>
        <v>3</v>
      </c>
      <c r="AF122" s="17" t="s">
        <v>1336</v>
      </c>
      <c r="AG122" s="17" t="s">
        <v>1328</v>
      </c>
      <c r="AH122" s="17" t="s">
        <v>1328</v>
      </c>
      <c r="AI122" s="17" t="s">
        <v>1336</v>
      </c>
      <c r="AJ122" s="17" t="s">
        <v>1336</v>
      </c>
      <c r="AK122" s="17" t="s">
        <v>1328</v>
      </c>
      <c r="AL122" s="17" t="s">
        <v>1350</v>
      </c>
      <c r="AM122" s="17" t="s">
        <v>1351</v>
      </c>
      <c r="AN122" s="17" t="s">
        <v>1363</v>
      </c>
      <c r="AO122" s="17" t="s">
        <v>1331</v>
      </c>
      <c r="AP122" s="17" t="s">
        <v>1328</v>
      </c>
      <c r="AQ122" s="17" t="str">
        <f t="shared" si="7"/>
        <v>intermediate</v>
      </c>
      <c r="AR122" s="20"/>
    </row>
    <row r="123" ht="15.75" customHeight="1">
      <c r="A123" s="16" t="s">
        <v>2070</v>
      </c>
      <c r="B123" s="16" t="s">
        <v>2071</v>
      </c>
      <c r="C123" s="16">
        <v>2018.0</v>
      </c>
      <c r="D123" s="16" t="s">
        <v>2072</v>
      </c>
      <c r="E123" s="16" t="s">
        <v>2073</v>
      </c>
      <c r="F123" s="16" t="s">
        <v>2074</v>
      </c>
      <c r="G123" s="16" t="str">
        <f t="shared" si="1"/>
        <v>No</v>
      </c>
      <c r="H123" s="16" t="s">
        <v>1324</v>
      </c>
      <c r="I123" s="16" t="s">
        <v>1324</v>
      </c>
      <c r="J123" s="16">
        <v>48.0</v>
      </c>
      <c r="K123" s="17" t="s">
        <v>2075</v>
      </c>
      <c r="L123" s="17" t="s">
        <v>5010</v>
      </c>
      <c r="M123" s="18" t="str">
        <f t="shared" si="2"/>
        <v>http://dx.doi.org/10.1016/j.ecolind.2018.03.004</v>
      </c>
      <c r="N123" s="19" t="s">
        <v>1495</v>
      </c>
      <c r="O123" s="17" t="s">
        <v>1359</v>
      </c>
      <c r="P123" s="17" t="s">
        <v>1328</v>
      </c>
      <c r="Q123" s="17" t="s">
        <v>1328</v>
      </c>
      <c r="R123" s="17" t="s">
        <v>1328</v>
      </c>
      <c r="S123" s="17" t="s">
        <v>1328</v>
      </c>
      <c r="T123" s="17" t="s">
        <v>1328</v>
      </c>
      <c r="U123" s="20" t="str">
        <f t="shared" si="3"/>
        <v>Yes</v>
      </c>
      <c r="V123" s="19" t="str">
        <f t="shared" si="4"/>
        <v>YT</v>
      </c>
      <c r="W123" s="17" t="str">
        <f t="shared" si="5"/>
        <v>Yes</v>
      </c>
      <c r="X123" s="17" t="s">
        <v>1329</v>
      </c>
      <c r="Y123" s="17" t="s">
        <v>1330</v>
      </c>
      <c r="Z123" s="17" t="s">
        <v>1330</v>
      </c>
      <c r="AA123" s="17" t="s">
        <v>1347</v>
      </c>
      <c r="AB123" s="17" t="s">
        <v>1333</v>
      </c>
      <c r="AC123" s="17" t="s">
        <v>1381</v>
      </c>
      <c r="AD123" s="17" t="s">
        <v>1530</v>
      </c>
      <c r="AE123" s="17">
        <f t="shared" si="6"/>
        <v>2</v>
      </c>
      <c r="AF123" s="17" t="s">
        <v>1336</v>
      </c>
      <c r="AG123" s="17" t="s">
        <v>1336</v>
      </c>
      <c r="AH123" s="17" t="s">
        <v>1336</v>
      </c>
      <c r="AI123" s="17" t="s">
        <v>1328</v>
      </c>
      <c r="AJ123" s="17" t="s">
        <v>1336</v>
      </c>
      <c r="AK123" s="17" t="s">
        <v>1328</v>
      </c>
      <c r="AL123" s="17" t="s">
        <v>1350</v>
      </c>
      <c r="AM123" s="17" t="s">
        <v>1351</v>
      </c>
      <c r="AN123" s="17" t="s">
        <v>1339</v>
      </c>
      <c r="AO123" s="17" t="s">
        <v>1331</v>
      </c>
      <c r="AP123" s="17" t="s">
        <v>1328</v>
      </c>
      <c r="AQ123" s="17" t="str">
        <f t="shared" si="7"/>
        <v>intermediate</v>
      </c>
      <c r="AR123" s="20"/>
    </row>
    <row r="124" ht="15.75" customHeight="1">
      <c r="A124" s="16" t="s">
        <v>2171</v>
      </c>
      <c r="B124" s="16" t="s">
        <v>2172</v>
      </c>
      <c r="C124" s="16">
        <v>2014.0</v>
      </c>
      <c r="D124" s="16" t="s">
        <v>2173</v>
      </c>
      <c r="E124" s="16" t="s">
        <v>2174</v>
      </c>
      <c r="F124" s="16" t="s">
        <v>2175</v>
      </c>
      <c r="G124" s="16" t="str">
        <f t="shared" si="1"/>
        <v>No</v>
      </c>
      <c r="H124" s="16" t="s">
        <v>1324</v>
      </c>
      <c r="I124" s="16" t="s">
        <v>1324</v>
      </c>
      <c r="J124" s="16">
        <v>42.0</v>
      </c>
      <c r="K124" s="17" t="s">
        <v>2176</v>
      </c>
      <c r="L124" s="17" t="s">
        <v>5010</v>
      </c>
      <c r="M124" s="18" t="str">
        <f t="shared" si="2"/>
        <v>http://dx.doi.org/10.1007/s12665-013-2547-0</v>
      </c>
      <c r="N124" s="19" t="s">
        <v>1666</v>
      </c>
      <c r="O124" s="17" t="s">
        <v>1417</v>
      </c>
      <c r="P124" s="17" t="s">
        <v>1328</v>
      </c>
      <c r="Q124" s="17" t="s">
        <v>1328</v>
      </c>
      <c r="R124" s="17" t="s">
        <v>1328</v>
      </c>
      <c r="S124" s="17" t="s">
        <v>1328</v>
      </c>
      <c r="T124" s="17" t="s">
        <v>1328</v>
      </c>
      <c r="U124" s="20" t="str">
        <f t="shared" si="3"/>
        <v>Yes</v>
      </c>
      <c r="V124" s="19" t="str">
        <f t="shared" si="4"/>
        <v>NT</v>
      </c>
      <c r="W124" s="17" t="str">
        <f t="shared" si="5"/>
        <v>Yes</v>
      </c>
      <c r="X124" s="17" t="s">
        <v>1329</v>
      </c>
      <c r="Y124" s="17" t="s">
        <v>1330</v>
      </c>
      <c r="Z124" s="17" t="s">
        <v>1331</v>
      </c>
      <c r="AA124" s="17" t="s">
        <v>1332</v>
      </c>
      <c r="AB124" s="17" t="s">
        <v>1333</v>
      </c>
      <c r="AC124" s="17" t="s">
        <v>1381</v>
      </c>
      <c r="AD124" s="17" t="s">
        <v>1362</v>
      </c>
      <c r="AE124" s="17">
        <f t="shared" si="6"/>
        <v>2</v>
      </c>
      <c r="AF124" s="17" t="s">
        <v>1328</v>
      </c>
      <c r="AG124" s="17" t="s">
        <v>1328</v>
      </c>
      <c r="AH124" s="17" t="s">
        <v>1336</v>
      </c>
      <c r="AI124" s="17" t="s">
        <v>1336</v>
      </c>
      <c r="AJ124" s="17" t="s">
        <v>1336</v>
      </c>
      <c r="AK124" s="17" t="s">
        <v>1336</v>
      </c>
      <c r="AL124" s="17" t="s">
        <v>1350</v>
      </c>
      <c r="AM124" s="17" t="s">
        <v>1351</v>
      </c>
      <c r="AN124" s="17" t="s">
        <v>1339</v>
      </c>
      <c r="AO124" s="17" t="s">
        <v>1331</v>
      </c>
      <c r="AP124" s="17" t="s">
        <v>1328</v>
      </c>
      <c r="AQ124" s="17" t="str">
        <f t="shared" si="7"/>
        <v>intermediate</v>
      </c>
      <c r="AR124" s="20"/>
    </row>
    <row r="125" ht="15.75" customHeight="1">
      <c r="A125" s="16" t="s">
        <v>2177</v>
      </c>
      <c r="B125" s="16" t="s">
        <v>2172</v>
      </c>
      <c r="C125" s="16">
        <v>2011.0</v>
      </c>
      <c r="D125" s="16" t="s">
        <v>2178</v>
      </c>
      <c r="E125" s="16" t="s">
        <v>2179</v>
      </c>
      <c r="F125" s="16" t="s">
        <v>2180</v>
      </c>
      <c r="G125" s="16" t="str">
        <f t="shared" si="1"/>
        <v>No</v>
      </c>
      <c r="H125" s="16" t="s">
        <v>1324</v>
      </c>
      <c r="I125" s="16" t="s">
        <v>1324</v>
      </c>
      <c r="J125" s="16">
        <v>88.0</v>
      </c>
      <c r="K125" s="17" t="s">
        <v>2181</v>
      </c>
      <c r="L125" s="17" t="s">
        <v>5010</v>
      </c>
      <c r="M125" s="18" t="str">
        <f t="shared" si="2"/>
        <v>http://dx.doi.org/10.1007/s12665-011-1046-4</v>
      </c>
      <c r="N125" s="19" t="s">
        <v>1358</v>
      </c>
      <c r="O125" s="17" t="s">
        <v>1436</v>
      </c>
      <c r="P125" s="17" t="s">
        <v>1328</v>
      </c>
      <c r="Q125" s="17" t="s">
        <v>1328</v>
      </c>
      <c r="R125" s="17" t="s">
        <v>1328</v>
      </c>
      <c r="S125" s="17" t="s">
        <v>1328</v>
      </c>
      <c r="T125" s="17" t="s">
        <v>1328</v>
      </c>
      <c r="U125" s="20" t="str">
        <f t="shared" si="3"/>
        <v>Yes</v>
      </c>
      <c r="V125" s="19" t="str">
        <f t="shared" si="4"/>
        <v>CG</v>
      </c>
      <c r="W125" s="17" t="str">
        <f t="shared" si="5"/>
        <v>Yes</v>
      </c>
      <c r="X125" s="17" t="s">
        <v>1329</v>
      </c>
      <c r="Y125" s="17" t="s">
        <v>1330</v>
      </c>
      <c r="Z125" s="17" t="s">
        <v>1331</v>
      </c>
      <c r="AA125" s="17" t="s">
        <v>1347</v>
      </c>
      <c r="AB125" s="17" t="s">
        <v>1333</v>
      </c>
      <c r="AC125" s="17" t="s">
        <v>1381</v>
      </c>
      <c r="AD125" s="17" t="s">
        <v>1362</v>
      </c>
      <c r="AE125" s="17">
        <f t="shared" si="6"/>
        <v>2</v>
      </c>
      <c r="AF125" s="17" t="s">
        <v>1328</v>
      </c>
      <c r="AG125" s="17" t="s">
        <v>1328</v>
      </c>
      <c r="AH125" s="17" t="s">
        <v>1336</v>
      </c>
      <c r="AI125" s="17" t="s">
        <v>1336</v>
      </c>
      <c r="AJ125" s="17" t="s">
        <v>1336</v>
      </c>
      <c r="AK125" s="17" t="s">
        <v>1336</v>
      </c>
      <c r="AL125" s="17" t="s">
        <v>1350</v>
      </c>
      <c r="AM125" s="17" t="s">
        <v>1351</v>
      </c>
      <c r="AN125" s="17" t="s">
        <v>1363</v>
      </c>
      <c r="AO125" s="17" t="s">
        <v>1388</v>
      </c>
      <c r="AP125" s="17" t="s">
        <v>1328</v>
      </c>
      <c r="AQ125" s="17" t="str">
        <f t="shared" si="7"/>
        <v>intermediate</v>
      </c>
      <c r="AR125" s="20"/>
    </row>
    <row r="126" ht="15.75" customHeight="1">
      <c r="A126" s="16" t="s">
        <v>1375</v>
      </c>
      <c r="B126" s="16" t="s">
        <v>1376</v>
      </c>
      <c r="C126" s="16">
        <v>2017.0</v>
      </c>
      <c r="D126" s="16" t="s">
        <v>1377</v>
      </c>
      <c r="E126" s="16" t="s">
        <v>1378</v>
      </c>
      <c r="F126" s="16" t="s">
        <v>1379</v>
      </c>
      <c r="G126" s="16" t="str">
        <f t="shared" si="1"/>
        <v>No</v>
      </c>
      <c r="H126" s="16" t="s">
        <v>1324</v>
      </c>
      <c r="I126" s="16" t="s">
        <v>1324</v>
      </c>
      <c r="J126" s="16">
        <v>12.0</v>
      </c>
      <c r="K126" s="17" t="s">
        <v>1380</v>
      </c>
      <c r="L126" s="17" t="s">
        <v>5010</v>
      </c>
      <c r="M126" s="18" t="str">
        <f t="shared" si="2"/>
        <v>http://dx.doi.org/10.3390/rs9060525</v>
      </c>
      <c r="N126" s="19" t="s">
        <v>1358</v>
      </c>
      <c r="O126" s="17" t="s">
        <v>1327</v>
      </c>
      <c r="P126" s="17" t="s">
        <v>1328</v>
      </c>
      <c r="Q126" s="17" t="s">
        <v>1328</v>
      </c>
      <c r="R126" s="17" t="s">
        <v>1328</v>
      </c>
      <c r="S126" s="17" t="s">
        <v>1328</v>
      </c>
      <c r="T126" s="17" t="s">
        <v>1328</v>
      </c>
      <c r="U126" s="20" t="str">
        <f t="shared" si="3"/>
        <v>Yes</v>
      </c>
      <c r="V126" s="19" t="str">
        <f t="shared" si="4"/>
        <v>PJ</v>
      </c>
      <c r="W126" s="17" t="str">
        <f t="shared" si="5"/>
        <v>Yes</v>
      </c>
      <c r="X126" s="17" t="s">
        <v>1329</v>
      </c>
      <c r="Y126" s="17" t="s">
        <v>1330</v>
      </c>
      <c r="Z126" s="17" t="s">
        <v>1331</v>
      </c>
      <c r="AA126" s="17" t="s">
        <v>1347</v>
      </c>
      <c r="AB126" s="17" t="s">
        <v>1333</v>
      </c>
      <c r="AC126" s="17" t="s">
        <v>1381</v>
      </c>
      <c r="AD126" s="17" t="s">
        <v>1362</v>
      </c>
      <c r="AE126" s="17">
        <f t="shared" si="6"/>
        <v>2</v>
      </c>
      <c r="AF126" s="17" t="s">
        <v>1328</v>
      </c>
      <c r="AG126" s="17" t="s">
        <v>1328</v>
      </c>
      <c r="AH126" s="17" t="s">
        <v>1336</v>
      </c>
      <c r="AI126" s="17" t="s">
        <v>1336</v>
      </c>
      <c r="AJ126" s="17" t="s">
        <v>1336</v>
      </c>
      <c r="AK126" s="17" t="s">
        <v>1336</v>
      </c>
      <c r="AL126" s="17" t="s">
        <v>1350</v>
      </c>
      <c r="AM126" s="17" t="s">
        <v>1351</v>
      </c>
      <c r="AN126" s="17" t="s">
        <v>1363</v>
      </c>
      <c r="AO126" s="17" t="s">
        <v>1331</v>
      </c>
      <c r="AP126" s="17" t="s">
        <v>1328</v>
      </c>
      <c r="AQ126" s="17" t="str">
        <f t="shared" si="7"/>
        <v>intermediate</v>
      </c>
      <c r="AR126" s="20"/>
    </row>
    <row r="127" ht="15.75" customHeight="1">
      <c r="A127" s="16" t="s">
        <v>1757</v>
      </c>
      <c r="B127" s="16" t="s">
        <v>318</v>
      </c>
      <c r="C127" s="16">
        <v>2013.0</v>
      </c>
      <c r="D127" s="16" t="s">
        <v>1758</v>
      </c>
      <c r="E127" s="16" t="s">
        <v>1759</v>
      </c>
      <c r="F127" s="16" t="s">
        <v>1760</v>
      </c>
      <c r="G127" s="16" t="str">
        <f t="shared" si="1"/>
        <v>No</v>
      </c>
      <c r="H127" s="16" t="s">
        <v>1324</v>
      </c>
      <c r="I127" s="16" t="s">
        <v>1324</v>
      </c>
      <c r="J127" s="16">
        <v>76.0</v>
      </c>
      <c r="K127" s="17" t="s">
        <v>1761</v>
      </c>
      <c r="L127" s="17" t="s">
        <v>5010</v>
      </c>
      <c r="M127" s="18" t="str">
        <f t="shared" si="2"/>
        <v>http://dx.doi.org/10.1088/1748-9326/8/2/024034</v>
      </c>
      <c r="N127" s="19" t="s">
        <v>1614</v>
      </c>
      <c r="O127" s="17" t="s">
        <v>1470</v>
      </c>
      <c r="P127" s="17" t="s">
        <v>1328</v>
      </c>
      <c r="Q127" s="17" t="s">
        <v>1328</v>
      </c>
      <c r="R127" s="17" t="s">
        <v>1328</v>
      </c>
      <c r="S127" s="17" t="s">
        <v>1328</v>
      </c>
      <c r="T127" s="17" t="s">
        <v>1328</v>
      </c>
      <c r="U127" s="20" t="str">
        <f t="shared" si="3"/>
        <v>Yes</v>
      </c>
      <c r="V127" s="19" t="str">
        <f t="shared" si="4"/>
        <v>AG</v>
      </c>
      <c r="W127" s="17" t="str">
        <f t="shared" si="5"/>
        <v>Yes</v>
      </c>
      <c r="X127" s="17" t="s">
        <v>1329</v>
      </c>
      <c r="Y127" s="17" t="s">
        <v>1372</v>
      </c>
      <c r="Z127" s="17" t="s">
        <v>1331</v>
      </c>
      <c r="AA127" s="17" t="s">
        <v>1347</v>
      </c>
      <c r="AB127" s="17" t="s">
        <v>1333</v>
      </c>
      <c r="AC127" s="17" t="s">
        <v>1334</v>
      </c>
      <c r="AD127" s="17" t="s">
        <v>1362</v>
      </c>
      <c r="AE127" s="17">
        <f t="shared" si="6"/>
        <v>3</v>
      </c>
      <c r="AF127" s="17" t="s">
        <v>1336</v>
      </c>
      <c r="AG127" s="17" t="s">
        <v>1328</v>
      </c>
      <c r="AH127" s="17" t="s">
        <v>1328</v>
      </c>
      <c r="AI127" s="17" t="s">
        <v>1328</v>
      </c>
      <c r="AJ127" s="17" t="s">
        <v>1336</v>
      </c>
      <c r="AK127" s="17" t="s">
        <v>1336</v>
      </c>
      <c r="AL127" s="17" t="s">
        <v>1350</v>
      </c>
      <c r="AM127" s="17" t="s">
        <v>1351</v>
      </c>
      <c r="AN127" s="17" t="s">
        <v>1363</v>
      </c>
      <c r="AO127" s="17" t="s">
        <v>1331</v>
      </c>
      <c r="AP127" s="17" t="s">
        <v>1328</v>
      </c>
      <c r="AQ127" s="17" t="str">
        <f t="shared" si="7"/>
        <v>intermediate</v>
      </c>
      <c r="AR127" s="20"/>
    </row>
    <row r="128" ht="15.75" customHeight="1">
      <c r="A128" s="16" t="s">
        <v>1847</v>
      </c>
      <c r="B128" s="16" t="s">
        <v>1848</v>
      </c>
      <c r="C128" s="16">
        <v>2012.0</v>
      </c>
      <c r="D128" s="16" t="s">
        <v>1849</v>
      </c>
      <c r="E128" s="16" t="s">
        <v>1850</v>
      </c>
      <c r="F128" s="16" t="s">
        <v>1851</v>
      </c>
      <c r="G128" s="16" t="str">
        <f t="shared" si="1"/>
        <v>No</v>
      </c>
      <c r="H128" s="16" t="s">
        <v>1324</v>
      </c>
      <c r="I128" s="16" t="s">
        <v>1324</v>
      </c>
      <c r="J128" s="16">
        <v>2.0</v>
      </c>
      <c r="K128" s="17" t="s">
        <v>1852</v>
      </c>
      <c r="L128" s="17" t="s">
        <v>5010</v>
      </c>
      <c r="M128" s="18" t="str">
        <f t="shared" si="2"/>
        <v>http://dx.doi.org/10.1017/S0959270912000020</v>
      </c>
      <c r="N128" s="19" t="s">
        <v>1326</v>
      </c>
      <c r="O128" s="17" t="s">
        <v>1327</v>
      </c>
      <c r="P128" s="17" t="s">
        <v>1328</v>
      </c>
      <c r="Q128" s="17" t="s">
        <v>1328</v>
      </c>
      <c r="R128" s="17" t="s">
        <v>1328</v>
      </c>
      <c r="S128" s="17" t="s">
        <v>1328</v>
      </c>
      <c r="T128" s="17" t="s">
        <v>1328</v>
      </c>
      <c r="U128" s="20" t="str">
        <f t="shared" si="3"/>
        <v>Yes</v>
      </c>
      <c r="V128" s="19" t="str">
        <f t="shared" si="4"/>
        <v>PJ</v>
      </c>
      <c r="W128" s="17" t="str">
        <f t="shared" si="5"/>
        <v>Yes</v>
      </c>
      <c r="X128" s="17" t="s">
        <v>1329</v>
      </c>
      <c r="Y128" s="17" t="s">
        <v>1330</v>
      </c>
      <c r="Z128" s="17" t="s">
        <v>1331</v>
      </c>
      <c r="AA128" s="17" t="s">
        <v>1347</v>
      </c>
      <c r="AB128" s="17" t="s">
        <v>1444</v>
      </c>
      <c r="AC128" s="17" t="s">
        <v>1445</v>
      </c>
      <c r="AD128" s="17" t="s">
        <v>1349</v>
      </c>
      <c r="AE128" s="17">
        <f t="shared" si="6"/>
        <v>6</v>
      </c>
      <c r="AF128" s="17" t="s">
        <v>1328</v>
      </c>
      <c r="AG128" s="17" t="s">
        <v>1328</v>
      </c>
      <c r="AH128" s="17" t="s">
        <v>1328</v>
      </c>
      <c r="AI128" s="17" t="s">
        <v>1328</v>
      </c>
      <c r="AJ128" s="17" t="s">
        <v>1328</v>
      </c>
      <c r="AK128" s="17" t="s">
        <v>1328</v>
      </c>
      <c r="AL128" s="17" t="s">
        <v>1395</v>
      </c>
      <c r="AM128" s="17" t="s">
        <v>1351</v>
      </c>
      <c r="AN128" s="17" t="s">
        <v>1363</v>
      </c>
      <c r="AO128" s="17" t="s">
        <v>1331</v>
      </c>
      <c r="AP128" s="17" t="s">
        <v>1328</v>
      </c>
      <c r="AQ128" s="17" t="str">
        <f t="shared" si="7"/>
        <v>high</v>
      </c>
      <c r="AR128" s="20"/>
    </row>
    <row r="129" ht="15.75" customHeight="1">
      <c r="A129" s="16" t="s">
        <v>2018</v>
      </c>
      <c r="B129" s="16" t="s">
        <v>2008</v>
      </c>
      <c r="C129" s="16">
        <v>2009.0</v>
      </c>
      <c r="D129" s="16" t="s">
        <v>2019</v>
      </c>
      <c r="E129" s="16" t="s">
        <v>2020</v>
      </c>
      <c r="F129" s="16" t="s">
        <v>2021</v>
      </c>
      <c r="G129" s="16" t="str">
        <f t="shared" si="1"/>
        <v>No</v>
      </c>
      <c r="H129" s="16" t="s">
        <v>1324</v>
      </c>
      <c r="I129" s="16" t="s">
        <v>1324</v>
      </c>
      <c r="J129" s="16">
        <v>13.0</v>
      </c>
      <c r="K129" s="17" t="s">
        <v>2022</v>
      </c>
      <c r="L129" s="17" t="s">
        <v>5010</v>
      </c>
      <c r="M129" s="18" t="str">
        <f t="shared" si="2"/>
        <v>http://dx.doi.org/10.1016/j.foreco.2009.07.013</v>
      </c>
      <c r="N129" s="19" t="s">
        <v>1947</v>
      </c>
      <c r="O129" s="17" t="s">
        <v>1371</v>
      </c>
      <c r="P129" s="17" t="s">
        <v>1328</v>
      </c>
      <c r="Q129" s="17" t="s">
        <v>1328</v>
      </c>
      <c r="R129" s="17" t="s">
        <v>1328</v>
      </c>
      <c r="S129" s="17" t="s">
        <v>1328</v>
      </c>
      <c r="T129" s="17" t="s">
        <v>1328</v>
      </c>
      <c r="U129" s="20" t="str">
        <f t="shared" si="3"/>
        <v>Yes</v>
      </c>
      <c r="V129" s="19" t="str">
        <f t="shared" si="4"/>
        <v>LC</v>
      </c>
      <c r="W129" s="17" t="str">
        <f t="shared" si="5"/>
        <v>Yes</v>
      </c>
      <c r="X129" s="17" t="s">
        <v>1329</v>
      </c>
      <c r="Y129" s="17" t="s">
        <v>1330</v>
      </c>
      <c r="Z129" s="17" t="s">
        <v>1330</v>
      </c>
      <c r="AA129" s="17" t="s">
        <v>1347</v>
      </c>
      <c r="AB129" s="17" t="s">
        <v>1333</v>
      </c>
      <c r="AC129" s="17" t="s">
        <v>1348</v>
      </c>
      <c r="AD129" s="17" t="s">
        <v>1362</v>
      </c>
      <c r="AE129" s="17">
        <f t="shared" si="6"/>
        <v>3</v>
      </c>
      <c r="AF129" s="17" t="s">
        <v>1336</v>
      </c>
      <c r="AG129" s="17" t="s">
        <v>1328</v>
      </c>
      <c r="AH129" s="17" t="s">
        <v>1336</v>
      </c>
      <c r="AI129" s="17" t="s">
        <v>1328</v>
      </c>
      <c r="AJ129" s="17" t="s">
        <v>1336</v>
      </c>
      <c r="AK129" s="17" t="s">
        <v>1328</v>
      </c>
      <c r="AL129" s="17" t="s">
        <v>1350</v>
      </c>
      <c r="AM129" s="17" t="s">
        <v>1351</v>
      </c>
      <c r="AN129" s="17" t="s">
        <v>1363</v>
      </c>
      <c r="AO129" s="17" t="s">
        <v>1388</v>
      </c>
      <c r="AP129" s="17" t="s">
        <v>1328</v>
      </c>
      <c r="AQ129" s="17" t="str">
        <f t="shared" si="7"/>
        <v>intermediate</v>
      </c>
      <c r="AR129" s="20"/>
    </row>
    <row r="130" ht="15.75" customHeight="1">
      <c r="A130" s="16" t="s">
        <v>1677</v>
      </c>
      <c r="B130" s="16" t="s">
        <v>126</v>
      </c>
      <c r="C130" s="16">
        <v>2014.0</v>
      </c>
      <c r="D130" s="16" t="s">
        <v>1678</v>
      </c>
      <c r="E130" s="16" t="s">
        <v>1679</v>
      </c>
      <c r="F130" s="16" t="s">
        <v>1680</v>
      </c>
      <c r="G130" s="16" t="str">
        <f t="shared" si="1"/>
        <v>No</v>
      </c>
      <c r="H130" s="16" t="s">
        <v>1324</v>
      </c>
      <c r="I130" s="16" t="s">
        <v>1324</v>
      </c>
      <c r="J130" s="16">
        <v>5.0</v>
      </c>
      <c r="K130" s="17" t="s">
        <v>1681</v>
      </c>
      <c r="L130" s="17" t="s">
        <v>5010</v>
      </c>
      <c r="M130" s="18" t="str">
        <f t="shared" si="2"/>
        <v>http://dx.doi.org/10.1111/fwb.12380</v>
      </c>
      <c r="N130" s="19" t="s">
        <v>1545</v>
      </c>
      <c r="O130" s="17" t="s">
        <v>1387</v>
      </c>
      <c r="P130" s="17" t="s">
        <v>1328</v>
      </c>
      <c r="Q130" s="17" t="s">
        <v>1328</v>
      </c>
      <c r="R130" s="17" t="s">
        <v>1328</v>
      </c>
      <c r="S130" s="17" t="s">
        <v>1328</v>
      </c>
      <c r="T130" s="17" t="s">
        <v>1328</v>
      </c>
      <c r="U130" s="20" t="str">
        <f t="shared" si="3"/>
        <v>Yes</v>
      </c>
      <c r="V130" s="19" t="str">
        <f t="shared" si="4"/>
        <v>MW</v>
      </c>
      <c r="W130" s="17" t="str">
        <f t="shared" si="5"/>
        <v>Yes</v>
      </c>
      <c r="X130" s="17" t="s">
        <v>1329</v>
      </c>
      <c r="Y130" s="17" t="s">
        <v>1330</v>
      </c>
      <c r="Z130" s="17" t="s">
        <v>1331</v>
      </c>
      <c r="AA130" s="17" t="s">
        <v>1347</v>
      </c>
      <c r="AB130" s="17" t="s">
        <v>1333</v>
      </c>
      <c r="AC130" s="17" t="s">
        <v>1361</v>
      </c>
      <c r="AD130" s="17" t="s">
        <v>1530</v>
      </c>
      <c r="AE130" s="17">
        <f t="shared" si="6"/>
        <v>3</v>
      </c>
      <c r="AF130" s="17" t="s">
        <v>1328</v>
      </c>
      <c r="AG130" s="17" t="s">
        <v>1336</v>
      </c>
      <c r="AH130" s="17" t="s">
        <v>1328</v>
      </c>
      <c r="AI130" s="17" t="s">
        <v>1336</v>
      </c>
      <c r="AJ130" s="17" t="s">
        <v>1328</v>
      </c>
      <c r="AK130" s="17" t="s">
        <v>1336</v>
      </c>
      <c r="AL130" s="17" t="s">
        <v>1350</v>
      </c>
      <c r="AM130" s="17" t="s">
        <v>1351</v>
      </c>
      <c r="AN130" s="17" t="s">
        <v>1363</v>
      </c>
      <c r="AO130" s="17" t="s">
        <v>1388</v>
      </c>
      <c r="AP130" s="17" t="s">
        <v>1328</v>
      </c>
      <c r="AQ130" s="17" t="str">
        <f t="shared" si="7"/>
        <v>intermediate</v>
      </c>
      <c r="AR130" s="20"/>
    </row>
    <row r="131" ht="15.75" customHeight="1">
      <c r="A131" s="16" t="s">
        <v>1452</v>
      </c>
      <c r="B131" s="16" t="s">
        <v>365</v>
      </c>
      <c r="C131" s="16">
        <v>2014.0</v>
      </c>
      <c r="D131" s="16" t="s">
        <v>1453</v>
      </c>
      <c r="E131" s="16" t="s">
        <v>1454</v>
      </c>
      <c r="F131" s="16" t="s">
        <v>1455</v>
      </c>
      <c r="G131" s="16" t="str">
        <f t="shared" si="1"/>
        <v>No</v>
      </c>
      <c r="H131" s="16" t="s">
        <v>1324</v>
      </c>
      <c r="I131" s="16" t="s">
        <v>1324</v>
      </c>
      <c r="J131" s="16">
        <v>54.0</v>
      </c>
      <c r="K131" s="17" t="s">
        <v>1456</v>
      </c>
      <c r="L131" s="17" t="s">
        <v>5010</v>
      </c>
      <c r="M131" s="18" t="str">
        <f t="shared" si="2"/>
        <v>http://dx.doi.org/10.1371/journal.pone.0113934</v>
      </c>
      <c r="N131" s="19" t="s">
        <v>1442</v>
      </c>
      <c r="O131" s="17" t="s">
        <v>1327</v>
      </c>
      <c r="P131" s="17" t="s">
        <v>1328</v>
      </c>
      <c r="Q131" s="17" t="s">
        <v>1328</v>
      </c>
      <c r="R131" s="17" t="s">
        <v>1328</v>
      </c>
      <c r="S131" s="17" t="s">
        <v>1328</v>
      </c>
      <c r="T131" s="17" t="s">
        <v>1328</v>
      </c>
      <c r="U131" s="20" t="str">
        <f t="shared" si="3"/>
        <v>Yes</v>
      </c>
      <c r="V131" s="19" t="str">
        <f t="shared" si="4"/>
        <v>PJ</v>
      </c>
      <c r="W131" s="17" t="str">
        <f t="shared" si="5"/>
        <v>Yes</v>
      </c>
      <c r="X131" s="17" t="s">
        <v>1443</v>
      </c>
      <c r="Y131" s="17" t="s">
        <v>1330</v>
      </c>
      <c r="Z131" s="17" t="s">
        <v>1331</v>
      </c>
      <c r="AA131" s="17" t="s">
        <v>1331</v>
      </c>
      <c r="AB131" s="17" t="s">
        <v>1444</v>
      </c>
      <c r="AC131" s="17" t="s">
        <v>1445</v>
      </c>
      <c r="AD131" s="17" t="s">
        <v>1446</v>
      </c>
      <c r="AE131" s="17">
        <f t="shared" si="6"/>
        <v>6</v>
      </c>
      <c r="AF131" s="17" t="s">
        <v>1328</v>
      </c>
      <c r="AG131" s="17" t="s">
        <v>1328</v>
      </c>
      <c r="AH131" s="17" t="s">
        <v>1328</v>
      </c>
      <c r="AI131" s="17" t="s">
        <v>1328</v>
      </c>
      <c r="AJ131" s="17" t="s">
        <v>1328</v>
      </c>
      <c r="AK131" s="17" t="s">
        <v>1328</v>
      </c>
      <c r="AL131" s="17" t="s">
        <v>1395</v>
      </c>
      <c r="AM131" s="17" t="s">
        <v>1351</v>
      </c>
      <c r="AN131" s="17" t="s">
        <v>1339</v>
      </c>
      <c r="AO131" s="17" t="s">
        <v>1331</v>
      </c>
      <c r="AP131" s="17" t="s">
        <v>1328</v>
      </c>
      <c r="AQ131" s="17" t="str">
        <f t="shared" si="7"/>
        <v>high</v>
      </c>
      <c r="AR131" s="20"/>
    </row>
    <row r="132" ht="15.75" customHeight="1">
      <c r="A132" s="16" t="s">
        <v>1465</v>
      </c>
      <c r="B132" s="16" t="s">
        <v>365</v>
      </c>
      <c r="C132" s="16">
        <v>2013.0</v>
      </c>
      <c r="D132" s="16" t="s">
        <v>1466</v>
      </c>
      <c r="E132" s="16" t="s">
        <v>1467</v>
      </c>
      <c r="F132" s="16" t="s">
        <v>1468</v>
      </c>
      <c r="G132" s="16" t="str">
        <f t="shared" si="1"/>
        <v>No</v>
      </c>
      <c r="H132" s="16" t="s">
        <v>1324</v>
      </c>
      <c r="I132" s="16" t="s">
        <v>1324</v>
      </c>
      <c r="J132" s="16">
        <v>4.0</v>
      </c>
      <c r="K132" s="17" t="s">
        <v>1469</v>
      </c>
      <c r="L132" s="17" t="s">
        <v>5010</v>
      </c>
      <c r="M132" s="18" t="str">
        <f t="shared" si="2"/>
        <v>http://dx.doi.org/10.1371/journal.pone.0050719</v>
      </c>
      <c r="N132" s="19" t="s">
        <v>1402</v>
      </c>
      <c r="O132" s="17" t="s">
        <v>1470</v>
      </c>
      <c r="P132" s="17" t="s">
        <v>1328</v>
      </c>
      <c r="Q132" s="17" t="s">
        <v>1328</v>
      </c>
      <c r="R132" s="17" t="s">
        <v>1328</v>
      </c>
      <c r="S132" s="17" t="s">
        <v>1328</v>
      </c>
      <c r="T132" s="17" t="s">
        <v>1328</v>
      </c>
      <c r="U132" s="20" t="str">
        <f t="shared" si="3"/>
        <v>Yes</v>
      </c>
      <c r="V132" s="19" t="str">
        <f t="shared" si="4"/>
        <v>AG</v>
      </c>
      <c r="W132" s="17" t="str">
        <f t="shared" si="5"/>
        <v>Yes</v>
      </c>
      <c r="X132" s="17" t="s">
        <v>1443</v>
      </c>
      <c r="Y132" s="17" t="s">
        <v>1372</v>
      </c>
      <c r="Z132" s="17" t="s">
        <v>1331</v>
      </c>
      <c r="AA132" s="17" t="s">
        <v>1347</v>
      </c>
      <c r="AB132" s="17" t="s">
        <v>1360</v>
      </c>
      <c r="AC132" s="17" t="s">
        <v>1381</v>
      </c>
      <c r="AD132" s="17" t="s">
        <v>1349</v>
      </c>
      <c r="AE132" s="17">
        <f t="shared" si="6"/>
        <v>5</v>
      </c>
      <c r="AF132" s="17" t="s">
        <v>1328</v>
      </c>
      <c r="AG132" s="17" t="s">
        <v>1328</v>
      </c>
      <c r="AH132" s="17" t="s">
        <v>1328</v>
      </c>
      <c r="AI132" s="17" t="s">
        <v>1336</v>
      </c>
      <c r="AJ132" s="17" t="s">
        <v>1328</v>
      </c>
      <c r="AK132" s="17" t="s">
        <v>1328</v>
      </c>
      <c r="AL132" s="17" t="s">
        <v>1350</v>
      </c>
      <c r="AM132" s="17" t="s">
        <v>1338</v>
      </c>
      <c r="AN132" s="17" t="s">
        <v>1339</v>
      </c>
      <c r="AO132" s="17" t="s">
        <v>1331</v>
      </c>
      <c r="AP132" s="17" t="s">
        <v>1328</v>
      </c>
      <c r="AQ132" s="17" t="str">
        <f t="shared" si="7"/>
        <v>high</v>
      </c>
      <c r="AR132" s="20"/>
    </row>
    <row r="133" ht="15.75" customHeight="1">
      <c r="A133" s="21" t="s">
        <v>2210</v>
      </c>
      <c r="B133" s="21" t="s">
        <v>1824</v>
      </c>
      <c r="C133" s="21">
        <v>2016.0</v>
      </c>
      <c r="D133" s="21" t="s">
        <v>2211</v>
      </c>
      <c r="E133" s="21" t="s">
        <v>2212</v>
      </c>
      <c r="F133" s="21" t="s">
        <v>2213</v>
      </c>
      <c r="G133" s="16" t="str">
        <f t="shared" si="1"/>
        <v>No</v>
      </c>
      <c r="H133" s="16" t="s">
        <v>1324</v>
      </c>
      <c r="I133" s="16" t="s">
        <v>1324</v>
      </c>
      <c r="J133" s="16">
        <v>2.0</v>
      </c>
      <c r="K133" s="17" t="s">
        <v>2214</v>
      </c>
      <c r="L133" s="17" t="s">
        <v>5010</v>
      </c>
      <c r="M133" s="18" t="str">
        <f t="shared" si="2"/>
        <v>http://dx.doi.org/10.1007/s10531-016-1141-7</v>
      </c>
      <c r="N133" s="19" t="s">
        <v>1346</v>
      </c>
      <c r="O133" s="17" t="s">
        <v>1387</v>
      </c>
      <c r="P133" s="17" t="s">
        <v>1328</v>
      </c>
      <c r="Q133" s="17" t="s">
        <v>1328</v>
      </c>
      <c r="R133" s="17" t="s">
        <v>1328</v>
      </c>
      <c r="S133" s="17" t="s">
        <v>1328</v>
      </c>
      <c r="T133" s="17" t="s">
        <v>1328</v>
      </c>
      <c r="U133" s="20" t="str">
        <f t="shared" si="3"/>
        <v>Yes</v>
      </c>
      <c r="V133" s="19" t="str">
        <f t="shared" si="4"/>
        <v>MW</v>
      </c>
      <c r="W133" s="17" t="str">
        <f t="shared" si="5"/>
        <v>Yes</v>
      </c>
      <c r="X133" s="17" t="s">
        <v>1329</v>
      </c>
      <c r="Y133" s="17" t="s">
        <v>1372</v>
      </c>
      <c r="Z133" s="17" t="s">
        <v>1331</v>
      </c>
      <c r="AA133" s="17" t="s">
        <v>1537</v>
      </c>
      <c r="AB133" s="17" t="s">
        <v>1660</v>
      </c>
      <c r="AC133" s="17" t="s">
        <v>1361</v>
      </c>
      <c r="AD133" s="17" t="s">
        <v>1349</v>
      </c>
      <c r="AE133" s="22">
        <f t="shared" si="6"/>
        <v>6</v>
      </c>
      <c r="AF133" s="17" t="s">
        <v>1328</v>
      </c>
      <c r="AG133" s="17" t="s">
        <v>1328</v>
      </c>
      <c r="AH133" s="17" t="s">
        <v>1328</v>
      </c>
      <c r="AI133" s="17" t="s">
        <v>1328</v>
      </c>
      <c r="AJ133" s="17" t="s">
        <v>1328</v>
      </c>
      <c r="AK133" s="17" t="s">
        <v>1328</v>
      </c>
      <c r="AL133" s="17" t="s">
        <v>1395</v>
      </c>
      <c r="AM133" s="17" t="s">
        <v>1338</v>
      </c>
      <c r="AN133" s="17" t="s">
        <v>1339</v>
      </c>
      <c r="AO133" s="17" t="s">
        <v>1331</v>
      </c>
      <c r="AP133" s="17" t="s">
        <v>1328</v>
      </c>
      <c r="AQ133" s="17" t="str">
        <f t="shared" si="7"/>
        <v>high</v>
      </c>
      <c r="AR133" s="20"/>
    </row>
    <row r="134" ht="15.75" customHeight="1">
      <c r="A134" s="16" t="s">
        <v>2053</v>
      </c>
      <c r="B134" s="16" t="s">
        <v>227</v>
      </c>
      <c r="C134" s="16">
        <v>2007.0</v>
      </c>
      <c r="D134" s="16" t="s">
        <v>2054</v>
      </c>
      <c r="E134" s="16" t="s">
        <v>2055</v>
      </c>
      <c r="F134" s="16" t="s">
        <v>2056</v>
      </c>
      <c r="G134" s="16" t="str">
        <f t="shared" si="1"/>
        <v>No</v>
      </c>
      <c r="H134" s="16" t="s">
        <v>1324</v>
      </c>
      <c r="I134" s="16" t="s">
        <v>1324</v>
      </c>
      <c r="J134" s="16">
        <v>80.0</v>
      </c>
      <c r="K134" s="17" t="s">
        <v>2057</v>
      </c>
      <c r="L134" s="17" t="s">
        <v>5010</v>
      </c>
      <c r="M134" s="18" t="str">
        <f t="shared" si="2"/>
        <v>http://dx.doi.org/10.1016/j.ecss.2006.08.018</v>
      </c>
      <c r="N134" s="19" t="s">
        <v>1346</v>
      </c>
      <c r="O134" s="17" t="s">
        <v>1436</v>
      </c>
      <c r="P134" s="17" t="s">
        <v>1328</v>
      </c>
      <c r="Q134" s="17" t="s">
        <v>1328</v>
      </c>
      <c r="R134" s="17" t="s">
        <v>1328</v>
      </c>
      <c r="S134" s="17" t="s">
        <v>1328</v>
      </c>
      <c r="T134" s="17" t="s">
        <v>1328</v>
      </c>
      <c r="U134" s="20" t="str">
        <f t="shared" si="3"/>
        <v>Yes</v>
      </c>
      <c r="V134" s="19" t="str">
        <f t="shared" si="4"/>
        <v>CG</v>
      </c>
      <c r="W134" s="17" t="str">
        <f t="shared" si="5"/>
        <v>Yes</v>
      </c>
      <c r="X134" s="17" t="s">
        <v>1329</v>
      </c>
      <c r="Y134" s="17" t="s">
        <v>1330</v>
      </c>
      <c r="Z134" s="17" t="s">
        <v>1331</v>
      </c>
      <c r="AA134" s="17" t="s">
        <v>1347</v>
      </c>
      <c r="AB134" s="17" t="s">
        <v>1333</v>
      </c>
      <c r="AC134" s="17" t="s">
        <v>1361</v>
      </c>
      <c r="AD134" s="17" t="s">
        <v>1335</v>
      </c>
      <c r="AE134" s="17">
        <f t="shared" si="6"/>
        <v>2</v>
      </c>
      <c r="AF134" s="17" t="s">
        <v>1328</v>
      </c>
      <c r="AG134" s="17" t="s">
        <v>1336</v>
      </c>
      <c r="AH134" s="17" t="s">
        <v>1336</v>
      </c>
      <c r="AI134" s="17" t="s">
        <v>1336</v>
      </c>
      <c r="AJ134" s="17" t="s">
        <v>1328</v>
      </c>
      <c r="AK134" s="17" t="s">
        <v>1336</v>
      </c>
      <c r="AL134" s="17" t="s">
        <v>1350</v>
      </c>
      <c r="AM134" s="17" t="s">
        <v>1351</v>
      </c>
      <c r="AN134" s="17" t="s">
        <v>1339</v>
      </c>
      <c r="AO134" s="17" t="s">
        <v>1388</v>
      </c>
      <c r="AP134" s="17" t="s">
        <v>1328</v>
      </c>
      <c r="AQ134" s="17" t="str">
        <f t="shared" si="7"/>
        <v>intermediate</v>
      </c>
      <c r="AR134" s="20"/>
    </row>
    <row r="135" ht="15.75" customHeight="1">
      <c r="A135" s="16" t="s">
        <v>1795</v>
      </c>
      <c r="B135" s="16" t="s">
        <v>278</v>
      </c>
      <c r="C135" s="16">
        <v>2018.0</v>
      </c>
      <c r="D135" s="16" t="s">
        <v>1796</v>
      </c>
      <c r="E135" s="16" t="s">
        <v>1797</v>
      </c>
      <c r="F135" s="16" t="s">
        <v>1798</v>
      </c>
      <c r="G135" s="16" t="str">
        <f t="shared" si="1"/>
        <v>No</v>
      </c>
      <c r="H135" s="16" t="s">
        <v>1324</v>
      </c>
      <c r="I135" s="16" t="s">
        <v>1324</v>
      </c>
      <c r="J135" s="16">
        <v>189.0</v>
      </c>
      <c r="K135" s="17" t="s">
        <v>1799</v>
      </c>
      <c r="L135" s="17" t="s">
        <v>5010</v>
      </c>
      <c r="M135" s="18" t="str">
        <f t="shared" si="2"/>
        <v>http://dx.doi.org/10.1038/nature25139</v>
      </c>
      <c r="N135" s="19" t="s">
        <v>1346</v>
      </c>
      <c r="O135" s="17" t="s">
        <v>1403</v>
      </c>
      <c r="P135" s="17" t="s">
        <v>1328</v>
      </c>
      <c r="Q135" s="17" t="s">
        <v>1328</v>
      </c>
      <c r="R135" s="17" t="s">
        <v>1328</v>
      </c>
      <c r="S135" s="17" t="s">
        <v>1328</v>
      </c>
      <c r="T135" s="17" t="s">
        <v>1328</v>
      </c>
      <c r="U135" s="20" t="str">
        <f t="shared" si="3"/>
        <v>Yes</v>
      </c>
      <c r="V135" s="19" t="str">
        <f t="shared" si="4"/>
        <v>DB</v>
      </c>
      <c r="W135" s="17" t="str">
        <f t="shared" si="5"/>
        <v>Yes</v>
      </c>
      <c r="X135" s="17" t="s">
        <v>1329</v>
      </c>
      <c r="Y135" s="17" t="s">
        <v>1330</v>
      </c>
      <c r="Z135" s="17" t="s">
        <v>1331</v>
      </c>
      <c r="AA135" s="17" t="s">
        <v>1347</v>
      </c>
      <c r="AB135" s="17" t="s">
        <v>1444</v>
      </c>
      <c r="AC135" s="17" t="s">
        <v>1445</v>
      </c>
      <c r="AD135" s="17" t="s">
        <v>1530</v>
      </c>
      <c r="AE135" s="17">
        <f t="shared" si="6"/>
        <v>3</v>
      </c>
      <c r="AF135" s="17" t="s">
        <v>1328</v>
      </c>
      <c r="AG135" s="17" t="s">
        <v>1328</v>
      </c>
      <c r="AH135" s="17" t="s">
        <v>1336</v>
      </c>
      <c r="AI135" s="17" t="s">
        <v>1336</v>
      </c>
      <c r="AJ135" s="17" t="s">
        <v>1336</v>
      </c>
      <c r="AK135" s="17" t="s">
        <v>1328</v>
      </c>
      <c r="AL135" s="17" t="s">
        <v>1350</v>
      </c>
      <c r="AM135" s="17" t="s">
        <v>1351</v>
      </c>
      <c r="AN135" s="17" t="s">
        <v>1363</v>
      </c>
      <c r="AO135" s="17" t="s">
        <v>1331</v>
      </c>
      <c r="AP135" s="17" t="s">
        <v>1328</v>
      </c>
      <c r="AQ135" s="17" t="str">
        <f t="shared" si="7"/>
        <v>high</v>
      </c>
      <c r="AR135" s="20"/>
    </row>
    <row r="136" ht="15.75" customHeight="1">
      <c r="A136" s="16" t="s">
        <v>2199</v>
      </c>
      <c r="B136" s="16" t="s">
        <v>2200</v>
      </c>
      <c r="C136" s="16">
        <v>2015.0</v>
      </c>
      <c r="D136" s="16" t="s">
        <v>2201</v>
      </c>
      <c r="E136" s="16" t="s">
        <v>2202</v>
      </c>
      <c r="F136" s="16" t="s">
        <v>2203</v>
      </c>
      <c r="G136" s="16" t="str">
        <f t="shared" si="1"/>
        <v>No</v>
      </c>
      <c r="H136" s="16" t="s">
        <v>1324</v>
      </c>
      <c r="I136" s="16" t="s">
        <v>1324</v>
      </c>
      <c r="J136" s="16">
        <v>32.0</v>
      </c>
      <c r="K136" s="17" t="s">
        <v>2204</v>
      </c>
      <c r="L136" s="17" t="s">
        <v>5010</v>
      </c>
      <c r="M136" s="18" t="str">
        <f t="shared" si="2"/>
        <v>http://dx.doi.org/10.1007/s10584-015-1448-5</v>
      </c>
      <c r="N136" s="19" t="s">
        <v>1358</v>
      </c>
      <c r="O136" s="17" t="s">
        <v>1359</v>
      </c>
      <c r="P136" s="17" t="s">
        <v>1328</v>
      </c>
      <c r="Q136" s="17" t="s">
        <v>1328</v>
      </c>
      <c r="R136" s="17" t="s">
        <v>1328</v>
      </c>
      <c r="S136" s="17" t="s">
        <v>1328</v>
      </c>
      <c r="T136" s="17" t="s">
        <v>1328</v>
      </c>
      <c r="U136" s="20" t="str">
        <f t="shared" si="3"/>
        <v>Yes</v>
      </c>
      <c r="V136" s="19" t="str">
        <f t="shared" si="4"/>
        <v>YT</v>
      </c>
      <c r="W136" s="17" t="str">
        <f t="shared" si="5"/>
        <v>Yes</v>
      </c>
      <c r="X136" s="17" t="s">
        <v>1329</v>
      </c>
      <c r="Y136" s="17" t="s">
        <v>1330</v>
      </c>
      <c r="Z136" s="17" t="s">
        <v>1331</v>
      </c>
      <c r="AA136" s="17" t="s">
        <v>1347</v>
      </c>
      <c r="AB136" s="17" t="s">
        <v>1333</v>
      </c>
      <c r="AC136" s="17" t="s">
        <v>1381</v>
      </c>
      <c r="AD136" s="17" t="s">
        <v>1362</v>
      </c>
      <c r="AE136" s="17">
        <f t="shared" si="6"/>
        <v>3</v>
      </c>
      <c r="AF136" s="17" t="s">
        <v>1328</v>
      </c>
      <c r="AG136" s="17" t="s">
        <v>1328</v>
      </c>
      <c r="AH136" s="17" t="s">
        <v>1336</v>
      </c>
      <c r="AI136" s="17" t="s">
        <v>1336</v>
      </c>
      <c r="AJ136" s="17" t="s">
        <v>1328</v>
      </c>
      <c r="AK136" s="17" t="s">
        <v>1336</v>
      </c>
      <c r="AL136" s="17" t="s">
        <v>1350</v>
      </c>
      <c r="AM136" s="17" t="s">
        <v>1351</v>
      </c>
      <c r="AN136" s="17" t="s">
        <v>1339</v>
      </c>
      <c r="AO136" s="17" t="s">
        <v>1331</v>
      </c>
      <c r="AP136" s="17" t="s">
        <v>1328</v>
      </c>
      <c r="AQ136" s="17" t="str">
        <f t="shared" si="7"/>
        <v>intermediate</v>
      </c>
      <c r="AR136" s="20"/>
    </row>
    <row r="137" ht="15.75" customHeight="1">
      <c r="A137" s="16" t="s">
        <v>1714</v>
      </c>
      <c r="B137" s="16" t="s">
        <v>460</v>
      </c>
      <c r="C137" s="16">
        <v>2011.0</v>
      </c>
      <c r="D137" s="16" t="s">
        <v>1715</v>
      </c>
      <c r="E137" s="16" t="s">
        <v>1716</v>
      </c>
      <c r="F137" s="16" t="s">
        <v>1717</v>
      </c>
      <c r="G137" s="16" t="str">
        <f t="shared" si="1"/>
        <v>Yes</v>
      </c>
      <c r="H137" s="16" t="s">
        <v>1324</v>
      </c>
      <c r="I137" s="16" t="s">
        <v>1328</v>
      </c>
      <c r="J137" s="16">
        <v>31.0</v>
      </c>
      <c r="K137" s="17" t="s">
        <v>1718</v>
      </c>
      <c r="L137" s="17" t="s">
        <v>5010</v>
      </c>
      <c r="M137" s="18" t="str">
        <f t="shared" si="2"/>
        <v>http://dx.doi.org/10.1098/rstb.2011.0116</v>
      </c>
      <c r="N137" s="19" t="s">
        <v>1442</v>
      </c>
      <c r="O137" s="17" t="s">
        <v>1327</v>
      </c>
      <c r="P137" s="17" t="s">
        <v>1328</v>
      </c>
      <c r="Q137" s="17" t="s">
        <v>1328</v>
      </c>
      <c r="R137" s="17" t="s">
        <v>1328</v>
      </c>
      <c r="S137" s="17" t="s">
        <v>1328</v>
      </c>
      <c r="T137" s="17" t="s">
        <v>1328</v>
      </c>
      <c r="U137" s="20" t="str">
        <f t="shared" si="3"/>
        <v>Yes</v>
      </c>
      <c r="V137" s="19" t="str">
        <f t="shared" si="4"/>
        <v>PJ</v>
      </c>
      <c r="W137" s="17" t="str">
        <f t="shared" si="5"/>
        <v>Yes</v>
      </c>
      <c r="X137" s="17" t="s">
        <v>1443</v>
      </c>
      <c r="Y137" s="17" t="s">
        <v>1330</v>
      </c>
      <c r="Z137" s="17" t="s">
        <v>1330</v>
      </c>
      <c r="AA137" s="17" t="s">
        <v>1347</v>
      </c>
      <c r="AB137" s="17" t="s">
        <v>1444</v>
      </c>
      <c r="AC137" s="17" t="s">
        <v>1445</v>
      </c>
      <c r="AD137" s="17" t="s">
        <v>1446</v>
      </c>
      <c r="AE137" s="17">
        <f t="shared" si="6"/>
        <v>6</v>
      </c>
      <c r="AF137" s="17" t="s">
        <v>1328</v>
      </c>
      <c r="AG137" s="17" t="s">
        <v>1328</v>
      </c>
      <c r="AH137" s="17" t="s">
        <v>1328</v>
      </c>
      <c r="AI137" s="17" t="s">
        <v>1328</v>
      </c>
      <c r="AJ137" s="17" t="s">
        <v>1328</v>
      </c>
      <c r="AK137" s="17" t="s">
        <v>1328</v>
      </c>
      <c r="AL137" s="17" t="s">
        <v>1395</v>
      </c>
      <c r="AM137" s="17" t="s">
        <v>1351</v>
      </c>
      <c r="AN137" s="17" t="s">
        <v>1363</v>
      </c>
      <c r="AO137" s="17" t="s">
        <v>1331</v>
      </c>
      <c r="AP137" s="17" t="s">
        <v>1328</v>
      </c>
      <c r="AQ137" s="17" t="str">
        <f t="shared" si="7"/>
        <v>high</v>
      </c>
      <c r="AR137" s="20"/>
    </row>
    <row r="138" ht="15.75" customHeight="1">
      <c r="A138" s="16" t="s">
        <v>2093</v>
      </c>
      <c r="B138" s="16" t="s">
        <v>251</v>
      </c>
      <c r="C138" s="16">
        <v>2016.0</v>
      </c>
      <c r="D138" s="16" t="s">
        <v>2094</v>
      </c>
      <c r="E138" s="16" t="s">
        <v>2095</v>
      </c>
      <c r="F138" s="16" t="s">
        <v>2096</v>
      </c>
      <c r="G138" s="16" t="str">
        <f t="shared" si="1"/>
        <v>No</v>
      </c>
      <c r="H138" s="16" t="s">
        <v>1324</v>
      </c>
      <c r="I138" s="16" t="s">
        <v>1324</v>
      </c>
      <c r="J138" s="16">
        <v>12.0</v>
      </c>
      <c r="K138" s="17" t="s">
        <v>2097</v>
      </c>
      <c r="L138" s="17" t="s">
        <v>5010</v>
      </c>
      <c r="M138" s="18" t="str">
        <f t="shared" si="2"/>
        <v>http://dx.doi.org/10.1016/j.biocon.2016.06.017</v>
      </c>
      <c r="N138" s="19" t="s">
        <v>1326</v>
      </c>
      <c r="O138" s="17" t="s">
        <v>1327</v>
      </c>
      <c r="P138" s="17" t="s">
        <v>1328</v>
      </c>
      <c r="Q138" s="17" t="s">
        <v>1328</v>
      </c>
      <c r="R138" s="17" t="s">
        <v>1328</v>
      </c>
      <c r="S138" s="17" t="s">
        <v>1328</v>
      </c>
      <c r="T138" s="17" t="s">
        <v>1328</v>
      </c>
      <c r="U138" s="20" t="str">
        <f t="shared" si="3"/>
        <v>Yes</v>
      </c>
      <c r="V138" s="19" t="str">
        <f t="shared" si="4"/>
        <v>PJ</v>
      </c>
      <c r="W138" s="17" t="str">
        <f t="shared" si="5"/>
        <v>Yes</v>
      </c>
      <c r="X138" s="17" t="s">
        <v>1443</v>
      </c>
      <c r="Y138" s="17" t="s">
        <v>1330</v>
      </c>
      <c r="Z138" s="17" t="s">
        <v>1331</v>
      </c>
      <c r="AA138" s="17" t="s">
        <v>1332</v>
      </c>
      <c r="AB138" s="17" t="s">
        <v>1444</v>
      </c>
      <c r="AC138" s="17" t="s">
        <v>1445</v>
      </c>
      <c r="AD138" s="17" t="s">
        <v>1373</v>
      </c>
      <c r="AE138" s="17">
        <f t="shared" si="6"/>
        <v>6</v>
      </c>
      <c r="AF138" s="17" t="s">
        <v>1328</v>
      </c>
      <c r="AG138" s="17" t="s">
        <v>1328</v>
      </c>
      <c r="AH138" s="17" t="s">
        <v>1328</v>
      </c>
      <c r="AI138" s="17" t="s">
        <v>1328</v>
      </c>
      <c r="AJ138" s="17" t="s">
        <v>1328</v>
      </c>
      <c r="AK138" s="17" t="s">
        <v>1328</v>
      </c>
      <c r="AL138" s="17" t="s">
        <v>1395</v>
      </c>
      <c r="AM138" s="17" t="s">
        <v>1338</v>
      </c>
      <c r="AN138" s="17" t="s">
        <v>1339</v>
      </c>
      <c r="AO138" s="17" t="s">
        <v>1331</v>
      </c>
      <c r="AP138" s="17" t="s">
        <v>1328</v>
      </c>
      <c r="AQ138" s="17" t="str">
        <f t="shared" si="7"/>
        <v>high</v>
      </c>
      <c r="AR138" s="20"/>
    </row>
    <row r="139" ht="15.75" customHeight="1">
      <c r="A139" s="16" t="s">
        <v>1954</v>
      </c>
      <c r="B139" s="16" t="s">
        <v>260</v>
      </c>
      <c r="C139" s="16">
        <v>2018.0</v>
      </c>
      <c r="D139" s="16" t="s">
        <v>1955</v>
      </c>
      <c r="E139" s="16" t="s">
        <v>1956</v>
      </c>
      <c r="F139" s="16" t="s">
        <v>1957</v>
      </c>
      <c r="G139" s="16" t="str">
        <f t="shared" si="1"/>
        <v>No</v>
      </c>
      <c r="H139" s="16" t="s">
        <v>1324</v>
      </c>
      <c r="I139" s="16" t="s">
        <v>1324</v>
      </c>
      <c r="J139" s="16">
        <v>16.0</v>
      </c>
      <c r="K139" s="17" t="s">
        <v>1958</v>
      </c>
      <c r="L139" s="17" t="s">
        <v>5010</v>
      </c>
      <c r="M139" s="18" t="str">
        <f t="shared" si="2"/>
        <v>http://dx.doi.org/10.1016/j.marpolbul.2018.04.065</v>
      </c>
      <c r="N139" s="19" t="s">
        <v>1402</v>
      </c>
      <c r="O139" s="17" t="s">
        <v>1371</v>
      </c>
      <c r="P139" s="17" t="s">
        <v>1328</v>
      </c>
      <c r="Q139" s="17" t="s">
        <v>1328</v>
      </c>
      <c r="R139" s="17" t="s">
        <v>1328</v>
      </c>
      <c r="S139" s="17" t="s">
        <v>1328</v>
      </c>
      <c r="T139" s="17" t="s">
        <v>1328</v>
      </c>
      <c r="U139" s="20" t="str">
        <f t="shared" si="3"/>
        <v>Yes</v>
      </c>
      <c r="V139" s="19" t="str">
        <f t="shared" si="4"/>
        <v>LC</v>
      </c>
      <c r="W139" s="17" t="str">
        <f t="shared" si="5"/>
        <v>Yes</v>
      </c>
      <c r="X139" s="17" t="s">
        <v>1329</v>
      </c>
      <c r="Y139" s="17" t="s">
        <v>1372</v>
      </c>
      <c r="Z139" s="17" t="s">
        <v>1330</v>
      </c>
      <c r="AA139" s="17" t="s">
        <v>1347</v>
      </c>
      <c r="AB139" s="17" t="s">
        <v>1333</v>
      </c>
      <c r="AC139" s="17" t="s">
        <v>1381</v>
      </c>
      <c r="AD139" s="17" t="s">
        <v>1349</v>
      </c>
      <c r="AE139" s="17">
        <f t="shared" si="6"/>
        <v>4</v>
      </c>
      <c r="AF139" s="17" t="s">
        <v>1328</v>
      </c>
      <c r="AG139" s="17" t="s">
        <v>1328</v>
      </c>
      <c r="AH139" s="17" t="s">
        <v>1328</v>
      </c>
      <c r="AI139" s="17" t="s">
        <v>1336</v>
      </c>
      <c r="AJ139" s="17" t="s">
        <v>1328</v>
      </c>
      <c r="AK139" s="17" t="s">
        <v>1336</v>
      </c>
      <c r="AL139" s="17" t="s">
        <v>1350</v>
      </c>
      <c r="AM139" s="17" t="s">
        <v>1351</v>
      </c>
      <c r="AN139" s="17" t="s">
        <v>1363</v>
      </c>
      <c r="AO139" s="17" t="s">
        <v>1388</v>
      </c>
      <c r="AP139" s="17" t="s">
        <v>1328</v>
      </c>
      <c r="AQ139" s="17" t="str">
        <f t="shared" si="7"/>
        <v>intermediate</v>
      </c>
      <c r="AR139" s="20"/>
    </row>
    <row r="140" ht="15.75" customHeight="1">
      <c r="A140" s="16" t="s">
        <v>1568</v>
      </c>
      <c r="B140" s="16" t="s">
        <v>1569</v>
      </c>
      <c r="C140" s="16">
        <v>2013.0</v>
      </c>
      <c r="D140" s="16" t="s">
        <v>1570</v>
      </c>
      <c r="E140" s="16" t="s">
        <v>1571</v>
      </c>
      <c r="F140" s="16" t="s">
        <v>1572</v>
      </c>
      <c r="G140" s="16" t="str">
        <f t="shared" si="1"/>
        <v>No</v>
      </c>
      <c r="H140" s="16" t="s">
        <v>1324</v>
      </c>
      <c r="I140" s="16" t="s">
        <v>1324</v>
      </c>
      <c r="J140" s="16">
        <v>24.0</v>
      </c>
      <c r="K140" s="17" t="s">
        <v>1573</v>
      </c>
      <c r="L140" s="17" t="s">
        <v>5010</v>
      </c>
      <c r="M140" s="18" t="str">
        <f t="shared" si="2"/>
        <v>http://dx.doi.org/10.1111/j.1752-4598.2012.00186.x</v>
      </c>
      <c r="N140" s="19" t="s">
        <v>1482</v>
      </c>
      <c r="O140" s="17" t="s">
        <v>1417</v>
      </c>
      <c r="P140" s="17" t="s">
        <v>1328</v>
      </c>
      <c r="Q140" s="17" t="s">
        <v>1328</v>
      </c>
      <c r="R140" s="17" t="s">
        <v>1328</v>
      </c>
      <c r="S140" s="17" t="s">
        <v>1328</v>
      </c>
      <c r="T140" s="17" t="s">
        <v>1328</v>
      </c>
      <c r="U140" s="20" t="str">
        <f t="shared" si="3"/>
        <v>Yes</v>
      </c>
      <c r="V140" s="19" t="str">
        <f t="shared" si="4"/>
        <v>NT</v>
      </c>
      <c r="W140" s="17" t="str">
        <f t="shared" si="5"/>
        <v>Yes</v>
      </c>
      <c r="X140" s="17" t="s">
        <v>1443</v>
      </c>
      <c r="Y140" s="17" t="s">
        <v>1331</v>
      </c>
      <c r="Z140" s="17" t="s">
        <v>1372</v>
      </c>
      <c r="AA140" s="17" t="s">
        <v>1337</v>
      </c>
      <c r="AB140" s="17" t="s">
        <v>1360</v>
      </c>
      <c r="AC140" s="17" t="s">
        <v>1361</v>
      </c>
      <c r="AD140" s="17" t="s">
        <v>1362</v>
      </c>
      <c r="AE140" s="17">
        <f t="shared" si="6"/>
        <v>5</v>
      </c>
      <c r="AF140" s="17" t="s">
        <v>1328</v>
      </c>
      <c r="AG140" s="17" t="s">
        <v>1328</v>
      </c>
      <c r="AH140" s="17" t="s">
        <v>1328</v>
      </c>
      <c r="AI140" s="17" t="s">
        <v>1328</v>
      </c>
      <c r="AJ140" s="17" t="s">
        <v>1328</v>
      </c>
      <c r="AK140" s="17" t="s">
        <v>1336</v>
      </c>
      <c r="AL140" s="17" t="s">
        <v>1337</v>
      </c>
      <c r="AM140" s="17" t="s">
        <v>1338</v>
      </c>
      <c r="AN140" s="17" t="s">
        <v>1339</v>
      </c>
      <c r="AO140" s="17" t="s">
        <v>1331</v>
      </c>
      <c r="AP140" s="17" t="s">
        <v>1328</v>
      </c>
      <c r="AQ140" s="17" t="str">
        <f t="shared" si="7"/>
        <v>intermediate</v>
      </c>
      <c r="AR140" s="20"/>
    </row>
    <row r="141" ht="15.75" customHeight="1">
      <c r="A141" s="16" t="s">
        <v>1741</v>
      </c>
      <c r="B141" s="16" t="s">
        <v>1742</v>
      </c>
      <c r="C141" s="16">
        <v>2010.0</v>
      </c>
      <c r="D141" s="16" t="s">
        <v>1743</v>
      </c>
      <c r="E141" s="16" t="s">
        <v>1744</v>
      </c>
      <c r="F141" s="16" t="s">
        <v>1745</v>
      </c>
      <c r="G141" s="16" t="str">
        <f t="shared" si="1"/>
        <v>No</v>
      </c>
      <c r="H141" s="16" t="s">
        <v>1324</v>
      </c>
      <c r="I141" s="16" t="s">
        <v>1324</v>
      </c>
      <c r="J141" s="16">
        <v>68.0</v>
      </c>
      <c r="K141" s="17" t="s">
        <v>1746</v>
      </c>
      <c r="L141" s="17" t="s">
        <v>5010</v>
      </c>
      <c r="M141" s="18" t="str">
        <f t="shared" si="2"/>
        <v>http://dx.doi.org/10.1093/icb/icq072</v>
      </c>
      <c r="N141" s="19" t="s">
        <v>1402</v>
      </c>
      <c r="O141" s="17" t="s">
        <v>1436</v>
      </c>
      <c r="P141" s="17" t="s">
        <v>1328</v>
      </c>
      <c r="Q141" s="17" t="s">
        <v>1328</v>
      </c>
      <c r="R141" s="17" t="s">
        <v>1328</v>
      </c>
      <c r="S141" s="17" t="s">
        <v>1328</v>
      </c>
      <c r="T141" s="17" t="s">
        <v>1328</v>
      </c>
      <c r="U141" s="20" t="str">
        <f t="shared" si="3"/>
        <v>Yes</v>
      </c>
      <c r="V141" s="19" t="str">
        <f t="shared" si="4"/>
        <v>CG</v>
      </c>
      <c r="W141" s="17" t="str">
        <f t="shared" si="5"/>
        <v>Yes</v>
      </c>
      <c r="X141" s="17" t="s">
        <v>1443</v>
      </c>
      <c r="Y141" s="17" t="s">
        <v>1330</v>
      </c>
      <c r="Z141" s="17" t="s">
        <v>1330</v>
      </c>
      <c r="AA141" s="17" t="s">
        <v>1332</v>
      </c>
      <c r="AB141" s="17" t="s">
        <v>1360</v>
      </c>
      <c r="AC141" s="17" t="s">
        <v>1348</v>
      </c>
      <c r="AD141" s="17" t="s">
        <v>1349</v>
      </c>
      <c r="AE141" s="17">
        <f t="shared" si="6"/>
        <v>3</v>
      </c>
      <c r="AF141" s="17" t="s">
        <v>1328</v>
      </c>
      <c r="AG141" s="17" t="s">
        <v>1328</v>
      </c>
      <c r="AH141" s="17" t="s">
        <v>1328</v>
      </c>
      <c r="AI141" s="17" t="s">
        <v>1336</v>
      </c>
      <c r="AJ141" s="17" t="s">
        <v>1336</v>
      </c>
      <c r="AK141" s="17" t="s">
        <v>1336</v>
      </c>
      <c r="AL141" s="17" t="s">
        <v>1395</v>
      </c>
      <c r="AM141" s="17" t="s">
        <v>1338</v>
      </c>
      <c r="AN141" s="17" t="s">
        <v>1339</v>
      </c>
      <c r="AO141" s="17" t="s">
        <v>1374</v>
      </c>
      <c r="AP141" s="17" t="s">
        <v>1328</v>
      </c>
      <c r="AQ141" s="17" t="str">
        <f t="shared" si="7"/>
        <v>high</v>
      </c>
      <c r="AR141" s="20"/>
    </row>
    <row r="142" ht="15.75" customHeight="1">
      <c r="A142" s="16" t="s">
        <v>2047</v>
      </c>
      <c r="B142" s="16" t="s">
        <v>2048</v>
      </c>
      <c r="C142" s="16">
        <v>2016.0</v>
      </c>
      <c r="D142" s="16" t="s">
        <v>2049</v>
      </c>
      <c r="E142" s="16" t="s">
        <v>2050</v>
      </c>
      <c r="F142" s="16" t="s">
        <v>2051</v>
      </c>
      <c r="G142" s="16" t="str">
        <f t="shared" si="1"/>
        <v>No</v>
      </c>
      <c r="H142" s="16" t="s">
        <v>1324</v>
      </c>
      <c r="I142" s="16" t="s">
        <v>1324</v>
      </c>
      <c r="J142" s="16">
        <v>172.0</v>
      </c>
      <c r="K142" s="17" t="s">
        <v>2052</v>
      </c>
      <c r="L142" s="17" t="s">
        <v>5010</v>
      </c>
      <c r="M142" s="18" t="str">
        <f t="shared" si="2"/>
        <v>http://dx.doi.org/10.1016/j.envres.2015.09.002</v>
      </c>
      <c r="N142" s="19" t="s">
        <v>1666</v>
      </c>
      <c r="O142" s="17" t="s">
        <v>1470</v>
      </c>
      <c r="P142" s="17" t="s">
        <v>1328</v>
      </c>
      <c r="Q142" s="17" t="s">
        <v>1328</v>
      </c>
      <c r="R142" s="17" t="s">
        <v>1328</v>
      </c>
      <c r="S142" s="17" t="s">
        <v>1328</v>
      </c>
      <c r="T142" s="17" t="s">
        <v>1328</v>
      </c>
      <c r="U142" s="20" t="str">
        <f t="shared" si="3"/>
        <v>Yes</v>
      </c>
      <c r="V142" s="19" t="str">
        <f t="shared" si="4"/>
        <v>AG</v>
      </c>
      <c r="W142" s="17" t="str">
        <f t="shared" si="5"/>
        <v>Yes</v>
      </c>
      <c r="X142" s="17" t="s">
        <v>1329</v>
      </c>
      <c r="Y142" s="17" t="s">
        <v>1330</v>
      </c>
      <c r="Z142" s="17" t="s">
        <v>1330</v>
      </c>
      <c r="AA142" s="17" t="s">
        <v>1332</v>
      </c>
      <c r="AB142" s="17" t="s">
        <v>1333</v>
      </c>
      <c r="AC142" s="17" t="s">
        <v>1381</v>
      </c>
      <c r="AD142" s="17" t="s">
        <v>1362</v>
      </c>
      <c r="AE142" s="17">
        <f t="shared" si="6"/>
        <v>2</v>
      </c>
      <c r="AF142" s="17" t="s">
        <v>1328</v>
      </c>
      <c r="AG142" s="17" t="s">
        <v>1328</v>
      </c>
      <c r="AH142" s="17" t="s">
        <v>1336</v>
      </c>
      <c r="AI142" s="17" t="s">
        <v>1336</v>
      </c>
      <c r="AJ142" s="17" t="s">
        <v>1336</v>
      </c>
      <c r="AK142" s="17" t="s">
        <v>1336</v>
      </c>
      <c r="AL142" s="17" t="s">
        <v>1350</v>
      </c>
      <c r="AM142" s="17" t="s">
        <v>1351</v>
      </c>
      <c r="AN142" s="17" t="s">
        <v>1339</v>
      </c>
      <c r="AO142" s="17" t="s">
        <v>1331</v>
      </c>
      <c r="AP142" s="17" t="s">
        <v>1328</v>
      </c>
      <c r="AQ142" s="17" t="str">
        <f t="shared" si="7"/>
        <v>intermediate</v>
      </c>
      <c r="AR142" s="20"/>
    </row>
    <row r="143" ht="15.75" customHeight="1">
      <c r="A143" s="16" t="s">
        <v>1352</v>
      </c>
      <c r="B143" s="16" t="s">
        <v>1353</v>
      </c>
      <c r="C143" s="16">
        <v>2017.0</v>
      </c>
      <c r="D143" s="16" t="s">
        <v>1354</v>
      </c>
      <c r="E143" s="16" t="s">
        <v>1355</v>
      </c>
      <c r="F143" s="16" t="s">
        <v>1356</v>
      </c>
      <c r="G143" s="16" t="str">
        <f t="shared" si="1"/>
        <v>No</v>
      </c>
      <c r="H143" s="16" t="s">
        <v>1324</v>
      </c>
      <c r="I143" s="16" t="s">
        <v>1324</v>
      </c>
      <c r="J143" s="16">
        <v>5.0</v>
      </c>
      <c r="K143" s="17" t="s">
        <v>1357</v>
      </c>
      <c r="L143" s="17" t="s">
        <v>5010</v>
      </c>
      <c r="M143" s="18" t="str">
        <f t="shared" si="2"/>
        <v>http://dx.doi.org/10.5194/bg-14-2387-2017</v>
      </c>
      <c r="N143" s="19" t="s">
        <v>1358</v>
      </c>
      <c r="O143" s="17" t="s">
        <v>1359</v>
      </c>
      <c r="P143" s="17" t="s">
        <v>1328</v>
      </c>
      <c r="Q143" s="17" t="s">
        <v>1328</v>
      </c>
      <c r="R143" s="17" t="s">
        <v>1328</v>
      </c>
      <c r="S143" s="17" t="s">
        <v>1328</v>
      </c>
      <c r="T143" s="17" t="s">
        <v>1328</v>
      </c>
      <c r="U143" s="20" t="str">
        <f t="shared" si="3"/>
        <v>Yes</v>
      </c>
      <c r="V143" s="19" t="str">
        <f t="shared" si="4"/>
        <v>YT</v>
      </c>
      <c r="W143" s="17" t="str">
        <f t="shared" si="5"/>
        <v>Yes</v>
      </c>
      <c r="X143" s="17" t="s">
        <v>1329</v>
      </c>
      <c r="Y143" s="17" t="s">
        <v>1330</v>
      </c>
      <c r="Z143" s="17" t="s">
        <v>1331</v>
      </c>
      <c r="AA143" s="17" t="s">
        <v>1347</v>
      </c>
      <c r="AB143" s="17" t="s">
        <v>1360</v>
      </c>
      <c r="AC143" s="17" t="s">
        <v>1361</v>
      </c>
      <c r="AD143" s="17" t="s">
        <v>1362</v>
      </c>
      <c r="AE143" s="17">
        <f t="shared" si="6"/>
        <v>3</v>
      </c>
      <c r="AF143" s="17" t="s">
        <v>1336</v>
      </c>
      <c r="AG143" s="17" t="s">
        <v>1328</v>
      </c>
      <c r="AH143" s="17" t="s">
        <v>1328</v>
      </c>
      <c r="AI143" s="17" t="s">
        <v>1336</v>
      </c>
      <c r="AJ143" s="17" t="s">
        <v>1336</v>
      </c>
      <c r="AK143" s="17" t="s">
        <v>1328</v>
      </c>
      <c r="AL143" s="17" t="s">
        <v>1350</v>
      </c>
      <c r="AM143" s="17" t="s">
        <v>1351</v>
      </c>
      <c r="AN143" s="17" t="s">
        <v>1363</v>
      </c>
      <c r="AO143" s="17" t="s">
        <v>1331</v>
      </c>
      <c r="AP143" s="17" t="s">
        <v>1328</v>
      </c>
      <c r="AQ143" s="17" t="str">
        <f t="shared" si="7"/>
        <v>high</v>
      </c>
      <c r="AR143" s="20"/>
    </row>
    <row r="144" ht="15.75" customHeight="1">
      <c r="A144" s="16" t="s">
        <v>1762</v>
      </c>
      <c r="B144" s="16" t="s">
        <v>1763</v>
      </c>
      <c r="C144" s="16">
        <v>2007.0</v>
      </c>
      <c r="D144" s="16" t="s">
        <v>1764</v>
      </c>
      <c r="E144" s="16" t="s">
        <v>1765</v>
      </c>
      <c r="F144" s="16" t="s">
        <v>1766</v>
      </c>
      <c r="G144" s="16" t="str">
        <f t="shared" si="1"/>
        <v>No</v>
      </c>
      <c r="H144" s="16" t="s">
        <v>1324</v>
      </c>
      <c r="I144" s="16" t="s">
        <v>1324</v>
      </c>
      <c r="J144" s="16">
        <v>138.0</v>
      </c>
      <c r="K144" s="17" t="s">
        <v>1767</v>
      </c>
      <c r="L144" s="17" t="s">
        <v>5010</v>
      </c>
      <c r="M144" s="18" t="str">
        <f t="shared" si="2"/>
        <v>http://dx.doi.org/10.1080/14634980701350686</v>
      </c>
      <c r="N144" s="19" t="s">
        <v>1522</v>
      </c>
      <c r="O144" s="17" t="s">
        <v>1327</v>
      </c>
      <c r="P144" s="17" t="s">
        <v>1328</v>
      </c>
      <c r="Q144" s="17" t="s">
        <v>1328</v>
      </c>
      <c r="R144" s="17" t="s">
        <v>1328</v>
      </c>
      <c r="S144" s="17" t="s">
        <v>1328</v>
      </c>
      <c r="T144" s="17" t="s">
        <v>1328</v>
      </c>
      <c r="U144" s="20" t="str">
        <f t="shared" si="3"/>
        <v>Yes</v>
      </c>
      <c r="V144" s="19" t="str">
        <f t="shared" si="4"/>
        <v>PJ</v>
      </c>
      <c r="W144" s="17" t="str">
        <f t="shared" si="5"/>
        <v>Yes</v>
      </c>
      <c r="X144" s="17" t="s">
        <v>1443</v>
      </c>
      <c r="Y144" s="17" t="s">
        <v>1523</v>
      </c>
      <c r="Z144" s="17" t="s">
        <v>1372</v>
      </c>
      <c r="AA144" s="17" t="s">
        <v>1332</v>
      </c>
      <c r="AB144" s="17" t="s">
        <v>1360</v>
      </c>
      <c r="AC144" s="17" t="s">
        <v>1348</v>
      </c>
      <c r="AD144" s="17" t="s">
        <v>1530</v>
      </c>
      <c r="AE144" s="17">
        <f t="shared" si="6"/>
        <v>4</v>
      </c>
      <c r="AF144" s="17" t="s">
        <v>1336</v>
      </c>
      <c r="AG144" s="17" t="s">
        <v>1328</v>
      </c>
      <c r="AH144" s="17" t="s">
        <v>1328</v>
      </c>
      <c r="AI144" s="17" t="s">
        <v>1328</v>
      </c>
      <c r="AJ144" s="17" t="s">
        <v>1328</v>
      </c>
      <c r="AK144" s="17" t="s">
        <v>1336</v>
      </c>
      <c r="AL144" s="17" t="s">
        <v>1395</v>
      </c>
      <c r="AM144" s="17" t="s">
        <v>1338</v>
      </c>
      <c r="AN144" s="17" t="s">
        <v>1339</v>
      </c>
      <c r="AO144" s="17" t="s">
        <v>1331</v>
      </c>
      <c r="AP144" s="17" t="s">
        <v>1328</v>
      </c>
      <c r="AQ144" s="17" t="str">
        <f t="shared" si="7"/>
        <v>intermediate</v>
      </c>
      <c r="AR144" s="20"/>
    </row>
    <row r="145" ht="15.75" customHeight="1">
      <c r="A145" s="16" t="s">
        <v>2130</v>
      </c>
      <c r="B145" s="16" t="s">
        <v>2131</v>
      </c>
      <c r="C145" s="16">
        <v>2014.0</v>
      </c>
      <c r="D145" s="16" t="s">
        <v>2132</v>
      </c>
      <c r="E145" s="16" t="s">
        <v>2133</v>
      </c>
      <c r="F145" s="16" t="s">
        <v>2134</v>
      </c>
      <c r="G145" s="16" t="str">
        <f t="shared" si="1"/>
        <v>No</v>
      </c>
      <c r="H145" s="16" t="s">
        <v>1324</v>
      </c>
      <c r="I145" s="16" t="s">
        <v>1324</v>
      </c>
      <c r="J145" s="16">
        <v>134.0</v>
      </c>
      <c r="K145" s="17" t="s">
        <v>2135</v>
      </c>
      <c r="L145" s="17" t="s">
        <v>5010</v>
      </c>
      <c r="M145" s="18" t="str">
        <f t="shared" si="2"/>
        <v>http://dx.doi.org/10.1016/j.agrformet.2014.01.002</v>
      </c>
      <c r="N145" s="19" t="s">
        <v>1358</v>
      </c>
      <c r="O145" s="17" t="s">
        <v>1403</v>
      </c>
      <c r="P145" s="17" t="s">
        <v>1328</v>
      </c>
      <c r="Q145" s="17" t="s">
        <v>1328</v>
      </c>
      <c r="R145" s="17" t="s">
        <v>1328</v>
      </c>
      <c r="S145" s="17" t="s">
        <v>1328</v>
      </c>
      <c r="T145" s="17" t="s">
        <v>1328</v>
      </c>
      <c r="U145" s="20" t="str">
        <f t="shared" si="3"/>
        <v>Yes</v>
      </c>
      <c r="V145" s="19" t="str">
        <f t="shared" si="4"/>
        <v>DB</v>
      </c>
      <c r="W145" s="17" t="str">
        <f t="shared" si="5"/>
        <v>Yes</v>
      </c>
      <c r="X145" s="17" t="s">
        <v>1631</v>
      </c>
      <c r="Y145" s="17" t="s">
        <v>1330</v>
      </c>
      <c r="Z145" s="17" t="s">
        <v>1331</v>
      </c>
      <c r="AA145" s="17" t="s">
        <v>1347</v>
      </c>
      <c r="AB145" s="17" t="s">
        <v>1333</v>
      </c>
      <c r="AC145" s="17" t="s">
        <v>1361</v>
      </c>
      <c r="AD145" s="17" t="s">
        <v>1362</v>
      </c>
      <c r="AE145" s="17">
        <f t="shared" si="6"/>
        <v>2</v>
      </c>
      <c r="AF145" s="17" t="s">
        <v>1328</v>
      </c>
      <c r="AG145" s="17" t="s">
        <v>1328</v>
      </c>
      <c r="AH145" s="17" t="s">
        <v>1336</v>
      </c>
      <c r="AI145" s="17" t="s">
        <v>1336</v>
      </c>
      <c r="AJ145" s="17" t="s">
        <v>1336</v>
      </c>
      <c r="AK145" s="17" t="s">
        <v>1336</v>
      </c>
      <c r="AL145" s="17" t="s">
        <v>1350</v>
      </c>
      <c r="AM145" s="17" t="s">
        <v>1351</v>
      </c>
      <c r="AN145" s="17" t="s">
        <v>1363</v>
      </c>
      <c r="AO145" s="17" t="s">
        <v>1331</v>
      </c>
      <c r="AP145" s="17" t="s">
        <v>1328</v>
      </c>
      <c r="AQ145" s="17" t="str">
        <f t="shared" si="7"/>
        <v>intermediate</v>
      </c>
      <c r="AR145" s="20" t="s">
        <v>1639</v>
      </c>
    </row>
    <row r="146" ht="15.75" customHeight="1">
      <c r="A146" s="16" t="s">
        <v>1615</v>
      </c>
      <c r="B146" s="16" t="s">
        <v>1616</v>
      </c>
      <c r="C146" s="16">
        <v>2006.0</v>
      </c>
      <c r="D146" s="16" t="s">
        <v>1617</v>
      </c>
      <c r="E146" s="16" t="s">
        <v>1618</v>
      </c>
      <c r="F146" s="16" t="s">
        <v>1619</v>
      </c>
      <c r="G146" s="16" t="str">
        <f t="shared" si="1"/>
        <v>No</v>
      </c>
      <c r="H146" s="16" t="s">
        <v>1324</v>
      </c>
      <c r="I146" s="16" t="s">
        <v>1324</v>
      </c>
      <c r="J146" s="16">
        <v>185.0</v>
      </c>
      <c r="K146" s="17" t="s">
        <v>1620</v>
      </c>
      <c r="L146" s="17" t="s">
        <v>5010</v>
      </c>
      <c r="M146" s="18" t="str">
        <f t="shared" si="2"/>
        <v>http://dx.doi.org/10.1111/j.1365-2745.2006.01140.x</v>
      </c>
      <c r="N146" s="19" t="s">
        <v>1495</v>
      </c>
      <c r="O146" s="17" t="s">
        <v>1436</v>
      </c>
      <c r="P146" s="17" t="s">
        <v>1328</v>
      </c>
      <c r="Q146" s="17" t="s">
        <v>1328</v>
      </c>
      <c r="R146" s="17" t="s">
        <v>1328</v>
      </c>
      <c r="S146" s="17" t="s">
        <v>1328</v>
      </c>
      <c r="T146" s="17" t="s">
        <v>1328</v>
      </c>
      <c r="U146" s="20" t="str">
        <f t="shared" si="3"/>
        <v>Yes</v>
      </c>
      <c r="V146" s="19" t="str">
        <f t="shared" si="4"/>
        <v>CG</v>
      </c>
      <c r="W146" s="17" t="str">
        <f t="shared" si="5"/>
        <v>Yes</v>
      </c>
      <c r="X146" s="17" t="s">
        <v>1329</v>
      </c>
      <c r="Y146" s="17" t="s">
        <v>1372</v>
      </c>
      <c r="Z146" s="17" t="s">
        <v>1331</v>
      </c>
      <c r="AA146" s="17" t="s">
        <v>1347</v>
      </c>
      <c r="AB146" s="17" t="s">
        <v>1333</v>
      </c>
      <c r="AC146" s="17" t="s">
        <v>1381</v>
      </c>
      <c r="AD146" s="17" t="s">
        <v>1464</v>
      </c>
      <c r="AE146" s="17">
        <f t="shared" si="6"/>
        <v>3</v>
      </c>
      <c r="AF146" s="17" t="s">
        <v>1328</v>
      </c>
      <c r="AG146" s="17" t="s">
        <v>1328</v>
      </c>
      <c r="AH146" s="17" t="s">
        <v>1328</v>
      </c>
      <c r="AI146" s="17" t="s">
        <v>1336</v>
      </c>
      <c r="AJ146" s="17" t="s">
        <v>1336</v>
      </c>
      <c r="AK146" s="17" t="s">
        <v>1336</v>
      </c>
      <c r="AL146" s="17" t="s">
        <v>1350</v>
      </c>
      <c r="AM146" s="17" t="s">
        <v>1351</v>
      </c>
      <c r="AN146" s="17" t="s">
        <v>1339</v>
      </c>
      <c r="AO146" s="17" t="s">
        <v>1388</v>
      </c>
      <c r="AP146" s="17" t="s">
        <v>1328</v>
      </c>
      <c r="AQ146" s="17" t="str">
        <f t="shared" si="7"/>
        <v>intermediate</v>
      </c>
      <c r="AR146" s="20"/>
    </row>
    <row r="147" ht="15.75" customHeight="1">
      <c r="A147" s="16" t="s">
        <v>2264</v>
      </c>
      <c r="B147" s="16" t="s">
        <v>2265</v>
      </c>
      <c r="C147" s="16">
        <v>2014.0</v>
      </c>
      <c r="D147" s="16" t="s">
        <v>2266</v>
      </c>
      <c r="E147" s="16" t="s">
        <v>1324</v>
      </c>
      <c r="F147" s="23" t="s">
        <v>1324</v>
      </c>
      <c r="G147" s="16" t="str">
        <f t="shared" si="1"/>
        <v>No</v>
      </c>
      <c r="H147" s="16" t="s">
        <v>1324</v>
      </c>
      <c r="I147" s="16" t="s">
        <v>1324</v>
      </c>
      <c r="J147" s="16">
        <v>72.0</v>
      </c>
      <c r="K147" s="17" t="s">
        <v>2267</v>
      </c>
      <c r="L147" s="17" t="s">
        <v>5010</v>
      </c>
      <c r="M147" s="18" t="str">
        <f t="shared" si="2"/>
        <v/>
      </c>
      <c r="N147" s="19" t="s">
        <v>1522</v>
      </c>
      <c r="O147" s="17" t="s">
        <v>1371</v>
      </c>
      <c r="P147" s="17" t="s">
        <v>1328</v>
      </c>
      <c r="Q147" s="17" t="s">
        <v>1328</v>
      </c>
      <c r="R147" s="17" t="s">
        <v>1328</v>
      </c>
      <c r="S147" s="17" t="s">
        <v>1328</v>
      </c>
      <c r="T147" s="17" t="s">
        <v>1328</v>
      </c>
      <c r="U147" s="20" t="str">
        <f t="shared" si="3"/>
        <v>Yes</v>
      </c>
      <c r="V147" s="19" t="str">
        <f t="shared" si="4"/>
        <v>LC</v>
      </c>
      <c r="W147" s="17" t="str">
        <f t="shared" si="5"/>
        <v>Yes</v>
      </c>
      <c r="X147" s="17" t="s">
        <v>1329</v>
      </c>
      <c r="Y147" s="17" t="s">
        <v>1330</v>
      </c>
      <c r="Z147" s="17" t="s">
        <v>1372</v>
      </c>
      <c r="AA147" s="17" t="s">
        <v>1347</v>
      </c>
      <c r="AB147" s="17" t="s">
        <v>1444</v>
      </c>
      <c r="AC147" s="17" t="s">
        <v>1445</v>
      </c>
      <c r="AD147" s="17" t="s">
        <v>1335</v>
      </c>
      <c r="AE147" s="17">
        <f t="shared" si="6"/>
        <v>3</v>
      </c>
      <c r="AF147" s="17" t="s">
        <v>1328</v>
      </c>
      <c r="AG147" s="17" t="s">
        <v>1328</v>
      </c>
      <c r="AH147" s="17" t="s">
        <v>1328</v>
      </c>
      <c r="AI147" s="17" t="s">
        <v>1336</v>
      </c>
      <c r="AJ147" s="17" t="s">
        <v>1336</v>
      </c>
      <c r="AK147" s="17" t="s">
        <v>1336</v>
      </c>
      <c r="AL147" s="17" t="s">
        <v>1350</v>
      </c>
      <c r="AM147" s="17" t="s">
        <v>1351</v>
      </c>
      <c r="AN147" s="17" t="s">
        <v>1363</v>
      </c>
      <c r="AO147" s="17" t="s">
        <v>1388</v>
      </c>
      <c r="AP147" s="17" t="s">
        <v>1328</v>
      </c>
      <c r="AQ147" s="17" t="str">
        <f t="shared" si="7"/>
        <v>high</v>
      </c>
      <c r="AR147" s="20"/>
    </row>
    <row r="148" ht="15.75" customHeight="1">
      <c r="A148" s="16" t="s">
        <v>1471</v>
      </c>
      <c r="B148" s="16" t="s">
        <v>365</v>
      </c>
      <c r="C148" s="16">
        <v>2012.0</v>
      </c>
      <c r="D148" s="16" t="s">
        <v>1472</v>
      </c>
      <c r="E148" s="16" t="s">
        <v>1473</v>
      </c>
      <c r="F148" s="16" t="s">
        <v>1474</v>
      </c>
      <c r="G148" s="16" t="str">
        <f t="shared" si="1"/>
        <v>No</v>
      </c>
      <c r="H148" s="16" t="s">
        <v>1324</v>
      </c>
      <c r="I148" s="16" t="s">
        <v>1324</v>
      </c>
      <c r="J148" s="16">
        <v>195.0</v>
      </c>
      <c r="K148" s="17" t="s">
        <v>1475</v>
      </c>
      <c r="L148" s="17" t="s">
        <v>5010</v>
      </c>
      <c r="M148" s="18" t="str">
        <f t="shared" si="2"/>
        <v>http://dx.doi.org/10.1371/journal.pone.0039825</v>
      </c>
      <c r="N148" s="19" t="s">
        <v>1402</v>
      </c>
      <c r="O148" s="17" t="s">
        <v>1403</v>
      </c>
      <c r="P148" s="17" t="s">
        <v>1328</v>
      </c>
      <c r="Q148" s="17" t="s">
        <v>1328</v>
      </c>
      <c r="R148" s="17" t="s">
        <v>1328</v>
      </c>
      <c r="S148" s="17" t="s">
        <v>1328</v>
      </c>
      <c r="T148" s="17" t="s">
        <v>1328</v>
      </c>
      <c r="U148" s="20" t="str">
        <f t="shared" si="3"/>
        <v>Yes</v>
      </c>
      <c r="V148" s="19" t="str">
        <f t="shared" si="4"/>
        <v>DB</v>
      </c>
      <c r="W148" s="17" t="str">
        <f t="shared" si="5"/>
        <v>Yes</v>
      </c>
      <c r="X148" s="17" t="s">
        <v>1329</v>
      </c>
      <c r="Y148" s="17" t="s">
        <v>1331</v>
      </c>
      <c r="Z148" s="17" t="s">
        <v>1330</v>
      </c>
      <c r="AA148" s="17" t="s">
        <v>1332</v>
      </c>
      <c r="AB148" s="17" t="s">
        <v>1444</v>
      </c>
      <c r="AC148" s="17" t="s">
        <v>1476</v>
      </c>
      <c r="AD148" s="17" t="s">
        <v>1349</v>
      </c>
      <c r="AE148" s="17">
        <f t="shared" si="6"/>
        <v>4</v>
      </c>
      <c r="AF148" s="17" t="s">
        <v>1328</v>
      </c>
      <c r="AG148" s="17" t="s">
        <v>1328</v>
      </c>
      <c r="AH148" s="17" t="s">
        <v>1328</v>
      </c>
      <c r="AI148" s="17" t="s">
        <v>1336</v>
      </c>
      <c r="AJ148" s="17" t="s">
        <v>1328</v>
      </c>
      <c r="AK148" s="17" t="s">
        <v>1336</v>
      </c>
      <c r="AL148" s="17" t="s">
        <v>1395</v>
      </c>
      <c r="AM148" s="17" t="s">
        <v>1338</v>
      </c>
      <c r="AN148" s="17" t="s">
        <v>1363</v>
      </c>
      <c r="AO148" s="17" t="s">
        <v>1331</v>
      </c>
      <c r="AP148" s="17" t="s">
        <v>1328</v>
      </c>
      <c r="AQ148" s="17" t="str">
        <f t="shared" si="7"/>
        <v>intermediate</v>
      </c>
      <c r="AR148" s="20"/>
    </row>
    <row r="149" ht="15.75" customHeight="1">
      <c r="A149" s="16" t="s">
        <v>2220</v>
      </c>
      <c r="B149" s="16" t="s">
        <v>2221</v>
      </c>
      <c r="C149" s="16">
        <v>2008.0</v>
      </c>
      <c r="D149" s="16" t="s">
        <v>2222</v>
      </c>
      <c r="E149" s="16" t="s">
        <v>2223</v>
      </c>
      <c r="F149" s="16" t="s">
        <v>2224</v>
      </c>
      <c r="G149" s="16" t="str">
        <f t="shared" si="1"/>
        <v>No</v>
      </c>
      <c r="H149" s="16" t="s">
        <v>1324</v>
      </c>
      <c r="I149" s="16" t="s">
        <v>1324</v>
      </c>
      <c r="J149" s="16">
        <v>166.0</v>
      </c>
      <c r="K149" s="17" t="s">
        <v>2225</v>
      </c>
      <c r="L149" s="17" t="s">
        <v>5010</v>
      </c>
      <c r="M149" s="18" t="str">
        <f t="shared" si="2"/>
        <v>http://dx.doi.org/10.1007/s10530-007-9138-5</v>
      </c>
      <c r="N149" s="19" t="s">
        <v>1482</v>
      </c>
      <c r="O149" s="17" t="s">
        <v>1371</v>
      </c>
      <c r="P149" s="17" t="s">
        <v>1328</v>
      </c>
      <c r="Q149" s="17" t="s">
        <v>1328</v>
      </c>
      <c r="R149" s="17" t="s">
        <v>1328</v>
      </c>
      <c r="S149" s="17" t="s">
        <v>1328</v>
      </c>
      <c r="T149" s="17" t="s">
        <v>1328</v>
      </c>
      <c r="U149" s="20" t="str">
        <f t="shared" si="3"/>
        <v>Yes</v>
      </c>
      <c r="V149" s="19" t="str">
        <f t="shared" si="4"/>
        <v>LC</v>
      </c>
      <c r="W149" s="17" t="str">
        <f t="shared" si="5"/>
        <v>Yes</v>
      </c>
      <c r="X149" s="17" t="s">
        <v>1329</v>
      </c>
      <c r="Y149" s="17" t="s">
        <v>1330</v>
      </c>
      <c r="Z149" s="17" t="s">
        <v>1330</v>
      </c>
      <c r="AA149" s="17" t="s">
        <v>1332</v>
      </c>
      <c r="AB149" s="17" t="s">
        <v>1444</v>
      </c>
      <c r="AC149" s="17" t="s">
        <v>1445</v>
      </c>
      <c r="AD149" s="17" t="s">
        <v>1446</v>
      </c>
      <c r="AE149" s="17">
        <f t="shared" si="6"/>
        <v>2</v>
      </c>
      <c r="AF149" s="17" t="s">
        <v>1336</v>
      </c>
      <c r="AG149" s="17" t="s">
        <v>1328</v>
      </c>
      <c r="AH149" s="17" t="s">
        <v>1336</v>
      </c>
      <c r="AI149" s="17" t="s">
        <v>1328</v>
      </c>
      <c r="AJ149" s="17" t="s">
        <v>1336</v>
      </c>
      <c r="AK149" s="17" t="s">
        <v>1336</v>
      </c>
      <c r="AL149" s="17" t="s">
        <v>1350</v>
      </c>
      <c r="AM149" s="17" t="s">
        <v>1351</v>
      </c>
      <c r="AN149" s="17" t="s">
        <v>1363</v>
      </c>
      <c r="AO149" s="17" t="s">
        <v>1388</v>
      </c>
      <c r="AP149" s="17" t="s">
        <v>1328</v>
      </c>
      <c r="AQ149" s="17" t="str">
        <f t="shared" si="7"/>
        <v>high</v>
      </c>
      <c r="AR149" s="20"/>
    </row>
    <row r="150" ht="15.75" customHeight="1">
      <c r="A150" s="16" t="s">
        <v>1483</v>
      </c>
      <c r="B150" s="16" t="s">
        <v>365</v>
      </c>
      <c r="C150" s="16">
        <v>2010.0</v>
      </c>
      <c r="D150" s="16" t="s">
        <v>1484</v>
      </c>
      <c r="E150" s="16" t="s">
        <v>1485</v>
      </c>
      <c r="F150" s="16" t="s">
        <v>1486</v>
      </c>
      <c r="G150" s="16" t="str">
        <f t="shared" si="1"/>
        <v>No</v>
      </c>
      <c r="H150" s="16" t="s">
        <v>1324</v>
      </c>
      <c r="I150" s="16" t="s">
        <v>1324</v>
      </c>
      <c r="J150" s="16">
        <v>50.0</v>
      </c>
      <c r="K150" s="17" t="s">
        <v>1487</v>
      </c>
      <c r="L150" s="17" t="s">
        <v>5010</v>
      </c>
      <c r="M150" s="18" t="str">
        <f t="shared" si="2"/>
        <v>http://dx.doi.org/10.1371/journal.pone.0010095</v>
      </c>
      <c r="N150" s="19" t="s">
        <v>1442</v>
      </c>
      <c r="O150" s="17" t="s">
        <v>1327</v>
      </c>
      <c r="P150" s="17" t="s">
        <v>1328</v>
      </c>
      <c r="Q150" s="17" t="s">
        <v>1328</v>
      </c>
      <c r="R150" s="17" t="s">
        <v>1328</v>
      </c>
      <c r="S150" s="17" t="s">
        <v>1328</v>
      </c>
      <c r="T150" s="17" t="s">
        <v>1328</v>
      </c>
      <c r="U150" s="20" t="str">
        <f t="shared" si="3"/>
        <v>Yes</v>
      </c>
      <c r="V150" s="19" t="str">
        <f t="shared" si="4"/>
        <v>PJ</v>
      </c>
      <c r="W150" s="17" t="str">
        <f t="shared" si="5"/>
        <v>Yes</v>
      </c>
      <c r="X150" s="17" t="s">
        <v>1443</v>
      </c>
      <c r="Y150" s="17" t="s">
        <v>1330</v>
      </c>
      <c r="Z150" s="17" t="s">
        <v>1331</v>
      </c>
      <c r="AA150" s="17" t="s">
        <v>1331</v>
      </c>
      <c r="AB150" s="17" t="s">
        <v>1444</v>
      </c>
      <c r="AC150" s="17" t="s">
        <v>1488</v>
      </c>
      <c r="AD150" s="17" t="s">
        <v>1349</v>
      </c>
      <c r="AE150" s="17">
        <f t="shared" si="6"/>
        <v>3</v>
      </c>
      <c r="AF150" s="17" t="s">
        <v>1328</v>
      </c>
      <c r="AG150" s="17" t="s">
        <v>1328</v>
      </c>
      <c r="AH150" s="17" t="s">
        <v>1328</v>
      </c>
      <c r="AI150" s="17" t="s">
        <v>1336</v>
      </c>
      <c r="AJ150" s="17" t="s">
        <v>1336</v>
      </c>
      <c r="AK150" s="17" t="s">
        <v>1336</v>
      </c>
      <c r="AL150" s="17" t="s">
        <v>1395</v>
      </c>
      <c r="AM150" s="17" t="s">
        <v>1338</v>
      </c>
      <c r="AN150" s="17" t="s">
        <v>1339</v>
      </c>
      <c r="AO150" s="17" t="s">
        <v>1331</v>
      </c>
      <c r="AP150" s="17" t="s">
        <v>1328</v>
      </c>
      <c r="AQ150" s="17" t="str">
        <f t="shared" si="7"/>
        <v>high</v>
      </c>
      <c r="AR150" s="20" t="s">
        <v>1489</v>
      </c>
    </row>
    <row r="151" ht="15.75" customHeight="1">
      <c r="A151" s="16" t="s">
        <v>2238</v>
      </c>
      <c r="B151" s="16" t="s">
        <v>1419</v>
      </c>
      <c r="C151" s="16">
        <v>2018.0</v>
      </c>
      <c r="D151" s="16" t="s">
        <v>2239</v>
      </c>
      <c r="E151" s="16" t="s">
        <v>2240</v>
      </c>
      <c r="F151" s="16" t="s">
        <v>2241</v>
      </c>
      <c r="G151" s="16" t="str">
        <f t="shared" si="1"/>
        <v>No</v>
      </c>
      <c r="H151" s="16" t="s">
        <v>1324</v>
      </c>
      <c r="I151" s="16" t="s">
        <v>1324</v>
      </c>
      <c r="J151" s="16">
        <v>110.0</v>
      </c>
      <c r="K151" s="17" t="s">
        <v>2242</v>
      </c>
      <c r="L151" s="17" t="s">
        <v>5010</v>
      </c>
      <c r="M151" s="18" t="str">
        <f t="shared" si="2"/>
        <v>http://dx.doi.org/10.1002/eap.1755</v>
      </c>
      <c r="N151" s="19" t="s">
        <v>1358</v>
      </c>
      <c r="O151" s="17" t="s">
        <v>1417</v>
      </c>
      <c r="P151" s="17" t="s">
        <v>1328</v>
      </c>
      <c r="Q151" s="17" t="s">
        <v>1328</v>
      </c>
      <c r="R151" s="17" t="s">
        <v>1328</v>
      </c>
      <c r="S151" s="17" t="s">
        <v>1328</v>
      </c>
      <c r="T151" s="17" t="s">
        <v>1328</v>
      </c>
      <c r="U151" s="20" t="str">
        <f t="shared" si="3"/>
        <v>Yes</v>
      </c>
      <c r="V151" s="19" t="str">
        <f t="shared" si="4"/>
        <v>NT</v>
      </c>
      <c r="W151" s="17" t="str">
        <f t="shared" si="5"/>
        <v>Yes</v>
      </c>
      <c r="X151" s="17" t="s">
        <v>1329</v>
      </c>
      <c r="Y151" s="17" t="s">
        <v>1330</v>
      </c>
      <c r="Z151" s="17" t="s">
        <v>1330</v>
      </c>
      <c r="AA151" s="17" t="s">
        <v>1347</v>
      </c>
      <c r="AB151" s="17" t="s">
        <v>1360</v>
      </c>
      <c r="AC151" s="17" t="s">
        <v>1348</v>
      </c>
      <c r="AD151" s="17" t="s">
        <v>1362</v>
      </c>
      <c r="AE151" s="17">
        <f t="shared" si="6"/>
        <v>4</v>
      </c>
      <c r="AF151" s="17" t="s">
        <v>1328</v>
      </c>
      <c r="AG151" s="17" t="s">
        <v>1328</v>
      </c>
      <c r="AH151" s="17" t="s">
        <v>1336</v>
      </c>
      <c r="AI151" s="17" t="s">
        <v>1336</v>
      </c>
      <c r="AJ151" s="17" t="s">
        <v>1328</v>
      </c>
      <c r="AK151" s="17" t="s">
        <v>1328</v>
      </c>
      <c r="AL151" s="17" t="s">
        <v>1350</v>
      </c>
      <c r="AM151" s="17" t="s">
        <v>1351</v>
      </c>
      <c r="AN151" s="17" t="s">
        <v>1363</v>
      </c>
      <c r="AO151" s="17" t="s">
        <v>1331</v>
      </c>
      <c r="AP151" s="17" t="s">
        <v>1328</v>
      </c>
      <c r="AQ151" s="17" t="str">
        <f t="shared" si="7"/>
        <v>high</v>
      </c>
      <c r="AR151" s="20"/>
    </row>
    <row r="152" ht="15.75" customHeight="1">
      <c r="A152" s="16" t="s">
        <v>1730</v>
      </c>
      <c r="B152" s="16" t="s">
        <v>1731</v>
      </c>
      <c r="C152" s="16">
        <v>2014.0</v>
      </c>
      <c r="D152" s="16" t="s">
        <v>1732</v>
      </c>
      <c r="E152" s="16" t="s">
        <v>1733</v>
      </c>
      <c r="F152" s="16" t="s">
        <v>1734</v>
      </c>
      <c r="G152" s="16" t="str">
        <f t="shared" si="1"/>
        <v>No</v>
      </c>
      <c r="H152" s="16" t="s">
        <v>1324</v>
      </c>
      <c r="I152" s="16" t="s">
        <v>1324</v>
      </c>
      <c r="J152" s="16">
        <v>56.0</v>
      </c>
      <c r="K152" s="17" t="s">
        <v>1735</v>
      </c>
      <c r="L152" s="17" t="s">
        <v>5010</v>
      </c>
      <c r="M152" s="18" t="str">
        <f t="shared" si="2"/>
        <v>http://dx.doi.org/10.1093/icesjms/fst222</v>
      </c>
      <c r="N152" s="19" t="s">
        <v>1346</v>
      </c>
      <c r="O152" s="17" t="s">
        <v>1387</v>
      </c>
      <c r="P152" s="17" t="s">
        <v>1328</v>
      </c>
      <c r="Q152" s="17" t="s">
        <v>1328</v>
      </c>
      <c r="R152" s="17" t="s">
        <v>1328</v>
      </c>
      <c r="S152" s="17" t="s">
        <v>1328</v>
      </c>
      <c r="T152" s="17" t="s">
        <v>1328</v>
      </c>
      <c r="U152" s="20" t="str">
        <f t="shared" si="3"/>
        <v>Yes</v>
      </c>
      <c r="V152" s="19" t="str">
        <f t="shared" si="4"/>
        <v>MW</v>
      </c>
      <c r="W152" s="17" t="str">
        <f t="shared" si="5"/>
        <v>Yes</v>
      </c>
      <c r="X152" s="17" t="s">
        <v>1329</v>
      </c>
      <c r="Y152" s="17" t="s">
        <v>1330</v>
      </c>
      <c r="Z152" s="17" t="s">
        <v>1331</v>
      </c>
      <c r="AA152" s="17" t="s">
        <v>1347</v>
      </c>
      <c r="AB152" s="17" t="s">
        <v>1333</v>
      </c>
      <c r="AC152" s="17" t="s">
        <v>1361</v>
      </c>
      <c r="AD152" s="17" t="s">
        <v>1349</v>
      </c>
      <c r="AE152" s="17">
        <f t="shared" si="6"/>
        <v>3</v>
      </c>
      <c r="AF152" s="17" t="s">
        <v>1328</v>
      </c>
      <c r="AG152" s="17" t="s">
        <v>1336</v>
      </c>
      <c r="AH152" s="17" t="s">
        <v>1328</v>
      </c>
      <c r="AI152" s="17" t="s">
        <v>1336</v>
      </c>
      <c r="AJ152" s="17" t="s">
        <v>1328</v>
      </c>
      <c r="AK152" s="17" t="s">
        <v>1336</v>
      </c>
      <c r="AL152" s="17" t="s">
        <v>1350</v>
      </c>
      <c r="AM152" s="17" t="s">
        <v>1351</v>
      </c>
      <c r="AN152" s="17" t="s">
        <v>1363</v>
      </c>
      <c r="AO152" s="17" t="s">
        <v>1388</v>
      </c>
      <c r="AP152" s="17" t="s">
        <v>1328</v>
      </c>
      <c r="AQ152" s="17" t="str">
        <f t="shared" si="7"/>
        <v>intermediate</v>
      </c>
      <c r="AR152" s="20"/>
    </row>
    <row r="153" ht="15.75" customHeight="1">
      <c r="A153" s="16" t="s">
        <v>2188</v>
      </c>
      <c r="B153" s="16" t="s">
        <v>2189</v>
      </c>
      <c r="C153" s="16">
        <v>2013.0</v>
      </c>
      <c r="D153" s="16" t="s">
        <v>2190</v>
      </c>
      <c r="E153" s="16" t="s">
        <v>2191</v>
      </c>
      <c r="F153" s="16" t="s">
        <v>2192</v>
      </c>
      <c r="G153" s="16" t="str">
        <f t="shared" si="1"/>
        <v>No</v>
      </c>
      <c r="H153" s="16" t="s">
        <v>1324</v>
      </c>
      <c r="I153" s="16" t="s">
        <v>1324</v>
      </c>
      <c r="J153" s="16">
        <v>38.0</v>
      </c>
      <c r="K153" s="17" t="s">
        <v>2193</v>
      </c>
      <c r="L153" s="17" t="s">
        <v>5010</v>
      </c>
      <c r="M153" s="18" t="str">
        <f t="shared" si="2"/>
        <v>http://dx.doi.org/10.1007/s11707-012-0335-x</v>
      </c>
      <c r="N153" s="19" t="s">
        <v>1358</v>
      </c>
      <c r="O153" s="17" t="s">
        <v>1417</v>
      </c>
      <c r="P153" s="17" t="s">
        <v>1328</v>
      </c>
      <c r="Q153" s="17" t="s">
        <v>1328</v>
      </c>
      <c r="R153" s="17" t="s">
        <v>1328</v>
      </c>
      <c r="S153" s="17" t="s">
        <v>1328</v>
      </c>
      <c r="T153" s="17" t="s">
        <v>1328</v>
      </c>
      <c r="U153" s="20" t="str">
        <f t="shared" si="3"/>
        <v>Yes</v>
      </c>
      <c r="V153" s="19" t="str">
        <f t="shared" si="4"/>
        <v>NT</v>
      </c>
      <c r="W153" s="17" t="str">
        <f t="shared" si="5"/>
        <v>Yes</v>
      </c>
      <c r="X153" s="17" t="s">
        <v>1329</v>
      </c>
      <c r="Y153" s="17" t="s">
        <v>1330</v>
      </c>
      <c r="Z153" s="17" t="s">
        <v>1372</v>
      </c>
      <c r="AA153" s="17" t="s">
        <v>1347</v>
      </c>
      <c r="AB153" s="17" t="s">
        <v>1360</v>
      </c>
      <c r="AC153" s="17" t="s">
        <v>1381</v>
      </c>
      <c r="AD153" s="17" t="s">
        <v>1362</v>
      </c>
      <c r="AE153" s="17">
        <f t="shared" si="6"/>
        <v>2</v>
      </c>
      <c r="AF153" s="17" t="s">
        <v>1328</v>
      </c>
      <c r="AG153" s="17" t="s">
        <v>1328</v>
      </c>
      <c r="AH153" s="17" t="s">
        <v>1336</v>
      </c>
      <c r="AI153" s="17" t="s">
        <v>1336</v>
      </c>
      <c r="AJ153" s="17" t="s">
        <v>1336</v>
      </c>
      <c r="AK153" s="17" t="s">
        <v>1336</v>
      </c>
      <c r="AL153" s="17" t="s">
        <v>1350</v>
      </c>
      <c r="AM153" s="17" t="s">
        <v>1351</v>
      </c>
      <c r="AN153" s="17" t="s">
        <v>1363</v>
      </c>
      <c r="AO153" s="17" t="s">
        <v>1331</v>
      </c>
      <c r="AP153" s="17" t="s">
        <v>1328</v>
      </c>
      <c r="AQ153" s="17" t="str">
        <f t="shared" si="7"/>
        <v>high</v>
      </c>
      <c r="AR153" s="20"/>
    </row>
    <row r="154" ht="15.75" customHeight="1">
      <c r="A154" s="16" t="s">
        <v>2243</v>
      </c>
      <c r="B154" s="16" t="s">
        <v>2244</v>
      </c>
      <c r="C154" s="16">
        <v>2018.0</v>
      </c>
      <c r="D154" s="16" t="s">
        <v>2245</v>
      </c>
      <c r="E154" s="16" t="s">
        <v>2246</v>
      </c>
      <c r="F154" s="16" t="s">
        <v>2247</v>
      </c>
      <c r="G154" s="16" t="str">
        <f t="shared" si="1"/>
        <v>No</v>
      </c>
      <c r="H154" s="16" t="s">
        <v>1324</v>
      </c>
      <c r="I154" s="16" t="s">
        <v>1324</v>
      </c>
      <c r="J154" s="16">
        <v>5.0</v>
      </c>
      <c r="K154" s="17" t="s">
        <v>2248</v>
      </c>
      <c r="L154" s="17" t="s">
        <v>5010</v>
      </c>
      <c r="M154" s="18" t="str">
        <f t="shared" si="2"/>
        <v>http://dx.doi.org/10.1002/aqc.2850</v>
      </c>
      <c r="N154" s="19" t="s">
        <v>1326</v>
      </c>
      <c r="O154" s="17" t="s">
        <v>1327</v>
      </c>
      <c r="P154" s="17" t="s">
        <v>1328</v>
      </c>
      <c r="Q154" s="17" t="s">
        <v>1328</v>
      </c>
      <c r="R154" s="17" t="s">
        <v>1328</v>
      </c>
      <c r="S154" s="17" t="s">
        <v>1328</v>
      </c>
      <c r="T154" s="17" t="s">
        <v>1328</v>
      </c>
      <c r="U154" s="20" t="str">
        <f t="shared" si="3"/>
        <v>Yes</v>
      </c>
      <c r="V154" s="19" t="str">
        <f t="shared" si="4"/>
        <v>PJ</v>
      </c>
      <c r="W154" s="17" t="str">
        <f t="shared" si="5"/>
        <v>Yes</v>
      </c>
      <c r="X154" s="17" t="s">
        <v>1443</v>
      </c>
      <c r="Y154" s="17" t="s">
        <v>1330</v>
      </c>
      <c r="Z154" s="17" t="s">
        <v>1331</v>
      </c>
      <c r="AA154" s="17" t="s">
        <v>1337</v>
      </c>
      <c r="AB154" s="17" t="s">
        <v>1333</v>
      </c>
      <c r="AC154" s="17" t="s">
        <v>1334</v>
      </c>
      <c r="AD154" s="17" t="s">
        <v>1530</v>
      </c>
      <c r="AE154" s="17">
        <f t="shared" si="6"/>
        <v>6</v>
      </c>
      <c r="AF154" s="17" t="s">
        <v>1328</v>
      </c>
      <c r="AG154" s="17" t="s">
        <v>1328</v>
      </c>
      <c r="AH154" s="17" t="s">
        <v>1328</v>
      </c>
      <c r="AI154" s="17" t="s">
        <v>1328</v>
      </c>
      <c r="AJ154" s="17" t="s">
        <v>1328</v>
      </c>
      <c r="AK154" s="17" t="s">
        <v>1328</v>
      </c>
      <c r="AL154" s="17" t="s">
        <v>1395</v>
      </c>
      <c r="AM154" s="17" t="s">
        <v>1351</v>
      </c>
      <c r="AN154" s="17" t="s">
        <v>1363</v>
      </c>
      <c r="AO154" s="17" t="s">
        <v>1331</v>
      </c>
      <c r="AP154" s="17" t="s">
        <v>1328</v>
      </c>
      <c r="AQ154" s="17" t="str">
        <f t="shared" si="7"/>
        <v>intermediate</v>
      </c>
      <c r="AR154" s="20"/>
    </row>
    <row r="155" ht="15.75" customHeight="1">
      <c r="A155" s="16" t="s">
        <v>2023</v>
      </c>
      <c r="B155" s="16" t="s">
        <v>2024</v>
      </c>
      <c r="C155" s="16">
        <v>2015.0</v>
      </c>
      <c r="D155" s="16" t="s">
        <v>2025</v>
      </c>
      <c r="E155" s="16" t="s">
        <v>2026</v>
      </c>
      <c r="F155" s="16" t="s">
        <v>2027</v>
      </c>
      <c r="G155" s="16" t="str">
        <f t="shared" si="1"/>
        <v>No</v>
      </c>
      <c r="H155" s="16" t="s">
        <v>1324</v>
      </c>
      <c r="I155" s="16" t="s">
        <v>1324</v>
      </c>
      <c r="J155" s="16">
        <v>35.0</v>
      </c>
      <c r="K155" s="17" t="s">
        <v>2028</v>
      </c>
      <c r="L155" s="17" t="s">
        <v>5010</v>
      </c>
      <c r="M155" s="18" t="str">
        <f t="shared" si="2"/>
        <v>http://dx.doi.org/10.1016/j.flora.2015.09.013</v>
      </c>
      <c r="N155" s="19" t="s">
        <v>1495</v>
      </c>
      <c r="O155" s="17" t="s">
        <v>1387</v>
      </c>
      <c r="P155" s="17" t="s">
        <v>1328</v>
      </c>
      <c r="Q155" s="17" t="s">
        <v>1328</v>
      </c>
      <c r="R155" s="17" t="s">
        <v>1328</v>
      </c>
      <c r="S155" s="17" t="s">
        <v>1328</v>
      </c>
      <c r="T155" s="17" t="s">
        <v>1328</v>
      </c>
      <c r="U155" s="20" t="str">
        <f t="shared" si="3"/>
        <v>Yes</v>
      </c>
      <c r="V155" s="19" t="str">
        <f t="shared" si="4"/>
        <v>MW</v>
      </c>
      <c r="W155" s="17" t="str">
        <f t="shared" si="5"/>
        <v>Yes</v>
      </c>
      <c r="X155" s="17" t="s">
        <v>1329</v>
      </c>
      <c r="Y155" s="17" t="s">
        <v>1330</v>
      </c>
      <c r="Z155" s="17" t="s">
        <v>1331</v>
      </c>
      <c r="AA155" s="17" t="s">
        <v>1347</v>
      </c>
      <c r="AB155" s="17" t="s">
        <v>1360</v>
      </c>
      <c r="AC155" s="17" t="s">
        <v>1361</v>
      </c>
      <c r="AD155" s="17" t="s">
        <v>1362</v>
      </c>
      <c r="AE155" s="17">
        <f t="shared" si="6"/>
        <v>3</v>
      </c>
      <c r="AF155" s="17" t="s">
        <v>1328</v>
      </c>
      <c r="AG155" s="17" t="s">
        <v>1328</v>
      </c>
      <c r="AH155" s="17" t="s">
        <v>1336</v>
      </c>
      <c r="AI155" s="17" t="s">
        <v>1336</v>
      </c>
      <c r="AJ155" s="17" t="s">
        <v>1328</v>
      </c>
      <c r="AK155" s="17" t="s">
        <v>1336</v>
      </c>
      <c r="AL155" s="17" t="s">
        <v>1395</v>
      </c>
      <c r="AM155" s="17" t="s">
        <v>1351</v>
      </c>
      <c r="AN155" s="17" t="s">
        <v>1339</v>
      </c>
      <c r="AO155" s="17" t="s">
        <v>1331</v>
      </c>
      <c r="AP155" s="17" t="s">
        <v>1328</v>
      </c>
      <c r="AQ155" s="17" t="str">
        <f t="shared" si="7"/>
        <v>high</v>
      </c>
      <c r="AR155" s="20"/>
    </row>
    <row r="156" ht="15.75" customHeight="1">
      <c r="A156" s="16" t="s">
        <v>2125</v>
      </c>
      <c r="B156" s="16" t="s">
        <v>949</v>
      </c>
      <c r="C156" s="16">
        <v>2018.0</v>
      </c>
      <c r="D156" s="16" t="s">
        <v>2126</v>
      </c>
      <c r="E156" s="16" t="s">
        <v>2127</v>
      </c>
      <c r="F156" s="16" t="s">
        <v>2128</v>
      </c>
      <c r="G156" s="16" t="str">
        <f t="shared" si="1"/>
        <v>No</v>
      </c>
      <c r="H156" s="16" t="s">
        <v>1324</v>
      </c>
      <c r="I156" s="16" t="s">
        <v>1324</v>
      </c>
      <c r="J156" s="16">
        <v>58.0</v>
      </c>
      <c r="K156" s="17" t="s">
        <v>2129</v>
      </c>
      <c r="L156" s="17" t="s">
        <v>5010</v>
      </c>
      <c r="M156" s="18" t="str">
        <f t="shared" si="2"/>
        <v>http://dx.doi.org/10.1016/j.apgeog.2018.03.006</v>
      </c>
      <c r="N156" s="19" t="s">
        <v>1370</v>
      </c>
      <c r="O156" s="17" t="s">
        <v>1327</v>
      </c>
      <c r="P156" s="17" t="s">
        <v>1328</v>
      </c>
      <c r="Q156" s="17" t="s">
        <v>1328</v>
      </c>
      <c r="R156" s="17" t="s">
        <v>1328</v>
      </c>
      <c r="S156" s="17" t="s">
        <v>1328</v>
      </c>
      <c r="T156" s="17" t="s">
        <v>1328</v>
      </c>
      <c r="U156" s="20" t="str">
        <f t="shared" si="3"/>
        <v>Yes</v>
      </c>
      <c r="V156" s="19" t="str">
        <f t="shared" si="4"/>
        <v>PJ</v>
      </c>
      <c r="W156" s="17" t="str">
        <f t="shared" si="5"/>
        <v>Yes</v>
      </c>
      <c r="X156" s="17" t="s">
        <v>1329</v>
      </c>
      <c r="Y156" s="17" t="s">
        <v>1330</v>
      </c>
      <c r="Z156" s="17" t="s">
        <v>1331</v>
      </c>
      <c r="AA156" s="17" t="s">
        <v>1347</v>
      </c>
      <c r="AB156" s="17" t="s">
        <v>1333</v>
      </c>
      <c r="AC156" s="17" t="s">
        <v>1381</v>
      </c>
      <c r="AD156" s="17" t="s">
        <v>1530</v>
      </c>
      <c r="AE156" s="17">
        <f t="shared" si="6"/>
        <v>3</v>
      </c>
      <c r="AF156" s="17" t="s">
        <v>1336</v>
      </c>
      <c r="AG156" s="17" t="s">
        <v>1328</v>
      </c>
      <c r="AH156" s="17" t="s">
        <v>1336</v>
      </c>
      <c r="AI156" s="17" t="s">
        <v>1336</v>
      </c>
      <c r="AJ156" s="17" t="s">
        <v>1328</v>
      </c>
      <c r="AK156" s="17" t="s">
        <v>1328</v>
      </c>
      <c r="AL156" s="17" t="s">
        <v>1350</v>
      </c>
      <c r="AM156" s="17" t="s">
        <v>1338</v>
      </c>
      <c r="AN156" s="17" t="s">
        <v>1339</v>
      </c>
      <c r="AO156" s="17" t="s">
        <v>1331</v>
      </c>
      <c r="AP156" s="17" t="s">
        <v>1328</v>
      </c>
      <c r="AQ156" s="17" t="str">
        <f t="shared" si="7"/>
        <v>intermediate</v>
      </c>
      <c r="AR156" s="20"/>
    </row>
    <row r="157" ht="15.75" customHeight="1">
      <c r="A157" s="16" t="s">
        <v>1626</v>
      </c>
      <c r="B157" s="16" t="s">
        <v>774</v>
      </c>
      <c r="C157" s="16">
        <v>2012.0</v>
      </c>
      <c r="D157" s="16" t="s">
        <v>1627</v>
      </c>
      <c r="E157" s="16" t="s">
        <v>1628</v>
      </c>
      <c r="F157" s="16" t="s">
        <v>1629</v>
      </c>
      <c r="G157" s="16" t="str">
        <f t="shared" si="1"/>
        <v>No</v>
      </c>
      <c r="H157" s="16" t="s">
        <v>1324</v>
      </c>
      <c r="I157" s="16" t="s">
        <v>1324</v>
      </c>
      <c r="J157" s="16">
        <v>18.0</v>
      </c>
      <c r="K157" s="17" t="s">
        <v>1630</v>
      </c>
      <c r="L157" s="17" t="s">
        <v>5010</v>
      </c>
      <c r="M157" s="18" t="str">
        <f t="shared" si="2"/>
        <v>http://dx.doi.org/10.1111/j.1365-2486.2011.02540.x</v>
      </c>
      <c r="N157" s="19" t="s">
        <v>1580</v>
      </c>
      <c r="O157" s="17" t="s">
        <v>1327</v>
      </c>
      <c r="P157" s="17" t="s">
        <v>1328</v>
      </c>
      <c r="Q157" s="17" t="s">
        <v>1328</v>
      </c>
      <c r="R157" s="17" t="s">
        <v>1328</v>
      </c>
      <c r="S157" s="17" t="s">
        <v>1328</v>
      </c>
      <c r="T157" s="17" t="s">
        <v>1328</v>
      </c>
      <c r="U157" s="20" t="str">
        <f t="shared" si="3"/>
        <v>Yes</v>
      </c>
      <c r="V157" s="19" t="str">
        <f t="shared" si="4"/>
        <v>PJ</v>
      </c>
      <c r="W157" s="17" t="str">
        <f t="shared" si="5"/>
        <v>Yes</v>
      </c>
      <c r="X157" s="17" t="s">
        <v>1631</v>
      </c>
      <c r="Y157" s="17" t="s">
        <v>1330</v>
      </c>
      <c r="Z157" s="17" t="s">
        <v>1331</v>
      </c>
      <c r="AA157" s="17" t="s">
        <v>1347</v>
      </c>
      <c r="AB157" s="17" t="s">
        <v>1333</v>
      </c>
      <c r="AC157" s="17" t="s">
        <v>1348</v>
      </c>
      <c r="AD157" s="17" t="s">
        <v>1530</v>
      </c>
      <c r="AE157" s="17">
        <f t="shared" si="6"/>
        <v>3</v>
      </c>
      <c r="AF157" s="17" t="s">
        <v>1328</v>
      </c>
      <c r="AG157" s="17" t="s">
        <v>1336</v>
      </c>
      <c r="AH157" s="17" t="s">
        <v>1328</v>
      </c>
      <c r="AI157" s="17" t="s">
        <v>1336</v>
      </c>
      <c r="AJ157" s="17" t="s">
        <v>1328</v>
      </c>
      <c r="AK157" s="17" t="s">
        <v>1336</v>
      </c>
      <c r="AL157" s="17" t="s">
        <v>1350</v>
      </c>
      <c r="AM157" s="17" t="s">
        <v>1351</v>
      </c>
      <c r="AN157" s="17" t="s">
        <v>1363</v>
      </c>
      <c r="AO157" s="17" t="s">
        <v>1331</v>
      </c>
      <c r="AP157" s="17" t="s">
        <v>1328</v>
      </c>
      <c r="AQ157" s="17" t="str">
        <f t="shared" si="7"/>
        <v>intermediate</v>
      </c>
      <c r="AR157" s="20" t="s">
        <v>1632</v>
      </c>
    </row>
    <row r="158" ht="15.75" customHeight="1">
      <c r="A158" s="16" t="s">
        <v>2058</v>
      </c>
      <c r="B158" s="16" t="s">
        <v>2059</v>
      </c>
      <c r="C158" s="16">
        <v>2014.0</v>
      </c>
      <c r="D158" s="16" t="s">
        <v>2060</v>
      </c>
      <c r="E158" s="16" t="s">
        <v>2061</v>
      </c>
      <c r="F158" s="16" t="s">
        <v>2062</v>
      </c>
      <c r="G158" s="16" t="str">
        <f t="shared" si="1"/>
        <v>No</v>
      </c>
      <c r="H158" s="16" t="s">
        <v>1324</v>
      </c>
      <c r="I158" s="16" t="s">
        <v>1324</v>
      </c>
      <c r="J158" s="16">
        <v>45.0</v>
      </c>
      <c r="K158" s="17" t="s">
        <v>2063</v>
      </c>
      <c r="L158" s="17" t="s">
        <v>5010</v>
      </c>
      <c r="M158" s="18" t="str">
        <f t="shared" si="2"/>
        <v>http://dx.doi.org/10.1016/j.ecolmodel.2013.11.004</v>
      </c>
      <c r="N158" s="19" t="s">
        <v>1522</v>
      </c>
      <c r="O158" s="17" t="s">
        <v>1371</v>
      </c>
      <c r="P158" s="17" t="s">
        <v>1328</v>
      </c>
      <c r="Q158" s="17" t="s">
        <v>1328</v>
      </c>
      <c r="R158" s="17" t="s">
        <v>1328</v>
      </c>
      <c r="S158" s="17" t="s">
        <v>1328</v>
      </c>
      <c r="T158" s="17" t="s">
        <v>1328</v>
      </c>
      <c r="U158" s="20" t="str">
        <f t="shared" si="3"/>
        <v>Yes</v>
      </c>
      <c r="V158" s="19" t="str">
        <f t="shared" si="4"/>
        <v>LC</v>
      </c>
      <c r="W158" s="17" t="str">
        <f t="shared" si="5"/>
        <v>Yes</v>
      </c>
      <c r="X158" s="17" t="s">
        <v>1329</v>
      </c>
      <c r="Y158" s="17" t="s">
        <v>1372</v>
      </c>
      <c r="Z158" s="17" t="s">
        <v>1331</v>
      </c>
      <c r="AA158" s="17" t="s">
        <v>1347</v>
      </c>
      <c r="AB158" s="17" t="s">
        <v>1333</v>
      </c>
      <c r="AC158" s="17" t="s">
        <v>1334</v>
      </c>
      <c r="AD158" s="17" t="s">
        <v>1349</v>
      </c>
      <c r="AE158" s="17">
        <f t="shared" si="6"/>
        <v>2</v>
      </c>
      <c r="AF158" s="17" t="s">
        <v>1336</v>
      </c>
      <c r="AG158" s="17" t="s">
        <v>1336</v>
      </c>
      <c r="AH158" s="17" t="s">
        <v>1328</v>
      </c>
      <c r="AI158" s="17" t="s">
        <v>1328</v>
      </c>
      <c r="AJ158" s="17" t="s">
        <v>1336</v>
      </c>
      <c r="AK158" s="17" t="s">
        <v>1336</v>
      </c>
      <c r="AL158" s="17" t="s">
        <v>1350</v>
      </c>
      <c r="AM158" s="17" t="s">
        <v>1351</v>
      </c>
      <c r="AN158" s="17" t="s">
        <v>1363</v>
      </c>
      <c r="AO158" s="17" t="s">
        <v>1388</v>
      </c>
      <c r="AP158" s="17" t="s">
        <v>1328</v>
      </c>
      <c r="AQ158" s="17" t="str">
        <f t="shared" si="7"/>
        <v>intermediate</v>
      </c>
      <c r="AR158" s="20"/>
    </row>
    <row r="159" ht="15.75" customHeight="1">
      <c r="A159" s="16" t="s">
        <v>2082</v>
      </c>
      <c r="B159" s="16" t="s">
        <v>2083</v>
      </c>
      <c r="C159" s="16">
        <v>2017.0</v>
      </c>
      <c r="D159" s="16" t="s">
        <v>2084</v>
      </c>
      <c r="E159" s="16" t="s">
        <v>2085</v>
      </c>
      <c r="F159" s="16" t="s">
        <v>2086</v>
      </c>
      <c r="G159" s="16" t="str">
        <f t="shared" si="1"/>
        <v>No</v>
      </c>
      <c r="H159" s="16" t="s">
        <v>1324</v>
      </c>
      <c r="I159" s="16" t="s">
        <v>1324</v>
      </c>
      <c r="J159" s="16">
        <v>116.0</v>
      </c>
      <c r="K159" s="17" t="s">
        <v>2087</v>
      </c>
      <c r="L159" s="17" t="s">
        <v>5010</v>
      </c>
      <c r="M159" s="18" t="str">
        <f t="shared" si="2"/>
        <v>http://dx.doi.org/10.1016/j.catena.2016.11.014</v>
      </c>
      <c r="N159" s="19" t="s">
        <v>1358</v>
      </c>
      <c r="O159" s="17" t="s">
        <v>1403</v>
      </c>
      <c r="P159" s="17" t="s">
        <v>1328</v>
      </c>
      <c r="Q159" s="17" t="s">
        <v>1328</v>
      </c>
      <c r="R159" s="17" t="s">
        <v>1328</v>
      </c>
      <c r="S159" s="17" t="s">
        <v>1328</v>
      </c>
      <c r="T159" s="17" t="s">
        <v>1328</v>
      </c>
      <c r="U159" s="20" t="str">
        <f t="shared" si="3"/>
        <v>Yes</v>
      </c>
      <c r="V159" s="19" t="str">
        <f t="shared" si="4"/>
        <v>DB</v>
      </c>
      <c r="W159" s="17" t="str">
        <f t="shared" si="5"/>
        <v>Yes</v>
      </c>
      <c r="X159" s="17" t="s">
        <v>1631</v>
      </c>
      <c r="Y159" s="17" t="s">
        <v>1372</v>
      </c>
      <c r="Z159" s="17" t="s">
        <v>1331</v>
      </c>
      <c r="AA159" s="17" t="s">
        <v>1347</v>
      </c>
      <c r="AB159" s="17" t="s">
        <v>1333</v>
      </c>
      <c r="AC159" s="17" t="s">
        <v>1361</v>
      </c>
      <c r="AD159" s="17" t="s">
        <v>1362</v>
      </c>
      <c r="AE159" s="17">
        <f t="shared" si="6"/>
        <v>2</v>
      </c>
      <c r="AF159" s="17" t="s">
        <v>1328</v>
      </c>
      <c r="AG159" s="17" t="s">
        <v>1328</v>
      </c>
      <c r="AH159" s="17" t="s">
        <v>1336</v>
      </c>
      <c r="AI159" s="17" t="s">
        <v>1336</v>
      </c>
      <c r="AJ159" s="17" t="s">
        <v>1336</v>
      </c>
      <c r="AK159" s="17" t="s">
        <v>1336</v>
      </c>
      <c r="AL159" s="17" t="s">
        <v>1350</v>
      </c>
      <c r="AM159" s="17" t="s">
        <v>1351</v>
      </c>
      <c r="AN159" s="17" t="s">
        <v>1363</v>
      </c>
      <c r="AO159" s="17" t="s">
        <v>1331</v>
      </c>
      <c r="AP159" s="17" t="s">
        <v>1328</v>
      </c>
      <c r="AQ159" s="17" t="str">
        <f t="shared" si="7"/>
        <v>intermediate</v>
      </c>
      <c r="AR159" s="20" t="s">
        <v>1639</v>
      </c>
    </row>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R$159">
    <sortState ref="A1:AR159">
      <sortCondition ref="D1:D159"/>
      <sortCondition ref="AQ1:AQ159"/>
      <sortCondition ref="O1:O159"/>
      <sortCondition ref="N1:N159"/>
      <sortCondition ref="J1:J159"/>
      <sortCondition descending="1" ref="L1:L159"/>
      <sortCondition descending="1" ref="F1:F159"/>
    </sortState>
  </autoFilter>
  <conditionalFormatting sqref="A2:M159">
    <cfRule type="expression" dxfId="0" priority="1">
      <formula>$G2="Yes"</formula>
    </cfRule>
  </conditionalFormatting>
  <conditionalFormatting sqref="N2:U159">
    <cfRule type="expression" dxfId="1" priority="2">
      <formula>$U2="incomplete"</formula>
    </cfRule>
  </conditionalFormatting>
  <conditionalFormatting sqref="N2:U159">
    <cfRule type="expression" dxfId="0" priority="3">
      <formula>$U2="No"</formula>
    </cfRule>
  </conditionalFormatting>
  <conditionalFormatting sqref="N2:U159">
    <cfRule type="expression" dxfId="2" priority="4">
      <formula>$U2="Yes"</formula>
    </cfRule>
  </conditionalFormatting>
  <conditionalFormatting sqref="V2:V159 W59:W159 X2:AR159">
    <cfRule type="expression" dxfId="1" priority="5">
      <formula>$AQ2="incomplete"</formula>
    </cfRule>
  </conditionalFormatting>
  <conditionalFormatting sqref="V2:AR159">
    <cfRule type="expression" dxfId="0" priority="6">
      <formula>$AQ2="not suitable"</formula>
    </cfRule>
  </conditionalFormatting>
  <conditionalFormatting sqref="V2:AR159">
    <cfRule type="expression" dxfId="3" priority="7">
      <formula>$AQ2="intermediate"</formula>
    </cfRule>
  </conditionalFormatting>
  <conditionalFormatting sqref="V2:AR159">
    <cfRule type="expression" dxfId="0" priority="8">
      <formula>$AQ2="low"</formula>
    </cfRule>
  </conditionalFormatting>
  <conditionalFormatting sqref="V2:AR159">
    <cfRule type="expression" dxfId="2" priority="9">
      <formula>$AQ2="high"</formula>
    </cfRule>
  </conditionalFormatting>
  <conditionalFormatting sqref="W2:W58">
    <cfRule type="expression" dxfId="1" priority="10">
      <formula>$AQ2="incomplete"</formula>
    </cfRule>
  </conditionalFormatting>
  <dataValidations>
    <dataValidation type="list" allowBlank="1" showInputMessage="1" showErrorMessage="1" prompt="Additional information - This column is autopopulated based on the previous step of the procedure. However, you have the opportunity to modify it if, based on the scan of the full text, it appears that the study is finally not suitable for the analysis." sqref="W1">
      <formula1>"Yes,No"</formula1>
    </dataValidation>
    <dataValidation type="list" allowBlank="1" showInputMessage="1" showErrorMessage="1" promptTitle="Additional information" prompt="N.A.: not directly based on empirical data (e.g. reviews)_x000d_None: not reporting on observed changes in indicators_x000d_Indirect: reporting implicitly on temporal changes _x000d_Direct (qualitative): direction of changes_x000d_Direct (quantitative): m" sqref="AA1">
      <formula1>"n.a.,none,indirect,direct (qualitative),direct (quantitative)"</formula1>
    </dataValidation>
    <dataValidation type="list" allowBlank="1" showErrorMessage="1" sqref="AO2:AO159">
      <formula1>"none,qualitative,quantitative"</formula1>
    </dataValidation>
    <dataValidation type="list" allowBlank="1" showInputMessage="1" showErrorMessage="1" prompt="Additional information - Does the study analyse the impact of invasive alien species on the selected indicator(s)?" sqref="AI1">
      <formula1>"Yes,No"</formula1>
    </dataValidation>
    <dataValidation type="list" allowBlank="1" showInputMessage="1" showErrorMessage="1" prompt="Additional information - None: impact of driver(s) not assessed_x000d_Qualitative: direction of impact of driver(s) assessed_x000d_Quantitative: magnitude of impact of driver(s) assessed in quantitative terms" sqref="AM1">
      <formula1>"none,qualitative (direction),quantitative (magnitude)"</formula1>
    </dataValidation>
    <dataValidation type="list" allowBlank="1" showErrorMessage="1" sqref="P2:T159 W2:W159 AF2:AK159 AP2:AP159">
      <formula1>"Yes,No"</formula1>
    </dataValidation>
    <dataValidation type="list" allowBlank="1" showErrorMessage="1" sqref="X2:X159">
      <formula1>"empirical data,review,meta-analysis,other"</formula1>
    </dataValidation>
    <dataValidation type="list" allowBlank="1" showErrorMessage="1" sqref="Y2:Z159">
      <formula1>"none,one of the indicators,more than one of the indicators,unclear"</formula1>
    </dataValidation>
    <dataValidation type="list" allowBlank="1" showInputMessage="1" showErrorMessage="1" prompt="Additional information - Studies reporting on the predicted/expected/projected/modelled future impacts of IPBES direct drivers are NOT suitable for the analysis." sqref="R1">
      <formula1>"Yes,No"</formula1>
    </dataValidation>
    <dataValidation type="list" allowBlank="1" showInputMessage="1" showErrorMessage="1" promptTitle="Additional information" prompt="N.A.: e.g. for reviews_x000d_Local: typically smaller than a country_x000d_Regional: typically between a single country and several countries_x000d_Continental: covering all (or a representative set of) countries of a continent_x000d_Global: worldwide" sqref="AB1">
      <formula1>"local,regional,continental,global"</formula1>
    </dataValidation>
    <dataValidation type="list" allowBlank="1" showInputMessage="1" showErrorMessage="1" promptTitle="Additional information" prompt="None: relative importance not assessed_x000d_Nominal scale: important of drivers mentioned but not compared_x000d_Ordinal scale: drivers ranked/ordered by importance of impact_x000d_Ratio scale: relative importance of impact of each driver quantified" sqref="AN1">
      <formula1>"none,nominal scale,ordinal scale,ratio scale"</formula1>
    </dataValidation>
    <dataValidation type="list" allowBlank="1" showErrorMessage="1" sqref="AB2:AB159">
      <formula1>"local,regional,continental,global"</formula1>
    </dataValidation>
    <dataValidation type="list" allowBlank="1" showInputMessage="1" showErrorMessage="1" prompt="Additional information - Some studies use indicators that only include an implicit consideration of the temporal dimension (e.g. IUCN Red List of Threatened Species) but are suitable for the analysis." sqref="P1">
      <formula1>"Yes,No"</formula1>
    </dataValidation>
    <dataValidation type="list" allowBlank="1" showInputMessage="1" showErrorMessage="1" prompt="Additional information - Only studies reporting on the impact of IPBES direct drivers on at least one of the selected indicators (see spreadsheet 'Indicators') are suitable for the analysis." sqref="S1">
      <formula1>"Yes,No"</formula1>
    </dataValidation>
    <dataValidation type="list" allowBlank="1" showInputMessage="1" showErrorMessage="1" prompt="Additional information - Does the study analyse the impact of other driver(s) (e.g. human disturbance, fire) on the selected indicator(s)?" sqref="AK1">
      <formula1>"Yes,No"</formula1>
    </dataValidation>
    <dataValidation type="list" allowBlank="1" showInputMessage="1" showErrorMessage="1" prompt="Additional information - Does the study analyse the impact of resource extraction on the selected indicator(s)?" sqref="AH1">
      <formula1>"Yes,No"</formula1>
    </dataValidation>
    <dataValidation type="list" allowBlank="1" showInputMessage="1" showErrorMessage="1" promptTitle="Additional information" prompt="None: interactions not assessed (or only mentioned/discussed)_x000d_Qualitative: qualitative evidence for interactions_x000d_Quantitative: quantitative estimates of interactions_x000d__x000d_If the &quot;Number of drivers&quot; = 0 or 1, you should select &quot;none&quot;" sqref="AO1">
      <formula1>"none,qualitative,quantitative"</formula1>
    </dataValidation>
    <dataValidation type="list" allowBlank="1" showErrorMessage="1" sqref="AM2:AM159">
      <formula1>"none,qualitative (direction),quantitative (magnitude)"</formula1>
    </dataValidation>
    <dataValidation type="list" allowBlank="1" showInputMessage="1" showErrorMessage="1" prompt="Is your suitability check done? - Please indicate &quot;Yes&quot; once you have checked the suitability of this study and the suitability (next column) will be calculated automatically." sqref="T1">
      <formula1>"Yes,No"</formula1>
    </dataValidation>
    <dataValidation type="list" allowBlank="1" showInputMessage="1" showErrorMessage="1" prompt="Additional information - Does the study analyse the impact of climate change on the selected indicator(s)?" sqref="AF1">
      <formula1>"Yes,No"</formula1>
    </dataValidation>
    <dataValidation type="list" allowBlank="1" showInputMessage="1" showErrorMessage="1" promptTitle="Additional information" prompt="Does the study focus indirectly on one of the selected indicators (see spreadsheet 'Indicators')?_x000d_Ex: a study on wilderness areas may provide useful information for the indicator 'Extent of Remaining Primary Vegetation' without reporting explicitly " sqref="Z1">
      <formula1>"none,one of the indicators,more than one of the indicators,unclear"</formula1>
    </dataValidation>
    <dataValidation type="list" allowBlank="1" showInputMessage="1" showErrorMessage="1" prompt="Additional information - Does the study analyse the impact of pollution on the selected indicator(s)?" sqref="AJ1">
      <formula1>"Yes,No"</formula1>
    </dataValidation>
    <dataValidation type="list" allowBlank="1" showInputMessage="1" showErrorMessage="1" prompt="Additional information - Does the study focus explicitly and directly on (more than) one of the selected indicators (see spreadsheet 'Indicators')?" sqref="Y1">
      <formula1>"none,one of the indicators,more than one of the indicators,unclear"</formula1>
    </dataValidation>
    <dataValidation type="list" allowBlank="1" showInputMessage="1" showErrorMessage="1" promptTitle="Additional information" prompt="Empirical data: using any sort of data, even if from an existing database_x000d_Review: qualitative/descriptive synthesis of the existing literature_x000d_Meta-analysis: quantitative synthesis of the literature or analysis of multiple datasets_x000d_Other" sqref="X1">
      <formula1>"empirical data,review,meta-analysis,other"</formula1>
    </dataValidation>
    <dataValidation type="list" allowBlank="1" showErrorMessage="1" sqref="AN2:AN159">
      <formula1>"none,nominal scale,ordinal scale,ratio scale"</formula1>
    </dataValidation>
    <dataValidation type="list" allowBlank="1" showErrorMessage="1" sqref="AA2:AA159">
      <formula1>"n.a.,none,indirect,direct (qualitative),direct (quantitative)"</formula1>
    </dataValidation>
    <dataValidation type="list" allowBlank="1" showInputMessage="1" showErrorMessage="1" prompt="Additional information - Does the study analyse the impact of land/sea use change on the selected indicator(s)?" sqref="AG1">
      <formula1>"Yes,No"</formula1>
    </dataValidation>
    <dataValidation type="list" allowBlank="1" showInputMessage="1" showErrorMessage="1" promptTitle="Additional information" prompt="Prevalence-based: prevalence of different drivers identified as threat among a list of species_x000d_Effect-based: relating temporal/spatial changes in driver(s) to changes in indicator(s)_x000d_Trait-based: impact of driver(s) assumed from changes in tra" sqref="AL1">
      <formula1>"n.a.,none,prevalence-based,effect-based,trait-based"</formula1>
    </dataValidation>
    <dataValidation type="list" allowBlank="1" showInputMessage="1" showErrorMessage="1" prompt="Additional information - Only studies assessing the impacts of at least two IPBES direct drivers (see spreadsheet 'Drivers') are suitable for the analysis." sqref="Q1">
      <formula1>"Yes,No"</formula1>
    </dataValidation>
    <dataValidation type="list" allowBlank="1" showErrorMessage="1" sqref="AL2:AL159">
      <formula1>"n.a.,none,prevalence-based,effect-based,trait-based"</formula1>
    </dataValidation>
    <dataValidation type="list" allowBlank="1" showInputMessage="1" showErrorMessage="1" prompt="Is your assessment completed? - Please indicate &quot;Yes&quot; once you have completed the assessment of this item and the priority level (next column) will be calculated automatically." sqref="AP1">
      <formula1>"Yes,No"</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63"/>
    <col customWidth="1" min="2" max="2" width="13.0"/>
    <col customWidth="1" min="3" max="3" width="22.0"/>
    <col customWidth="1" min="4" max="4" width="10.63"/>
    <col customWidth="1" min="5" max="5" width="8.0"/>
    <col customWidth="1" min="6" max="6" width="11.75"/>
    <col customWidth="1" min="7" max="7" width="11.38"/>
    <col customWidth="1" min="8" max="8" width="18.0"/>
    <col customWidth="1" min="9" max="10" width="10.25"/>
    <col customWidth="1" min="11" max="11" width="12.88"/>
    <col customWidth="1" min="12" max="12" width="13.25"/>
    <col customWidth="1" min="13" max="13" width="12.13"/>
    <col customWidth="1" min="14" max="14" width="11.75"/>
    <col customWidth="1" min="15" max="16" width="8.0"/>
    <col customWidth="1" min="17" max="17" width="11.88"/>
    <col customWidth="1" min="18" max="18" width="11.0"/>
    <col customWidth="1" min="19" max="19" width="9.25"/>
    <col customWidth="1" min="20" max="20" width="9.5"/>
    <col customWidth="1" min="21" max="21" width="13.38"/>
    <col customWidth="1" min="22" max="22" width="10.63"/>
    <col customWidth="1" min="23" max="23" width="13.5"/>
    <col customWidth="1" min="24" max="24" width="11.38"/>
    <col customWidth="1" min="25" max="25" width="10.88"/>
    <col customWidth="1" min="26" max="26" width="12.13"/>
    <col customWidth="1" min="27" max="27" width="12.38"/>
    <col customWidth="1" min="28" max="28" width="11.0"/>
    <col customWidth="1" min="29" max="29" width="11.13"/>
    <col customWidth="1" min="30" max="30" width="10.0"/>
    <col customWidth="1" min="31" max="31" width="10.38"/>
    <col customWidth="1" min="32" max="32" width="12.63"/>
    <col customWidth="1" min="33" max="33" width="12.0"/>
    <col customWidth="1" min="34" max="34" width="12.75"/>
    <col customWidth="1" min="35" max="35" width="11.13"/>
    <col customWidth="1" min="36" max="36" width="10.5"/>
    <col customWidth="1" min="37" max="37" width="11.13"/>
    <col customWidth="1" min="38" max="38" width="12.13"/>
    <col customWidth="1" min="39" max="39" width="13.38"/>
    <col customWidth="1" min="40" max="40" width="12.75"/>
    <col customWidth="1" min="41" max="41" width="12.25"/>
    <col customWidth="1" min="42" max="42" width="14.25"/>
    <col customWidth="1" min="43" max="43" width="12.88"/>
    <col customWidth="1" min="44" max="44" width="13.88"/>
    <col customWidth="1" min="45" max="45" width="12.38"/>
    <col customWidth="1" min="46" max="46" width="13.0"/>
    <col customWidth="1" min="47" max="47" width="14.0"/>
    <col customWidth="1" min="48" max="48" width="12.13"/>
    <col customWidth="1" min="49" max="49" width="9.38"/>
    <col customWidth="1" min="50" max="50" width="9.63"/>
    <col customWidth="1" min="51" max="52" width="12.13"/>
  </cols>
  <sheetData>
    <row r="1" ht="12.75" customHeight="1">
      <c r="A1" s="27" t="s">
        <v>14</v>
      </c>
      <c r="B1" s="27" t="s">
        <v>15</v>
      </c>
      <c r="C1" s="27" t="s">
        <v>16</v>
      </c>
      <c r="D1" s="27" t="s">
        <v>2311</v>
      </c>
      <c r="E1" s="27" t="s">
        <v>18</v>
      </c>
      <c r="F1" s="27" t="s">
        <v>2317</v>
      </c>
      <c r="G1" s="27" t="s">
        <v>2318</v>
      </c>
      <c r="H1" s="27" t="s">
        <v>19</v>
      </c>
      <c r="I1" s="27" t="s">
        <v>2334</v>
      </c>
      <c r="J1" s="27" t="s">
        <v>2335</v>
      </c>
      <c r="K1" s="27" t="s">
        <v>2340</v>
      </c>
      <c r="L1" s="27" t="s">
        <v>2341</v>
      </c>
      <c r="M1" s="27" t="s">
        <v>2342</v>
      </c>
      <c r="N1" s="27" t="s">
        <v>2343</v>
      </c>
      <c r="O1" s="28" t="s">
        <v>20</v>
      </c>
      <c r="P1" s="27" t="s">
        <v>21</v>
      </c>
      <c r="Q1" s="27" t="s">
        <v>22</v>
      </c>
      <c r="R1" s="27" t="s">
        <v>2357</v>
      </c>
      <c r="S1" s="27" t="s">
        <v>23</v>
      </c>
      <c r="T1" s="27" t="s">
        <v>24</v>
      </c>
      <c r="U1" s="27" t="s">
        <v>1289</v>
      </c>
      <c r="V1" s="27" t="s">
        <v>1290</v>
      </c>
      <c r="W1" s="27" t="s">
        <v>1291</v>
      </c>
      <c r="X1" s="27" t="s">
        <v>1292</v>
      </c>
      <c r="Y1" s="27" t="s">
        <v>1293</v>
      </c>
      <c r="Z1" s="27" t="s">
        <v>1294</v>
      </c>
      <c r="AA1" s="27" t="s">
        <v>1295</v>
      </c>
      <c r="AB1" s="27" t="s">
        <v>1296</v>
      </c>
      <c r="AC1" s="27" t="s">
        <v>1297</v>
      </c>
      <c r="AD1" s="27" t="s">
        <v>1296</v>
      </c>
      <c r="AE1" s="27" t="s">
        <v>1298</v>
      </c>
      <c r="AF1" s="27" t="s">
        <v>5019</v>
      </c>
      <c r="AG1" s="27" t="s">
        <v>5020</v>
      </c>
      <c r="AH1" s="27" t="s">
        <v>1301</v>
      </c>
      <c r="AI1" s="27" t="s">
        <v>1302</v>
      </c>
      <c r="AJ1" s="27" t="s">
        <v>1303</v>
      </c>
      <c r="AK1" s="27" t="s">
        <v>1304</v>
      </c>
      <c r="AL1" s="27" t="s">
        <v>1305</v>
      </c>
      <c r="AM1" s="27" t="s">
        <v>5021</v>
      </c>
      <c r="AN1" s="27" t="s">
        <v>5022</v>
      </c>
      <c r="AO1" s="27" t="s">
        <v>5023</v>
      </c>
      <c r="AP1" s="27" t="s">
        <v>5024</v>
      </c>
      <c r="AQ1" s="27" t="s">
        <v>5025</v>
      </c>
      <c r="AR1" s="27" t="s">
        <v>5026</v>
      </c>
      <c r="AS1" s="27" t="s">
        <v>1312</v>
      </c>
      <c r="AT1" s="27" t="s">
        <v>1313</v>
      </c>
      <c r="AU1" s="27" t="s">
        <v>1314</v>
      </c>
      <c r="AV1" s="27" t="s">
        <v>1315</v>
      </c>
      <c r="AW1" s="27" t="s">
        <v>1316</v>
      </c>
      <c r="AX1" s="27" t="s">
        <v>1317</v>
      </c>
      <c r="AY1" s="27" t="s">
        <v>1318</v>
      </c>
      <c r="AZ1" s="27"/>
    </row>
    <row r="2" ht="12.75" customHeight="1">
      <c r="A2" s="3" t="s">
        <v>26</v>
      </c>
      <c r="B2" s="3" t="s">
        <v>2717</v>
      </c>
      <c r="C2" s="3" t="s">
        <v>1342</v>
      </c>
      <c r="D2" s="3" t="s">
        <v>2364</v>
      </c>
      <c r="E2" s="3" t="s">
        <v>38</v>
      </c>
      <c r="F2" s="3" t="s">
        <v>1324</v>
      </c>
      <c r="G2" s="3" t="s">
        <v>2718</v>
      </c>
      <c r="H2" s="3" t="s">
        <v>1343</v>
      </c>
      <c r="I2" s="3" t="s">
        <v>2727</v>
      </c>
      <c r="J2" s="3" t="s">
        <v>2728</v>
      </c>
      <c r="K2" s="3" t="s">
        <v>2732</v>
      </c>
      <c r="L2" s="3" t="s">
        <v>2733</v>
      </c>
      <c r="M2" s="3" t="s">
        <v>2734</v>
      </c>
      <c r="N2" s="3">
        <v>2018.0</v>
      </c>
      <c r="O2" s="3" t="s">
        <v>1344</v>
      </c>
      <c r="P2" s="25" t="str">
        <f>HYPERLINK("http://dx.doi.org/10.5343/bms.2017.1061","http://dx.doi.org/10.5343/bms.2017.1061")</f>
        <v>http://dx.doi.org/10.5343/bms.2017.1061</v>
      </c>
      <c r="Q2" s="3" t="s">
        <v>231</v>
      </c>
      <c r="R2" s="3" t="s">
        <v>231</v>
      </c>
      <c r="S2" s="3" t="s">
        <v>2383</v>
      </c>
      <c r="T2" s="3" t="s">
        <v>2737</v>
      </c>
      <c r="U2" s="3" t="s">
        <v>1346</v>
      </c>
      <c r="V2" s="3" t="s">
        <v>1327</v>
      </c>
      <c r="W2" s="3" t="s">
        <v>1328</v>
      </c>
      <c r="X2" s="3" t="s">
        <v>1328</v>
      </c>
      <c r="Y2" s="3" t="s">
        <v>1328</v>
      </c>
      <c r="Z2" s="3" t="s">
        <v>1328</v>
      </c>
      <c r="AA2" s="3" t="s">
        <v>1328</v>
      </c>
      <c r="AB2" s="3" t="s">
        <v>1328</v>
      </c>
      <c r="AC2" s="3" t="s">
        <v>1327</v>
      </c>
      <c r="AD2" s="3" t="s">
        <v>1328</v>
      </c>
      <c r="AE2" s="3" t="s">
        <v>1329</v>
      </c>
      <c r="AF2" s="3" t="s">
        <v>1330</v>
      </c>
      <c r="AG2" s="3" t="s">
        <v>1331</v>
      </c>
      <c r="AH2" s="3" t="s">
        <v>1347</v>
      </c>
      <c r="AI2" s="3" t="s">
        <v>1333</v>
      </c>
      <c r="AJ2" s="3" t="s">
        <v>1348</v>
      </c>
      <c r="AK2" s="3" t="s">
        <v>1349</v>
      </c>
      <c r="AL2" s="3">
        <v>3.0</v>
      </c>
      <c r="AM2" s="3" t="s">
        <v>1328</v>
      </c>
      <c r="AN2" s="3" t="s">
        <v>1336</v>
      </c>
      <c r="AO2" s="3" t="s">
        <v>1328</v>
      </c>
      <c r="AP2" s="3" t="s">
        <v>1336</v>
      </c>
      <c r="AQ2" s="3" t="s">
        <v>1328</v>
      </c>
      <c r="AR2" s="3" t="s">
        <v>1336</v>
      </c>
      <c r="AS2" s="3" t="s">
        <v>1350</v>
      </c>
      <c r="AT2" s="3" t="s">
        <v>1351</v>
      </c>
      <c r="AU2" s="3" t="s">
        <v>1339</v>
      </c>
      <c r="AV2" s="3" t="s">
        <v>1331</v>
      </c>
      <c r="AW2" s="3" t="s">
        <v>1328</v>
      </c>
      <c r="AX2" s="3" t="s">
        <v>5027</v>
      </c>
    </row>
    <row r="3" ht="12.75" customHeight="1">
      <c r="A3" s="3" t="s">
        <v>26</v>
      </c>
      <c r="B3" s="3" t="s">
        <v>3094</v>
      </c>
      <c r="C3" s="3" t="s">
        <v>1354</v>
      </c>
      <c r="D3" s="3" t="s">
        <v>2364</v>
      </c>
      <c r="E3" s="3" t="s">
        <v>38</v>
      </c>
      <c r="F3" s="3" t="s">
        <v>1324</v>
      </c>
      <c r="G3" s="3" t="s">
        <v>3095</v>
      </c>
      <c r="H3" s="3" t="s">
        <v>1355</v>
      </c>
      <c r="I3" s="3" t="s">
        <v>3105</v>
      </c>
      <c r="J3" s="3" t="s">
        <v>3106</v>
      </c>
      <c r="K3" s="3" t="s">
        <v>1353</v>
      </c>
      <c r="L3" s="3" t="s">
        <v>3110</v>
      </c>
      <c r="M3" s="3" t="s">
        <v>3111</v>
      </c>
      <c r="N3" s="3">
        <v>2017.0</v>
      </c>
      <c r="O3" s="3" t="s">
        <v>1356</v>
      </c>
      <c r="P3" s="25" t="str">
        <f>HYPERLINK("http://dx.doi.org/10.5194/bg-14-2387-2017","http://dx.doi.org/10.5194/bg-14-2387-2017")</f>
        <v>http://dx.doi.org/10.5194/bg-14-2387-2017</v>
      </c>
      <c r="Q3" s="3" t="s">
        <v>3112</v>
      </c>
      <c r="R3" s="3" t="s">
        <v>3113</v>
      </c>
      <c r="S3" s="3" t="s">
        <v>2383</v>
      </c>
      <c r="T3" s="3" t="s">
        <v>3115</v>
      </c>
      <c r="U3" s="3" t="s">
        <v>1358</v>
      </c>
      <c r="V3" s="3" t="s">
        <v>1359</v>
      </c>
      <c r="W3" s="3" t="s">
        <v>1328</v>
      </c>
      <c r="X3" s="3" t="s">
        <v>1328</v>
      </c>
      <c r="Y3" s="3" t="s">
        <v>1328</v>
      </c>
      <c r="Z3" s="3" t="s">
        <v>1328</v>
      </c>
      <c r="AA3" s="3" t="s">
        <v>1328</v>
      </c>
      <c r="AB3" s="3" t="s">
        <v>1328</v>
      </c>
      <c r="AC3" s="3" t="s">
        <v>1359</v>
      </c>
      <c r="AD3" s="3" t="s">
        <v>1328</v>
      </c>
      <c r="AE3" s="3" t="s">
        <v>1329</v>
      </c>
      <c r="AF3" s="3" t="s">
        <v>1330</v>
      </c>
      <c r="AG3" s="3" t="s">
        <v>1331</v>
      </c>
      <c r="AH3" s="3" t="s">
        <v>1347</v>
      </c>
      <c r="AI3" s="3" t="s">
        <v>1360</v>
      </c>
      <c r="AJ3" s="3" t="s">
        <v>1361</v>
      </c>
      <c r="AK3" s="3" t="s">
        <v>1362</v>
      </c>
      <c r="AL3" s="3">
        <v>3.0</v>
      </c>
      <c r="AM3" s="3" t="s">
        <v>1336</v>
      </c>
      <c r="AN3" s="3" t="s">
        <v>1328</v>
      </c>
      <c r="AO3" s="3" t="s">
        <v>1328</v>
      </c>
      <c r="AP3" s="3" t="s">
        <v>1336</v>
      </c>
      <c r="AQ3" s="3" t="s">
        <v>1336</v>
      </c>
      <c r="AR3" s="3" t="s">
        <v>1328</v>
      </c>
      <c r="AS3" s="3" t="s">
        <v>1350</v>
      </c>
      <c r="AT3" s="3" t="s">
        <v>1351</v>
      </c>
      <c r="AU3" s="3" t="s">
        <v>1363</v>
      </c>
      <c r="AV3" s="3" t="s">
        <v>1331</v>
      </c>
      <c r="AW3" s="3" t="s">
        <v>1328</v>
      </c>
      <c r="AX3" s="3" t="s">
        <v>5028</v>
      </c>
    </row>
    <row r="4" ht="12.75" customHeight="1">
      <c r="A4" s="3" t="s">
        <v>26</v>
      </c>
      <c r="B4" s="3" t="s">
        <v>3052</v>
      </c>
      <c r="C4" s="3" t="s">
        <v>1377</v>
      </c>
      <c r="D4" s="3" t="s">
        <v>2364</v>
      </c>
      <c r="E4" s="3" t="s">
        <v>38</v>
      </c>
      <c r="F4" s="3" t="s">
        <v>3053</v>
      </c>
      <c r="G4" s="3" t="s">
        <v>3054</v>
      </c>
      <c r="H4" s="3" t="s">
        <v>1378</v>
      </c>
      <c r="I4" s="3" t="s">
        <v>3063</v>
      </c>
      <c r="J4" s="3" t="s">
        <v>3064</v>
      </c>
      <c r="K4" s="3" t="s">
        <v>3067</v>
      </c>
      <c r="L4" s="3" t="s">
        <v>3068</v>
      </c>
      <c r="M4" s="3" t="s">
        <v>2632</v>
      </c>
      <c r="N4" s="3">
        <v>2017.0</v>
      </c>
      <c r="O4" s="3" t="s">
        <v>1379</v>
      </c>
      <c r="P4" s="25" t="str">
        <f>HYPERLINK("http://dx.doi.org/10.3390/rs9060525","http://dx.doi.org/10.3390/rs9060525")</f>
        <v>http://dx.doi.org/10.3390/rs9060525</v>
      </c>
      <c r="Q4" s="3" t="s">
        <v>3069</v>
      </c>
      <c r="R4" s="3" t="s">
        <v>3070</v>
      </c>
      <c r="S4" s="3" t="s">
        <v>2383</v>
      </c>
      <c r="T4" s="3" t="s">
        <v>3072</v>
      </c>
      <c r="U4" s="3" t="s">
        <v>1358</v>
      </c>
      <c r="V4" s="3" t="s">
        <v>1327</v>
      </c>
      <c r="W4" s="3" t="s">
        <v>1328</v>
      </c>
      <c r="X4" s="3" t="s">
        <v>1328</v>
      </c>
      <c r="Y4" s="3" t="s">
        <v>1328</v>
      </c>
      <c r="Z4" s="3" t="s">
        <v>1328</v>
      </c>
      <c r="AA4" s="3" t="s">
        <v>1328</v>
      </c>
      <c r="AB4" s="3" t="s">
        <v>1328</v>
      </c>
      <c r="AC4" s="3" t="s">
        <v>1327</v>
      </c>
      <c r="AD4" s="3" t="s">
        <v>1328</v>
      </c>
      <c r="AE4" s="3" t="s">
        <v>1329</v>
      </c>
      <c r="AF4" s="3" t="s">
        <v>1330</v>
      </c>
      <c r="AG4" s="3" t="s">
        <v>1331</v>
      </c>
      <c r="AH4" s="3" t="s">
        <v>1347</v>
      </c>
      <c r="AI4" s="3" t="s">
        <v>1333</v>
      </c>
      <c r="AJ4" s="3" t="s">
        <v>1381</v>
      </c>
      <c r="AK4" s="3" t="s">
        <v>1362</v>
      </c>
      <c r="AL4" s="3">
        <v>2.0</v>
      </c>
      <c r="AM4" s="3" t="s">
        <v>1328</v>
      </c>
      <c r="AN4" s="3" t="s">
        <v>1328</v>
      </c>
      <c r="AO4" s="3" t="s">
        <v>1336</v>
      </c>
      <c r="AP4" s="3" t="s">
        <v>1336</v>
      </c>
      <c r="AQ4" s="3" t="s">
        <v>1336</v>
      </c>
      <c r="AR4" s="3" t="s">
        <v>1336</v>
      </c>
      <c r="AS4" s="3" t="s">
        <v>1350</v>
      </c>
      <c r="AT4" s="3" t="s">
        <v>1351</v>
      </c>
      <c r="AU4" s="3" t="s">
        <v>1363</v>
      </c>
      <c r="AV4" s="3" t="s">
        <v>1331</v>
      </c>
      <c r="AW4" s="3" t="s">
        <v>1328</v>
      </c>
      <c r="AX4" s="3" t="s">
        <v>5027</v>
      </c>
    </row>
    <row r="5" ht="12.75" customHeight="1">
      <c r="A5" s="3" t="s">
        <v>26</v>
      </c>
      <c r="B5" s="3" t="s">
        <v>3996</v>
      </c>
      <c r="C5" s="3" t="s">
        <v>1383</v>
      </c>
      <c r="D5" s="3" t="s">
        <v>2364</v>
      </c>
      <c r="E5" s="3" t="s">
        <v>38</v>
      </c>
      <c r="F5" s="3" t="s">
        <v>3997</v>
      </c>
      <c r="G5" s="3" t="s">
        <v>3998</v>
      </c>
      <c r="H5" s="3" t="s">
        <v>1384</v>
      </c>
      <c r="I5" s="3" t="s">
        <v>3063</v>
      </c>
      <c r="J5" s="3" t="s">
        <v>3064</v>
      </c>
      <c r="K5" s="3" t="s">
        <v>3067</v>
      </c>
      <c r="L5" s="3" t="s">
        <v>3068</v>
      </c>
      <c r="M5" s="3" t="s">
        <v>2515</v>
      </c>
      <c r="N5" s="3">
        <v>2013.0</v>
      </c>
      <c r="O5" s="3" t="s">
        <v>1385</v>
      </c>
      <c r="P5" s="25" t="str">
        <f>HYPERLINK("http://dx.doi.org/10.3390/rs5084125","http://dx.doi.org/10.3390/rs5084125")</f>
        <v>http://dx.doi.org/10.3390/rs5084125</v>
      </c>
      <c r="Q5" s="3" t="s">
        <v>3069</v>
      </c>
      <c r="R5" s="3" t="s">
        <v>3070</v>
      </c>
      <c r="S5" s="3" t="s">
        <v>2383</v>
      </c>
      <c r="T5" s="3" t="s">
        <v>4008</v>
      </c>
      <c r="U5" s="3" t="s">
        <v>1358</v>
      </c>
      <c r="V5" s="3" t="s">
        <v>1387</v>
      </c>
      <c r="W5" s="3" t="s">
        <v>1328</v>
      </c>
      <c r="X5" s="3" t="s">
        <v>1328</v>
      </c>
      <c r="Y5" s="3" t="s">
        <v>1328</v>
      </c>
      <c r="Z5" s="3" t="s">
        <v>1328</v>
      </c>
      <c r="AA5" s="3" t="s">
        <v>1328</v>
      </c>
      <c r="AB5" s="3" t="s">
        <v>1328</v>
      </c>
      <c r="AC5" s="3" t="s">
        <v>1387</v>
      </c>
      <c r="AD5" s="3" t="s">
        <v>1328</v>
      </c>
      <c r="AE5" s="3" t="s">
        <v>1329</v>
      </c>
      <c r="AF5" s="3" t="s">
        <v>1330</v>
      </c>
      <c r="AG5" s="3" t="s">
        <v>1331</v>
      </c>
      <c r="AH5" s="3" t="s">
        <v>1347</v>
      </c>
      <c r="AI5" s="3" t="s">
        <v>1333</v>
      </c>
      <c r="AJ5" s="3" t="s">
        <v>1381</v>
      </c>
      <c r="AK5" s="3" t="s">
        <v>1362</v>
      </c>
      <c r="AL5" s="3">
        <v>2.0</v>
      </c>
      <c r="AM5" s="3" t="s">
        <v>1328</v>
      </c>
      <c r="AN5" s="3" t="s">
        <v>1328</v>
      </c>
      <c r="AO5" s="3" t="s">
        <v>1336</v>
      </c>
      <c r="AP5" s="3" t="s">
        <v>1336</v>
      </c>
      <c r="AQ5" s="3" t="s">
        <v>1336</v>
      </c>
      <c r="AR5" s="3" t="s">
        <v>1336</v>
      </c>
      <c r="AS5" s="3" t="s">
        <v>1350</v>
      </c>
      <c r="AT5" s="3" t="s">
        <v>1351</v>
      </c>
      <c r="AU5" s="3" t="s">
        <v>1339</v>
      </c>
      <c r="AV5" s="3" t="s">
        <v>1388</v>
      </c>
      <c r="AW5" s="3" t="s">
        <v>1328</v>
      </c>
      <c r="AX5" s="3" t="s">
        <v>5027</v>
      </c>
    </row>
    <row r="6" ht="12.75" customHeight="1">
      <c r="A6" s="3" t="s">
        <v>26</v>
      </c>
      <c r="B6" s="3" t="s">
        <v>3227</v>
      </c>
      <c r="C6" s="3" t="s">
        <v>1391</v>
      </c>
      <c r="D6" s="3" t="s">
        <v>2364</v>
      </c>
      <c r="E6" s="3" t="s">
        <v>38</v>
      </c>
      <c r="F6" s="3" t="s">
        <v>3228</v>
      </c>
      <c r="G6" s="3" t="s">
        <v>3229</v>
      </c>
      <c r="H6" s="3" t="s">
        <v>1392</v>
      </c>
      <c r="I6" s="3" t="s">
        <v>3063</v>
      </c>
      <c r="J6" s="3" t="s">
        <v>3064</v>
      </c>
      <c r="K6" s="3" t="s">
        <v>1390</v>
      </c>
      <c r="L6" s="3" t="s">
        <v>3237</v>
      </c>
      <c r="M6" s="3" t="s">
        <v>2908</v>
      </c>
      <c r="N6" s="3">
        <v>2016.0</v>
      </c>
      <c r="O6" s="3" t="s">
        <v>1393</v>
      </c>
      <c r="P6" s="25" t="str">
        <f>HYPERLINK("http://dx.doi.org/10.3390/f7120305","http://dx.doi.org/10.3390/f7120305")</f>
        <v>http://dx.doi.org/10.3390/f7120305</v>
      </c>
      <c r="Q6" s="3" t="s">
        <v>2494</v>
      </c>
      <c r="R6" s="3" t="s">
        <v>2494</v>
      </c>
      <c r="S6" s="3" t="s">
        <v>2383</v>
      </c>
      <c r="T6" s="3" t="s">
        <v>3239</v>
      </c>
      <c r="U6" s="3" t="s">
        <v>1370</v>
      </c>
      <c r="V6" s="3" t="s">
        <v>1327</v>
      </c>
      <c r="W6" s="3" t="s">
        <v>1328</v>
      </c>
      <c r="X6" s="3" t="s">
        <v>1328</v>
      </c>
      <c r="Y6" s="3" t="s">
        <v>1328</v>
      </c>
      <c r="Z6" s="3" t="s">
        <v>1328</v>
      </c>
      <c r="AA6" s="3" t="s">
        <v>1328</v>
      </c>
      <c r="AB6" s="3" t="s">
        <v>1328</v>
      </c>
      <c r="AC6" s="3" t="s">
        <v>1327</v>
      </c>
      <c r="AD6" s="3" t="s">
        <v>1328</v>
      </c>
      <c r="AE6" s="3" t="s">
        <v>1329</v>
      </c>
      <c r="AF6" s="3" t="s">
        <v>1330</v>
      </c>
      <c r="AG6" s="3" t="s">
        <v>1331</v>
      </c>
      <c r="AH6" s="3" t="s">
        <v>1347</v>
      </c>
      <c r="AI6" s="3" t="s">
        <v>1333</v>
      </c>
      <c r="AJ6" s="3" t="s">
        <v>1381</v>
      </c>
      <c r="AK6" s="3" t="s">
        <v>1335</v>
      </c>
      <c r="AL6" s="3">
        <v>4.0</v>
      </c>
      <c r="AM6" s="3" t="s">
        <v>1328</v>
      </c>
      <c r="AN6" s="3" t="s">
        <v>1328</v>
      </c>
      <c r="AO6" s="3" t="s">
        <v>1328</v>
      </c>
      <c r="AP6" s="3" t="s">
        <v>1336</v>
      </c>
      <c r="AQ6" s="3" t="s">
        <v>1328</v>
      </c>
      <c r="AR6" s="3" t="s">
        <v>1336</v>
      </c>
      <c r="AS6" s="3" t="s">
        <v>1395</v>
      </c>
      <c r="AT6" s="3" t="s">
        <v>1338</v>
      </c>
      <c r="AU6" s="3" t="s">
        <v>1339</v>
      </c>
      <c r="AV6" s="3" t="s">
        <v>1331</v>
      </c>
      <c r="AW6" s="3" t="s">
        <v>1328</v>
      </c>
      <c r="AX6" s="3" t="s">
        <v>5027</v>
      </c>
    </row>
    <row r="7" ht="12.75" customHeight="1">
      <c r="A7" s="3" t="s">
        <v>26</v>
      </c>
      <c r="B7" s="3" t="s">
        <v>2757</v>
      </c>
      <c r="C7" s="3" t="s">
        <v>1398</v>
      </c>
      <c r="D7" s="3" t="s">
        <v>2364</v>
      </c>
      <c r="E7" s="3" t="s">
        <v>38</v>
      </c>
      <c r="F7" s="3" t="s">
        <v>2758</v>
      </c>
      <c r="G7" s="3" t="s">
        <v>2759</v>
      </c>
      <c r="H7" s="3" t="s">
        <v>1399</v>
      </c>
      <c r="I7" s="3" t="s">
        <v>2769</v>
      </c>
      <c r="J7" s="3" t="s">
        <v>2770</v>
      </c>
      <c r="K7" s="3" t="s">
        <v>2774</v>
      </c>
      <c r="L7" s="3" t="s">
        <v>2775</v>
      </c>
      <c r="M7" s="3" t="s">
        <v>2776</v>
      </c>
      <c r="N7" s="3">
        <v>2018.0</v>
      </c>
      <c r="O7" s="3" t="s">
        <v>1400</v>
      </c>
      <c r="P7" s="25" t="str">
        <f>HYPERLINK("http://dx.doi.org/10.3354/meps12462","http://dx.doi.org/10.3354/meps12462")</f>
        <v>http://dx.doi.org/10.3354/meps12462</v>
      </c>
      <c r="Q7" s="3" t="s">
        <v>2447</v>
      </c>
      <c r="R7" s="3" t="s">
        <v>2449</v>
      </c>
      <c r="S7" s="3" t="s">
        <v>2383</v>
      </c>
      <c r="T7" s="3" t="s">
        <v>2778</v>
      </c>
      <c r="U7" s="3" t="s">
        <v>1402</v>
      </c>
      <c r="V7" s="3" t="s">
        <v>1403</v>
      </c>
      <c r="W7" s="3" t="s">
        <v>1328</v>
      </c>
      <c r="X7" s="3" t="s">
        <v>1328</v>
      </c>
      <c r="Y7" s="3" t="s">
        <v>1328</v>
      </c>
      <c r="Z7" s="3" t="s">
        <v>1328</v>
      </c>
      <c r="AA7" s="3" t="s">
        <v>1328</v>
      </c>
      <c r="AB7" s="3" t="s">
        <v>1328</v>
      </c>
      <c r="AC7" s="3" t="s">
        <v>1403</v>
      </c>
      <c r="AD7" s="3" t="s">
        <v>1328</v>
      </c>
      <c r="AE7" s="3" t="s">
        <v>1329</v>
      </c>
      <c r="AF7" s="3" t="s">
        <v>1330</v>
      </c>
      <c r="AG7" s="3" t="s">
        <v>1331</v>
      </c>
      <c r="AH7" s="3" t="s">
        <v>1347</v>
      </c>
      <c r="AI7" s="3" t="s">
        <v>1360</v>
      </c>
      <c r="AJ7" s="3" t="s">
        <v>1348</v>
      </c>
      <c r="AK7" s="3" t="s">
        <v>1349</v>
      </c>
      <c r="AL7" s="3">
        <v>2.0</v>
      </c>
      <c r="AM7" s="3" t="s">
        <v>1328</v>
      </c>
      <c r="AN7" s="3" t="s">
        <v>1336</v>
      </c>
      <c r="AO7" s="3" t="s">
        <v>1328</v>
      </c>
      <c r="AP7" s="3" t="s">
        <v>1336</v>
      </c>
      <c r="AQ7" s="3" t="s">
        <v>1336</v>
      </c>
      <c r="AR7" s="3" t="s">
        <v>1336</v>
      </c>
      <c r="AS7" s="3" t="s">
        <v>1404</v>
      </c>
      <c r="AT7" s="3" t="s">
        <v>1351</v>
      </c>
      <c r="AU7" s="3" t="s">
        <v>1363</v>
      </c>
      <c r="AV7" s="3" t="s">
        <v>1388</v>
      </c>
      <c r="AW7" s="3" t="s">
        <v>1328</v>
      </c>
      <c r="AX7" s="3" t="s">
        <v>5028</v>
      </c>
    </row>
    <row r="8" ht="12.75" customHeight="1">
      <c r="A8" s="3" t="s">
        <v>26</v>
      </c>
      <c r="B8" s="3" t="s">
        <v>2998</v>
      </c>
      <c r="C8" s="3" t="s">
        <v>1406</v>
      </c>
      <c r="D8" s="3" t="s">
        <v>2364</v>
      </c>
      <c r="E8" s="3" t="s">
        <v>38</v>
      </c>
      <c r="F8" s="3" t="s">
        <v>2999</v>
      </c>
      <c r="G8" s="3" t="s">
        <v>3000</v>
      </c>
      <c r="H8" s="3" t="s">
        <v>1407</v>
      </c>
      <c r="I8" s="3" t="s">
        <v>2769</v>
      </c>
      <c r="J8" s="3" t="s">
        <v>2770</v>
      </c>
      <c r="K8" s="3" t="s">
        <v>2774</v>
      </c>
      <c r="L8" s="3" t="s">
        <v>2775</v>
      </c>
      <c r="M8" s="3" t="s">
        <v>3010</v>
      </c>
      <c r="N8" s="3">
        <v>2017.0</v>
      </c>
      <c r="O8" s="3" t="s">
        <v>1408</v>
      </c>
      <c r="P8" s="25" t="str">
        <f>HYPERLINK("http://dx.doi.org/10.3354/meps12221","http://dx.doi.org/10.3354/meps12221")</f>
        <v>http://dx.doi.org/10.3354/meps12221</v>
      </c>
      <c r="Q8" s="3" t="s">
        <v>2447</v>
      </c>
      <c r="R8" s="3" t="s">
        <v>2449</v>
      </c>
      <c r="S8" s="3" t="s">
        <v>2383</v>
      </c>
      <c r="T8" s="3" t="s">
        <v>3012</v>
      </c>
      <c r="U8" s="3" t="s">
        <v>1410</v>
      </c>
      <c r="V8" s="3" t="s">
        <v>1387</v>
      </c>
      <c r="W8" s="3" t="s">
        <v>1328</v>
      </c>
      <c r="X8" s="3" t="s">
        <v>1328</v>
      </c>
      <c r="Y8" s="3" t="s">
        <v>1328</v>
      </c>
      <c r="Z8" s="3" t="s">
        <v>1328</v>
      </c>
      <c r="AA8" s="3" t="s">
        <v>1328</v>
      </c>
      <c r="AB8" s="3" t="s">
        <v>1328</v>
      </c>
      <c r="AC8" s="3" t="s">
        <v>1387</v>
      </c>
      <c r="AD8" s="3" t="s">
        <v>1328</v>
      </c>
      <c r="AE8" s="3" t="s">
        <v>1329</v>
      </c>
      <c r="AF8" s="3" t="s">
        <v>1330</v>
      </c>
      <c r="AG8" s="3" t="s">
        <v>1331</v>
      </c>
      <c r="AH8" s="3" t="s">
        <v>1332</v>
      </c>
      <c r="AI8" s="3" t="s">
        <v>1333</v>
      </c>
      <c r="AJ8" s="3" t="s">
        <v>1381</v>
      </c>
      <c r="AK8" s="3" t="s">
        <v>1349</v>
      </c>
      <c r="AL8" s="3">
        <v>4.0</v>
      </c>
      <c r="AM8" s="3" t="s">
        <v>1328</v>
      </c>
      <c r="AN8" s="3" t="s">
        <v>1328</v>
      </c>
      <c r="AO8" s="3" t="s">
        <v>1328</v>
      </c>
      <c r="AP8" s="3" t="s">
        <v>1336</v>
      </c>
      <c r="AQ8" s="3" t="s">
        <v>1328</v>
      </c>
      <c r="AR8" s="3" t="s">
        <v>1336</v>
      </c>
      <c r="AS8" s="3" t="s">
        <v>1350</v>
      </c>
      <c r="AT8" s="3" t="s">
        <v>1351</v>
      </c>
      <c r="AU8" s="3" t="s">
        <v>1363</v>
      </c>
      <c r="AV8" s="3" t="s">
        <v>1388</v>
      </c>
      <c r="AW8" s="3" t="s">
        <v>1328</v>
      </c>
      <c r="AX8" s="3" t="s">
        <v>5027</v>
      </c>
    </row>
    <row r="9" ht="12.75" customHeight="1">
      <c r="A9" s="3" t="s">
        <v>26</v>
      </c>
      <c r="B9" s="3" t="s">
        <v>4571</v>
      </c>
      <c r="C9" s="3" t="s">
        <v>1412</v>
      </c>
      <c r="D9" s="3" t="s">
        <v>2364</v>
      </c>
      <c r="E9" s="3" t="s">
        <v>38</v>
      </c>
      <c r="F9" s="3" t="s">
        <v>4572</v>
      </c>
      <c r="G9" s="3" t="s">
        <v>4573</v>
      </c>
      <c r="H9" s="3" t="s">
        <v>1413</v>
      </c>
      <c r="I9" s="3" t="s">
        <v>2769</v>
      </c>
      <c r="J9" s="3" t="s">
        <v>2770</v>
      </c>
      <c r="K9" s="3" t="s">
        <v>2774</v>
      </c>
      <c r="L9" s="3" t="s">
        <v>2775</v>
      </c>
      <c r="M9" s="3" t="s">
        <v>1324</v>
      </c>
      <c r="N9" s="3">
        <v>2010.0</v>
      </c>
      <c r="O9" s="3" t="s">
        <v>1414</v>
      </c>
      <c r="P9" s="25" t="str">
        <f>HYPERLINK("http://dx.doi.org/10.3354/meps08592","http://dx.doi.org/10.3354/meps08592")</f>
        <v>http://dx.doi.org/10.3354/meps08592</v>
      </c>
      <c r="Q9" s="3" t="s">
        <v>2447</v>
      </c>
      <c r="R9" s="3" t="s">
        <v>2449</v>
      </c>
      <c r="S9" s="3" t="s">
        <v>2383</v>
      </c>
      <c r="T9" s="3" t="s">
        <v>4580</v>
      </c>
      <c r="U9" s="3" t="s">
        <v>1416</v>
      </c>
      <c r="V9" s="3" t="s">
        <v>1417</v>
      </c>
      <c r="W9" s="3" t="s">
        <v>1328</v>
      </c>
      <c r="X9" s="3" t="s">
        <v>1328</v>
      </c>
      <c r="Y9" s="3" t="s">
        <v>1328</v>
      </c>
      <c r="Z9" s="3" t="s">
        <v>1328</v>
      </c>
      <c r="AA9" s="3" t="s">
        <v>1328</v>
      </c>
      <c r="AB9" s="3" t="s">
        <v>1328</v>
      </c>
      <c r="AC9" s="3" t="s">
        <v>1417</v>
      </c>
      <c r="AD9" s="3" t="s">
        <v>1328</v>
      </c>
      <c r="AE9" s="3" t="s">
        <v>1329</v>
      </c>
      <c r="AF9" s="3" t="s">
        <v>1331</v>
      </c>
      <c r="AG9" s="3" t="s">
        <v>1330</v>
      </c>
      <c r="AH9" s="3" t="s">
        <v>1347</v>
      </c>
      <c r="AI9" s="3" t="s">
        <v>1360</v>
      </c>
      <c r="AJ9" s="3" t="s">
        <v>1361</v>
      </c>
      <c r="AK9" s="3" t="s">
        <v>1349</v>
      </c>
      <c r="AL9" s="3">
        <v>2.0</v>
      </c>
      <c r="AM9" s="3" t="s">
        <v>1328</v>
      </c>
      <c r="AN9" s="3" t="s">
        <v>1336</v>
      </c>
      <c r="AO9" s="3" t="s">
        <v>1328</v>
      </c>
      <c r="AP9" s="3" t="s">
        <v>1336</v>
      </c>
      <c r="AQ9" s="3" t="s">
        <v>1336</v>
      </c>
      <c r="AR9" s="3" t="s">
        <v>1336</v>
      </c>
      <c r="AS9" s="3" t="s">
        <v>1350</v>
      </c>
      <c r="AT9" s="3" t="s">
        <v>1351</v>
      </c>
      <c r="AU9" s="3" t="s">
        <v>1339</v>
      </c>
      <c r="AV9" s="3" t="s">
        <v>1331</v>
      </c>
      <c r="AW9" s="3" t="s">
        <v>1328</v>
      </c>
      <c r="AX9" s="3" t="s">
        <v>5027</v>
      </c>
    </row>
    <row r="10" ht="12.75" customHeight="1">
      <c r="A10" s="3" t="s">
        <v>26</v>
      </c>
      <c r="B10" s="3" t="s">
        <v>4707</v>
      </c>
      <c r="C10" s="3" t="s">
        <v>1420</v>
      </c>
      <c r="D10" s="3" t="s">
        <v>2364</v>
      </c>
      <c r="E10" s="3" t="s">
        <v>38</v>
      </c>
      <c r="F10" s="3" t="s">
        <v>4708</v>
      </c>
      <c r="G10" s="3" t="s">
        <v>4709</v>
      </c>
      <c r="H10" s="3" t="s">
        <v>1421</v>
      </c>
      <c r="I10" s="3" t="s">
        <v>2464</v>
      </c>
      <c r="J10" s="3" t="s">
        <v>2465</v>
      </c>
      <c r="K10" s="3" t="s">
        <v>2469</v>
      </c>
      <c r="L10" s="3" t="s">
        <v>2470</v>
      </c>
      <c r="M10" s="3" t="s">
        <v>2908</v>
      </c>
      <c r="N10" s="3">
        <v>2008.0</v>
      </c>
      <c r="O10" s="3" t="s">
        <v>1422</v>
      </c>
      <c r="P10" s="25" t="str">
        <f>HYPERLINK("http://dx.doi.org/10.1890/07-1254.1","http://dx.doi.org/10.1890/07-1254.1")</f>
        <v>http://dx.doi.org/10.1890/07-1254.1</v>
      </c>
      <c r="Q10" s="3" t="s">
        <v>698</v>
      </c>
      <c r="R10" s="3" t="s">
        <v>2472</v>
      </c>
      <c r="S10" s="3" t="s">
        <v>2383</v>
      </c>
      <c r="T10" s="3" t="s">
        <v>4718</v>
      </c>
      <c r="U10" s="3" t="s">
        <v>1410</v>
      </c>
      <c r="V10" s="3" t="s">
        <v>1387</v>
      </c>
      <c r="W10" s="3" t="s">
        <v>1328</v>
      </c>
      <c r="X10" s="3" t="s">
        <v>1328</v>
      </c>
      <c r="Y10" s="3" t="s">
        <v>1328</v>
      </c>
      <c r="Z10" s="3" t="s">
        <v>1328</v>
      </c>
      <c r="AA10" s="3" t="s">
        <v>1328</v>
      </c>
      <c r="AB10" s="3" t="s">
        <v>1328</v>
      </c>
      <c r="AC10" s="3" t="s">
        <v>1387</v>
      </c>
      <c r="AD10" s="3" t="s">
        <v>1328</v>
      </c>
      <c r="AE10" s="3" t="s">
        <v>1329</v>
      </c>
      <c r="AF10" s="3" t="s">
        <v>1330</v>
      </c>
      <c r="AG10" s="3" t="s">
        <v>1330</v>
      </c>
      <c r="AH10" s="3" t="s">
        <v>1347</v>
      </c>
      <c r="AI10" s="3" t="s">
        <v>1333</v>
      </c>
      <c r="AJ10" s="3" t="s">
        <v>1348</v>
      </c>
      <c r="AK10" s="3" t="s">
        <v>1349</v>
      </c>
      <c r="AL10" s="3">
        <v>3.0</v>
      </c>
      <c r="AM10" s="3" t="s">
        <v>1328</v>
      </c>
      <c r="AN10" s="3" t="s">
        <v>1336</v>
      </c>
      <c r="AO10" s="3" t="s">
        <v>1328</v>
      </c>
      <c r="AP10" s="3" t="s">
        <v>1336</v>
      </c>
      <c r="AQ10" s="3" t="s">
        <v>1336</v>
      </c>
      <c r="AR10" s="3" t="s">
        <v>1328</v>
      </c>
      <c r="AS10" s="3" t="s">
        <v>1350</v>
      </c>
      <c r="AT10" s="3" t="s">
        <v>1351</v>
      </c>
      <c r="AU10" s="3" t="s">
        <v>1363</v>
      </c>
      <c r="AV10" s="3" t="s">
        <v>1388</v>
      </c>
      <c r="AW10" s="3" t="s">
        <v>1328</v>
      </c>
      <c r="AX10" s="3" t="s">
        <v>5027</v>
      </c>
    </row>
    <row r="11" ht="12.75" customHeight="1">
      <c r="A11" s="3" t="s">
        <v>26</v>
      </c>
      <c r="B11" s="3" t="s">
        <v>3705</v>
      </c>
      <c r="C11" s="3" t="s">
        <v>1432</v>
      </c>
      <c r="D11" s="3" t="s">
        <v>2364</v>
      </c>
      <c r="E11" s="3" t="s">
        <v>38</v>
      </c>
      <c r="F11" s="3" t="s">
        <v>3706</v>
      </c>
      <c r="G11" s="3" t="s">
        <v>3707</v>
      </c>
      <c r="H11" s="3" t="s">
        <v>1433</v>
      </c>
      <c r="I11" s="3" t="s">
        <v>1431</v>
      </c>
      <c r="J11" s="3" t="s">
        <v>3715</v>
      </c>
      <c r="K11" s="3" t="s">
        <v>3719</v>
      </c>
      <c r="L11" s="3" t="s">
        <v>3720</v>
      </c>
      <c r="M11" s="3" t="s">
        <v>2471</v>
      </c>
      <c r="N11" s="3">
        <v>2014.0</v>
      </c>
      <c r="O11" s="3" t="s">
        <v>1434</v>
      </c>
      <c r="P11" s="25" t="str">
        <f>HYPERLINK("http://dx.doi.org/10.15517/rbt.v62i0.15922","http://dx.doi.org/10.15517/rbt.v62i0.15922")</f>
        <v>http://dx.doi.org/10.15517/rbt.v62i0.15922</v>
      </c>
      <c r="Q11" s="3" t="s">
        <v>188</v>
      </c>
      <c r="R11" s="3" t="s">
        <v>3721</v>
      </c>
      <c r="S11" s="3" t="s">
        <v>2383</v>
      </c>
      <c r="T11" s="3" t="s">
        <v>3724</v>
      </c>
      <c r="U11" s="3" t="s">
        <v>1402</v>
      </c>
      <c r="V11" s="3" t="s">
        <v>1436</v>
      </c>
      <c r="W11" s="3" t="s">
        <v>1328</v>
      </c>
      <c r="X11" s="3" t="s">
        <v>1328</v>
      </c>
      <c r="Y11" s="3" t="s">
        <v>1328</v>
      </c>
      <c r="Z11" s="3" t="s">
        <v>1328</v>
      </c>
      <c r="AA11" s="3" t="s">
        <v>1328</v>
      </c>
      <c r="AB11" s="3" t="s">
        <v>1328</v>
      </c>
      <c r="AC11" s="3" t="s">
        <v>1436</v>
      </c>
      <c r="AD11" s="3" t="s">
        <v>1328</v>
      </c>
      <c r="AE11" s="3" t="s">
        <v>1329</v>
      </c>
      <c r="AF11" s="3" t="s">
        <v>1372</v>
      </c>
      <c r="AG11" s="3" t="s">
        <v>1331</v>
      </c>
      <c r="AH11" s="3" t="s">
        <v>1347</v>
      </c>
      <c r="AI11" s="3" t="s">
        <v>1333</v>
      </c>
      <c r="AJ11" s="3" t="s">
        <v>1348</v>
      </c>
      <c r="AK11" s="3" t="s">
        <v>1349</v>
      </c>
      <c r="AL11" s="3">
        <v>3.0</v>
      </c>
      <c r="AM11" s="3" t="s">
        <v>1328</v>
      </c>
      <c r="AN11" s="3" t="s">
        <v>1328</v>
      </c>
      <c r="AO11" s="3" t="s">
        <v>1336</v>
      </c>
      <c r="AP11" s="3" t="s">
        <v>1328</v>
      </c>
      <c r="AQ11" s="3" t="s">
        <v>1336</v>
      </c>
      <c r="AR11" s="3" t="s">
        <v>1336</v>
      </c>
      <c r="AS11" s="3" t="s">
        <v>1350</v>
      </c>
      <c r="AT11" s="3" t="s">
        <v>1351</v>
      </c>
      <c r="AU11" s="3" t="s">
        <v>1339</v>
      </c>
      <c r="AV11" s="3" t="s">
        <v>1374</v>
      </c>
      <c r="AW11" s="3" t="s">
        <v>1328</v>
      </c>
      <c r="AX11" s="3" t="s">
        <v>5027</v>
      </c>
    </row>
    <row r="12" ht="12.75" customHeight="1">
      <c r="A12" s="3" t="s">
        <v>26</v>
      </c>
      <c r="B12" s="3" t="s">
        <v>3535</v>
      </c>
      <c r="C12" s="3" t="s">
        <v>1438</v>
      </c>
      <c r="D12" s="3" t="s">
        <v>2364</v>
      </c>
      <c r="E12" s="3" t="s">
        <v>38</v>
      </c>
      <c r="F12" s="3" t="s">
        <v>1324</v>
      </c>
      <c r="G12" s="3" t="s">
        <v>3536</v>
      </c>
      <c r="H12" s="3" t="s">
        <v>1439</v>
      </c>
      <c r="I12" s="3" t="s">
        <v>2423</v>
      </c>
      <c r="J12" s="3" t="s">
        <v>2424</v>
      </c>
      <c r="K12" s="3" t="s">
        <v>365</v>
      </c>
      <c r="L12" s="3" t="s">
        <v>2427</v>
      </c>
      <c r="M12" s="3" t="s">
        <v>3546</v>
      </c>
      <c r="N12" s="3">
        <v>2015.0</v>
      </c>
      <c r="O12" s="3" t="s">
        <v>1440</v>
      </c>
      <c r="P12" s="25" t="str">
        <f>HYPERLINK("http://dx.doi.org/10.1371/journal.pone.0135152","http://dx.doi.org/10.1371/journal.pone.0135152")</f>
        <v>http://dx.doi.org/10.1371/journal.pone.0135152</v>
      </c>
      <c r="Q12" s="3" t="s">
        <v>42</v>
      </c>
      <c r="R12" s="3" t="s">
        <v>2430</v>
      </c>
      <c r="S12" s="3" t="s">
        <v>2383</v>
      </c>
      <c r="T12" s="3" t="s">
        <v>3549</v>
      </c>
      <c r="U12" s="3" t="s">
        <v>1442</v>
      </c>
      <c r="V12" s="3" t="s">
        <v>1327</v>
      </c>
      <c r="W12" s="3" t="s">
        <v>1328</v>
      </c>
      <c r="X12" s="3" t="s">
        <v>1328</v>
      </c>
      <c r="Y12" s="3" t="s">
        <v>1328</v>
      </c>
      <c r="Z12" s="3" t="s">
        <v>1328</v>
      </c>
      <c r="AA12" s="3" t="s">
        <v>1328</v>
      </c>
      <c r="AB12" s="3" t="s">
        <v>1328</v>
      </c>
      <c r="AC12" s="3" t="s">
        <v>1327</v>
      </c>
      <c r="AD12" s="3" t="s">
        <v>1328</v>
      </c>
      <c r="AE12" s="3" t="s">
        <v>1443</v>
      </c>
      <c r="AF12" s="3" t="s">
        <v>1330</v>
      </c>
      <c r="AG12" s="3" t="s">
        <v>1330</v>
      </c>
      <c r="AH12" s="3" t="s">
        <v>1347</v>
      </c>
      <c r="AI12" s="3" t="s">
        <v>1444</v>
      </c>
      <c r="AJ12" s="3" t="s">
        <v>1445</v>
      </c>
      <c r="AK12" s="3" t="s">
        <v>1446</v>
      </c>
      <c r="AL12" s="3">
        <v>6.0</v>
      </c>
      <c r="AM12" s="3" t="s">
        <v>1328</v>
      </c>
      <c r="AN12" s="3" t="s">
        <v>1328</v>
      </c>
      <c r="AO12" s="3" t="s">
        <v>1328</v>
      </c>
      <c r="AP12" s="3" t="s">
        <v>1328</v>
      </c>
      <c r="AQ12" s="3" t="s">
        <v>1328</v>
      </c>
      <c r="AR12" s="3" t="s">
        <v>1328</v>
      </c>
      <c r="AS12" s="3" t="s">
        <v>1395</v>
      </c>
      <c r="AT12" s="3" t="s">
        <v>1351</v>
      </c>
      <c r="AU12" s="3" t="s">
        <v>1363</v>
      </c>
      <c r="AV12" s="3" t="s">
        <v>1331</v>
      </c>
      <c r="AW12" s="3" t="s">
        <v>1328</v>
      </c>
      <c r="AX12" s="3" t="s">
        <v>5028</v>
      </c>
    </row>
    <row r="13" ht="12.75" customHeight="1">
      <c r="A13" s="3" t="s">
        <v>26</v>
      </c>
      <c r="B13" s="3" t="s">
        <v>3578</v>
      </c>
      <c r="C13" s="3" t="s">
        <v>1448</v>
      </c>
      <c r="D13" s="3" t="s">
        <v>2364</v>
      </c>
      <c r="E13" s="3" t="s">
        <v>38</v>
      </c>
      <c r="F13" s="3" t="s">
        <v>1324</v>
      </c>
      <c r="G13" s="3" t="s">
        <v>3579</v>
      </c>
      <c r="H13" s="3" t="s">
        <v>1449</v>
      </c>
      <c r="I13" s="3" t="s">
        <v>2423</v>
      </c>
      <c r="J13" s="3" t="s">
        <v>2424</v>
      </c>
      <c r="K13" s="3" t="s">
        <v>365</v>
      </c>
      <c r="L13" s="3" t="s">
        <v>2427</v>
      </c>
      <c r="M13" s="3" t="s">
        <v>3588</v>
      </c>
      <c r="N13" s="3">
        <v>2015.0</v>
      </c>
      <c r="O13" s="3" t="s">
        <v>1450</v>
      </c>
      <c r="P13" s="25" t="str">
        <f>HYPERLINK("http://dx.doi.org/10.1371/journal.pone.0120198","http://dx.doi.org/10.1371/journal.pone.0120198")</f>
        <v>http://dx.doi.org/10.1371/journal.pone.0120198</v>
      </c>
      <c r="Q13" s="3" t="s">
        <v>42</v>
      </c>
      <c r="R13" s="3" t="s">
        <v>2430</v>
      </c>
      <c r="S13" s="3" t="s">
        <v>2383</v>
      </c>
      <c r="T13" s="3" t="s">
        <v>3591</v>
      </c>
      <c r="U13" s="3" t="s">
        <v>1326</v>
      </c>
      <c r="V13" s="3" t="s">
        <v>1327</v>
      </c>
      <c r="W13" s="3" t="s">
        <v>1328</v>
      </c>
      <c r="X13" s="3" t="s">
        <v>1328</v>
      </c>
      <c r="Y13" s="3" t="s">
        <v>1328</v>
      </c>
      <c r="Z13" s="3" t="s">
        <v>1328</v>
      </c>
      <c r="AA13" s="3" t="s">
        <v>1328</v>
      </c>
      <c r="AB13" s="3" t="s">
        <v>1328</v>
      </c>
      <c r="AC13" s="3" t="s">
        <v>1327</v>
      </c>
      <c r="AD13" s="3" t="s">
        <v>1328</v>
      </c>
      <c r="AE13" s="3" t="s">
        <v>1443</v>
      </c>
      <c r="AF13" s="3" t="s">
        <v>1330</v>
      </c>
      <c r="AG13" s="3" t="s">
        <v>1331</v>
      </c>
      <c r="AH13" s="3" t="s">
        <v>1347</v>
      </c>
      <c r="AI13" s="3" t="s">
        <v>1444</v>
      </c>
      <c r="AJ13" s="3" t="s">
        <v>1445</v>
      </c>
      <c r="AK13" s="3" t="s">
        <v>1335</v>
      </c>
      <c r="AL13" s="3">
        <v>5.0</v>
      </c>
      <c r="AM13" s="3" t="s">
        <v>1328</v>
      </c>
      <c r="AN13" s="3" t="s">
        <v>1328</v>
      </c>
      <c r="AO13" s="3" t="s">
        <v>1328</v>
      </c>
      <c r="AP13" s="3" t="s">
        <v>1328</v>
      </c>
      <c r="AQ13" s="3" t="s">
        <v>1328</v>
      </c>
      <c r="AR13" s="3" t="s">
        <v>1336</v>
      </c>
      <c r="AS13" s="3" t="s">
        <v>1395</v>
      </c>
      <c r="AT13" s="3" t="s">
        <v>1351</v>
      </c>
      <c r="AU13" s="3" t="s">
        <v>1363</v>
      </c>
      <c r="AV13" s="3" t="s">
        <v>1331</v>
      </c>
      <c r="AW13" s="3" t="s">
        <v>1328</v>
      </c>
      <c r="AX13" s="3" t="s">
        <v>5028</v>
      </c>
    </row>
    <row r="14" ht="12.75" customHeight="1">
      <c r="A14" s="3" t="s">
        <v>26</v>
      </c>
      <c r="B14" s="3" t="s">
        <v>3672</v>
      </c>
      <c r="C14" s="3" t="s">
        <v>1453</v>
      </c>
      <c r="D14" s="3" t="s">
        <v>2364</v>
      </c>
      <c r="E14" s="3" t="s">
        <v>38</v>
      </c>
      <c r="F14" s="3" t="s">
        <v>1324</v>
      </c>
      <c r="G14" s="3" t="s">
        <v>3673</v>
      </c>
      <c r="H14" s="3" t="s">
        <v>1454</v>
      </c>
      <c r="I14" s="3" t="s">
        <v>2423</v>
      </c>
      <c r="J14" s="3" t="s">
        <v>2424</v>
      </c>
      <c r="K14" s="3" t="s">
        <v>365</v>
      </c>
      <c r="L14" s="3" t="s">
        <v>2427</v>
      </c>
      <c r="M14" s="3" t="s">
        <v>3683</v>
      </c>
      <c r="N14" s="3">
        <v>2014.0</v>
      </c>
      <c r="O14" s="3" t="s">
        <v>1455</v>
      </c>
      <c r="P14" s="25" t="str">
        <f>HYPERLINK("http://dx.doi.org/10.1371/journal.pone.0113934","http://dx.doi.org/10.1371/journal.pone.0113934")</f>
        <v>http://dx.doi.org/10.1371/journal.pone.0113934</v>
      </c>
      <c r="Q14" s="3" t="s">
        <v>42</v>
      </c>
      <c r="R14" s="3" t="s">
        <v>2430</v>
      </c>
      <c r="S14" s="3" t="s">
        <v>2383</v>
      </c>
      <c r="T14" s="3" t="s">
        <v>3686</v>
      </c>
      <c r="U14" s="3" t="s">
        <v>1442</v>
      </c>
      <c r="V14" s="3" t="s">
        <v>1327</v>
      </c>
      <c r="W14" s="3" t="s">
        <v>1328</v>
      </c>
      <c r="X14" s="3" t="s">
        <v>1328</v>
      </c>
      <c r="Y14" s="3" t="s">
        <v>1328</v>
      </c>
      <c r="Z14" s="3" t="s">
        <v>1328</v>
      </c>
      <c r="AA14" s="3" t="s">
        <v>1328</v>
      </c>
      <c r="AB14" s="3" t="s">
        <v>1328</v>
      </c>
      <c r="AC14" s="3" t="s">
        <v>1327</v>
      </c>
      <c r="AD14" s="3" t="s">
        <v>1328</v>
      </c>
      <c r="AE14" s="3" t="s">
        <v>1443</v>
      </c>
      <c r="AF14" s="3" t="s">
        <v>1330</v>
      </c>
      <c r="AG14" s="3" t="s">
        <v>1331</v>
      </c>
      <c r="AH14" s="3" t="s">
        <v>1331</v>
      </c>
      <c r="AI14" s="3" t="s">
        <v>1444</v>
      </c>
      <c r="AJ14" s="3" t="s">
        <v>1445</v>
      </c>
      <c r="AK14" s="3" t="s">
        <v>1446</v>
      </c>
      <c r="AL14" s="3">
        <v>6.0</v>
      </c>
      <c r="AM14" s="3" t="s">
        <v>1328</v>
      </c>
      <c r="AN14" s="3" t="s">
        <v>1328</v>
      </c>
      <c r="AO14" s="3" t="s">
        <v>1328</v>
      </c>
      <c r="AP14" s="3" t="s">
        <v>1328</v>
      </c>
      <c r="AQ14" s="3" t="s">
        <v>1328</v>
      </c>
      <c r="AR14" s="3" t="s">
        <v>1328</v>
      </c>
      <c r="AS14" s="3" t="s">
        <v>1395</v>
      </c>
      <c r="AT14" s="3" t="s">
        <v>1351</v>
      </c>
      <c r="AU14" s="3" t="s">
        <v>1339</v>
      </c>
      <c r="AV14" s="3" t="s">
        <v>1331</v>
      </c>
      <c r="AW14" s="3" t="s">
        <v>1328</v>
      </c>
      <c r="AX14" s="3" t="s">
        <v>5028</v>
      </c>
    </row>
    <row r="15" ht="12.75" customHeight="1">
      <c r="A15" s="3" t="s">
        <v>26</v>
      </c>
      <c r="B15" s="3" t="s">
        <v>3933</v>
      </c>
      <c r="C15" s="3" t="s">
        <v>1458</v>
      </c>
      <c r="D15" s="3" t="s">
        <v>2364</v>
      </c>
      <c r="E15" s="3" t="s">
        <v>38</v>
      </c>
      <c r="F15" s="3" t="s">
        <v>1324</v>
      </c>
      <c r="G15" s="3" t="s">
        <v>3934</v>
      </c>
      <c r="H15" s="3" t="s">
        <v>1459</v>
      </c>
      <c r="I15" s="3" t="s">
        <v>2423</v>
      </c>
      <c r="J15" s="3" t="s">
        <v>2424</v>
      </c>
      <c r="K15" s="3" t="s">
        <v>365</v>
      </c>
      <c r="L15" s="3" t="s">
        <v>2427</v>
      </c>
      <c r="M15" s="3" t="s">
        <v>3944</v>
      </c>
      <c r="N15" s="3">
        <v>2013.0</v>
      </c>
      <c r="O15" s="3" t="s">
        <v>1460</v>
      </c>
      <c r="P15" s="25" t="str">
        <f>HYPERLINK("http://dx.doi.org/10.1371/journal.pone.0081292","http://dx.doi.org/10.1371/journal.pone.0081292")</f>
        <v>http://dx.doi.org/10.1371/journal.pone.0081292</v>
      </c>
      <c r="Q15" s="3" t="s">
        <v>42</v>
      </c>
      <c r="R15" s="3" t="s">
        <v>2430</v>
      </c>
      <c r="S15" s="3" t="s">
        <v>2383</v>
      </c>
      <c r="T15" s="3" t="s">
        <v>3948</v>
      </c>
      <c r="U15" s="3" t="s">
        <v>1462</v>
      </c>
      <c r="V15" s="3" t="s">
        <v>1371</v>
      </c>
      <c r="W15" s="3" t="s">
        <v>1328</v>
      </c>
      <c r="X15" s="3" t="s">
        <v>1328</v>
      </c>
      <c r="Y15" s="3" t="s">
        <v>1328</v>
      </c>
      <c r="Z15" s="3" t="s">
        <v>1328</v>
      </c>
      <c r="AA15" s="3" t="s">
        <v>1328</v>
      </c>
      <c r="AB15" s="3" t="s">
        <v>1328</v>
      </c>
      <c r="AC15" s="3" t="s">
        <v>1371</v>
      </c>
      <c r="AD15" s="3" t="s">
        <v>1328</v>
      </c>
      <c r="AE15" s="3" t="s">
        <v>1463</v>
      </c>
      <c r="AF15" s="3" t="s">
        <v>1331</v>
      </c>
      <c r="AG15" s="3" t="s">
        <v>1372</v>
      </c>
      <c r="AH15" s="3" t="s">
        <v>1347</v>
      </c>
      <c r="AI15" s="3" t="s">
        <v>1444</v>
      </c>
      <c r="AJ15" s="3" t="s">
        <v>1445</v>
      </c>
      <c r="AK15" s="3" t="s">
        <v>1464</v>
      </c>
      <c r="AL15" s="3">
        <v>4.0</v>
      </c>
      <c r="AM15" s="3" t="s">
        <v>1328</v>
      </c>
      <c r="AN15" s="3" t="s">
        <v>1328</v>
      </c>
      <c r="AO15" s="3" t="s">
        <v>1328</v>
      </c>
      <c r="AP15" s="3" t="s">
        <v>1336</v>
      </c>
      <c r="AQ15" s="3" t="s">
        <v>1336</v>
      </c>
      <c r="AR15" s="3" t="s">
        <v>1328</v>
      </c>
      <c r="AS15" s="3" t="s">
        <v>1350</v>
      </c>
      <c r="AT15" s="3" t="s">
        <v>1351</v>
      </c>
      <c r="AU15" s="3" t="s">
        <v>1339</v>
      </c>
      <c r="AV15" s="3" t="s">
        <v>1388</v>
      </c>
      <c r="AW15" s="3" t="s">
        <v>1328</v>
      </c>
      <c r="AX15" s="3" t="s">
        <v>5027</v>
      </c>
    </row>
    <row r="16" ht="12.75" customHeight="1">
      <c r="A16" s="3" t="s">
        <v>26</v>
      </c>
      <c r="B16" s="3" t="s">
        <v>4196</v>
      </c>
      <c r="C16" s="3" t="s">
        <v>1472</v>
      </c>
      <c r="D16" s="3" t="s">
        <v>2364</v>
      </c>
      <c r="E16" s="3" t="s">
        <v>38</v>
      </c>
      <c r="F16" s="3" t="s">
        <v>1324</v>
      </c>
      <c r="G16" s="3" t="s">
        <v>4197</v>
      </c>
      <c r="H16" s="3" t="s">
        <v>1473</v>
      </c>
      <c r="I16" s="3" t="s">
        <v>2423</v>
      </c>
      <c r="J16" s="3" t="s">
        <v>2424</v>
      </c>
      <c r="K16" s="3" t="s">
        <v>365</v>
      </c>
      <c r="L16" s="3" t="s">
        <v>2427</v>
      </c>
      <c r="M16" s="3" t="s">
        <v>4206</v>
      </c>
      <c r="N16" s="3">
        <v>2012.0</v>
      </c>
      <c r="O16" s="3" t="s">
        <v>1474</v>
      </c>
      <c r="P16" s="25" t="str">
        <f>HYPERLINK("http://dx.doi.org/10.1371/journal.pone.0039825","http://dx.doi.org/10.1371/journal.pone.0039825")</f>
        <v>http://dx.doi.org/10.1371/journal.pone.0039825</v>
      </c>
      <c r="Q16" s="3" t="s">
        <v>42</v>
      </c>
      <c r="R16" s="3" t="s">
        <v>2430</v>
      </c>
      <c r="S16" s="3" t="s">
        <v>2383</v>
      </c>
      <c r="T16" s="3" t="s">
        <v>4209</v>
      </c>
      <c r="U16" s="3" t="s">
        <v>1402</v>
      </c>
      <c r="V16" s="3" t="s">
        <v>1403</v>
      </c>
      <c r="W16" s="3" t="s">
        <v>1328</v>
      </c>
      <c r="X16" s="3" t="s">
        <v>1328</v>
      </c>
      <c r="Y16" s="3" t="s">
        <v>1328</v>
      </c>
      <c r="Z16" s="3" t="s">
        <v>1328</v>
      </c>
      <c r="AA16" s="3" t="s">
        <v>1328</v>
      </c>
      <c r="AB16" s="3" t="s">
        <v>1328</v>
      </c>
      <c r="AC16" s="3" t="s">
        <v>1403</v>
      </c>
      <c r="AD16" s="3" t="s">
        <v>1328</v>
      </c>
      <c r="AE16" s="3" t="s">
        <v>1329</v>
      </c>
      <c r="AF16" s="3" t="s">
        <v>1331</v>
      </c>
      <c r="AG16" s="3" t="s">
        <v>1330</v>
      </c>
      <c r="AH16" s="3" t="s">
        <v>1332</v>
      </c>
      <c r="AI16" s="3" t="s">
        <v>1444</v>
      </c>
      <c r="AJ16" s="3" t="s">
        <v>1476</v>
      </c>
      <c r="AK16" s="3" t="s">
        <v>1349</v>
      </c>
      <c r="AL16" s="3">
        <v>4.0</v>
      </c>
      <c r="AM16" s="3" t="s">
        <v>1328</v>
      </c>
      <c r="AN16" s="3" t="s">
        <v>1328</v>
      </c>
      <c r="AO16" s="3" t="s">
        <v>1328</v>
      </c>
      <c r="AP16" s="3" t="s">
        <v>1336</v>
      </c>
      <c r="AQ16" s="3" t="s">
        <v>1328</v>
      </c>
      <c r="AR16" s="3" t="s">
        <v>1336</v>
      </c>
      <c r="AS16" s="3" t="s">
        <v>1395</v>
      </c>
      <c r="AT16" s="3" t="s">
        <v>1338</v>
      </c>
      <c r="AU16" s="3" t="s">
        <v>1363</v>
      </c>
      <c r="AV16" s="3" t="s">
        <v>1331</v>
      </c>
      <c r="AW16" s="3" t="s">
        <v>1328</v>
      </c>
      <c r="AX16" s="3" t="s">
        <v>5027</v>
      </c>
    </row>
    <row r="17" ht="12.75" customHeight="1">
      <c r="A17" s="3" t="s">
        <v>26</v>
      </c>
      <c r="B17" s="3" t="s">
        <v>2412</v>
      </c>
      <c r="C17" s="3" t="s">
        <v>1478</v>
      </c>
      <c r="D17" s="3" t="s">
        <v>2364</v>
      </c>
      <c r="E17" s="3" t="s">
        <v>38</v>
      </c>
      <c r="F17" s="3" t="s">
        <v>1324</v>
      </c>
      <c r="G17" s="3" t="s">
        <v>2413</v>
      </c>
      <c r="H17" s="3" t="s">
        <v>1479</v>
      </c>
      <c r="I17" s="3" t="s">
        <v>2423</v>
      </c>
      <c r="J17" s="3" t="s">
        <v>2424</v>
      </c>
      <c r="K17" s="3" t="s">
        <v>365</v>
      </c>
      <c r="L17" s="3" t="s">
        <v>2427</v>
      </c>
      <c r="M17" s="3" t="s">
        <v>2428</v>
      </c>
      <c r="N17" s="3">
        <v>2011.0</v>
      </c>
      <c r="O17" s="3" t="s">
        <v>1480</v>
      </c>
      <c r="P17" s="25" t="str">
        <f>HYPERLINK("http://dx.doi.org/10.1371/journal.pone.0027785","http://dx.doi.org/10.1371/journal.pone.0027785")</f>
        <v>http://dx.doi.org/10.1371/journal.pone.0027785</v>
      </c>
      <c r="Q17" s="3" t="s">
        <v>42</v>
      </c>
      <c r="R17" s="3" t="s">
        <v>2430</v>
      </c>
      <c r="S17" s="3" t="s">
        <v>2383</v>
      </c>
      <c r="T17" s="3" t="s">
        <v>2432</v>
      </c>
      <c r="U17" s="3" t="s">
        <v>1482</v>
      </c>
      <c r="V17" s="3" t="s">
        <v>1387</v>
      </c>
      <c r="W17" s="3" t="s">
        <v>1328</v>
      </c>
      <c r="X17" s="3" t="s">
        <v>1328</v>
      </c>
      <c r="Y17" s="3" t="s">
        <v>1328</v>
      </c>
      <c r="Z17" s="3" t="s">
        <v>1328</v>
      </c>
      <c r="AA17" s="3" t="s">
        <v>1328</v>
      </c>
      <c r="AB17" s="3" t="s">
        <v>1328</v>
      </c>
      <c r="AC17" s="3" t="s">
        <v>1387</v>
      </c>
      <c r="AD17" s="3" t="s">
        <v>1328</v>
      </c>
      <c r="AE17" s="3" t="s">
        <v>1329</v>
      </c>
      <c r="AF17" s="3" t="s">
        <v>1372</v>
      </c>
      <c r="AG17" s="3" t="s">
        <v>1331</v>
      </c>
      <c r="AH17" s="3" t="s">
        <v>1347</v>
      </c>
      <c r="AI17" s="3" t="s">
        <v>1333</v>
      </c>
      <c r="AJ17" s="3" t="s">
        <v>1334</v>
      </c>
      <c r="AK17" s="3" t="s">
        <v>1362</v>
      </c>
      <c r="AL17" s="3">
        <v>2.0</v>
      </c>
      <c r="AM17" s="3" t="s">
        <v>1336</v>
      </c>
      <c r="AN17" s="3" t="s">
        <v>1328</v>
      </c>
      <c r="AO17" s="3" t="s">
        <v>1328</v>
      </c>
      <c r="AP17" s="3" t="s">
        <v>1336</v>
      </c>
      <c r="AQ17" s="3" t="s">
        <v>1336</v>
      </c>
      <c r="AR17" s="3" t="s">
        <v>1336</v>
      </c>
      <c r="AS17" s="3" t="s">
        <v>1350</v>
      </c>
      <c r="AT17" s="3" t="s">
        <v>1351</v>
      </c>
      <c r="AU17" s="3" t="s">
        <v>1363</v>
      </c>
      <c r="AV17" s="3" t="s">
        <v>1388</v>
      </c>
      <c r="AW17" s="3" t="s">
        <v>1328</v>
      </c>
      <c r="AX17" s="3" t="s">
        <v>5027</v>
      </c>
    </row>
    <row r="18" ht="12.75" customHeight="1">
      <c r="A18" s="3" t="s">
        <v>26</v>
      </c>
      <c r="B18" s="3" t="s">
        <v>4557</v>
      </c>
      <c r="C18" s="3" t="s">
        <v>1484</v>
      </c>
      <c r="D18" s="3" t="s">
        <v>2364</v>
      </c>
      <c r="E18" s="3" t="s">
        <v>38</v>
      </c>
      <c r="F18" s="3" t="s">
        <v>1324</v>
      </c>
      <c r="G18" s="3" t="s">
        <v>4558</v>
      </c>
      <c r="H18" s="3" t="s">
        <v>1485</v>
      </c>
      <c r="I18" s="3" t="s">
        <v>2423</v>
      </c>
      <c r="J18" s="3" t="s">
        <v>2424</v>
      </c>
      <c r="K18" s="3" t="s">
        <v>365</v>
      </c>
      <c r="L18" s="3" t="s">
        <v>2427</v>
      </c>
      <c r="M18" s="3" t="s">
        <v>4567</v>
      </c>
      <c r="N18" s="3">
        <v>2010.0</v>
      </c>
      <c r="O18" s="3" t="s">
        <v>1486</v>
      </c>
      <c r="P18" s="25" t="str">
        <f>HYPERLINK("http://dx.doi.org/10.1371/journal.pone.0010095","http://dx.doi.org/10.1371/journal.pone.0010095")</f>
        <v>http://dx.doi.org/10.1371/journal.pone.0010095</v>
      </c>
      <c r="Q18" s="3" t="s">
        <v>42</v>
      </c>
      <c r="R18" s="3" t="s">
        <v>2430</v>
      </c>
      <c r="S18" s="3" t="s">
        <v>2383</v>
      </c>
      <c r="T18" s="3" t="s">
        <v>4570</v>
      </c>
      <c r="U18" s="3" t="s">
        <v>1442</v>
      </c>
      <c r="V18" s="3" t="s">
        <v>1327</v>
      </c>
      <c r="W18" s="3" t="s">
        <v>1328</v>
      </c>
      <c r="X18" s="3" t="s">
        <v>1328</v>
      </c>
      <c r="Y18" s="3" t="s">
        <v>1328</v>
      </c>
      <c r="Z18" s="3" t="s">
        <v>1328</v>
      </c>
      <c r="AA18" s="3" t="s">
        <v>1328</v>
      </c>
      <c r="AB18" s="3" t="s">
        <v>1328</v>
      </c>
      <c r="AC18" s="3" t="s">
        <v>1327</v>
      </c>
      <c r="AD18" s="3" t="s">
        <v>1328</v>
      </c>
      <c r="AE18" s="3" t="s">
        <v>1443</v>
      </c>
      <c r="AF18" s="3" t="s">
        <v>1330</v>
      </c>
      <c r="AG18" s="3" t="s">
        <v>1331</v>
      </c>
      <c r="AH18" s="3" t="s">
        <v>1331</v>
      </c>
      <c r="AI18" s="3" t="s">
        <v>1444</v>
      </c>
      <c r="AJ18" s="3" t="s">
        <v>1488</v>
      </c>
      <c r="AK18" s="3" t="s">
        <v>1349</v>
      </c>
      <c r="AL18" s="3">
        <v>3.0</v>
      </c>
      <c r="AM18" s="3" t="s">
        <v>1328</v>
      </c>
      <c r="AN18" s="3" t="s">
        <v>1328</v>
      </c>
      <c r="AO18" s="3" t="s">
        <v>1328</v>
      </c>
      <c r="AP18" s="3" t="s">
        <v>1336</v>
      </c>
      <c r="AQ18" s="3" t="s">
        <v>1336</v>
      </c>
      <c r="AR18" s="3" t="s">
        <v>1336</v>
      </c>
      <c r="AS18" s="3" t="s">
        <v>1395</v>
      </c>
      <c r="AT18" s="3" t="s">
        <v>1338</v>
      </c>
      <c r="AU18" s="3" t="s">
        <v>1339</v>
      </c>
      <c r="AV18" s="3" t="s">
        <v>1331</v>
      </c>
      <c r="AW18" s="3" t="s">
        <v>1328</v>
      </c>
      <c r="AX18" s="3" t="s">
        <v>5028</v>
      </c>
    </row>
    <row r="19" ht="12.75" customHeight="1">
      <c r="A19" s="3" t="s">
        <v>26</v>
      </c>
      <c r="B19" s="3" t="s">
        <v>4734</v>
      </c>
      <c r="C19" s="3" t="s">
        <v>1491</v>
      </c>
      <c r="D19" s="3" t="s">
        <v>2364</v>
      </c>
      <c r="E19" s="3" t="s">
        <v>38</v>
      </c>
      <c r="F19" s="3" t="s">
        <v>1324</v>
      </c>
      <c r="G19" s="3" t="s">
        <v>4735</v>
      </c>
      <c r="H19" s="3" t="s">
        <v>1492</v>
      </c>
      <c r="I19" s="3" t="s">
        <v>2423</v>
      </c>
      <c r="J19" s="3" t="s">
        <v>2424</v>
      </c>
      <c r="K19" s="3" t="s">
        <v>365</v>
      </c>
      <c r="L19" s="3" t="s">
        <v>2427</v>
      </c>
      <c r="M19" s="3" t="s">
        <v>4745</v>
      </c>
      <c r="N19" s="3">
        <v>2008.0</v>
      </c>
      <c r="O19" s="3" t="s">
        <v>1493</v>
      </c>
      <c r="P19" s="25" t="str">
        <f>HYPERLINK("http://dx.doi.org/10.1371/journal.pone.0003039","http://dx.doi.org/10.1371/journal.pone.0003039")</f>
        <v>http://dx.doi.org/10.1371/journal.pone.0003039</v>
      </c>
      <c r="Q19" s="3" t="s">
        <v>42</v>
      </c>
      <c r="R19" s="3" t="s">
        <v>2430</v>
      </c>
      <c r="S19" s="3" t="s">
        <v>2383</v>
      </c>
      <c r="T19" s="3" t="s">
        <v>4748</v>
      </c>
      <c r="U19" s="3" t="s">
        <v>1495</v>
      </c>
      <c r="V19" s="3" t="s">
        <v>1436</v>
      </c>
      <c r="W19" s="3" t="s">
        <v>1328</v>
      </c>
      <c r="X19" s="3" t="s">
        <v>1328</v>
      </c>
      <c r="Y19" s="3" t="s">
        <v>1328</v>
      </c>
      <c r="Z19" s="3" t="s">
        <v>1328</v>
      </c>
      <c r="AA19" s="3" t="s">
        <v>1328</v>
      </c>
      <c r="AB19" s="3" t="s">
        <v>1328</v>
      </c>
      <c r="AC19" s="3" t="s">
        <v>1436</v>
      </c>
      <c r="AD19" s="3" t="s">
        <v>1328</v>
      </c>
      <c r="AE19" s="3" t="s">
        <v>1329</v>
      </c>
      <c r="AF19" s="3" t="s">
        <v>1372</v>
      </c>
      <c r="AG19" s="3" t="s">
        <v>1331</v>
      </c>
      <c r="AH19" s="3" t="s">
        <v>1347</v>
      </c>
      <c r="AI19" s="3" t="s">
        <v>1360</v>
      </c>
      <c r="AJ19" s="3" t="s">
        <v>1496</v>
      </c>
      <c r="AK19" s="3" t="s">
        <v>1349</v>
      </c>
      <c r="AL19" s="3">
        <v>2.0</v>
      </c>
      <c r="AM19" s="3" t="s">
        <v>1328</v>
      </c>
      <c r="AN19" s="3" t="s">
        <v>1328</v>
      </c>
      <c r="AO19" s="3" t="s">
        <v>1336</v>
      </c>
      <c r="AP19" s="3" t="s">
        <v>1336</v>
      </c>
      <c r="AQ19" s="3" t="s">
        <v>1336</v>
      </c>
      <c r="AR19" s="3" t="s">
        <v>1336</v>
      </c>
      <c r="AS19" s="3" t="s">
        <v>1350</v>
      </c>
      <c r="AT19" s="3" t="s">
        <v>1351</v>
      </c>
      <c r="AU19" s="3" t="s">
        <v>1339</v>
      </c>
      <c r="AV19" s="3" t="s">
        <v>1374</v>
      </c>
      <c r="AW19" s="3" t="s">
        <v>1328</v>
      </c>
      <c r="AX19" s="3" t="s">
        <v>5028</v>
      </c>
    </row>
    <row r="20" ht="12.75" customHeight="1">
      <c r="A20" s="3" t="s">
        <v>26</v>
      </c>
      <c r="B20" s="3" t="s">
        <v>2385</v>
      </c>
      <c r="C20" s="3" t="s">
        <v>2387</v>
      </c>
      <c r="D20" s="3" t="s">
        <v>2364</v>
      </c>
      <c r="E20" s="3" t="s">
        <v>38</v>
      </c>
      <c r="F20" s="3" t="s">
        <v>1324</v>
      </c>
      <c r="G20" s="3" t="s">
        <v>2389</v>
      </c>
      <c r="H20" s="3" t="s">
        <v>2291</v>
      </c>
      <c r="I20" s="3" t="s">
        <v>2399</v>
      </c>
      <c r="J20" s="3" t="s">
        <v>2400</v>
      </c>
      <c r="K20" s="3" t="s">
        <v>2403</v>
      </c>
      <c r="L20" s="3" t="s">
        <v>2404</v>
      </c>
      <c r="M20" s="3" t="s">
        <v>1324</v>
      </c>
      <c r="N20" s="3">
        <v>2006.0</v>
      </c>
      <c r="O20" s="3" t="s">
        <v>2405</v>
      </c>
      <c r="P20" s="25" t="str">
        <f>HYPERLINK("http://dx.doi.org/10.1186/1746-4269-2-24","http://dx.doi.org/10.1186/1746-4269-2-24")</f>
        <v>http://dx.doi.org/10.1186/1746-4269-2-24</v>
      </c>
      <c r="Q20" s="3" t="s">
        <v>2406</v>
      </c>
      <c r="R20" s="3" t="s">
        <v>2408</v>
      </c>
      <c r="S20" s="3" t="s">
        <v>2383</v>
      </c>
      <c r="T20" s="3" t="s">
        <v>2411</v>
      </c>
      <c r="U20" s="3" t="s">
        <v>1370</v>
      </c>
      <c r="V20" s="3" t="s">
        <v>1371</v>
      </c>
      <c r="W20" s="3" t="s">
        <v>1328</v>
      </c>
      <c r="X20" s="3" t="s">
        <v>1328</v>
      </c>
      <c r="Y20" s="3" t="s">
        <v>1328</v>
      </c>
      <c r="Z20" s="3" t="s">
        <v>1328</v>
      </c>
      <c r="AA20" s="3" t="s">
        <v>1328</v>
      </c>
      <c r="AB20" s="3" t="s">
        <v>1328</v>
      </c>
      <c r="AC20" s="3" t="s">
        <v>1371</v>
      </c>
      <c r="AD20" s="3" t="s">
        <v>1328</v>
      </c>
      <c r="AE20" s="3" t="s">
        <v>1329</v>
      </c>
      <c r="AF20" s="3" t="s">
        <v>1372</v>
      </c>
      <c r="AG20" s="3" t="s">
        <v>1331</v>
      </c>
      <c r="AH20" s="3" t="s">
        <v>1347</v>
      </c>
      <c r="AI20" s="3" t="s">
        <v>1333</v>
      </c>
      <c r="AJ20" s="3" t="s">
        <v>1381</v>
      </c>
      <c r="AK20" s="3" t="s">
        <v>1373</v>
      </c>
      <c r="AL20" s="3">
        <v>3.0</v>
      </c>
      <c r="AM20" s="3" t="s">
        <v>1336</v>
      </c>
      <c r="AN20" s="3" t="s">
        <v>1328</v>
      </c>
      <c r="AO20" s="3" t="s">
        <v>1328</v>
      </c>
      <c r="AP20" s="3" t="s">
        <v>1336</v>
      </c>
      <c r="AQ20" s="3" t="s">
        <v>1328</v>
      </c>
      <c r="AR20" s="3" t="s">
        <v>1336</v>
      </c>
      <c r="AS20" s="3" t="s">
        <v>1395</v>
      </c>
      <c r="AT20" s="3" t="s">
        <v>1338</v>
      </c>
      <c r="AU20" s="3" t="s">
        <v>1363</v>
      </c>
      <c r="AV20" s="3" t="s">
        <v>1374</v>
      </c>
      <c r="AW20" s="3" t="s">
        <v>1328</v>
      </c>
      <c r="AX20" s="3" t="s">
        <v>5027</v>
      </c>
      <c r="AY20" s="3"/>
    </row>
    <row r="21" ht="12.75" customHeight="1">
      <c r="A21" s="3" t="s">
        <v>26</v>
      </c>
      <c r="B21" s="3" t="s">
        <v>2694</v>
      </c>
      <c r="C21" s="3" t="s">
        <v>1512</v>
      </c>
      <c r="D21" s="3" t="s">
        <v>2364</v>
      </c>
      <c r="E21" s="3" t="s">
        <v>38</v>
      </c>
      <c r="F21" s="3" t="s">
        <v>2695</v>
      </c>
      <c r="G21" s="3" t="s">
        <v>2696</v>
      </c>
      <c r="H21" s="3" t="s">
        <v>1513</v>
      </c>
      <c r="I21" s="3" t="s">
        <v>2705</v>
      </c>
      <c r="J21" s="3" t="s">
        <v>2706</v>
      </c>
      <c r="K21" s="3" t="s">
        <v>2709</v>
      </c>
      <c r="L21" s="3" t="s">
        <v>2710</v>
      </c>
      <c r="M21" s="3" t="s">
        <v>2711</v>
      </c>
      <c r="N21" s="3">
        <v>2018.0</v>
      </c>
      <c r="O21" s="3" t="s">
        <v>1514</v>
      </c>
      <c r="P21" s="25" t="str">
        <f>HYPERLINK("http://dx.doi.org/10.1177/1940082918769460","http://dx.doi.org/10.1177/1940082918769460")</f>
        <v>http://dx.doi.org/10.1177/1940082918769460</v>
      </c>
      <c r="Q21" s="3" t="s">
        <v>2712</v>
      </c>
      <c r="R21" s="3" t="s">
        <v>2713</v>
      </c>
      <c r="S21" s="3" t="s">
        <v>2383</v>
      </c>
      <c r="T21" s="3" t="s">
        <v>2716</v>
      </c>
      <c r="U21" s="3" t="s">
        <v>1482</v>
      </c>
      <c r="V21" s="3" t="s">
        <v>1403</v>
      </c>
      <c r="W21" s="3" t="s">
        <v>1328</v>
      </c>
      <c r="X21" s="3" t="s">
        <v>1328</v>
      </c>
      <c r="Y21" s="3" t="s">
        <v>1328</v>
      </c>
      <c r="Z21" s="3" t="s">
        <v>1328</v>
      </c>
      <c r="AA21" s="3" t="s">
        <v>1328</v>
      </c>
      <c r="AB21" s="3" t="s">
        <v>1328</v>
      </c>
      <c r="AC21" s="3" t="s">
        <v>1403</v>
      </c>
      <c r="AD21" s="3" t="s">
        <v>1328</v>
      </c>
      <c r="AE21" s="3" t="s">
        <v>1329</v>
      </c>
      <c r="AF21" s="3" t="s">
        <v>1330</v>
      </c>
      <c r="AG21" s="3" t="s">
        <v>1331</v>
      </c>
      <c r="AH21" s="3" t="s">
        <v>1347</v>
      </c>
      <c r="AI21" s="3" t="s">
        <v>1333</v>
      </c>
      <c r="AJ21" s="3" t="s">
        <v>1381</v>
      </c>
      <c r="AK21" s="3" t="s">
        <v>1362</v>
      </c>
      <c r="AL21" s="3">
        <v>2.0</v>
      </c>
      <c r="AM21" s="3" t="s">
        <v>1336</v>
      </c>
      <c r="AN21" s="3" t="s">
        <v>1328</v>
      </c>
      <c r="AO21" s="3" t="s">
        <v>1336</v>
      </c>
      <c r="AP21" s="3" t="s">
        <v>1336</v>
      </c>
      <c r="AQ21" s="3" t="s">
        <v>1336</v>
      </c>
      <c r="AR21" s="3" t="s">
        <v>1328</v>
      </c>
      <c r="AS21" s="3" t="s">
        <v>1350</v>
      </c>
      <c r="AT21" s="3" t="s">
        <v>1351</v>
      </c>
      <c r="AU21" s="3" t="s">
        <v>1363</v>
      </c>
      <c r="AV21" s="3" t="s">
        <v>1374</v>
      </c>
      <c r="AW21" s="3" t="s">
        <v>1328</v>
      </c>
      <c r="AX21" s="3" t="s">
        <v>5027</v>
      </c>
    </row>
    <row r="22" ht="12.75" customHeight="1">
      <c r="A22" s="3" t="s">
        <v>26</v>
      </c>
      <c r="B22" s="3" t="s">
        <v>2946</v>
      </c>
      <c r="C22" s="3" t="s">
        <v>1541</v>
      </c>
      <c r="D22" s="3" t="s">
        <v>2364</v>
      </c>
      <c r="E22" s="3" t="s">
        <v>38</v>
      </c>
      <c r="F22" s="3" t="s">
        <v>2947</v>
      </c>
      <c r="G22" s="3" t="s">
        <v>2948</v>
      </c>
      <c r="H22" s="3" t="s">
        <v>2949</v>
      </c>
      <c r="I22" s="3" t="s">
        <v>2464</v>
      </c>
      <c r="J22" s="3" t="s">
        <v>2465</v>
      </c>
      <c r="K22" s="3" t="s">
        <v>2961</v>
      </c>
      <c r="L22" s="3" t="s">
        <v>2962</v>
      </c>
      <c r="M22" s="3" t="s">
        <v>2927</v>
      </c>
      <c r="N22" s="3">
        <v>2017.0</v>
      </c>
      <c r="O22" s="3" t="s">
        <v>1543</v>
      </c>
      <c r="P22" s="25" t="str">
        <f>HYPERLINK("http://dx.doi.org/10.1111/jvs.12579","http://dx.doi.org/10.1111/jvs.12579")</f>
        <v>http://dx.doi.org/10.1111/jvs.12579</v>
      </c>
      <c r="Q22" s="3" t="s">
        <v>2963</v>
      </c>
      <c r="R22" s="3" t="s">
        <v>2964</v>
      </c>
      <c r="S22" s="3" t="s">
        <v>2383</v>
      </c>
      <c r="T22" s="3" t="s">
        <v>2966</v>
      </c>
      <c r="U22" s="3" t="s">
        <v>1545</v>
      </c>
      <c r="V22" s="3" t="s">
        <v>1403</v>
      </c>
      <c r="W22" s="3" t="s">
        <v>1328</v>
      </c>
      <c r="X22" s="3" t="s">
        <v>1328</v>
      </c>
      <c r="Y22" s="3" t="s">
        <v>1328</v>
      </c>
      <c r="Z22" s="3" t="s">
        <v>1328</v>
      </c>
      <c r="AA22" s="3" t="s">
        <v>1328</v>
      </c>
      <c r="AB22" s="3" t="s">
        <v>1328</v>
      </c>
      <c r="AC22" s="3" t="s">
        <v>1403</v>
      </c>
      <c r="AD22" s="3" t="s">
        <v>1328</v>
      </c>
      <c r="AE22" s="3" t="s">
        <v>1329</v>
      </c>
      <c r="AF22" s="3" t="s">
        <v>1330</v>
      </c>
      <c r="AG22" s="3" t="s">
        <v>1331</v>
      </c>
      <c r="AH22" s="3" t="s">
        <v>1347</v>
      </c>
      <c r="AI22" s="3" t="s">
        <v>1333</v>
      </c>
      <c r="AJ22" s="3" t="s">
        <v>1361</v>
      </c>
      <c r="AK22" s="3" t="s">
        <v>1362</v>
      </c>
      <c r="AL22" s="3">
        <v>3.0</v>
      </c>
      <c r="AM22" s="3" t="s">
        <v>1328</v>
      </c>
      <c r="AN22" s="3" t="s">
        <v>1328</v>
      </c>
      <c r="AO22" s="3" t="s">
        <v>1336</v>
      </c>
      <c r="AP22" s="3" t="s">
        <v>1336</v>
      </c>
      <c r="AQ22" s="3" t="s">
        <v>1328</v>
      </c>
      <c r="AR22" s="3" t="s">
        <v>1336</v>
      </c>
      <c r="AS22" s="3" t="s">
        <v>1404</v>
      </c>
      <c r="AT22" s="3" t="s">
        <v>1351</v>
      </c>
      <c r="AU22" s="3" t="s">
        <v>1363</v>
      </c>
      <c r="AV22" s="3" t="s">
        <v>1331</v>
      </c>
      <c r="AW22" s="3" t="s">
        <v>1328</v>
      </c>
      <c r="AX22" s="3" t="s">
        <v>5027</v>
      </c>
      <c r="AZ22" s="3"/>
    </row>
    <row r="23" ht="12.75" customHeight="1">
      <c r="A23" s="3" t="s">
        <v>26</v>
      </c>
      <c r="B23" s="3" t="s">
        <v>3278</v>
      </c>
      <c r="C23" s="3" t="s">
        <v>1547</v>
      </c>
      <c r="D23" s="3" t="s">
        <v>2364</v>
      </c>
      <c r="E23" s="3" t="s">
        <v>38</v>
      </c>
      <c r="F23" s="3" t="s">
        <v>3279</v>
      </c>
      <c r="G23" s="3" t="s">
        <v>3280</v>
      </c>
      <c r="H23" s="3" t="s">
        <v>3281</v>
      </c>
      <c r="I23" s="3" t="s">
        <v>2464</v>
      </c>
      <c r="J23" s="3" t="s">
        <v>2465</v>
      </c>
      <c r="K23" s="3" t="s">
        <v>2961</v>
      </c>
      <c r="L23" s="3" t="s">
        <v>2962</v>
      </c>
      <c r="M23" s="3" t="s">
        <v>2471</v>
      </c>
      <c r="N23" s="3">
        <v>2016.0</v>
      </c>
      <c r="O23" s="3" t="s">
        <v>1549</v>
      </c>
      <c r="P23" s="25" t="str">
        <f>HYPERLINK("http://dx.doi.org/10.1111/jvs.12423","http://dx.doi.org/10.1111/jvs.12423")</f>
        <v>http://dx.doi.org/10.1111/jvs.12423</v>
      </c>
      <c r="Q23" s="3" t="s">
        <v>2963</v>
      </c>
      <c r="R23" s="3" t="s">
        <v>2964</v>
      </c>
      <c r="S23" s="3" t="s">
        <v>2383</v>
      </c>
      <c r="T23" s="3" t="s">
        <v>3289</v>
      </c>
      <c r="U23" s="3" t="s">
        <v>1346</v>
      </c>
      <c r="V23" s="3" t="s">
        <v>1387</v>
      </c>
      <c r="W23" s="3" t="s">
        <v>1328</v>
      </c>
      <c r="X23" s="3" t="s">
        <v>1328</v>
      </c>
      <c r="Y23" s="3" t="s">
        <v>1328</v>
      </c>
      <c r="Z23" s="3" t="s">
        <v>1328</v>
      </c>
      <c r="AA23" s="3" t="s">
        <v>1328</v>
      </c>
      <c r="AB23" s="3" t="s">
        <v>1328</v>
      </c>
      <c r="AC23" s="3" t="s">
        <v>1387</v>
      </c>
      <c r="AD23" s="3" t="s">
        <v>1328</v>
      </c>
      <c r="AE23" s="3" t="s">
        <v>1329</v>
      </c>
      <c r="AF23" s="3" t="s">
        <v>1330</v>
      </c>
      <c r="AG23" s="3" t="s">
        <v>1331</v>
      </c>
      <c r="AH23" s="3" t="s">
        <v>1347</v>
      </c>
      <c r="AI23" s="3" t="s">
        <v>1333</v>
      </c>
      <c r="AJ23" s="3" t="s">
        <v>1381</v>
      </c>
      <c r="AK23" s="3" t="s">
        <v>1362</v>
      </c>
      <c r="AL23" s="3">
        <v>2.0</v>
      </c>
      <c r="AM23" s="3" t="s">
        <v>1328</v>
      </c>
      <c r="AN23" s="3" t="s">
        <v>1328</v>
      </c>
      <c r="AO23" s="3" t="s">
        <v>1336</v>
      </c>
      <c r="AP23" s="3" t="s">
        <v>1336</v>
      </c>
      <c r="AQ23" s="3" t="s">
        <v>1336</v>
      </c>
      <c r="AR23" s="3" t="s">
        <v>1336</v>
      </c>
      <c r="AS23" s="3" t="s">
        <v>1350</v>
      </c>
      <c r="AT23" s="3" t="s">
        <v>1351</v>
      </c>
      <c r="AU23" s="3" t="s">
        <v>1339</v>
      </c>
      <c r="AV23" s="3" t="s">
        <v>1331</v>
      </c>
      <c r="AW23" s="3" t="s">
        <v>1328</v>
      </c>
      <c r="AX23" s="3" t="s">
        <v>5027</v>
      </c>
    </row>
    <row r="24" ht="12.75" customHeight="1">
      <c r="A24" s="3" t="s">
        <v>26</v>
      </c>
      <c r="B24" s="3" t="s">
        <v>2983</v>
      </c>
      <c r="C24" s="3" t="s">
        <v>1553</v>
      </c>
      <c r="D24" s="3" t="s">
        <v>2364</v>
      </c>
      <c r="E24" s="3" t="s">
        <v>38</v>
      </c>
      <c r="F24" s="3" t="s">
        <v>2984</v>
      </c>
      <c r="G24" s="3" t="s">
        <v>2985</v>
      </c>
      <c r="H24" s="3" t="s">
        <v>1554</v>
      </c>
      <c r="I24" s="3" t="s">
        <v>2464</v>
      </c>
      <c r="J24" s="3" t="s">
        <v>2465</v>
      </c>
      <c r="K24" s="3" t="s">
        <v>2994</v>
      </c>
      <c r="L24" s="3" t="s">
        <v>2995</v>
      </c>
      <c r="M24" s="3" t="s">
        <v>2471</v>
      </c>
      <c r="N24" s="3">
        <v>2017.0</v>
      </c>
      <c r="O24" s="3" t="s">
        <v>1555</v>
      </c>
      <c r="P24" s="25" t="str">
        <f>HYPERLINK("http://dx.doi.org/10.1111/jofo.12204","http://dx.doi.org/10.1111/jofo.12204")</f>
        <v>http://dx.doi.org/10.1111/jofo.12204</v>
      </c>
      <c r="Q24" s="3" t="s">
        <v>273</v>
      </c>
      <c r="R24" s="3" t="s">
        <v>2691</v>
      </c>
      <c r="S24" s="3" t="s">
        <v>2383</v>
      </c>
      <c r="T24" s="3" t="s">
        <v>2997</v>
      </c>
      <c r="U24" s="3" t="s">
        <v>1482</v>
      </c>
      <c r="V24" s="3" t="s">
        <v>1417</v>
      </c>
      <c r="W24" s="3" t="s">
        <v>1328</v>
      </c>
      <c r="X24" s="3" t="s">
        <v>1328</v>
      </c>
      <c r="Y24" s="3" t="s">
        <v>1328</v>
      </c>
      <c r="Z24" s="3" t="s">
        <v>1328</v>
      </c>
      <c r="AA24" s="3" t="s">
        <v>1328</v>
      </c>
      <c r="AB24" s="3" t="s">
        <v>1328</v>
      </c>
      <c r="AC24" s="3" t="s">
        <v>1417</v>
      </c>
      <c r="AD24" s="3" t="s">
        <v>1328</v>
      </c>
      <c r="AE24" s="3" t="s">
        <v>1329</v>
      </c>
      <c r="AF24" s="3" t="s">
        <v>1331</v>
      </c>
      <c r="AG24" s="3" t="s">
        <v>1330</v>
      </c>
      <c r="AH24" s="3" t="s">
        <v>1347</v>
      </c>
      <c r="AI24" s="3" t="s">
        <v>1333</v>
      </c>
      <c r="AJ24" s="3" t="s">
        <v>1348</v>
      </c>
      <c r="AK24" s="3" t="s">
        <v>1362</v>
      </c>
      <c r="AL24" s="3">
        <v>2.0</v>
      </c>
      <c r="AM24" s="3" t="s">
        <v>1328</v>
      </c>
      <c r="AN24" s="3" t="s">
        <v>1328</v>
      </c>
      <c r="AO24" s="3" t="s">
        <v>1336</v>
      </c>
      <c r="AP24" s="3" t="s">
        <v>1336</v>
      </c>
      <c r="AQ24" s="3" t="s">
        <v>1336</v>
      </c>
      <c r="AR24" s="3" t="s">
        <v>1336</v>
      </c>
      <c r="AS24" s="3" t="s">
        <v>1395</v>
      </c>
      <c r="AT24" s="3" t="s">
        <v>1338</v>
      </c>
      <c r="AU24" s="3" t="s">
        <v>1339</v>
      </c>
      <c r="AV24" s="3" t="s">
        <v>1331</v>
      </c>
      <c r="AW24" s="3" t="s">
        <v>1328</v>
      </c>
      <c r="AX24" s="3" t="s">
        <v>5027</v>
      </c>
    </row>
    <row r="25" ht="12.75" customHeight="1">
      <c r="A25" s="3" t="s">
        <v>26</v>
      </c>
      <c r="B25" s="3" t="s">
        <v>3191</v>
      </c>
      <c r="C25" s="3" t="s">
        <v>1559</v>
      </c>
      <c r="D25" s="3" t="s">
        <v>2364</v>
      </c>
      <c r="E25" s="3" t="s">
        <v>38</v>
      </c>
      <c r="F25" s="3" t="s">
        <v>3192</v>
      </c>
      <c r="G25" s="3" t="s">
        <v>3193</v>
      </c>
      <c r="H25" s="3" t="s">
        <v>3194</v>
      </c>
      <c r="I25" s="3" t="s">
        <v>2464</v>
      </c>
      <c r="J25" s="3" t="s">
        <v>2465</v>
      </c>
      <c r="K25" s="3" t="s">
        <v>3206</v>
      </c>
      <c r="L25" s="3" t="s">
        <v>3207</v>
      </c>
      <c r="M25" s="3" t="s">
        <v>3208</v>
      </c>
      <c r="N25" s="3">
        <v>2017.0</v>
      </c>
      <c r="O25" s="3" t="s">
        <v>1561</v>
      </c>
      <c r="P25" s="25" t="str">
        <f>HYPERLINK("http://dx.doi.org/10.1111/jbi.12808","http://dx.doi.org/10.1111/jbi.12808")</f>
        <v>http://dx.doi.org/10.1111/jbi.12808</v>
      </c>
      <c r="Q25" s="3" t="s">
        <v>1257</v>
      </c>
      <c r="R25" s="3" t="s">
        <v>2840</v>
      </c>
      <c r="S25" s="3" t="s">
        <v>2383</v>
      </c>
      <c r="T25" s="3" t="s">
        <v>3210</v>
      </c>
      <c r="U25" s="3" t="s">
        <v>1495</v>
      </c>
      <c r="V25" s="3" t="s">
        <v>1371</v>
      </c>
      <c r="W25" s="3" t="s">
        <v>1328</v>
      </c>
      <c r="X25" s="3" t="s">
        <v>1328</v>
      </c>
      <c r="Y25" s="3" t="s">
        <v>1328</v>
      </c>
      <c r="Z25" s="3" t="s">
        <v>1328</v>
      </c>
      <c r="AA25" s="3" t="s">
        <v>1328</v>
      </c>
      <c r="AB25" s="3" t="s">
        <v>1328</v>
      </c>
      <c r="AC25" s="3" t="s">
        <v>1371</v>
      </c>
      <c r="AD25" s="3" t="s">
        <v>1328</v>
      </c>
      <c r="AE25" s="3" t="s">
        <v>1329</v>
      </c>
      <c r="AF25" s="3" t="s">
        <v>1330</v>
      </c>
      <c r="AG25" s="3" t="s">
        <v>1372</v>
      </c>
      <c r="AH25" s="3" t="s">
        <v>1332</v>
      </c>
      <c r="AI25" s="3" t="s">
        <v>1444</v>
      </c>
      <c r="AJ25" s="3" t="s">
        <v>1445</v>
      </c>
      <c r="AK25" s="3" t="s">
        <v>1464</v>
      </c>
      <c r="AL25" s="3">
        <v>2.0</v>
      </c>
      <c r="AM25" s="3" t="s">
        <v>1328</v>
      </c>
      <c r="AN25" s="3" t="s">
        <v>1336</v>
      </c>
      <c r="AO25" s="3" t="s">
        <v>1336</v>
      </c>
      <c r="AP25" s="3" t="s">
        <v>1328</v>
      </c>
      <c r="AQ25" s="3" t="s">
        <v>1336</v>
      </c>
      <c r="AR25" s="3" t="s">
        <v>1336</v>
      </c>
      <c r="AS25" s="3" t="s">
        <v>1350</v>
      </c>
      <c r="AT25" s="3" t="s">
        <v>1351</v>
      </c>
      <c r="AU25" s="3" t="s">
        <v>1363</v>
      </c>
      <c r="AV25" s="3" t="s">
        <v>1388</v>
      </c>
      <c r="AW25" s="3" t="s">
        <v>1328</v>
      </c>
      <c r="AX25" s="3" t="s">
        <v>5028</v>
      </c>
    </row>
    <row r="26" ht="12.75" customHeight="1">
      <c r="A26" s="3" t="s">
        <v>26</v>
      </c>
      <c r="B26" s="3" t="s">
        <v>4009</v>
      </c>
      <c r="C26" s="3" t="s">
        <v>1564</v>
      </c>
      <c r="D26" s="3" t="s">
        <v>2364</v>
      </c>
      <c r="E26" s="3" t="s">
        <v>38</v>
      </c>
      <c r="F26" s="3" t="s">
        <v>4010</v>
      </c>
      <c r="G26" s="3" t="s">
        <v>4011</v>
      </c>
      <c r="H26" s="3" t="s">
        <v>1565</v>
      </c>
      <c r="I26" s="3" t="s">
        <v>2464</v>
      </c>
      <c r="J26" s="3" t="s">
        <v>2465</v>
      </c>
      <c r="K26" s="3" t="s">
        <v>3206</v>
      </c>
      <c r="L26" s="3" t="s">
        <v>3207</v>
      </c>
      <c r="M26" s="3" t="s">
        <v>2557</v>
      </c>
      <c r="N26" s="3">
        <v>2013.0</v>
      </c>
      <c r="O26" s="3" t="s">
        <v>1566</v>
      </c>
      <c r="P26" s="25" t="str">
        <f>HYPERLINK("http://dx.doi.org/10.1111/jbi.12105","http://dx.doi.org/10.1111/jbi.12105")</f>
        <v>http://dx.doi.org/10.1111/jbi.12105</v>
      </c>
      <c r="Q26" s="3" t="s">
        <v>1257</v>
      </c>
      <c r="R26" s="3" t="s">
        <v>2840</v>
      </c>
      <c r="S26" s="3" t="s">
        <v>2383</v>
      </c>
      <c r="T26" s="3" t="s">
        <v>4022</v>
      </c>
      <c r="U26" s="3" t="s">
        <v>1346</v>
      </c>
      <c r="V26" s="3" t="s">
        <v>1371</v>
      </c>
      <c r="W26" s="3" t="s">
        <v>1328</v>
      </c>
      <c r="X26" s="3" t="s">
        <v>1328</v>
      </c>
      <c r="Y26" s="3" t="s">
        <v>1328</v>
      </c>
      <c r="Z26" s="3" t="s">
        <v>1328</v>
      </c>
      <c r="AA26" s="3" t="s">
        <v>1328</v>
      </c>
      <c r="AB26" s="3" t="s">
        <v>1328</v>
      </c>
      <c r="AC26" s="3" t="s">
        <v>1371</v>
      </c>
      <c r="AD26" s="3" t="s">
        <v>1328</v>
      </c>
      <c r="AE26" s="3" t="s">
        <v>1329</v>
      </c>
      <c r="AF26" s="3" t="s">
        <v>1372</v>
      </c>
      <c r="AG26" s="3" t="s">
        <v>1331</v>
      </c>
      <c r="AH26" s="3" t="s">
        <v>1347</v>
      </c>
      <c r="AI26" s="3" t="s">
        <v>1333</v>
      </c>
      <c r="AJ26" s="3" t="s">
        <v>1361</v>
      </c>
      <c r="AK26" s="3" t="s">
        <v>1362</v>
      </c>
      <c r="AL26" s="3">
        <v>2.0</v>
      </c>
      <c r="AM26" s="3" t="s">
        <v>1328</v>
      </c>
      <c r="AN26" s="3" t="s">
        <v>1336</v>
      </c>
      <c r="AO26" s="3" t="s">
        <v>1328</v>
      </c>
      <c r="AP26" s="3" t="s">
        <v>1336</v>
      </c>
      <c r="AQ26" s="3" t="s">
        <v>1336</v>
      </c>
      <c r="AR26" s="3" t="s">
        <v>1336</v>
      </c>
      <c r="AS26" s="3" t="s">
        <v>1350</v>
      </c>
      <c r="AT26" s="3" t="s">
        <v>1351</v>
      </c>
      <c r="AU26" s="3" t="s">
        <v>1363</v>
      </c>
      <c r="AV26" s="3" t="s">
        <v>1388</v>
      </c>
      <c r="AW26" s="3" t="s">
        <v>1328</v>
      </c>
      <c r="AX26" s="3" t="s">
        <v>5027</v>
      </c>
    </row>
    <row r="27" ht="12.75" customHeight="1">
      <c r="A27" s="3" t="s">
        <v>26</v>
      </c>
      <c r="B27" s="3" t="s">
        <v>4066</v>
      </c>
      <c r="C27" s="3" t="s">
        <v>1576</v>
      </c>
      <c r="D27" s="3" t="s">
        <v>2364</v>
      </c>
      <c r="E27" s="3" t="s">
        <v>38</v>
      </c>
      <c r="F27" s="3" t="s">
        <v>1324</v>
      </c>
      <c r="G27" s="3" t="s">
        <v>4067</v>
      </c>
      <c r="H27" s="3" t="s">
        <v>1577</v>
      </c>
      <c r="I27" s="3" t="s">
        <v>2464</v>
      </c>
      <c r="J27" s="3" t="s">
        <v>2465</v>
      </c>
      <c r="K27" s="3" t="s">
        <v>1575</v>
      </c>
      <c r="L27" s="3" t="s">
        <v>4049</v>
      </c>
      <c r="M27" s="3" t="s">
        <v>2651</v>
      </c>
      <c r="N27" s="3">
        <v>2013.0</v>
      </c>
      <c r="O27" s="3" t="s">
        <v>1578</v>
      </c>
      <c r="P27" s="25" t="str">
        <f>HYPERLINK("http://dx.doi.org/10.1111/j.1600-0706.2012.20696.x","http://dx.doi.org/10.1111/j.1600-0706.2012.20696.x")</f>
        <v>http://dx.doi.org/10.1111/j.1600-0706.2012.20696.x</v>
      </c>
      <c r="Q27" s="3" t="s">
        <v>817</v>
      </c>
      <c r="R27" s="3" t="s">
        <v>2472</v>
      </c>
      <c r="S27" s="3" t="s">
        <v>2383</v>
      </c>
      <c r="T27" s="3" t="s">
        <v>4077</v>
      </c>
      <c r="U27" s="3" t="s">
        <v>1580</v>
      </c>
      <c r="V27" s="3" t="s">
        <v>1387</v>
      </c>
      <c r="W27" s="3" t="s">
        <v>1328</v>
      </c>
      <c r="X27" s="3" t="s">
        <v>1328</v>
      </c>
      <c r="Y27" s="3" t="s">
        <v>1328</v>
      </c>
      <c r="Z27" s="3" t="s">
        <v>1328</v>
      </c>
      <c r="AA27" s="3" t="s">
        <v>1328</v>
      </c>
      <c r="AB27" s="3" t="s">
        <v>1328</v>
      </c>
      <c r="AC27" s="3" t="s">
        <v>1387</v>
      </c>
      <c r="AD27" s="3" t="s">
        <v>1328</v>
      </c>
      <c r="AE27" s="3" t="s">
        <v>1329</v>
      </c>
      <c r="AF27" s="3" t="s">
        <v>1330</v>
      </c>
      <c r="AG27" s="3" t="s">
        <v>1331</v>
      </c>
      <c r="AH27" s="3" t="s">
        <v>1332</v>
      </c>
      <c r="AI27" s="3" t="s">
        <v>1333</v>
      </c>
      <c r="AJ27" s="3" t="s">
        <v>1348</v>
      </c>
      <c r="AK27" s="3" t="s">
        <v>1530</v>
      </c>
      <c r="AL27" s="3">
        <v>4.0</v>
      </c>
      <c r="AM27" s="3" t="s">
        <v>1336</v>
      </c>
      <c r="AN27" s="3" t="s">
        <v>1328</v>
      </c>
      <c r="AO27" s="3" t="s">
        <v>1336</v>
      </c>
      <c r="AP27" s="3" t="s">
        <v>1328</v>
      </c>
      <c r="AQ27" s="3" t="s">
        <v>1328</v>
      </c>
      <c r="AR27" s="3" t="s">
        <v>1328</v>
      </c>
      <c r="AS27" s="3" t="s">
        <v>1350</v>
      </c>
      <c r="AT27" s="3" t="s">
        <v>1351</v>
      </c>
      <c r="AU27" s="3" t="s">
        <v>1363</v>
      </c>
      <c r="AV27" s="3" t="s">
        <v>1388</v>
      </c>
      <c r="AW27" s="3" t="s">
        <v>1328</v>
      </c>
      <c r="AX27" s="3" t="s">
        <v>5027</v>
      </c>
    </row>
    <row r="28" ht="12.75" customHeight="1">
      <c r="A28" s="3" t="s">
        <v>26</v>
      </c>
      <c r="B28" s="3" t="s">
        <v>4036</v>
      </c>
      <c r="C28" s="3" t="s">
        <v>1582</v>
      </c>
      <c r="D28" s="3" t="s">
        <v>2364</v>
      </c>
      <c r="E28" s="3" t="s">
        <v>38</v>
      </c>
      <c r="F28" s="3" t="s">
        <v>1324</v>
      </c>
      <c r="G28" s="3" t="s">
        <v>4037</v>
      </c>
      <c r="H28" s="3" t="s">
        <v>1583</v>
      </c>
      <c r="I28" s="3" t="s">
        <v>2464</v>
      </c>
      <c r="J28" s="3" t="s">
        <v>2465</v>
      </c>
      <c r="K28" s="3" t="s">
        <v>1575</v>
      </c>
      <c r="L28" s="3" t="s">
        <v>4049</v>
      </c>
      <c r="M28" s="3" t="s">
        <v>2632</v>
      </c>
      <c r="N28" s="3">
        <v>2013.0</v>
      </c>
      <c r="O28" s="3" t="s">
        <v>1584</v>
      </c>
      <c r="P28" s="25" t="str">
        <f>HYPERLINK("http://dx.doi.org/10.1111/j.1600-0706.2012.19858.x","http://dx.doi.org/10.1111/j.1600-0706.2012.19858.x")</f>
        <v>http://dx.doi.org/10.1111/j.1600-0706.2012.19858.x</v>
      </c>
      <c r="Q28" s="3" t="s">
        <v>817</v>
      </c>
      <c r="R28" s="3" t="s">
        <v>2472</v>
      </c>
      <c r="S28" s="3" t="s">
        <v>2383</v>
      </c>
      <c r="T28" s="3" t="s">
        <v>4051</v>
      </c>
      <c r="U28" s="3" t="s">
        <v>1416</v>
      </c>
      <c r="V28" s="3" t="s">
        <v>1403</v>
      </c>
      <c r="W28" s="3" t="s">
        <v>1328</v>
      </c>
      <c r="X28" s="3" t="s">
        <v>1328</v>
      </c>
      <c r="Y28" s="3" t="s">
        <v>1328</v>
      </c>
      <c r="Z28" s="3" t="s">
        <v>1328</v>
      </c>
      <c r="AA28" s="3" t="s">
        <v>1328</v>
      </c>
      <c r="AB28" s="3" t="s">
        <v>1328</v>
      </c>
      <c r="AC28" s="3" t="s">
        <v>1403</v>
      </c>
      <c r="AD28" s="3" t="s">
        <v>1328</v>
      </c>
      <c r="AE28" s="3" t="s">
        <v>1329</v>
      </c>
      <c r="AF28" s="3" t="s">
        <v>1330</v>
      </c>
      <c r="AG28" s="3" t="s">
        <v>1331</v>
      </c>
      <c r="AH28" s="3" t="s">
        <v>1347</v>
      </c>
      <c r="AI28" s="3" t="s">
        <v>1333</v>
      </c>
      <c r="AJ28" s="3" t="s">
        <v>1361</v>
      </c>
      <c r="AK28" s="3" t="s">
        <v>1530</v>
      </c>
      <c r="AL28" s="3">
        <v>2.0</v>
      </c>
      <c r="AM28" s="3" t="s">
        <v>1328</v>
      </c>
      <c r="AN28" s="3" t="s">
        <v>1336</v>
      </c>
      <c r="AO28" s="3" t="s">
        <v>1336</v>
      </c>
      <c r="AP28" s="3" t="s">
        <v>1336</v>
      </c>
      <c r="AQ28" s="3" t="s">
        <v>1328</v>
      </c>
      <c r="AR28" s="3" t="s">
        <v>1336</v>
      </c>
      <c r="AS28" s="3" t="s">
        <v>1350</v>
      </c>
      <c r="AT28" s="3" t="s">
        <v>1351</v>
      </c>
      <c r="AU28" s="3" t="s">
        <v>1363</v>
      </c>
      <c r="AV28" s="3" t="s">
        <v>1374</v>
      </c>
      <c r="AW28" s="3" t="s">
        <v>1328</v>
      </c>
      <c r="AX28" s="3" t="s">
        <v>5027</v>
      </c>
    </row>
    <row r="29" ht="12.75" customHeight="1">
      <c r="A29" s="3" t="s">
        <v>26</v>
      </c>
      <c r="B29" s="3" t="s">
        <v>4581</v>
      </c>
      <c r="C29" s="3" t="s">
        <v>1594</v>
      </c>
      <c r="D29" s="3" t="s">
        <v>2364</v>
      </c>
      <c r="E29" s="3" t="s">
        <v>38</v>
      </c>
      <c r="F29" s="3" t="s">
        <v>4582</v>
      </c>
      <c r="G29" s="3" t="s">
        <v>4583</v>
      </c>
      <c r="H29" s="3" t="s">
        <v>4584</v>
      </c>
      <c r="I29" s="3" t="s">
        <v>4593</v>
      </c>
      <c r="J29" s="3" t="s">
        <v>4594</v>
      </c>
      <c r="K29" s="3" t="s">
        <v>2753</v>
      </c>
      <c r="L29" s="3" t="s">
        <v>2754</v>
      </c>
      <c r="M29" s="3" t="s">
        <v>3208</v>
      </c>
      <c r="N29" s="3">
        <v>2010.0</v>
      </c>
      <c r="O29" s="3" t="s">
        <v>1596</v>
      </c>
      <c r="P29" s="25" t="str">
        <f>HYPERLINK("http://dx.doi.org/10.1111/j.1472-4642.2009.00633.x","http://dx.doi.org/10.1111/j.1472-4642.2009.00633.x")</f>
        <v>http://dx.doi.org/10.1111/j.1472-4642.2009.00633.x</v>
      </c>
      <c r="Q29" s="3" t="s">
        <v>1124</v>
      </c>
      <c r="R29" s="3" t="s">
        <v>2577</v>
      </c>
      <c r="S29" s="3" t="s">
        <v>2383</v>
      </c>
      <c r="T29" s="3" t="s">
        <v>4597</v>
      </c>
      <c r="U29" s="3" t="s">
        <v>1442</v>
      </c>
      <c r="V29" s="3" t="s">
        <v>1327</v>
      </c>
      <c r="W29" s="3" t="s">
        <v>1328</v>
      </c>
      <c r="X29" s="3" t="s">
        <v>1328</v>
      </c>
      <c r="Y29" s="3" t="s">
        <v>1328</v>
      </c>
      <c r="Z29" s="3" t="s">
        <v>1328</v>
      </c>
      <c r="AA29" s="3" t="s">
        <v>1328</v>
      </c>
      <c r="AB29" s="3" t="s">
        <v>1328</v>
      </c>
      <c r="AC29" s="3" t="s">
        <v>1327</v>
      </c>
      <c r="AD29" s="3" t="s">
        <v>1328</v>
      </c>
      <c r="AE29" s="3" t="s">
        <v>1443</v>
      </c>
      <c r="AF29" s="3" t="s">
        <v>1330</v>
      </c>
      <c r="AG29" s="3" t="s">
        <v>1331</v>
      </c>
      <c r="AH29" s="3" t="s">
        <v>1347</v>
      </c>
      <c r="AI29" s="3" t="s">
        <v>1444</v>
      </c>
      <c r="AJ29" s="3" t="s">
        <v>1445</v>
      </c>
      <c r="AK29" s="3" t="s">
        <v>1446</v>
      </c>
      <c r="AL29" s="3">
        <v>6.0</v>
      </c>
      <c r="AM29" s="3" t="s">
        <v>1328</v>
      </c>
      <c r="AN29" s="3" t="s">
        <v>1328</v>
      </c>
      <c r="AO29" s="3" t="s">
        <v>1328</v>
      </c>
      <c r="AP29" s="3" t="s">
        <v>1328</v>
      </c>
      <c r="AQ29" s="3" t="s">
        <v>1328</v>
      </c>
      <c r="AR29" s="3" t="s">
        <v>1328</v>
      </c>
      <c r="AS29" s="3" t="s">
        <v>1395</v>
      </c>
      <c r="AT29" s="3" t="s">
        <v>1351</v>
      </c>
      <c r="AU29" s="3" t="s">
        <v>1363</v>
      </c>
      <c r="AV29" s="3" t="s">
        <v>1331</v>
      </c>
      <c r="AW29" s="3" t="s">
        <v>1328</v>
      </c>
      <c r="AX29" s="3" t="s">
        <v>5028</v>
      </c>
    </row>
    <row r="30" ht="12.75" customHeight="1">
      <c r="A30" s="3" t="s">
        <v>26</v>
      </c>
      <c r="B30" s="3" t="s">
        <v>4484</v>
      </c>
      <c r="C30" s="3" t="s">
        <v>1599</v>
      </c>
      <c r="D30" s="3" t="s">
        <v>2364</v>
      </c>
      <c r="E30" s="3" t="s">
        <v>38</v>
      </c>
      <c r="F30" s="3" t="s">
        <v>4485</v>
      </c>
      <c r="G30" s="3" t="s">
        <v>4486</v>
      </c>
      <c r="H30" s="3" t="s">
        <v>1600</v>
      </c>
      <c r="I30" s="3" t="s">
        <v>2464</v>
      </c>
      <c r="J30" s="3" t="s">
        <v>2465</v>
      </c>
      <c r="K30" s="3" t="s">
        <v>4498</v>
      </c>
      <c r="L30" s="3" t="s">
        <v>4499</v>
      </c>
      <c r="M30" s="3" t="s">
        <v>3518</v>
      </c>
      <c r="N30" s="3">
        <v>2010.0</v>
      </c>
      <c r="O30" s="3" t="s">
        <v>1601</v>
      </c>
      <c r="P30" s="25" t="str">
        <f>HYPERLINK("http://dx.doi.org/10.1111/j.1469-1795.2010.00369.x","http://dx.doi.org/10.1111/j.1469-1795.2010.00369.x")</f>
        <v>http://dx.doi.org/10.1111/j.1469-1795.2010.00369.x</v>
      </c>
      <c r="Q30" s="3" t="s">
        <v>1124</v>
      </c>
      <c r="R30" s="3" t="s">
        <v>2577</v>
      </c>
      <c r="S30" s="3" t="s">
        <v>2383</v>
      </c>
      <c r="T30" s="3" t="s">
        <v>4501</v>
      </c>
      <c r="U30" s="3" t="s">
        <v>1482</v>
      </c>
      <c r="V30" s="3" t="s">
        <v>1371</v>
      </c>
      <c r="W30" s="3" t="s">
        <v>1328</v>
      </c>
      <c r="X30" s="3" t="s">
        <v>1328</v>
      </c>
      <c r="Y30" s="3" t="s">
        <v>1328</v>
      </c>
      <c r="Z30" s="3" t="s">
        <v>1328</v>
      </c>
      <c r="AA30" s="3" t="s">
        <v>1328</v>
      </c>
      <c r="AB30" s="3" t="s">
        <v>1328</v>
      </c>
      <c r="AC30" s="3" t="s">
        <v>1371</v>
      </c>
      <c r="AD30" s="3" t="s">
        <v>1328</v>
      </c>
      <c r="AE30" s="3" t="s">
        <v>1329</v>
      </c>
      <c r="AF30" s="3" t="s">
        <v>1330</v>
      </c>
      <c r="AG30" s="3" t="s">
        <v>1331</v>
      </c>
      <c r="AH30" s="3" t="s">
        <v>1347</v>
      </c>
      <c r="AI30" s="3" t="s">
        <v>1333</v>
      </c>
      <c r="AJ30" s="3" t="s">
        <v>1334</v>
      </c>
      <c r="AK30" s="3" t="s">
        <v>1362</v>
      </c>
      <c r="AL30" s="3">
        <v>2.0</v>
      </c>
      <c r="AM30" s="3" t="s">
        <v>1336</v>
      </c>
      <c r="AN30" s="3" t="s">
        <v>1328</v>
      </c>
      <c r="AO30" s="3" t="s">
        <v>1336</v>
      </c>
      <c r="AP30" s="3" t="s">
        <v>1336</v>
      </c>
      <c r="AQ30" s="3" t="s">
        <v>1336</v>
      </c>
      <c r="AR30" s="3" t="s">
        <v>1328</v>
      </c>
      <c r="AS30" s="3" t="s">
        <v>1350</v>
      </c>
      <c r="AT30" s="3" t="s">
        <v>1351</v>
      </c>
      <c r="AU30" s="3" t="s">
        <v>1363</v>
      </c>
      <c r="AV30" s="3" t="s">
        <v>1374</v>
      </c>
      <c r="AW30" s="3" t="s">
        <v>1328</v>
      </c>
      <c r="AX30" s="3" t="s">
        <v>5027</v>
      </c>
    </row>
    <row r="31" ht="12.75" customHeight="1">
      <c r="A31" s="3" t="s">
        <v>26</v>
      </c>
      <c r="B31" s="3" t="s">
        <v>4438</v>
      </c>
      <c r="C31" s="3" t="s">
        <v>1604</v>
      </c>
      <c r="D31" s="3" t="s">
        <v>2364</v>
      </c>
      <c r="E31" s="3" t="s">
        <v>38</v>
      </c>
      <c r="F31" s="3" t="s">
        <v>4439</v>
      </c>
      <c r="G31" s="3" t="s">
        <v>4440</v>
      </c>
      <c r="H31" s="3" t="s">
        <v>4441</v>
      </c>
      <c r="I31" s="3" t="s">
        <v>4448</v>
      </c>
      <c r="J31" s="3" t="s">
        <v>2465</v>
      </c>
      <c r="K31" s="3" t="s">
        <v>2838</v>
      </c>
      <c r="L31" s="3" t="s">
        <v>2839</v>
      </c>
      <c r="M31" s="3" t="s">
        <v>3208</v>
      </c>
      <c r="N31" s="3">
        <v>2011.0</v>
      </c>
      <c r="O31" s="3" t="s">
        <v>1606</v>
      </c>
      <c r="P31" s="25" t="str">
        <f>HYPERLINK("http://dx.doi.org/10.1111/j.1466-8238.2010.00575.x","http://dx.doi.org/10.1111/j.1466-8238.2010.00575.x")</f>
        <v>http://dx.doi.org/10.1111/j.1466-8238.2010.00575.x</v>
      </c>
      <c r="Q31" s="3" t="s">
        <v>1257</v>
      </c>
      <c r="R31" s="3" t="s">
        <v>2840</v>
      </c>
      <c r="S31" s="3" t="s">
        <v>2383</v>
      </c>
      <c r="T31" s="3" t="s">
        <v>4450</v>
      </c>
      <c r="U31" s="3" t="s">
        <v>1346</v>
      </c>
      <c r="V31" s="3" t="s">
        <v>1417</v>
      </c>
      <c r="W31" s="3" t="s">
        <v>1328</v>
      </c>
      <c r="X31" s="3" t="s">
        <v>1328</v>
      </c>
      <c r="Y31" s="3" t="s">
        <v>1328</v>
      </c>
      <c r="Z31" s="3" t="s">
        <v>1328</v>
      </c>
      <c r="AA31" s="3" t="s">
        <v>1328</v>
      </c>
      <c r="AB31" s="3" t="s">
        <v>1328</v>
      </c>
      <c r="AC31" s="3" t="s">
        <v>1417</v>
      </c>
      <c r="AD31" s="3" t="s">
        <v>1328</v>
      </c>
      <c r="AE31" s="3" t="s">
        <v>1329</v>
      </c>
      <c r="AF31" s="3" t="s">
        <v>1331</v>
      </c>
      <c r="AG31" s="3" t="s">
        <v>1372</v>
      </c>
      <c r="AH31" s="3" t="s">
        <v>1347</v>
      </c>
      <c r="AI31" s="3" t="s">
        <v>1360</v>
      </c>
      <c r="AJ31" s="3" t="s">
        <v>1381</v>
      </c>
      <c r="AK31" s="3" t="s">
        <v>1349</v>
      </c>
      <c r="AL31" s="3">
        <v>3.0</v>
      </c>
      <c r="AM31" s="3" t="s">
        <v>1328</v>
      </c>
      <c r="AN31" s="3" t="s">
        <v>1328</v>
      </c>
      <c r="AO31" s="3" t="s">
        <v>1328</v>
      </c>
      <c r="AP31" s="3" t="s">
        <v>1336</v>
      </c>
      <c r="AQ31" s="3" t="s">
        <v>1336</v>
      </c>
      <c r="AR31" s="3" t="s">
        <v>1336</v>
      </c>
      <c r="AS31" s="3" t="s">
        <v>1350</v>
      </c>
      <c r="AT31" s="3" t="s">
        <v>1338</v>
      </c>
      <c r="AU31" s="3" t="s">
        <v>1339</v>
      </c>
      <c r="AV31" s="3" t="s">
        <v>1331</v>
      </c>
      <c r="AW31" s="3" t="s">
        <v>1328</v>
      </c>
      <c r="AX31" s="3" t="s">
        <v>5027</v>
      </c>
    </row>
    <row r="32" ht="12.75" customHeight="1">
      <c r="A32" s="3" t="s">
        <v>26</v>
      </c>
      <c r="B32" s="3" t="s">
        <v>4646</v>
      </c>
      <c r="C32" s="3" t="s">
        <v>1610</v>
      </c>
      <c r="D32" s="3" t="s">
        <v>2364</v>
      </c>
      <c r="E32" s="3" t="s">
        <v>38</v>
      </c>
      <c r="F32" s="3" t="s">
        <v>4647</v>
      </c>
      <c r="G32" s="3" t="s">
        <v>4648</v>
      </c>
      <c r="H32" s="3" t="s">
        <v>1611</v>
      </c>
      <c r="I32" s="3" t="s">
        <v>2464</v>
      </c>
      <c r="J32" s="3" t="s">
        <v>2465</v>
      </c>
      <c r="K32" s="3" t="s">
        <v>4659</v>
      </c>
      <c r="L32" s="3" t="s">
        <v>4660</v>
      </c>
      <c r="M32" s="3" t="s">
        <v>2471</v>
      </c>
      <c r="N32" s="3">
        <v>2009.0</v>
      </c>
      <c r="O32" s="3" t="s">
        <v>1612</v>
      </c>
      <c r="P32" s="25" t="str">
        <f>HYPERLINK("http://dx.doi.org/10.1111/j.1442-9993.2009.01979.x","http://dx.doi.org/10.1111/j.1442-9993.2009.01979.x")</f>
        <v>http://dx.doi.org/10.1111/j.1442-9993.2009.01979.x</v>
      </c>
      <c r="Q32" s="3" t="s">
        <v>817</v>
      </c>
      <c r="R32" s="3" t="s">
        <v>2472</v>
      </c>
      <c r="S32" s="3" t="s">
        <v>2383</v>
      </c>
      <c r="T32" s="3" t="s">
        <v>4662</v>
      </c>
      <c r="U32" s="3" t="s">
        <v>1614</v>
      </c>
      <c r="V32" s="3" t="s">
        <v>1470</v>
      </c>
      <c r="W32" s="3" t="s">
        <v>1328</v>
      </c>
      <c r="X32" s="3" t="s">
        <v>1328</v>
      </c>
      <c r="Y32" s="3" t="s">
        <v>1328</v>
      </c>
      <c r="Z32" s="3" t="s">
        <v>1328</v>
      </c>
      <c r="AA32" s="3" t="s">
        <v>1328</v>
      </c>
      <c r="AB32" s="3" t="s">
        <v>1328</v>
      </c>
      <c r="AC32" s="3" t="s">
        <v>1470</v>
      </c>
      <c r="AD32" s="3" t="s">
        <v>1328</v>
      </c>
      <c r="AE32" s="3" t="s">
        <v>1329</v>
      </c>
      <c r="AF32" s="3" t="s">
        <v>1372</v>
      </c>
      <c r="AG32" s="3" t="s">
        <v>1331</v>
      </c>
      <c r="AH32" s="3" t="s">
        <v>1332</v>
      </c>
      <c r="AI32" s="3" t="s">
        <v>1333</v>
      </c>
      <c r="AJ32" s="3" t="s">
        <v>1381</v>
      </c>
      <c r="AK32" s="3" t="s">
        <v>1362</v>
      </c>
      <c r="AL32" s="3">
        <v>2.0</v>
      </c>
      <c r="AM32" s="3" t="s">
        <v>1336</v>
      </c>
      <c r="AN32" s="3" t="s">
        <v>1328</v>
      </c>
      <c r="AO32" s="3" t="s">
        <v>1328</v>
      </c>
      <c r="AP32" s="3" t="s">
        <v>1336</v>
      </c>
      <c r="AQ32" s="3" t="s">
        <v>1336</v>
      </c>
      <c r="AR32" s="3" t="s">
        <v>1336</v>
      </c>
      <c r="AS32" s="3" t="s">
        <v>1404</v>
      </c>
      <c r="AT32" s="3" t="s">
        <v>1351</v>
      </c>
      <c r="AU32" s="3" t="s">
        <v>1339</v>
      </c>
      <c r="AV32" s="3" t="s">
        <v>1388</v>
      </c>
      <c r="AW32" s="3" t="s">
        <v>1328</v>
      </c>
      <c r="AX32" s="3" t="s">
        <v>5027</v>
      </c>
    </row>
    <row r="33" ht="12.75" customHeight="1">
      <c r="A33" s="3" t="s">
        <v>26</v>
      </c>
      <c r="B33" s="3" t="s">
        <v>4855</v>
      </c>
      <c r="C33" s="3" t="s">
        <v>1617</v>
      </c>
      <c r="D33" s="3" t="s">
        <v>2364</v>
      </c>
      <c r="E33" s="3" t="s">
        <v>38</v>
      </c>
      <c r="F33" s="3" t="s">
        <v>4856</v>
      </c>
      <c r="G33" s="3" t="s">
        <v>4857</v>
      </c>
      <c r="H33" s="3" t="s">
        <v>4858</v>
      </c>
      <c r="I33" s="3" t="s">
        <v>2464</v>
      </c>
      <c r="J33" s="3" t="s">
        <v>2465</v>
      </c>
      <c r="K33" s="3" t="s">
        <v>4867</v>
      </c>
      <c r="L33" s="3" t="s">
        <v>4868</v>
      </c>
      <c r="M33" s="3" t="s">
        <v>2471</v>
      </c>
      <c r="N33" s="3">
        <v>2006.0</v>
      </c>
      <c r="O33" s="3" t="s">
        <v>1619</v>
      </c>
      <c r="P33" s="25" t="str">
        <f>HYPERLINK("http://dx.doi.org/10.1111/j.1365-2745.2006.01140.x","http://dx.doi.org/10.1111/j.1365-2745.2006.01140.x")</f>
        <v>http://dx.doi.org/10.1111/j.1365-2745.2006.01140.x</v>
      </c>
      <c r="Q33" s="3" t="s">
        <v>3648</v>
      </c>
      <c r="R33" s="3" t="s">
        <v>3649</v>
      </c>
      <c r="S33" s="3" t="s">
        <v>2383</v>
      </c>
      <c r="T33" s="3" t="s">
        <v>4870</v>
      </c>
      <c r="U33" s="3" t="s">
        <v>1495</v>
      </c>
      <c r="V33" s="3" t="s">
        <v>1436</v>
      </c>
      <c r="W33" s="3" t="s">
        <v>1328</v>
      </c>
      <c r="X33" s="3" t="s">
        <v>1328</v>
      </c>
      <c r="Y33" s="3" t="s">
        <v>1328</v>
      </c>
      <c r="Z33" s="3" t="s">
        <v>1328</v>
      </c>
      <c r="AA33" s="3" t="s">
        <v>1328</v>
      </c>
      <c r="AB33" s="3" t="s">
        <v>1328</v>
      </c>
      <c r="AC33" s="3" t="s">
        <v>1436</v>
      </c>
      <c r="AD33" s="3" t="s">
        <v>1328</v>
      </c>
      <c r="AE33" s="3" t="s">
        <v>1329</v>
      </c>
      <c r="AF33" s="3" t="s">
        <v>1372</v>
      </c>
      <c r="AG33" s="3" t="s">
        <v>1331</v>
      </c>
      <c r="AH33" s="3" t="s">
        <v>1347</v>
      </c>
      <c r="AI33" s="3" t="s">
        <v>1333</v>
      </c>
      <c r="AJ33" s="3" t="s">
        <v>1381</v>
      </c>
      <c r="AK33" s="3" t="s">
        <v>1464</v>
      </c>
      <c r="AL33" s="3">
        <v>3.0</v>
      </c>
      <c r="AM33" s="3" t="s">
        <v>1328</v>
      </c>
      <c r="AN33" s="3" t="s">
        <v>1328</v>
      </c>
      <c r="AO33" s="3" t="s">
        <v>1328</v>
      </c>
      <c r="AP33" s="3" t="s">
        <v>1336</v>
      </c>
      <c r="AQ33" s="3" t="s">
        <v>1336</v>
      </c>
      <c r="AR33" s="3" t="s">
        <v>1336</v>
      </c>
      <c r="AS33" s="3" t="s">
        <v>1350</v>
      </c>
      <c r="AT33" s="3" t="s">
        <v>1351</v>
      </c>
      <c r="AU33" s="3" t="s">
        <v>1339</v>
      </c>
      <c r="AV33" s="3" t="s">
        <v>1388</v>
      </c>
      <c r="AW33" s="3" t="s">
        <v>1328</v>
      </c>
      <c r="AX33" s="3" t="s">
        <v>5027</v>
      </c>
    </row>
    <row r="34" ht="12.75" customHeight="1">
      <c r="A34" s="3" t="s">
        <v>26</v>
      </c>
      <c r="B34" s="3" t="s">
        <v>4241</v>
      </c>
      <c r="C34" s="3" t="s">
        <v>1622</v>
      </c>
      <c r="D34" s="3" t="s">
        <v>2364</v>
      </c>
      <c r="E34" s="3" t="s">
        <v>38</v>
      </c>
      <c r="F34" s="3" t="s">
        <v>4242</v>
      </c>
      <c r="G34" s="3" t="s">
        <v>4243</v>
      </c>
      <c r="H34" s="3" t="s">
        <v>1623</v>
      </c>
      <c r="I34" s="3" t="s">
        <v>2464</v>
      </c>
      <c r="J34" s="3" t="s">
        <v>2465</v>
      </c>
      <c r="K34" s="3" t="s">
        <v>2925</v>
      </c>
      <c r="L34" s="3" t="s">
        <v>2926</v>
      </c>
      <c r="M34" s="3" t="s">
        <v>2557</v>
      </c>
      <c r="N34" s="3">
        <v>2012.0</v>
      </c>
      <c r="O34" s="3" t="s">
        <v>1624</v>
      </c>
      <c r="P34" s="25" t="str">
        <f>HYPERLINK("http://dx.doi.org/10.1111/j.1365-2486.2012.02662.x","http://dx.doi.org/10.1111/j.1365-2486.2012.02662.x")</f>
        <v>http://dx.doi.org/10.1111/j.1365-2486.2012.02662.x</v>
      </c>
      <c r="Q34" s="3" t="s">
        <v>255</v>
      </c>
      <c r="R34" s="3" t="s">
        <v>2577</v>
      </c>
      <c r="S34" s="3" t="s">
        <v>2383</v>
      </c>
      <c r="T34" s="3" t="s">
        <v>4254</v>
      </c>
      <c r="U34" s="3" t="s">
        <v>1495</v>
      </c>
      <c r="V34" s="3" t="s">
        <v>1403</v>
      </c>
      <c r="W34" s="3" t="s">
        <v>1328</v>
      </c>
      <c r="X34" s="3" t="s">
        <v>1328</v>
      </c>
      <c r="Y34" s="3" t="s">
        <v>1328</v>
      </c>
      <c r="Z34" s="3" t="s">
        <v>1328</v>
      </c>
      <c r="AA34" s="3" t="s">
        <v>1328</v>
      </c>
      <c r="AB34" s="3" t="s">
        <v>1328</v>
      </c>
      <c r="AC34" s="3" t="s">
        <v>1403</v>
      </c>
      <c r="AD34" s="3" t="s">
        <v>1328</v>
      </c>
      <c r="AE34" s="3" t="s">
        <v>1329</v>
      </c>
      <c r="AF34" s="3" t="s">
        <v>1330</v>
      </c>
      <c r="AG34" s="3" t="s">
        <v>1331</v>
      </c>
      <c r="AH34" s="3" t="s">
        <v>1347</v>
      </c>
      <c r="AI34" s="3" t="s">
        <v>1333</v>
      </c>
      <c r="AJ34" s="3" t="s">
        <v>1361</v>
      </c>
      <c r="AK34" s="3" t="s">
        <v>1530</v>
      </c>
      <c r="AL34" s="3">
        <v>3.0</v>
      </c>
      <c r="AM34" s="3" t="s">
        <v>1336</v>
      </c>
      <c r="AN34" s="3" t="s">
        <v>1328</v>
      </c>
      <c r="AO34" s="3" t="s">
        <v>1336</v>
      </c>
      <c r="AP34" s="3" t="s">
        <v>1336</v>
      </c>
      <c r="AQ34" s="3" t="s">
        <v>1328</v>
      </c>
      <c r="AR34" s="3" t="s">
        <v>1328</v>
      </c>
      <c r="AS34" s="3" t="s">
        <v>1350</v>
      </c>
      <c r="AT34" s="3" t="s">
        <v>1351</v>
      </c>
      <c r="AU34" s="3" t="s">
        <v>1363</v>
      </c>
      <c r="AV34" s="3" t="s">
        <v>1331</v>
      </c>
      <c r="AW34" s="3" t="s">
        <v>1328</v>
      </c>
      <c r="AX34" s="3" t="s">
        <v>5027</v>
      </c>
    </row>
    <row r="35" ht="12.75" customHeight="1">
      <c r="A35" s="3" t="s">
        <v>26</v>
      </c>
      <c r="B35" s="3" t="s">
        <v>4307</v>
      </c>
      <c r="C35" s="3" t="s">
        <v>1627</v>
      </c>
      <c r="D35" s="3" t="s">
        <v>2364</v>
      </c>
      <c r="E35" s="3" t="s">
        <v>38</v>
      </c>
      <c r="F35" s="3" t="s">
        <v>4308</v>
      </c>
      <c r="G35" s="3" t="s">
        <v>4309</v>
      </c>
      <c r="H35" s="3" t="s">
        <v>1628</v>
      </c>
      <c r="I35" s="3" t="s">
        <v>2464</v>
      </c>
      <c r="J35" s="3" t="s">
        <v>2465</v>
      </c>
      <c r="K35" s="3" t="s">
        <v>2925</v>
      </c>
      <c r="L35" s="3" t="s">
        <v>2926</v>
      </c>
      <c r="M35" s="3" t="s">
        <v>2818</v>
      </c>
      <c r="N35" s="3">
        <v>2012.0</v>
      </c>
      <c r="O35" s="3" t="s">
        <v>1629</v>
      </c>
      <c r="P35" s="25" t="str">
        <f>HYPERLINK("http://dx.doi.org/10.1111/j.1365-2486.2011.02540.x","http://dx.doi.org/10.1111/j.1365-2486.2011.02540.x")</f>
        <v>http://dx.doi.org/10.1111/j.1365-2486.2011.02540.x</v>
      </c>
      <c r="Q35" s="3" t="s">
        <v>255</v>
      </c>
      <c r="R35" s="3" t="s">
        <v>2577</v>
      </c>
      <c r="S35" s="3" t="s">
        <v>2383</v>
      </c>
      <c r="T35" s="3" t="s">
        <v>4320</v>
      </c>
      <c r="U35" s="3" t="s">
        <v>1580</v>
      </c>
      <c r="V35" s="3" t="s">
        <v>1327</v>
      </c>
      <c r="W35" s="3" t="s">
        <v>1328</v>
      </c>
      <c r="X35" s="3" t="s">
        <v>1328</v>
      </c>
      <c r="Y35" s="3" t="s">
        <v>1328</v>
      </c>
      <c r="Z35" s="3" t="s">
        <v>1328</v>
      </c>
      <c r="AA35" s="3" t="s">
        <v>1328</v>
      </c>
      <c r="AB35" s="3" t="s">
        <v>1328</v>
      </c>
      <c r="AC35" s="3" t="s">
        <v>1327</v>
      </c>
      <c r="AD35" s="3" t="s">
        <v>1328</v>
      </c>
      <c r="AE35" s="3" t="s">
        <v>1631</v>
      </c>
      <c r="AF35" s="3" t="s">
        <v>1330</v>
      </c>
      <c r="AG35" s="3" t="s">
        <v>1331</v>
      </c>
      <c r="AH35" s="3" t="s">
        <v>1347</v>
      </c>
      <c r="AI35" s="3" t="s">
        <v>1333</v>
      </c>
      <c r="AJ35" s="3" t="s">
        <v>1348</v>
      </c>
      <c r="AK35" s="3" t="s">
        <v>1530</v>
      </c>
      <c r="AL35" s="3">
        <v>3.0</v>
      </c>
      <c r="AM35" s="3" t="s">
        <v>1328</v>
      </c>
      <c r="AN35" s="3" t="s">
        <v>1336</v>
      </c>
      <c r="AO35" s="3" t="s">
        <v>1328</v>
      </c>
      <c r="AP35" s="3" t="s">
        <v>1336</v>
      </c>
      <c r="AQ35" s="3" t="s">
        <v>1328</v>
      </c>
      <c r="AR35" s="3" t="s">
        <v>1336</v>
      </c>
      <c r="AS35" s="3" t="s">
        <v>1350</v>
      </c>
      <c r="AT35" s="3" t="s">
        <v>1351</v>
      </c>
      <c r="AU35" s="3" t="s">
        <v>1363</v>
      </c>
      <c r="AV35" s="3" t="s">
        <v>1331</v>
      </c>
      <c r="AW35" s="3" t="s">
        <v>1328</v>
      </c>
      <c r="AX35" s="3" t="s">
        <v>5027</v>
      </c>
    </row>
    <row r="36" ht="12.75" customHeight="1">
      <c r="A36" s="3" t="s">
        <v>26</v>
      </c>
      <c r="B36" s="3" t="s">
        <v>3652</v>
      </c>
      <c r="C36" s="3" t="s">
        <v>1635</v>
      </c>
      <c r="D36" s="3" t="s">
        <v>2364</v>
      </c>
      <c r="E36" s="3" t="s">
        <v>38</v>
      </c>
      <c r="F36" s="3" t="s">
        <v>3653</v>
      </c>
      <c r="G36" s="3" t="s">
        <v>3654</v>
      </c>
      <c r="H36" s="3" t="s">
        <v>1636</v>
      </c>
      <c r="I36" s="3" t="s">
        <v>2464</v>
      </c>
      <c r="J36" s="3" t="s">
        <v>2465</v>
      </c>
      <c r="K36" s="3" t="s">
        <v>3666</v>
      </c>
      <c r="L36" s="3" t="s">
        <v>3667</v>
      </c>
      <c r="M36" s="3" t="s">
        <v>2908</v>
      </c>
      <c r="N36" s="3">
        <v>2014.0</v>
      </c>
      <c r="O36" s="3" t="s">
        <v>1637</v>
      </c>
      <c r="P36" s="25" t="str">
        <f>HYPERLINK("http://dx.doi.org/10.1111/gfs.12073","http://dx.doi.org/10.1111/gfs.12073")</f>
        <v>http://dx.doi.org/10.1111/gfs.12073</v>
      </c>
      <c r="Q36" s="3" t="s">
        <v>3668</v>
      </c>
      <c r="R36" s="3" t="s">
        <v>3669</v>
      </c>
      <c r="S36" s="3" t="s">
        <v>2383</v>
      </c>
      <c r="T36" s="3" t="s">
        <v>3671</v>
      </c>
      <c r="U36" s="3" t="s">
        <v>1358</v>
      </c>
      <c r="V36" s="3" t="s">
        <v>1403</v>
      </c>
      <c r="W36" s="3" t="s">
        <v>1328</v>
      </c>
      <c r="X36" s="3" t="s">
        <v>1328</v>
      </c>
      <c r="Y36" s="3" t="s">
        <v>1328</v>
      </c>
      <c r="Z36" s="3" t="s">
        <v>1328</v>
      </c>
      <c r="AA36" s="3" t="s">
        <v>1328</v>
      </c>
      <c r="AB36" s="3" t="s">
        <v>1328</v>
      </c>
      <c r="AC36" s="3" t="s">
        <v>1403</v>
      </c>
      <c r="AD36" s="3" t="s">
        <v>1328</v>
      </c>
      <c r="AE36" s="3" t="s">
        <v>1631</v>
      </c>
      <c r="AF36" s="3" t="s">
        <v>1330</v>
      </c>
      <c r="AG36" s="3" t="s">
        <v>1331</v>
      </c>
      <c r="AH36" s="3" t="s">
        <v>1347</v>
      </c>
      <c r="AI36" s="3" t="s">
        <v>1333</v>
      </c>
      <c r="AJ36" s="3" t="s">
        <v>1381</v>
      </c>
      <c r="AK36" s="3" t="s">
        <v>1362</v>
      </c>
      <c r="AL36" s="3">
        <v>2.0</v>
      </c>
      <c r="AM36" s="3" t="s">
        <v>1328</v>
      </c>
      <c r="AN36" s="3" t="s">
        <v>1328</v>
      </c>
      <c r="AO36" s="3" t="s">
        <v>1336</v>
      </c>
      <c r="AP36" s="3" t="s">
        <v>1336</v>
      </c>
      <c r="AQ36" s="3" t="s">
        <v>1336</v>
      </c>
      <c r="AR36" s="3" t="s">
        <v>1336</v>
      </c>
      <c r="AS36" s="3" t="s">
        <v>1350</v>
      </c>
      <c r="AT36" s="3" t="s">
        <v>1351</v>
      </c>
      <c r="AU36" s="3" t="s">
        <v>1363</v>
      </c>
      <c r="AV36" s="3" t="s">
        <v>1331</v>
      </c>
      <c r="AW36" s="3" t="s">
        <v>1328</v>
      </c>
      <c r="AX36" s="3" t="s">
        <v>5027</v>
      </c>
    </row>
    <row r="37" ht="12.75" customHeight="1">
      <c r="A37" s="3" t="s">
        <v>26</v>
      </c>
      <c r="B37" s="3" t="s">
        <v>2823</v>
      </c>
      <c r="C37" s="3" t="s">
        <v>1641</v>
      </c>
      <c r="D37" s="3" t="s">
        <v>2364</v>
      </c>
      <c r="E37" s="3" t="s">
        <v>38</v>
      </c>
      <c r="F37" s="3" t="s">
        <v>2824</v>
      </c>
      <c r="G37" s="3" t="s">
        <v>2825</v>
      </c>
      <c r="H37" s="3" t="s">
        <v>2826</v>
      </c>
      <c r="I37" s="3" t="s">
        <v>2464</v>
      </c>
      <c r="J37" s="3" t="s">
        <v>2465</v>
      </c>
      <c r="K37" s="3" t="s">
        <v>2838</v>
      </c>
      <c r="L37" s="3" t="s">
        <v>2839</v>
      </c>
      <c r="M37" s="3" t="s">
        <v>2818</v>
      </c>
      <c r="N37" s="3">
        <v>2018.0</v>
      </c>
      <c r="O37" s="3" t="s">
        <v>1643</v>
      </c>
      <c r="P37" s="25" t="str">
        <f>HYPERLINK("http://dx.doi.org/10.1111/geb.12690","http://dx.doi.org/10.1111/geb.12690")</f>
        <v>http://dx.doi.org/10.1111/geb.12690</v>
      </c>
      <c r="Q37" s="3" t="s">
        <v>1257</v>
      </c>
      <c r="R37" s="3" t="s">
        <v>2840</v>
      </c>
      <c r="S37" s="3" t="s">
        <v>2383</v>
      </c>
      <c r="T37" s="3" t="s">
        <v>2842</v>
      </c>
      <c r="U37" s="3" t="s">
        <v>1346</v>
      </c>
      <c r="V37" s="3" t="s">
        <v>1371</v>
      </c>
      <c r="W37" s="3" t="s">
        <v>1328</v>
      </c>
      <c r="X37" s="3" t="s">
        <v>1328</v>
      </c>
      <c r="Y37" s="3" t="s">
        <v>1328</v>
      </c>
      <c r="Z37" s="3" t="s">
        <v>1328</v>
      </c>
      <c r="AA37" s="3" t="s">
        <v>1328</v>
      </c>
      <c r="AB37" s="3" t="s">
        <v>1328</v>
      </c>
      <c r="AC37" s="3" t="s">
        <v>1371</v>
      </c>
      <c r="AD37" s="3" t="s">
        <v>1328</v>
      </c>
      <c r="AE37" s="3" t="s">
        <v>1329</v>
      </c>
      <c r="AF37" s="3" t="s">
        <v>1372</v>
      </c>
      <c r="AG37" s="3" t="s">
        <v>1331</v>
      </c>
      <c r="AH37" s="3" t="s">
        <v>1347</v>
      </c>
      <c r="AI37" s="3" t="s">
        <v>1360</v>
      </c>
      <c r="AJ37" s="3" t="s">
        <v>1361</v>
      </c>
      <c r="AK37" s="3" t="s">
        <v>1530</v>
      </c>
      <c r="AL37" s="29">
        <v>3.0</v>
      </c>
      <c r="AM37" s="3" t="s">
        <v>1328</v>
      </c>
      <c r="AN37" s="3" t="s">
        <v>1328</v>
      </c>
      <c r="AO37" s="3" t="s">
        <v>1336</v>
      </c>
      <c r="AP37" s="3" t="s">
        <v>1328</v>
      </c>
      <c r="AQ37" s="3" t="s">
        <v>1336</v>
      </c>
      <c r="AR37" s="3" t="s">
        <v>1336</v>
      </c>
      <c r="AS37" s="3" t="s">
        <v>1350</v>
      </c>
      <c r="AT37" s="3" t="s">
        <v>1351</v>
      </c>
      <c r="AU37" s="3" t="s">
        <v>1363</v>
      </c>
      <c r="AV37" s="3" t="s">
        <v>1388</v>
      </c>
      <c r="AW37" s="3" t="s">
        <v>1328</v>
      </c>
      <c r="AX37" s="3" t="s">
        <v>5028</v>
      </c>
    </row>
    <row r="38" ht="12.75" customHeight="1">
      <c r="A38" s="3" t="s">
        <v>26</v>
      </c>
      <c r="B38" s="3" t="s">
        <v>2911</v>
      </c>
      <c r="C38" s="3" t="s">
        <v>1646</v>
      </c>
      <c r="D38" s="3" t="s">
        <v>2364</v>
      </c>
      <c r="E38" s="3" t="s">
        <v>38</v>
      </c>
      <c r="F38" s="3" t="s">
        <v>2912</v>
      </c>
      <c r="G38" s="3" t="s">
        <v>2913</v>
      </c>
      <c r="H38" s="3" t="s">
        <v>1647</v>
      </c>
      <c r="I38" s="3" t="s">
        <v>2464</v>
      </c>
      <c r="J38" s="3" t="s">
        <v>2465</v>
      </c>
      <c r="K38" s="3" t="s">
        <v>2925</v>
      </c>
      <c r="L38" s="3" t="s">
        <v>2926</v>
      </c>
      <c r="M38" s="3" t="s">
        <v>2927</v>
      </c>
      <c r="N38" s="3">
        <v>2017.0</v>
      </c>
      <c r="O38" s="3" t="s">
        <v>1648</v>
      </c>
      <c r="P38" s="25" t="str">
        <f>HYPERLINK("http://dx.doi.org/10.1111/gcb.13714","http://dx.doi.org/10.1111/gcb.13714")</f>
        <v>http://dx.doi.org/10.1111/gcb.13714</v>
      </c>
      <c r="Q38" s="3" t="s">
        <v>255</v>
      </c>
      <c r="R38" s="3" t="s">
        <v>2577</v>
      </c>
      <c r="S38" s="3" t="s">
        <v>2383</v>
      </c>
      <c r="T38" s="3" t="s">
        <v>2929</v>
      </c>
      <c r="U38" s="3" t="s">
        <v>1346</v>
      </c>
      <c r="V38" s="3" t="s">
        <v>1470</v>
      </c>
      <c r="W38" s="3" t="s">
        <v>1328</v>
      </c>
      <c r="X38" s="3" t="s">
        <v>1328</v>
      </c>
      <c r="Y38" s="3" t="s">
        <v>1328</v>
      </c>
      <c r="Z38" s="3" t="s">
        <v>1328</v>
      </c>
      <c r="AA38" s="3" t="s">
        <v>1328</v>
      </c>
      <c r="AB38" s="3" t="s">
        <v>1328</v>
      </c>
      <c r="AC38" s="3" t="s">
        <v>1470</v>
      </c>
      <c r="AD38" s="3" t="s">
        <v>1328</v>
      </c>
      <c r="AE38" s="3" t="s">
        <v>1463</v>
      </c>
      <c r="AF38" s="3" t="s">
        <v>1372</v>
      </c>
      <c r="AG38" s="3" t="s">
        <v>1331</v>
      </c>
      <c r="AH38" s="3" t="s">
        <v>1331</v>
      </c>
      <c r="AI38" s="3" t="s">
        <v>1444</v>
      </c>
      <c r="AJ38" s="3" t="s">
        <v>1445</v>
      </c>
      <c r="AK38" s="3" t="s">
        <v>1362</v>
      </c>
      <c r="AL38" s="3">
        <v>3.0</v>
      </c>
      <c r="AM38" s="3" t="s">
        <v>1336</v>
      </c>
      <c r="AN38" s="3" t="s">
        <v>1328</v>
      </c>
      <c r="AO38" s="3" t="s">
        <v>1336</v>
      </c>
      <c r="AP38" s="3" t="s">
        <v>1336</v>
      </c>
      <c r="AQ38" s="3" t="s">
        <v>1328</v>
      </c>
      <c r="AR38" s="3" t="s">
        <v>1328</v>
      </c>
      <c r="AS38" s="3" t="s">
        <v>1350</v>
      </c>
      <c r="AT38" s="3" t="s">
        <v>1351</v>
      </c>
      <c r="AU38" s="3" t="s">
        <v>1339</v>
      </c>
      <c r="AV38" s="3" t="s">
        <v>1374</v>
      </c>
      <c r="AW38" s="3" t="s">
        <v>1328</v>
      </c>
      <c r="AX38" s="3" t="s">
        <v>5028</v>
      </c>
    </row>
    <row r="39" ht="12.75" customHeight="1">
      <c r="A39" s="3" t="s">
        <v>26</v>
      </c>
      <c r="B39" s="3" t="s">
        <v>3493</v>
      </c>
      <c r="C39" s="3" t="s">
        <v>1651</v>
      </c>
      <c r="D39" s="3" t="s">
        <v>2364</v>
      </c>
      <c r="E39" s="3" t="s">
        <v>38</v>
      </c>
      <c r="F39" s="3" t="s">
        <v>3494</v>
      </c>
      <c r="G39" s="3" t="s">
        <v>3495</v>
      </c>
      <c r="H39" s="3" t="s">
        <v>1652</v>
      </c>
      <c r="I39" s="3" t="s">
        <v>2464</v>
      </c>
      <c r="J39" s="3" t="s">
        <v>2465</v>
      </c>
      <c r="K39" s="3" t="s">
        <v>2925</v>
      </c>
      <c r="L39" s="3" t="s">
        <v>2926</v>
      </c>
      <c r="M39" s="3" t="s">
        <v>3208</v>
      </c>
      <c r="N39" s="3">
        <v>2016.0</v>
      </c>
      <c r="O39" s="3" t="s">
        <v>1653</v>
      </c>
      <c r="P39" s="25" t="str">
        <f>HYPERLINK("http://dx.doi.org/10.1111/gcb.13091","http://dx.doi.org/10.1111/gcb.13091")</f>
        <v>http://dx.doi.org/10.1111/gcb.13091</v>
      </c>
      <c r="Q39" s="3" t="s">
        <v>255</v>
      </c>
      <c r="R39" s="3" t="s">
        <v>2577</v>
      </c>
      <c r="S39" s="3" t="s">
        <v>2383</v>
      </c>
      <c r="T39" s="3" t="s">
        <v>3503</v>
      </c>
      <c r="U39" s="3" t="s">
        <v>1482</v>
      </c>
      <c r="V39" s="3" t="s">
        <v>1470</v>
      </c>
      <c r="W39" s="3" t="s">
        <v>1328</v>
      </c>
      <c r="X39" s="3" t="s">
        <v>1328</v>
      </c>
      <c r="Y39" s="3" t="s">
        <v>1328</v>
      </c>
      <c r="Z39" s="3" t="s">
        <v>1328</v>
      </c>
      <c r="AA39" s="3" t="s">
        <v>1328</v>
      </c>
      <c r="AB39" s="3" t="s">
        <v>1328</v>
      </c>
      <c r="AC39" s="3" t="s">
        <v>1470</v>
      </c>
      <c r="AD39" s="3" t="s">
        <v>1328</v>
      </c>
      <c r="AE39" s="3" t="s">
        <v>1329</v>
      </c>
      <c r="AF39" s="3" t="s">
        <v>1330</v>
      </c>
      <c r="AG39" s="3" t="s">
        <v>1331</v>
      </c>
      <c r="AH39" s="3" t="s">
        <v>1332</v>
      </c>
      <c r="AI39" s="3" t="s">
        <v>1333</v>
      </c>
      <c r="AJ39" s="3" t="s">
        <v>1361</v>
      </c>
      <c r="AK39" s="3" t="s">
        <v>1362</v>
      </c>
      <c r="AL39" s="3">
        <v>2.0</v>
      </c>
      <c r="AM39" s="3" t="s">
        <v>1336</v>
      </c>
      <c r="AN39" s="3" t="s">
        <v>1328</v>
      </c>
      <c r="AO39" s="3" t="s">
        <v>1336</v>
      </c>
      <c r="AP39" s="3" t="s">
        <v>1328</v>
      </c>
      <c r="AQ39" s="3" t="s">
        <v>1336</v>
      </c>
      <c r="AR39" s="3" t="s">
        <v>1336</v>
      </c>
      <c r="AS39" s="3" t="s">
        <v>1404</v>
      </c>
      <c r="AT39" s="3" t="s">
        <v>1338</v>
      </c>
      <c r="AU39" s="3" t="s">
        <v>1339</v>
      </c>
      <c r="AV39" s="3" t="s">
        <v>1331</v>
      </c>
      <c r="AW39" s="3" t="s">
        <v>1328</v>
      </c>
      <c r="AX39" s="3" t="s">
        <v>5027</v>
      </c>
    </row>
    <row r="40" ht="12.75" customHeight="1">
      <c r="A40" s="3" t="s">
        <v>26</v>
      </c>
      <c r="B40" s="3" t="s">
        <v>3521</v>
      </c>
      <c r="C40" s="3" t="s">
        <v>1656</v>
      </c>
      <c r="D40" s="3" t="s">
        <v>2364</v>
      </c>
      <c r="E40" s="3" t="s">
        <v>38</v>
      </c>
      <c r="F40" s="3" t="s">
        <v>3522</v>
      </c>
      <c r="G40" s="3" t="s">
        <v>3523</v>
      </c>
      <c r="H40" s="3" t="s">
        <v>1657</v>
      </c>
      <c r="I40" s="3" t="s">
        <v>2464</v>
      </c>
      <c r="J40" s="3" t="s">
        <v>2465</v>
      </c>
      <c r="K40" s="3" t="s">
        <v>2925</v>
      </c>
      <c r="L40" s="3" t="s">
        <v>2926</v>
      </c>
      <c r="M40" s="3" t="s">
        <v>3518</v>
      </c>
      <c r="N40" s="3">
        <v>2015.0</v>
      </c>
      <c r="O40" s="3" t="s">
        <v>1658</v>
      </c>
      <c r="P40" s="25" t="str">
        <f>HYPERLINK("http://dx.doi.org/10.1111/gcb.12993","http://dx.doi.org/10.1111/gcb.12993")</f>
        <v>http://dx.doi.org/10.1111/gcb.12993</v>
      </c>
      <c r="Q40" s="3" t="s">
        <v>255</v>
      </c>
      <c r="R40" s="3" t="s">
        <v>2577</v>
      </c>
      <c r="S40" s="3" t="s">
        <v>2383</v>
      </c>
      <c r="T40" s="3" t="s">
        <v>3534</v>
      </c>
      <c r="U40" s="3" t="s">
        <v>1495</v>
      </c>
      <c r="V40" s="3" t="s">
        <v>1470</v>
      </c>
      <c r="W40" s="3" t="s">
        <v>1328</v>
      </c>
      <c r="X40" s="3" t="s">
        <v>1328</v>
      </c>
      <c r="Y40" s="3" t="s">
        <v>1328</v>
      </c>
      <c r="Z40" s="3" t="s">
        <v>1328</v>
      </c>
      <c r="AA40" s="3" t="s">
        <v>1328</v>
      </c>
      <c r="AB40" s="3" t="s">
        <v>1328</v>
      </c>
      <c r="AC40" s="3" t="s">
        <v>1470</v>
      </c>
      <c r="AD40" s="3" t="s">
        <v>1328</v>
      </c>
      <c r="AE40" s="3" t="s">
        <v>1463</v>
      </c>
      <c r="AF40" s="3" t="s">
        <v>1372</v>
      </c>
      <c r="AG40" s="3" t="s">
        <v>1331</v>
      </c>
      <c r="AH40" s="3" t="s">
        <v>1347</v>
      </c>
      <c r="AI40" s="3" t="s">
        <v>1660</v>
      </c>
      <c r="AJ40" s="3" t="s">
        <v>1361</v>
      </c>
      <c r="AK40" s="3" t="s">
        <v>1362</v>
      </c>
      <c r="AL40" s="3">
        <v>3.0</v>
      </c>
      <c r="AM40" s="3" t="s">
        <v>1328</v>
      </c>
      <c r="AN40" s="3" t="s">
        <v>1336</v>
      </c>
      <c r="AO40" s="3" t="s">
        <v>1328</v>
      </c>
      <c r="AP40" s="3" t="s">
        <v>1336</v>
      </c>
      <c r="AQ40" s="3" t="s">
        <v>1328</v>
      </c>
      <c r="AR40" s="3" t="s">
        <v>1336</v>
      </c>
      <c r="AS40" s="3" t="s">
        <v>1350</v>
      </c>
      <c r="AT40" s="3" t="s">
        <v>1351</v>
      </c>
      <c r="AU40" s="3" t="s">
        <v>1339</v>
      </c>
      <c r="AV40" s="3" t="s">
        <v>1331</v>
      </c>
      <c r="AW40" s="3" t="s">
        <v>1328</v>
      </c>
      <c r="AX40" s="3" t="s">
        <v>5028</v>
      </c>
    </row>
    <row r="41" ht="12.75" customHeight="1">
      <c r="A41" s="3" t="s">
        <v>26</v>
      </c>
      <c r="B41" s="3" t="s">
        <v>3564</v>
      </c>
      <c r="C41" s="3" t="s">
        <v>1662</v>
      </c>
      <c r="D41" s="3" t="s">
        <v>2364</v>
      </c>
      <c r="E41" s="3" t="s">
        <v>38</v>
      </c>
      <c r="F41" s="3" t="s">
        <v>3565</v>
      </c>
      <c r="G41" s="3" t="s">
        <v>3566</v>
      </c>
      <c r="H41" s="3" t="s">
        <v>1663</v>
      </c>
      <c r="I41" s="3" t="s">
        <v>2464</v>
      </c>
      <c r="J41" s="3" t="s">
        <v>2465</v>
      </c>
      <c r="K41" s="3" t="s">
        <v>2925</v>
      </c>
      <c r="L41" s="3" t="s">
        <v>2926</v>
      </c>
      <c r="M41" s="3" t="s">
        <v>2734</v>
      </c>
      <c r="N41" s="3">
        <v>2015.0</v>
      </c>
      <c r="O41" s="3" t="s">
        <v>1664</v>
      </c>
      <c r="P41" s="25" t="str">
        <f>HYPERLINK("http://dx.doi.org/10.1111/gcb.12795","http://dx.doi.org/10.1111/gcb.12795")</f>
        <v>http://dx.doi.org/10.1111/gcb.12795</v>
      </c>
      <c r="Q41" s="3" t="s">
        <v>255</v>
      </c>
      <c r="R41" s="3" t="s">
        <v>2577</v>
      </c>
      <c r="S41" s="3" t="s">
        <v>2383</v>
      </c>
      <c r="T41" s="3" t="s">
        <v>3577</v>
      </c>
      <c r="U41" s="3" t="s">
        <v>1666</v>
      </c>
      <c r="V41" s="3" t="s">
        <v>1417</v>
      </c>
      <c r="W41" s="3" t="s">
        <v>1328</v>
      </c>
      <c r="X41" s="3" t="s">
        <v>1328</v>
      </c>
      <c r="Y41" s="3" t="s">
        <v>1328</v>
      </c>
      <c r="Z41" s="3" t="s">
        <v>1328</v>
      </c>
      <c r="AA41" s="3" t="s">
        <v>1328</v>
      </c>
      <c r="AB41" s="3" t="s">
        <v>1328</v>
      </c>
      <c r="AC41" s="3" t="s">
        <v>1417</v>
      </c>
      <c r="AD41" s="3" t="s">
        <v>1328</v>
      </c>
      <c r="AE41" s="3" t="s">
        <v>1329</v>
      </c>
      <c r="AF41" s="3" t="s">
        <v>1330</v>
      </c>
      <c r="AG41" s="3" t="s">
        <v>1331</v>
      </c>
      <c r="AH41" s="3" t="s">
        <v>1347</v>
      </c>
      <c r="AI41" s="3" t="s">
        <v>1360</v>
      </c>
      <c r="AJ41" s="3" t="s">
        <v>1381</v>
      </c>
      <c r="AK41" s="3" t="s">
        <v>1362</v>
      </c>
      <c r="AL41" s="3">
        <v>3.0</v>
      </c>
      <c r="AM41" s="3" t="s">
        <v>1328</v>
      </c>
      <c r="AN41" s="3" t="s">
        <v>1328</v>
      </c>
      <c r="AO41" s="3" t="s">
        <v>1336</v>
      </c>
      <c r="AP41" s="3" t="s">
        <v>1336</v>
      </c>
      <c r="AQ41" s="3" t="s">
        <v>1328</v>
      </c>
      <c r="AR41" s="3" t="s">
        <v>1336</v>
      </c>
      <c r="AS41" s="3" t="s">
        <v>1350</v>
      </c>
      <c r="AT41" s="3" t="s">
        <v>1351</v>
      </c>
      <c r="AU41" s="3" t="s">
        <v>1339</v>
      </c>
      <c r="AV41" s="3" t="s">
        <v>1331</v>
      </c>
      <c r="AW41" s="3" t="s">
        <v>1328</v>
      </c>
      <c r="AX41" s="3" t="s">
        <v>5028</v>
      </c>
    </row>
    <row r="42" ht="12.75" customHeight="1">
      <c r="A42" s="3" t="s">
        <v>26</v>
      </c>
      <c r="B42" s="3" t="s">
        <v>3762</v>
      </c>
      <c r="C42" s="3" t="s">
        <v>1668</v>
      </c>
      <c r="D42" s="3" t="s">
        <v>2364</v>
      </c>
      <c r="E42" s="3" t="s">
        <v>38</v>
      </c>
      <c r="F42" s="3" t="s">
        <v>3763</v>
      </c>
      <c r="G42" s="3" t="s">
        <v>3764</v>
      </c>
      <c r="H42" s="3" t="s">
        <v>1669</v>
      </c>
      <c r="I42" s="3" t="s">
        <v>2464</v>
      </c>
      <c r="J42" s="3" t="s">
        <v>2465</v>
      </c>
      <c r="K42" s="3" t="s">
        <v>2925</v>
      </c>
      <c r="L42" s="3" t="s">
        <v>2926</v>
      </c>
      <c r="M42" s="3" t="s">
        <v>2515</v>
      </c>
      <c r="N42" s="3">
        <v>2014.0</v>
      </c>
      <c r="O42" s="3" t="s">
        <v>1670</v>
      </c>
      <c r="P42" s="25" t="str">
        <f>HYPERLINK("http://dx.doi.org/10.1111/gcb.12588","http://dx.doi.org/10.1111/gcb.12588")</f>
        <v>http://dx.doi.org/10.1111/gcb.12588</v>
      </c>
      <c r="Q42" s="3" t="s">
        <v>255</v>
      </c>
      <c r="R42" s="3" t="s">
        <v>2577</v>
      </c>
      <c r="S42" s="3" t="s">
        <v>2383</v>
      </c>
      <c r="T42" s="3" t="s">
        <v>3773</v>
      </c>
      <c r="U42" s="3" t="s">
        <v>1358</v>
      </c>
      <c r="V42" s="3" t="s">
        <v>1436</v>
      </c>
      <c r="W42" s="3" t="s">
        <v>1328</v>
      </c>
      <c r="X42" s="3" t="s">
        <v>1328</v>
      </c>
      <c r="Y42" s="3" t="s">
        <v>1328</v>
      </c>
      <c r="Z42" s="3" t="s">
        <v>1328</v>
      </c>
      <c r="AA42" s="3" t="s">
        <v>1328</v>
      </c>
      <c r="AB42" s="3" t="s">
        <v>1328</v>
      </c>
      <c r="AC42" s="3" t="s">
        <v>1436</v>
      </c>
      <c r="AD42" s="3" t="s">
        <v>1328</v>
      </c>
      <c r="AE42" s="3" t="s">
        <v>1329</v>
      </c>
      <c r="AF42" s="3" t="s">
        <v>1330</v>
      </c>
      <c r="AG42" s="3" t="s">
        <v>1331</v>
      </c>
      <c r="AH42" s="3" t="s">
        <v>1347</v>
      </c>
      <c r="AI42" s="3" t="s">
        <v>1333</v>
      </c>
      <c r="AJ42" s="3" t="s">
        <v>1381</v>
      </c>
      <c r="AK42" s="3" t="s">
        <v>1362</v>
      </c>
      <c r="AL42" s="3">
        <v>2.0</v>
      </c>
      <c r="AM42" s="3" t="s">
        <v>1328</v>
      </c>
      <c r="AN42" s="3" t="s">
        <v>1328</v>
      </c>
      <c r="AO42" s="3" t="s">
        <v>1336</v>
      </c>
      <c r="AP42" s="3" t="s">
        <v>1336</v>
      </c>
      <c r="AQ42" s="3" t="s">
        <v>1336</v>
      </c>
      <c r="AR42" s="3" t="s">
        <v>1336</v>
      </c>
      <c r="AS42" s="3" t="s">
        <v>1350</v>
      </c>
      <c r="AT42" s="3" t="s">
        <v>1351</v>
      </c>
      <c r="AU42" s="3" t="s">
        <v>1339</v>
      </c>
      <c r="AV42" s="3" t="s">
        <v>1388</v>
      </c>
      <c r="AW42" s="3" t="s">
        <v>1328</v>
      </c>
      <c r="AX42" s="3" t="s">
        <v>5027</v>
      </c>
    </row>
    <row r="43" ht="12.75" customHeight="1">
      <c r="A43" s="3" t="s">
        <v>26</v>
      </c>
      <c r="B43" s="3" t="s">
        <v>3013</v>
      </c>
      <c r="C43" s="3" t="s">
        <v>1673</v>
      </c>
      <c r="D43" s="3" t="s">
        <v>2364</v>
      </c>
      <c r="E43" s="3" t="s">
        <v>38</v>
      </c>
      <c r="F43" s="3" t="s">
        <v>3014</v>
      </c>
      <c r="G43" s="3" t="s">
        <v>3015</v>
      </c>
      <c r="H43" s="3" t="s">
        <v>1674</v>
      </c>
      <c r="I43" s="3" t="s">
        <v>2464</v>
      </c>
      <c r="J43" s="3" t="s">
        <v>2465</v>
      </c>
      <c r="K43" s="3" t="s">
        <v>3027</v>
      </c>
      <c r="L43" s="3" t="s">
        <v>3028</v>
      </c>
      <c r="M43" s="3" t="s">
        <v>2557</v>
      </c>
      <c r="N43" s="3">
        <v>2017.0</v>
      </c>
      <c r="O43" s="3" t="s">
        <v>1675</v>
      </c>
      <c r="P43" s="25" t="str">
        <f>HYPERLINK("http://dx.doi.org/10.1111/fwb.12929","http://dx.doi.org/10.1111/fwb.12929")</f>
        <v>http://dx.doi.org/10.1111/fwb.12929</v>
      </c>
      <c r="Q43" s="3" t="s">
        <v>130</v>
      </c>
      <c r="R43" s="3" t="s">
        <v>2516</v>
      </c>
      <c r="S43" s="3" t="s">
        <v>2383</v>
      </c>
      <c r="T43" s="3" t="s">
        <v>3030</v>
      </c>
      <c r="U43" s="3" t="s">
        <v>1416</v>
      </c>
      <c r="V43" s="3" t="s">
        <v>1417</v>
      </c>
      <c r="W43" s="3" t="s">
        <v>1328</v>
      </c>
      <c r="X43" s="3" t="s">
        <v>1328</v>
      </c>
      <c r="Y43" s="3" t="s">
        <v>1328</v>
      </c>
      <c r="Z43" s="3" t="s">
        <v>1328</v>
      </c>
      <c r="AA43" s="3" t="s">
        <v>1328</v>
      </c>
      <c r="AB43" s="3" t="s">
        <v>1328</v>
      </c>
      <c r="AC43" s="3" t="s">
        <v>1417</v>
      </c>
      <c r="AD43" s="3" t="s">
        <v>1328</v>
      </c>
      <c r="AE43" s="3" t="s">
        <v>1329</v>
      </c>
      <c r="AF43" s="3" t="s">
        <v>1330</v>
      </c>
      <c r="AG43" s="3" t="s">
        <v>1331</v>
      </c>
      <c r="AH43" s="3" t="s">
        <v>1347</v>
      </c>
      <c r="AI43" s="3" t="s">
        <v>1360</v>
      </c>
      <c r="AJ43" s="3" t="s">
        <v>1361</v>
      </c>
      <c r="AK43" s="3" t="s">
        <v>1530</v>
      </c>
      <c r="AL43" s="3">
        <v>2.0</v>
      </c>
      <c r="AM43" s="3" t="s">
        <v>1328</v>
      </c>
      <c r="AN43" s="3" t="s">
        <v>1336</v>
      </c>
      <c r="AO43" s="3" t="s">
        <v>1328</v>
      </c>
      <c r="AP43" s="3" t="s">
        <v>1336</v>
      </c>
      <c r="AQ43" s="3" t="s">
        <v>1336</v>
      </c>
      <c r="AR43" s="3" t="s">
        <v>1336</v>
      </c>
      <c r="AS43" s="3" t="s">
        <v>1350</v>
      </c>
      <c r="AT43" s="3" t="s">
        <v>1351</v>
      </c>
      <c r="AU43" s="3" t="s">
        <v>1339</v>
      </c>
      <c r="AV43" s="3" t="s">
        <v>1331</v>
      </c>
      <c r="AW43" s="3" t="s">
        <v>1328</v>
      </c>
      <c r="AX43" s="3" t="s">
        <v>5028</v>
      </c>
    </row>
    <row r="44" ht="12.75" customHeight="1">
      <c r="A44" s="3" t="s">
        <v>26</v>
      </c>
      <c r="B44" s="3" t="s">
        <v>3747</v>
      </c>
      <c r="C44" s="3" t="s">
        <v>1678</v>
      </c>
      <c r="D44" s="3" t="s">
        <v>2364</v>
      </c>
      <c r="E44" s="3" t="s">
        <v>38</v>
      </c>
      <c r="F44" s="3" t="s">
        <v>3748</v>
      </c>
      <c r="G44" s="3" t="s">
        <v>3749</v>
      </c>
      <c r="H44" s="3" t="s">
        <v>3750</v>
      </c>
      <c r="I44" s="3" t="s">
        <v>2464</v>
      </c>
      <c r="J44" s="3" t="s">
        <v>2465</v>
      </c>
      <c r="K44" s="3" t="s">
        <v>3027</v>
      </c>
      <c r="L44" s="3" t="s">
        <v>3028</v>
      </c>
      <c r="M44" s="3" t="s">
        <v>2515</v>
      </c>
      <c r="N44" s="3">
        <v>2014.0</v>
      </c>
      <c r="O44" s="3" t="s">
        <v>1680</v>
      </c>
      <c r="P44" s="25" t="str">
        <f>HYPERLINK("http://dx.doi.org/10.1111/fwb.12380","http://dx.doi.org/10.1111/fwb.12380")</f>
        <v>http://dx.doi.org/10.1111/fwb.12380</v>
      </c>
      <c r="Q44" s="3" t="s">
        <v>130</v>
      </c>
      <c r="R44" s="3" t="s">
        <v>2516</v>
      </c>
      <c r="S44" s="3" t="s">
        <v>2383</v>
      </c>
      <c r="T44" s="3" t="s">
        <v>3761</v>
      </c>
      <c r="U44" s="3" t="s">
        <v>1545</v>
      </c>
      <c r="V44" s="3" t="s">
        <v>1387</v>
      </c>
      <c r="W44" s="3" t="s">
        <v>1328</v>
      </c>
      <c r="X44" s="3" t="s">
        <v>1328</v>
      </c>
      <c r="Y44" s="3" t="s">
        <v>1328</v>
      </c>
      <c r="Z44" s="3" t="s">
        <v>1328</v>
      </c>
      <c r="AA44" s="3" t="s">
        <v>1328</v>
      </c>
      <c r="AB44" s="3" t="s">
        <v>1328</v>
      </c>
      <c r="AC44" s="3" t="s">
        <v>1387</v>
      </c>
      <c r="AD44" s="3" t="s">
        <v>1328</v>
      </c>
      <c r="AE44" s="3" t="s">
        <v>1329</v>
      </c>
      <c r="AF44" s="3" t="s">
        <v>1330</v>
      </c>
      <c r="AG44" s="3" t="s">
        <v>1331</v>
      </c>
      <c r="AH44" s="3" t="s">
        <v>1347</v>
      </c>
      <c r="AI44" s="3" t="s">
        <v>1333</v>
      </c>
      <c r="AJ44" s="3" t="s">
        <v>1361</v>
      </c>
      <c r="AK44" s="3" t="s">
        <v>1530</v>
      </c>
      <c r="AL44" s="3">
        <v>3.0</v>
      </c>
      <c r="AM44" s="3" t="s">
        <v>1328</v>
      </c>
      <c r="AN44" s="3" t="s">
        <v>1336</v>
      </c>
      <c r="AO44" s="3" t="s">
        <v>1328</v>
      </c>
      <c r="AP44" s="3" t="s">
        <v>1336</v>
      </c>
      <c r="AQ44" s="3" t="s">
        <v>1328</v>
      </c>
      <c r="AR44" s="3" t="s">
        <v>1336</v>
      </c>
      <c r="AS44" s="3" t="s">
        <v>1350</v>
      </c>
      <c r="AT44" s="3" t="s">
        <v>1351</v>
      </c>
      <c r="AU44" s="3" t="s">
        <v>1363</v>
      </c>
      <c r="AV44" s="3" t="s">
        <v>1388</v>
      </c>
      <c r="AW44" s="3" t="s">
        <v>1328</v>
      </c>
      <c r="AX44" s="3" t="s">
        <v>5027</v>
      </c>
    </row>
    <row r="45" ht="12.75" customHeight="1">
      <c r="A45" s="3" t="s">
        <v>26</v>
      </c>
      <c r="B45" s="3" t="s">
        <v>3774</v>
      </c>
      <c r="C45" s="3" t="s">
        <v>1683</v>
      </c>
      <c r="D45" s="3" t="s">
        <v>2364</v>
      </c>
      <c r="E45" s="3" t="s">
        <v>38</v>
      </c>
      <c r="F45" s="3" t="s">
        <v>3775</v>
      </c>
      <c r="G45" s="3" t="s">
        <v>3776</v>
      </c>
      <c r="H45" s="3" t="s">
        <v>1684</v>
      </c>
      <c r="I45" s="3" t="s">
        <v>2464</v>
      </c>
      <c r="J45" s="3" t="s">
        <v>2465</v>
      </c>
      <c r="K45" s="3" t="s">
        <v>3027</v>
      </c>
      <c r="L45" s="3" t="s">
        <v>3028</v>
      </c>
      <c r="M45" s="3" t="s">
        <v>2557</v>
      </c>
      <c r="N45" s="3">
        <v>2014.0</v>
      </c>
      <c r="O45" s="3" t="s">
        <v>1685</v>
      </c>
      <c r="P45" s="25" t="str">
        <f>HYPERLINK("http://dx.doi.org/10.1111/fwb.12353","http://dx.doi.org/10.1111/fwb.12353")</f>
        <v>http://dx.doi.org/10.1111/fwb.12353</v>
      </c>
      <c r="Q45" s="3" t="s">
        <v>130</v>
      </c>
      <c r="R45" s="3" t="s">
        <v>2516</v>
      </c>
      <c r="S45" s="3" t="s">
        <v>2383</v>
      </c>
      <c r="T45" s="3" t="s">
        <v>3784</v>
      </c>
      <c r="U45" s="3" t="s">
        <v>1580</v>
      </c>
      <c r="V45" s="3" t="s">
        <v>1371</v>
      </c>
      <c r="W45" s="3" t="s">
        <v>1328</v>
      </c>
      <c r="X45" s="3" t="s">
        <v>1328</v>
      </c>
      <c r="Y45" s="3" t="s">
        <v>1328</v>
      </c>
      <c r="Z45" s="3" t="s">
        <v>1328</v>
      </c>
      <c r="AA45" s="3" t="s">
        <v>1328</v>
      </c>
      <c r="AB45" s="3" t="s">
        <v>1328</v>
      </c>
      <c r="AC45" s="3" t="s">
        <v>1371</v>
      </c>
      <c r="AD45" s="3" t="s">
        <v>1328</v>
      </c>
      <c r="AE45" s="3" t="s">
        <v>1329</v>
      </c>
      <c r="AF45" s="3" t="s">
        <v>1372</v>
      </c>
      <c r="AG45" s="3" t="s">
        <v>1330</v>
      </c>
      <c r="AH45" s="3" t="s">
        <v>1347</v>
      </c>
      <c r="AI45" s="3" t="s">
        <v>1333</v>
      </c>
      <c r="AJ45" s="3" t="s">
        <v>1348</v>
      </c>
      <c r="AK45" s="3" t="s">
        <v>1464</v>
      </c>
      <c r="AL45" s="3">
        <v>2.0</v>
      </c>
      <c r="AM45" s="3" t="s">
        <v>1336</v>
      </c>
      <c r="AN45" s="3" t="s">
        <v>1328</v>
      </c>
      <c r="AO45" s="3" t="s">
        <v>1336</v>
      </c>
      <c r="AP45" s="3" t="s">
        <v>1336</v>
      </c>
      <c r="AQ45" s="3" t="s">
        <v>1328</v>
      </c>
      <c r="AR45" s="3" t="s">
        <v>1336</v>
      </c>
      <c r="AS45" s="3" t="s">
        <v>1350</v>
      </c>
      <c r="AT45" s="3" t="s">
        <v>1351</v>
      </c>
      <c r="AU45" s="3" t="s">
        <v>1363</v>
      </c>
      <c r="AV45" s="3" t="s">
        <v>1388</v>
      </c>
      <c r="AW45" s="3" t="s">
        <v>1328</v>
      </c>
      <c r="AX45" s="3" t="s">
        <v>5027</v>
      </c>
    </row>
    <row r="46" ht="12.75" customHeight="1">
      <c r="A46" s="3" t="s">
        <v>26</v>
      </c>
      <c r="B46" s="3" t="s">
        <v>2655</v>
      </c>
      <c r="C46" s="3" t="s">
        <v>1689</v>
      </c>
      <c r="D46" s="3" t="s">
        <v>2364</v>
      </c>
      <c r="E46" s="3" t="s">
        <v>38</v>
      </c>
      <c r="F46" s="3" t="s">
        <v>2656</v>
      </c>
      <c r="G46" s="3" t="s">
        <v>2657</v>
      </c>
      <c r="H46" s="3" t="s">
        <v>1690</v>
      </c>
      <c r="I46" s="3" t="s">
        <v>2464</v>
      </c>
      <c r="J46" s="3" t="s">
        <v>2465</v>
      </c>
      <c r="K46" s="3" t="s">
        <v>2669</v>
      </c>
      <c r="L46" s="3" t="s">
        <v>2670</v>
      </c>
      <c r="M46" s="3" t="s">
        <v>2651</v>
      </c>
      <c r="N46" s="3">
        <v>2018.0</v>
      </c>
      <c r="O46" s="3" t="s">
        <v>1691</v>
      </c>
      <c r="P46" s="25" t="str">
        <f>HYPERLINK("http://dx.doi.org/10.1111/fog.12246","http://dx.doi.org/10.1111/fog.12246")</f>
        <v>http://dx.doi.org/10.1111/fog.12246</v>
      </c>
      <c r="Q46" s="3" t="s">
        <v>2671</v>
      </c>
      <c r="R46" s="3" t="s">
        <v>2671</v>
      </c>
      <c r="S46" s="3" t="s">
        <v>2383</v>
      </c>
      <c r="T46" s="3" t="s">
        <v>2673</v>
      </c>
      <c r="U46" s="3" t="s">
        <v>1580</v>
      </c>
      <c r="V46" s="3" t="s">
        <v>1417</v>
      </c>
      <c r="W46" s="3" t="s">
        <v>1328</v>
      </c>
      <c r="X46" s="3" t="s">
        <v>1328</v>
      </c>
      <c r="Y46" s="3" t="s">
        <v>1328</v>
      </c>
      <c r="Z46" s="3" t="s">
        <v>1328</v>
      </c>
      <c r="AA46" s="3" t="s">
        <v>1328</v>
      </c>
      <c r="AB46" s="3" t="s">
        <v>1328</v>
      </c>
      <c r="AC46" s="3" t="s">
        <v>1417</v>
      </c>
      <c r="AD46" s="3" t="s">
        <v>1328</v>
      </c>
      <c r="AE46" s="3" t="s">
        <v>1329</v>
      </c>
      <c r="AF46" s="3" t="s">
        <v>1331</v>
      </c>
      <c r="AG46" s="3" t="s">
        <v>1330</v>
      </c>
      <c r="AH46" s="3" t="s">
        <v>1347</v>
      </c>
      <c r="AI46" s="3" t="s">
        <v>1360</v>
      </c>
      <c r="AJ46" s="3" t="s">
        <v>1361</v>
      </c>
      <c r="AK46" s="3" t="s">
        <v>1349</v>
      </c>
      <c r="AL46" s="3">
        <v>2.0</v>
      </c>
      <c r="AM46" s="3" t="s">
        <v>1328</v>
      </c>
      <c r="AN46" s="3" t="s">
        <v>1336</v>
      </c>
      <c r="AO46" s="3" t="s">
        <v>1328</v>
      </c>
      <c r="AP46" s="3" t="s">
        <v>1336</v>
      </c>
      <c r="AQ46" s="3" t="s">
        <v>1336</v>
      </c>
      <c r="AR46" s="3" t="s">
        <v>1336</v>
      </c>
      <c r="AS46" s="3" t="s">
        <v>1350</v>
      </c>
      <c r="AT46" s="3" t="s">
        <v>1351</v>
      </c>
      <c r="AU46" s="3" t="s">
        <v>1339</v>
      </c>
      <c r="AV46" s="3" t="s">
        <v>1374</v>
      </c>
      <c r="AW46" s="3" t="s">
        <v>1328</v>
      </c>
      <c r="AX46" s="3" t="s">
        <v>5027</v>
      </c>
    </row>
    <row r="47" ht="12.75" customHeight="1">
      <c r="A47" s="3" t="s">
        <v>26</v>
      </c>
      <c r="B47" s="3" t="s">
        <v>2738</v>
      </c>
      <c r="C47" s="3" t="s">
        <v>1694</v>
      </c>
      <c r="D47" s="3" t="s">
        <v>2364</v>
      </c>
      <c r="E47" s="3" t="s">
        <v>38</v>
      </c>
      <c r="F47" s="3" t="s">
        <v>2739</v>
      </c>
      <c r="G47" s="3" t="s">
        <v>2740</v>
      </c>
      <c r="H47" s="3" t="s">
        <v>2741</v>
      </c>
      <c r="I47" s="3" t="s">
        <v>2464</v>
      </c>
      <c r="J47" s="3" t="s">
        <v>2465</v>
      </c>
      <c r="K47" s="3" t="s">
        <v>2753</v>
      </c>
      <c r="L47" s="3" t="s">
        <v>2754</v>
      </c>
      <c r="M47" s="3" t="s">
        <v>2734</v>
      </c>
      <c r="N47" s="3">
        <v>2018.0</v>
      </c>
      <c r="O47" s="3" t="s">
        <v>1696</v>
      </c>
      <c r="P47" s="25" t="str">
        <f>HYPERLINK("http://dx.doi.org/10.1111/ddi.12693","http://dx.doi.org/10.1111/ddi.12693")</f>
        <v>http://dx.doi.org/10.1111/ddi.12693</v>
      </c>
      <c r="Q47" s="3" t="s">
        <v>1124</v>
      </c>
      <c r="R47" s="3" t="s">
        <v>2577</v>
      </c>
      <c r="S47" s="3" t="s">
        <v>2383</v>
      </c>
      <c r="T47" s="3" t="s">
        <v>2756</v>
      </c>
      <c r="U47" s="3" t="s">
        <v>1666</v>
      </c>
      <c r="V47" s="3" t="s">
        <v>1371</v>
      </c>
      <c r="W47" s="3" t="s">
        <v>1328</v>
      </c>
      <c r="X47" s="3" t="s">
        <v>1328</v>
      </c>
      <c r="Y47" s="3" t="s">
        <v>1328</v>
      </c>
      <c r="Z47" s="3" t="s">
        <v>1328</v>
      </c>
      <c r="AA47" s="3" t="s">
        <v>1328</v>
      </c>
      <c r="AB47" s="3" t="s">
        <v>1328</v>
      </c>
      <c r="AC47" s="3" t="s">
        <v>1371</v>
      </c>
      <c r="AD47" s="3" t="s">
        <v>1328</v>
      </c>
      <c r="AE47" s="3" t="s">
        <v>1329</v>
      </c>
      <c r="AF47" s="3" t="s">
        <v>1330</v>
      </c>
      <c r="AG47" s="3" t="s">
        <v>1372</v>
      </c>
      <c r="AH47" s="3" t="s">
        <v>1347</v>
      </c>
      <c r="AI47" s="3" t="s">
        <v>1333</v>
      </c>
      <c r="AJ47" s="3" t="s">
        <v>1348</v>
      </c>
      <c r="AK47" s="3" t="s">
        <v>1362</v>
      </c>
      <c r="AL47" s="3">
        <v>3.0</v>
      </c>
      <c r="AM47" s="3" t="s">
        <v>1328</v>
      </c>
      <c r="AN47" s="3" t="s">
        <v>1336</v>
      </c>
      <c r="AO47" s="3" t="s">
        <v>1336</v>
      </c>
      <c r="AP47" s="3" t="s">
        <v>1328</v>
      </c>
      <c r="AQ47" s="3" t="s">
        <v>1336</v>
      </c>
      <c r="AR47" s="3" t="s">
        <v>1328</v>
      </c>
      <c r="AS47" s="3" t="s">
        <v>1350</v>
      </c>
      <c r="AT47" s="3" t="s">
        <v>1351</v>
      </c>
      <c r="AU47" s="3" t="s">
        <v>1363</v>
      </c>
      <c r="AV47" s="3" t="s">
        <v>1388</v>
      </c>
      <c r="AW47" s="3" t="s">
        <v>1328</v>
      </c>
      <c r="AX47" s="3" t="s">
        <v>5027</v>
      </c>
    </row>
    <row r="48" ht="12.75" customHeight="1">
      <c r="A48" s="3" t="s">
        <v>26</v>
      </c>
      <c r="B48" s="3" t="s">
        <v>3134</v>
      </c>
      <c r="C48" s="3" t="s">
        <v>1700</v>
      </c>
      <c r="D48" s="3" t="s">
        <v>2364</v>
      </c>
      <c r="E48" s="3" t="s">
        <v>38</v>
      </c>
      <c r="F48" s="3" t="s">
        <v>3135</v>
      </c>
      <c r="G48" s="3" t="s">
        <v>3136</v>
      </c>
      <c r="H48" s="3" t="s">
        <v>1701</v>
      </c>
      <c r="I48" s="3" t="s">
        <v>2464</v>
      </c>
      <c r="J48" s="3" t="s">
        <v>2465</v>
      </c>
      <c r="K48" s="3" t="s">
        <v>3147</v>
      </c>
      <c r="L48" s="3" t="s">
        <v>3148</v>
      </c>
      <c r="M48" s="3" t="s">
        <v>3149</v>
      </c>
      <c r="N48" s="3">
        <v>2017.0</v>
      </c>
      <c r="O48" s="3" t="s">
        <v>1702</v>
      </c>
      <c r="P48" s="25" t="str">
        <f>HYPERLINK("http://dx.doi.org/10.1111/conl.12258","http://dx.doi.org/10.1111/conl.12258")</f>
        <v>http://dx.doi.org/10.1111/conl.12258</v>
      </c>
      <c r="Q48" s="3" t="s">
        <v>2712</v>
      </c>
      <c r="R48" s="3" t="s">
        <v>2713</v>
      </c>
      <c r="S48" s="3" t="s">
        <v>2383</v>
      </c>
      <c r="T48" s="3" t="s">
        <v>3151</v>
      </c>
      <c r="U48" s="3" t="s">
        <v>1326</v>
      </c>
      <c r="V48" s="3" t="s">
        <v>1327</v>
      </c>
      <c r="W48" s="3" t="s">
        <v>1328</v>
      </c>
      <c r="X48" s="3" t="s">
        <v>1328</v>
      </c>
      <c r="Y48" s="3" t="s">
        <v>1328</v>
      </c>
      <c r="Z48" s="3" t="s">
        <v>1328</v>
      </c>
      <c r="AA48" s="3" t="s">
        <v>1328</v>
      </c>
      <c r="AB48" s="3" t="s">
        <v>1328</v>
      </c>
      <c r="AC48" s="3" t="s">
        <v>1327</v>
      </c>
      <c r="AD48" s="3" t="s">
        <v>1328</v>
      </c>
      <c r="AE48" s="3" t="s">
        <v>1443</v>
      </c>
      <c r="AF48" s="3" t="s">
        <v>1330</v>
      </c>
      <c r="AG48" s="3" t="s">
        <v>1331</v>
      </c>
      <c r="AH48" s="3" t="s">
        <v>1347</v>
      </c>
      <c r="AI48" s="3" t="s">
        <v>1444</v>
      </c>
      <c r="AJ48" s="3" t="s">
        <v>1445</v>
      </c>
      <c r="AK48" s="3" t="s">
        <v>1446</v>
      </c>
      <c r="AL48" s="3">
        <v>5.0</v>
      </c>
      <c r="AM48" s="3" t="s">
        <v>1328</v>
      </c>
      <c r="AN48" s="3" t="s">
        <v>1328</v>
      </c>
      <c r="AO48" s="3" t="s">
        <v>1328</v>
      </c>
      <c r="AP48" s="3" t="s">
        <v>1328</v>
      </c>
      <c r="AQ48" s="3" t="s">
        <v>1328</v>
      </c>
      <c r="AR48" s="3" t="s">
        <v>1336</v>
      </c>
      <c r="AS48" s="3" t="s">
        <v>1395</v>
      </c>
      <c r="AT48" s="3" t="s">
        <v>1351</v>
      </c>
      <c r="AU48" s="3" t="s">
        <v>1363</v>
      </c>
      <c r="AV48" s="3" t="s">
        <v>1331</v>
      </c>
      <c r="AW48" s="3" t="s">
        <v>1328</v>
      </c>
      <c r="AX48" s="3" t="s">
        <v>5028</v>
      </c>
    </row>
    <row r="49" ht="12.75" customHeight="1">
      <c r="A49" s="3" t="s">
        <v>26</v>
      </c>
      <c r="B49" s="3" t="s">
        <v>3419</v>
      </c>
      <c r="C49" s="3" t="s">
        <v>1705</v>
      </c>
      <c r="D49" s="3" t="s">
        <v>2364</v>
      </c>
      <c r="E49" s="3" t="s">
        <v>38</v>
      </c>
      <c r="F49" s="3" t="s">
        <v>3420</v>
      </c>
      <c r="G49" s="3" t="s">
        <v>3421</v>
      </c>
      <c r="H49" s="3" t="s">
        <v>1706</v>
      </c>
      <c r="I49" s="3" t="s">
        <v>2464</v>
      </c>
      <c r="J49" s="3" t="s">
        <v>2465</v>
      </c>
      <c r="K49" s="3" t="s">
        <v>3433</v>
      </c>
      <c r="L49" s="3" t="s">
        <v>3434</v>
      </c>
      <c r="M49" s="3" t="s">
        <v>2818</v>
      </c>
      <c r="N49" s="3">
        <v>2016.0</v>
      </c>
      <c r="O49" s="3" t="s">
        <v>1707</v>
      </c>
      <c r="P49" s="25" t="str">
        <f>HYPERLINK("http://dx.doi.org/10.1111/cobi.12576","http://dx.doi.org/10.1111/cobi.12576")</f>
        <v>http://dx.doi.org/10.1111/cobi.12576</v>
      </c>
      <c r="Q49" s="3" t="s">
        <v>255</v>
      </c>
      <c r="R49" s="3" t="s">
        <v>2577</v>
      </c>
      <c r="S49" s="3" t="s">
        <v>2383</v>
      </c>
      <c r="T49" s="3" t="s">
        <v>3436</v>
      </c>
      <c r="U49" s="3" t="s">
        <v>1402</v>
      </c>
      <c r="V49" s="3" t="s">
        <v>1403</v>
      </c>
      <c r="W49" s="3" t="s">
        <v>1328</v>
      </c>
      <c r="X49" s="3" t="s">
        <v>1328</v>
      </c>
      <c r="Y49" s="3" t="s">
        <v>1328</v>
      </c>
      <c r="Z49" s="3" t="s">
        <v>1328</v>
      </c>
      <c r="AA49" s="3" t="s">
        <v>1328</v>
      </c>
      <c r="AB49" s="3" t="s">
        <v>1328</v>
      </c>
      <c r="AC49" s="3" t="s">
        <v>1403</v>
      </c>
      <c r="AD49" s="3" t="s">
        <v>1328</v>
      </c>
      <c r="AE49" s="3" t="s">
        <v>1329</v>
      </c>
      <c r="AF49" s="3" t="s">
        <v>1330</v>
      </c>
      <c r="AG49" s="3" t="s">
        <v>1331</v>
      </c>
      <c r="AH49" s="3" t="s">
        <v>1347</v>
      </c>
      <c r="AI49" s="3" t="s">
        <v>1333</v>
      </c>
      <c r="AJ49" s="3" t="s">
        <v>1381</v>
      </c>
      <c r="AK49" s="3" t="s">
        <v>1349</v>
      </c>
      <c r="AL49" s="3">
        <v>2.0</v>
      </c>
      <c r="AM49" s="3" t="s">
        <v>1336</v>
      </c>
      <c r="AN49" s="3" t="s">
        <v>1336</v>
      </c>
      <c r="AO49" s="3" t="s">
        <v>1328</v>
      </c>
      <c r="AP49" s="3" t="s">
        <v>1336</v>
      </c>
      <c r="AQ49" s="3" t="s">
        <v>1328</v>
      </c>
      <c r="AR49" s="3" t="s">
        <v>1336</v>
      </c>
      <c r="AS49" s="3" t="s">
        <v>1350</v>
      </c>
      <c r="AT49" s="3" t="s">
        <v>1351</v>
      </c>
      <c r="AU49" s="3" t="s">
        <v>1363</v>
      </c>
      <c r="AV49" s="3" t="s">
        <v>1388</v>
      </c>
      <c r="AW49" s="3" t="s">
        <v>1328</v>
      </c>
      <c r="AX49" s="3" t="s">
        <v>5027</v>
      </c>
    </row>
    <row r="50" ht="12.75" customHeight="1">
      <c r="A50" s="3" t="s">
        <v>26</v>
      </c>
      <c r="B50" s="3" t="s">
        <v>2560</v>
      </c>
      <c r="C50" s="3" t="s">
        <v>1710</v>
      </c>
      <c r="D50" s="3" t="s">
        <v>2364</v>
      </c>
      <c r="E50" s="3" t="s">
        <v>38</v>
      </c>
      <c r="F50" s="3" t="s">
        <v>2561</v>
      </c>
      <c r="G50" s="3" t="s">
        <v>2562</v>
      </c>
      <c r="H50" s="3" t="s">
        <v>2563</v>
      </c>
      <c r="I50" s="3" t="s">
        <v>2464</v>
      </c>
      <c r="J50" s="3" t="s">
        <v>2465</v>
      </c>
      <c r="K50" s="3" t="s">
        <v>2575</v>
      </c>
      <c r="L50" s="3" t="s">
        <v>2576</v>
      </c>
      <c r="M50" s="3" t="s">
        <v>2557</v>
      </c>
      <c r="N50" s="3">
        <v>2018.0</v>
      </c>
      <c r="O50" s="3" t="s">
        <v>1712</v>
      </c>
      <c r="P50" s="25" t="str">
        <f>HYPERLINK("http://dx.doi.org/10.1111/1365-2664.13137","http://dx.doi.org/10.1111/1365-2664.13137")</f>
        <v>http://dx.doi.org/10.1111/1365-2664.13137</v>
      </c>
      <c r="Q50" s="3" t="s">
        <v>1124</v>
      </c>
      <c r="R50" s="3" t="s">
        <v>2577</v>
      </c>
      <c r="S50" s="3" t="s">
        <v>2383</v>
      </c>
      <c r="T50" s="3" t="s">
        <v>2580</v>
      </c>
      <c r="U50" s="3" t="s">
        <v>1482</v>
      </c>
      <c r="V50" s="3" t="s">
        <v>1387</v>
      </c>
      <c r="W50" s="3" t="s">
        <v>1328</v>
      </c>
      <c r="X50" s="3" t="s">
        <v>1328</v>
      </c>
      <c r="Y50" s="3" t="s">
        <v>1328</v>
      </c>
      <c r="Z50" s="3" t="s">
        <v>1328</v>
      </c>
      <c r="AA50" s="3" t="s">
        <v>1328</v>
      </c>
      <c r="AB50" s="3" t="s">
        <v>1328</v>
      </c>
      <c r="AC50" s="3" t="s">
        <v>1387</v>
      </c>
      <c r="AD50" s="3" t="s">
        <v>1328</v>
      </c>
      <c r="AE50" s="3" t="s">
        <v>1329</v>
      </c>
      <c r="AF50" s="3" t="s">
        <v>1330</v>
      </c>
      <c r="AG50" s="3" t="s">
        <v>1331</v>
      </c>
      <c r="AH50" s="3" t="s">
        <v>1347</v>
      </c>
      <c r="AI50" s="3" t="s">
        <v>1333</v>
      </c>
      <c r="AJ50" s="3" t="s">
        <v>1381</v>
      </c>
      <c r="AK50" s="3" t="s">
        <v>1362</v>
      </c>
      <c r="AL50" s="3">
        <v>2.0</v>
      </c>
      <c r="AM50" s="3" t="s">
        <v>1336</v>
      </c>
      <c r="AN50" s="3" t="s">
        <v>1336</v>
      </c>
      <c r="AO50" s="3" t="s">
        <v>1328</v>
      </c>
      <c r="AP50" s="3" t="s">
        <v>1336</v>
      </c>
      <c r="AQ50" s="3" t="s">
        <v>1336</v>
      </c>
      <c r="AR50" s="3" t="s">
        <v>1328</v>
      </c>
      <c r="AS50" s="3" t="s">
        <v>1350</v>
      </c>
      <c r="AT50" s="3" t="s">
        <v>1351</v>
      </c>
      <c r="AU50" s="3" t="s">
        <v>1363</v>
      </c>
      <c r="AV50" s="3" t="s">
        <v>1388</v>
      </c>
      <c r="AW50" s="3" t="s">
        <v>1328</v>
      </c>
      <c r="AX50" s="3" t="s">
        <v>5027</v>
      </c>
    </row>
    <row r="51" ht="12.75" customHeight="1">
      <c r="A51" s="3" t="s">
        <v>26</v>
      </c>
      <c r="B51" s="3" t="s">
        <v>4361</v>
      </c>
      <c r="C51" s="3" t="s">
        <v>1715</v>
      </c>
      <c r="D51" s="3" t="s">
        <v>2364</v>
      </c>
      <c r="E51" s="3" t="s">
        <v>38</v>
      </c>
      <c r="F51" s="3" t="s">
        <v>4362</v>
      </c>
      <c r="G51" s="3" t="s">
        <v>4363</v>
      </c>
      <c r="H51" s="3" t="s">
        <v>1716</v>
      </c>
      <c r="I51" s="3" t="s">
        <v>4373</v>
      </c>
      <c r="J51" s="3" t="s">
        <v>2400</v>
      </c>
      <c r="K51" s="3" t="s">
        <v>4377</v>
      </c>
      <c r="L51" s="3" t="s">
        <v>4378</v>
      </c>
      <c r="M51" s="3" t="s">
        <v>4379</v>
      </c>
      <c r="N51" s="3">
        <v>2011.0</v>
      </c>
      <c r="O51" s="3" t="s">
        <v>1717</v>
      </c>
      <c r="P51" s="25" t="str">
        <f>HYPERLINK("http://dx.doi.org/10.1098/rstb.2011.0116","http://dx.doi.org/10.1098/rstb.2011.0116")</f>
        <v>http://dx.doi.org/10.1098/rstb.2011.0116</v>
      </c>
      <c r="Q51" s="3" t="s">
        <v>188</v>
      </c>
      <c r="R51" s="3" t="s">
        <v>3721</v>
      </c>
      <c r="S51" s="3" t="s">
        <v>2383</v>
      </c>
      <c r="T51" s="3" t="s">
        <v>4381</v>
      </c>
      <c r="U51" s="3" t="s">
        <v>1442</v>
      </c>
      <c r="V51" s="3" t="s">
        <v>1327</v>
      </c>
      <c r="W51" s="3" t="s">
        <v>1328</v>
      </c>
      <c r="X51" s="3" t="s">
        <v>1328</v>
      </c>
      <c r="Y51" s="3" t="s">
        <v>1328</v>
      </c>
      <c r="Z51" s="3" t="s">
        <v>1328</v>
      </c>
      <c r="AA51" s="3" t="s">
        <v>1328</v>
      </c>
      <c r="AB51" s="3" t="s">
        <v>1328</v>
      </c>
      <c r="AC51" s="3" t="s">
        <v>1327</v>
      </c>
      <c r="AD51" s="3" t="s">
        <v>1328</v>
      </c>
      <c r="AE51" s="3" t="s">
        <v>1443</v>
      </c>
      <c r="AF51" s="3" t="s">
        <v>1330</v>
      </c>
      <c r="AG51" s="3" t="s">
        <v>1330</v>
      </c>
      <c r="AH51" s="3" t="s">
        <v>1347</v>
      </c>
      <c r="AI51" s="3" t="s">
        <v>1444</v>
      </c>
      <c r="AJ51" s="3" t="s">
        <v>1445</v>
      </c>
      <c r="AK51" s="3" t="s">
        <v>1446</v>
      </c>
      <c r="AL51" s="3">
        <v>6.0</v>
      </c>
      <c r="AM51" s="3" t="s">
        <v>1328</v>
      </c>
      <c r="AN51" s="3" t="s">
        <v>1328</v>
      </c>
      <c r="AO51" s="3" t="s">
        <v>1328</v>
      </c>
      <c r="AP51" s="3" t="s">
        <v>1328</v>
      </c>
      <c r="AQ51" s="3" t="s">
        <v>1328</v>
      </c>
      <c r="AR51" s="3" t="s">
        <v>1328</v>
      </c>
      <c r="AS51" s="3" t="s">
        <v>1395</v>
      </c>
      <c r="AT51" s="3" t="s">
        <v>1351</v>
      </c>
      <c r="AU51" s="3" t="s">
        <v>1363</v>
      </c>
      <c r="AV51" s="3" t="s">
        <v>1331</v>
      </c>
      <c r="AW51" s="3" t="s">
        <v>1328</v>
      </c>
      <c r="AX51" s="3" t="s">
        <v>5028</v>
      </c>
    </row>
    <row r="52" ht="12.75" customHeight="1">
      <c r="A52" s="3" t="s">
        <v>26</v>
      </c>
      <c r="B52" s="3" t="s">
        <v>4522</v>
      </c>
      <c r="C52" s="3" t="s">
        <v>1726</v>
      </c>
      <c r="D52" s="3" t="s">
        <v>2364</v>
      </c>
      <c r="E52" s="3" t="s">
        <v>38</v>
      </c>
      <c r="F52" s="3" t="s">
        <v>4523</v>
      </c>
      <c r="G52" s="3" t="s">
        <v>4524</v>
      </c>
      <c r="H52" s="3" t="s">
        <v>1727</v>
      </c>
      <c r="I52" s="3" t="s">
        <v>4373</v>
      </c>
      <c r="J52" s="3" t="s">
        <v>2400</v>
      </c>
      <c r="K52" s="3" t="s">
        <v>4536</v>
      </c>
      <c r="L52" s="3" t="s">
        <v>4537</v>
      </c>
      <c r="M52" s="3" t="s">
        <v>4538</v>
      </c>
      <c r="N52" s="3">
        <v>2010.0</v>
      </c>
      <c r="O52" s="3" t="s">
        <v>1728</v>
      </c>
      <c r="P52" s="25" t="str">
        <f>HYPERLINK("http://dx.doi.org/10.1098/rspb.2009.1020","http://dx.doi.org/10.1098/rspb.2009.1020")</f>
        <v>http://dx.doi.org/10.1098/rspb.2009.1020</v>
      </c>
      <c r="Q52" s="3" t="s">
        <v>139</v>
      </c>
      <c r="R52" s="3" t="s">
        <v>4539</v>
      </c>
      <c r="S52" s="3" t="s">
        <v>2383</v>
      </c>
      <c r="T52" s="3" t="s">
        <v>4541</v>
      </c>
      <c r="U52" s="3" t="s">
        <v>1410</v>
      </c>
      <c r="V52" s="3" t="s">
        <v>1359</v>
      </c>
      <c r="W52" s="3" t="s">
        <v>1328</v>
      </c>
      <c r="X52" s="3" t="s">
        <v>1328</v>
      </c>
      <c r="Y52" s="3" t="s">
        <v>1328</v>
      </c>
      <c r="Z52" s="3" t="s">
        <v>1328</v>
      </c>
      <c r="AA52" s="3" t="s">
        <v>1328</v>
      </c>
      <c r="AB52" s="3" t="s">
        <v>1328</v>
      </c>
      <c r="AC52" s="3" t="s">
        <v>1359</v>
      </c>
      <c r="AD52" s="3" t="s">
        <v>1328</v>
      </c>
      <c r="AE52" s="3" t="s">
        <v>1329</v>
      </c>
      <c r="AF52" s="3" t="s">
        <v>1330</v>
      </c>
      <c r="AG52" s="3" t="s">
        <v>1330</v>
      </c>
      <c r="AH52" s="3" t="s">
        <v>1347</v>
      </c>
      <c r="AI52" s="3" t="s">
        <v>1333</v>
      </c>
      <c r="AJ52" s="3" t="s">
        <v>1361</v>
      </c>
      <c r="AK52" s="3" t="s">
        <v>1349</v>
      </c>
      <c r="AL52" s="3">
        <v>2.0</v>
      </c>
      <c r="AM52" s="3" t="s">
        <v>1328</v>
      </c>
      <c r="AN52" s="3" t="s">
        <v>1336</v>
      </c>
      <c r="AO52" s="3" t="s">
        <v>1328</v>
      </c>
      <c r="AP52" s="3" t="s">
        <v>1336</v>
      </c>
      <c r="AQ52" s="3" t="s">
        <v>1336</v>
      </c>
      <c r="AR52" s="3" t="s">
        <v>1336</v>
      </c>
      <c r="AS52" s="3" t="s">
        <v>1350</v>
      </c>
      <c r="AT52" s="3" t="s">
        <v>1351</v>
      </c>
      <c r="AU52" s="3" t="s">
        <v>1339</v>
      </c>
      <c r="AV52" s="3" t="s">
        <v>1331</v>
      </c>
      <c r="AW52" s="3" t="s">
        <v>1328</v>
      </c>
      <c r="AX52" s="3" t="s">
        <v>5027</v>
      </c>
    </row>
    <row r="53" ht="12.75" customHeight="1">
      <c r="A53" s="3" t="s">
        <v>26</v>
      </c>
      <c r="B53" s="3" t="s">
        <v>3725</v>
      </c>
      <c r="C53" s="3" t="s">
        <v>1732</v>
      </c>
      <c r="D53" s="3" t="s">
        <v>2364</v>
      </c>
      <c r="E53" s="3" t="s">
        <v>38</v>
      </c>
      <c r="F53" s="3" t="s">
        <v>3726</v>
      </c>
      <c r="G53" s="3" t="s">
        <v>3727</v>
      </c>
      <c r="H53" s="3" t="s">
        <v>1733</v>
      </c>
      <c r="I53" s="3" t="s">
        <v>3737</v>
      </c>
      <c r="J53" s="3" t="s">
        <v>2509</v>
      </c>
      <c r="K53" s="3" t="s">
        <v>3741</v>
      </c>
      <c r="L53" s="3" t="s">
        <v>3742</v>
      </c>
      <c r="M53" s="3" t="s">
        <v>3743</v>
      </c>
      <c r="N53" s="3">
        <v>2014.0</v>
      </c>
      <c r="O53" s="3" t="s">
        <v>1734</v>
      </c>
      <c r="P53" s="25" t="str">
        <f>HYPERLINK("http://dx.doi.org/10.1093/icesjms/fst222","http://dx.doi.org/10.1093/icesjms/fst222")</f>
        <v>http://dx.doi.org/10.1093/icesjms/fst222</v>
      </c>
      <c r="Q53" s="3" t="s">
        <v>3744</v>
      </c>
      <c r="R53" s="3" t="s">
        <v>3744</v>
      </c>
      <c r="S53" s="3" t="s">
        <v>2383</v>
      </c>
      <c r="T53" s="3" t="s">
        <v>3746</v>
      </c>
      <c r="U53" s="3" t="s">
        <v>1346</v>
      </c>
      <c r="V53" s="3" t="s">
        <v>1387</v>
      </c>
      <c r="W53" s="3" t="s">
        <v>1328</v>
      </c>
      <c r="X53" s="3" t="s">
        <v>1328</v>
      </c>
      <c r="Y53" s="3" t="s">
        <v>1328</v>
      </c>
      <c r="Z53" s="3" t="s">
        <v>1328</v>
      </c>
      <c r="AA53" s="3" t="s">
        <v>1328</v>
      </c>
      <c r="AB53" s="3" t="s">
        <v>1328</v>
      </c>
      <c r="AC53" s="3" t="s">
        <v>1387</v>
      </c>
      <c r="AD53" s="3" t="s">
        <v>1328</v>
      </c>
      <c r="AE53" s="3" t="s">
        <v>1329</v>
      </c>
      <c r="AF53" s="3" t="s">
        <v>1330</v>
      </c>
      <c r="AG53" s="3" t="s">
        <v>1331</v>
      </c>
      <c r="AH53" s="3" t="s">
        <v>1347</v>
      </c>
      <c r="AI53" s="3" t="s">
        <v>1333</v>
      </c>
      <c r="AJ53" s="3" t="s">
        <v>1361</v>
      </c>
      <c r="AK53" s="3" t="s">
        <v>1349</v>
      </c>
      <c r="AL53" s="3">
        <v>3.0</v>
      </c>
      <c r="AM53" s="3" t="s">
        <v>1328</v>
      </c>
      <c r="AN53" s="3" t="s">
        <v>1336</v>
      </c>
      <c r="AO53" s="3" t="s">
        <v>1328</v>
      </c>
      <c r="AP53" s="3" t="s">
        <v>1336</v>
      </c>
      <c r="AQ53" s="3" t="s">
        <v>1328</v>
      </c>
      <c r="AR53" s="3" t="s">
        <v>1336</v>
      </c>
      <c r="AS53" s="3" t="s">
        <v>1350</v>
      </c>
      <c r="AT53" s="3" t="s">
        <v>1351</v>
      </c>
      <c r="AU53" s="3" t="s">
        <v>1363</v>
      </c>
      <c r="AV53" s="3" t="s">
        <v>1388</v>
      </c>
      <c r="AW53" s="3" t="s">
        <v>1328</v>
      </c>
      <c r="AX53" s="3" t="s">
        <v>5027</v>
      </c>
    </row>
    <row r="54" ht="12.75" customHeight="1">
      <c r="A54" s="3" t="s">
        <v>26</v>
      </c>
      <c r="B54" s="3" t="s">
        <v>4228</v>
      </c>
      <c r="C54" s="3" t="s">
        <v>1737</v>
      </c>
      <c r="D54" s="3" t="s">
        <v>2364</v>
      </c>
      <c r="E54" s="3" t="s">
        <v>38</v>
      </c>
      <c r="F54" s="3" t="s">
        <v>4229</v>
      </c>
      <c r="G54" s="3" t="s">
        <v>4230</v>
      </c>
      <c r="H54" s="3" t="s">
        <v>1738</v>
      </c>
      <c r="I54" s="3" t="s">
        <v>3737</v>
      </c>
      <c r="J54" s="3" t="s">
        <v>2509</v>
      </c>
      <c r="K54" s="3" t="s">
        <v>3741</v>
      </c>
      <c r="L54" s="3" t="s">
        <v>3742</v>
      </c>
      <c r="M54" s="3" t="s">
        <v>2557</v>
      </c>
      <c r="N54" s="3">
        <v>2012.0</v>
      </c>
      <c r="O54" s="3" t="s">
        <v>1739</v>
      </c>
      <c r="P54" s="25" t="str">
        <f>HYPERLINK("http://dx.doi.org/10.1093/icesjms/fss072","http://dx.doi.org/10.1093/icesjms/fss072")</f>
        <v>http://dx.doi.org/10.1093/icesjms/fss072</v>
      </c>
      <c r="Q54" s="3" t="s">
        <v>3744</v>
      </c>
      <c r="R54" s="3" t="s">
        <v>3744</v>
      </c>
      <c r="S54" s="3" t="s">
        <v>2383</v>
      </c>
      <c r="T54" s="3" t="s">
        <v>4240</v>
      </c>
      <c r="U54" s="3" t="s">
        <v>1545</v>
      </c>
      <c r="V54" s="3" t="s">
        <v>1470</v>
      </c>
      <c r="W54" s="3" t="s">
        <v>1328</v>
      </c>
      <c r="X54" s="3" t="s">
        <v>1328</v>
      </c>
      <c r="Y54" s="3" t="s">
        <v>1328</v>
      </c>
      <c r="Z54" s="3" t="s">
        <v>1328</v>
      </c>
      <c r="AA54" s="3" t="s">
        <v>1328</v>
      </c>
      <c r="AB54" s="3" t="s">
        <v>1328</v>
      </c>
      <c r="AC54" s="3" t="s">
        <v>1470</v>
      </c>
      <c r="AD54" s="3" t="s">
        <v>1328</v>
      </c>
      <c r="AE54" s="3" t="s">
        <v>1329</v>
      </c>
      <c r="AF54" s="3" t="s">
        <v>1330</v>
      </c>
      <c r="AG54" s="3" t="s">
        <v>1331</v>
      </c>
      <c r="AH54" s="3" t="s">
        <v>1347</v>
      </c>
      <c r="AI54" s="3" t="s">
        <v>1360</v>
      </c>
      <c r="AJ54" s="3" t="s">
        <v>1361</v>
      </c>
      <c r="AK54" s="3" t="s">
        <v>1349</v>
      </c>
      <c r="AL54" s="3">
        <v>2.0</v>
      </c>
      <c r="AM54" s="3" t="s">
        <v>1328</v>
      </c>
      <c r="AN54" s="3" t="s">
        <v>1336</v>
      </c>
      <c r="AO54" s="3" t="s">
        <v>1336</v>
      </c>
      <c r="AP54" s="3" t="s">
        <v>1336</v>
      </c>
      <c r="AQ54" s="3" t="s">
        <v>1328</v>
      </c>
      <c r="AR54" s="3" t="s">
        <v>1336</v>
      </c>
      <c r="AS54" s="3" t="s">
        <v>1350</v>
      </c>
      <c r="AT54" s="3" t="s">
        <v>1351</v>
      </c>
      <c r="AU54" s="3" t="s">
        <v>1339</v>
      </c>
      <c r="AV54" s="3" t="s">
        <v>1331</v>
      </c>
      <c r="AW54" s="3" t="s">
        <v>1328</v>
      </c>
      <c r="AX54" s="3" t="s">
        <v>5028</v>
      </c>
    </row>
    <row r="55" ht="12.75" customHeight="1">
      <c r="A55" s="3" t="s">
        <v>26</v>
      </c>
      <c r="B55" s="3" t="s">
        <v>4502</v>
      </c>
      <c r="C55" s="3" t="s">
        <v>1743</v>
      </c>
      <c r="D55" s="3" t="s">
        <v>2364</v>
      </c>
      <c r="E55" s="3" t="s">
        <v>38</v>
      </c>
      <c r="F55" s="3" t="s">
        <v>1324</v>
      </c>
      <c r="G55" s="3" t="s">
        <v>4503</v>
      </c>
      <c r="H55" s="3" t="s">
        <v>1744</v>
      </c>
      <c r="I55" s="3" t="s">
        <v>4513</v>
      </c>
      <c r="J55" s="3" t="s">
        <v>4514</v>
      </c>
      <c r="K55" s="3" t="s">
        <v>4518</v>
      </c>
      <c r="L55" s="3" t="s">
        <v>4519</v>
      </c>
      <c r="M55" s="3" t="s">
        <v>2515</v>
      </c>
      <c r="N55" s="3">
        <v>2010.0</v>
      </c>
      <c r="O55" s="3" t="s">
        <v>1745</v>
      </c>
      <c r="P55" s="25" t="str">
        <f>HYPERLINK("http://dx.doi.org/10.1093/icb/icq072","http://dx.doi.org/10.1093/icb/icq072")</f>
        <v>http://dx.doi.org/10.1093/icb/icq072</v>
      </c>
      <c r="Q55" s="3" t="s">
        <v>2691</v>
      </c>
      <c r="R55" s="3" t="s">
        <v>2691</v>
      </c>
      <c r="S55" s="3" t="s">
        <v>2383</v>
      </c>
      <c r="T55" s="3" t="s">
        <v>4521</v>
      </c>
      <c r="U55" s="3" t="s">
        <v>1402</v>
      </c>
      <c r="V55" s="3" t="s">
        <v>1436</v>
      </c>
      <c r="W55" s="3" t="s">
        <v>1328</v>
      </c>
      <c r="X55" s="3" t="s">
        <v>1328</v>
      </c>
      <c r="Y55" s="3" t="s">
        <v>1328</v>
      </c>
      <c r="Z55" s="3" t="s">
        <v>1328</v>
      </c>
      <c r="AA55" s="3" t="s">
        <v>1328</v>
      </c>
      <c r="AB55" s="3" t="s">
        <v>1328</v>
      </c>
      <c r="AC55" s="3" t="s">
        <v>1436</v>
      </c>
      <c r="AD55" s="3" t="s">
        <v>1328</v>
      </c>
      <c r="AE55" s="3" t="s">
        <v>1443</v>
      </c>
      <c r="AF55" s="3" t="s">
        <v>1330</v>
      </c>
      <c r="AG55" s="3" t="s">
        <v>1330</v>
      </c>
      <c r="AH55" s="3" t="s">
        <v>1332</v>
      </c>
      <c r="AI55" s="3" t="s">
        <v>1360</v>
      </c>
      <c r="AJ55" s="3" t="s">
        <v>1348</v>
      </c>
      <c r="AK55" s="3" t="s">
        <v>1349</v>
      </c>
      <c r="AL55" s="3">
        <v>3.0</v>
      </c>
      <c r="AM55" s="3" t="s">
        <v>1328</v>
      </c>
      <c r="AN55" s="3" t="s">
        <v>1328</v>
      </c>
      <c r="AO55" s="3" t="s">
        <v>1328</v>
      </c>
      <c r="AP55" s="3" t="s">
        <v>1336</v>
      </c>
      <c r="AQ55" s="3" t="s">
        <v>1336</v>
      </c>
      <c r="AR55" s="3" t="s">
        <v>1336</v>
      </c>
      <c r="AS55" s="3" t="s">
        <v>1395</v>
      </c>
      <c r="AT55" s="3" t="s">
        <v>1338</v>
      </c>
      <c r="AU55" s="3" t="s">
        <v>1339</v>
      </c>
      <c r="AV55" s="3" t="s">
        <v>1374</v>
      </c>
      <c r="AW55" s="3" t="s">
        <v>1328</v>
      </c>
      <c r="AX55" s="3" t="s">
        <v>5028</v>
      </c>
    </row>
    <row r="56" ht="12.75" customHeight="1">
      <c r="A56" s="3" t="s">
        <v>26</v>
      </c>
      <c r="B56" s="3" t="s">
        <v>2581</v>
      </c>
      <c r="C56" s="3" t="s">
        <v>1748</v>
      </c>
      <c r="D56" s="3" t="s">
        <v>2364</v>
      </c>
      <c r="E56" s="3" t="s">
        <v>38</v>
      </c>
      <c r="F56" s="3" t="s">
        <v>2582</v>
      </c>
      <c r="G56" s="3" t="s">
        <v>2583</v>
      </c>
      <c r="H56" s="3" t="s">
        <v>1749</v>
      </c>
      <c r="I56" s="3" t="s">
        <v>2590</v>
      </c>
      <c r="J56" s="3" t="s">
        <v>2591</v>
      </c>
      <c r="K56" s="3" t="s">
        <v>2594</v>
      </c>
      <c r="L56" s="3" t="s">
        <v>2595</v>
      </c>
      <c r="M56" s="3" t="s">
        <v>2557</v>
      </c>
      <c r="N56" s="3">
        <v>2018.0</v>
      </c>
      <c r="O56" s="3" t="s">
        <v>1750</v>
      </c>
      <c r="P56" s="25" t="str">
        <f>HYPERLINK("http://dx.doi.org/10.1088/1748-9326/aacd1c","http://dx.doi.org/10.1088/1748-9326/aacd1c")</f>
        <v>http://dx.doi.org/10.1088/1748-9326/aacd1c</v>
      </c>
      <c r="Q56" s="3" t="s">
        <v>322</v>
      </c>
      <c r="R56" s="3" t="s">
        <v>2596</v>
      </c>
      <c r="S56" s="3" t="s">
        <v>2383</v>
      </c>
      <c r="T56" s="3" t="s">
        <v>2599</v>
      </c>
      <c r="U56" s="3" t="s">
        <v>1614</v>
      </c>
      <c r="V56" s="3" t="s">
        <v>1417</v>
      </c>
      <c r="W56" s="3" t="s">
        <v>1328</v>
      </c>
      <c r="X56" s="3" t="s">
        <v>1328</v>
      </c>
      <c r="Y56" s="3" t="s">
        <v>1328</v>
      </c>
      <c r="Z56" s="3" t="s">
        <v>1328</v>
      </c>
      <c r="AA56" s="3" t="s">
        <v>1328</v>
      </c>
      <c r="AB56" s="3" t="s">
        <v>1328</v>
      </c>
      <c r="AC56" s="3" t="s">
        <v>1417</v>
      </c>
      <c r="AD56" s="3" t="s">
        <v>1328</v>
      </c>
      <c r="AE56" s="3" t="s">
        <v>1329</v>
      </c>
      <c r="AF56" s="3" t="s">
        <v>1330</v>
      </c>
      <c r="AG56" s="3" t="s">
        <v>1330</v>
      </c>
      <c r="AH56" s="3" t="s">
        <v>1347</v>
      </c>
      <c r="AI56" s="3" t="s">
        <v>1444</v>
      </c>
      <c r="AJ56" s="3" t="s">
        <v>1476</v>
      </c>
      <c r="AK56" s="3" t="s">
        <v>1362</v>
      </c>
      <c r="AL56" s="3">
        <v>2.0</v>
      </c>
      <c r="AM56" s="3" t="s">
        <v>1336</v>
      </c>
      <c r="AN56" s="3" t="s">
        <v>1328</v>
      </c>
      <c r="AO56" s="3" t="s">
        <v>1328</v>
      </c>
      <c r="AP56" s="3" t="s">
        <v>1336</v>
      </c>
      <c r="AQ56" s="3" t="s">
        <v>1336</v>
      </c>
      <c r="AR56" s="3" t="s">
        <v>1336</v>
      </c>
      <c r="AS56" s="3" t="s">
        <v>1350</v>
      </c>
      <c r="AT56" s="3" t="s">
        <v>1351</v>
      </c>
      <c r="AU56" s="3" t="s">
        <v>1339</v>
      </c>
      <c r="AV56" s="3" t="s">
        <v>1331</v>
      </c>
      <c r="AW56" s="3" t="s">
        <v>1328</v>
      </c>
      <c r="AX56" s="3" t="s">
        <v>5028</v>
      </c>
    </row>
    <row r="57" ht="12.75" customHeight="1">
      <c r="A57" s="3" t="s">
        <v>26</v>
      </c>
      <c r="B57" s="3" t="s">
        <v>2620</v>
      </c>
      <c r="C57" s="3" t="s">
        <v>1753</v>
      </c>
      <c r="D57" s="3" t="s">
        <v>2364</v>
      </c>
      <c r="E57" s="3" t="s">
        <v>38</v>
      </c>
      <c r="F57" s="3" t="s">
        <v>2621</v>
      </c>
      <c r="G57" s="3" t="s">
        <v>2622</v>
      </c>
      <c r="H57" s="3" t="s">
        <v>1754</v>
      </c>
      <c r="I57" s="3" t="s">
        <v>2590</v>
      </c>
      <c r="J57" s="3" t="s">
        <v>2591</v>
      </c>
      <c r="K57" s="3" t="s">
        <v>2594</v>
      </c>
      <c r="L57" s="3" t="s">
        <v>2595</v>
      </c>
      <c r="M57" s="3" t="s">
        <v>2632</v>
      </c>
      <c r="N57" s="3">
        <v>2018.0</v>
      </c>
      <c r="O57" s="3" t="s">
        <v>1755</v>
      </c>
      <c r="P57" s="25" t="str">
        <f>HYPERLINK("http://dx.doi.org/10.1088/1748-9326/aac331","http://dx.doi.org/10.1088/1748-9326/aac331")</f>
        <v>http://dx.doi.org/10.1088/1748-9326/aac331</v>
      </c>
      <c r="Q57" s="3" t="s">
        <v>322</v>
      </c>
      <c r="R57" s="3" t="s">
        <v>2596</v>
      </c>
      <c r="S57" s="3" t="s">
        <v>2383</v>
      </c>
      <c r="T57" s="3" t="s">
        <v>2634</v>
      </c>
      <c r="U57" s="3" t="s">
        <v>1614</v>
      </c>
      <c r="V57" s="3" t="s">
        <v>1327</v>
      </c>
      <c r="W57" s="3" t="s">
        <v>1328</v>
      </c>
      <c r="X57" s="3" t="s">
        <v>1328</v>
      </c>
      <c r="Y57" s="3" t="s">
        <v>1328</v>
      </c>
      <c r="Z57" s="3" t="s">
        <v>1328</v>
      </c>
      <c r="AA57" s="3" t="s">
        <v>1328</v>
      </c>
      <c r="AB57" s="3" t="s">
        <v>1328</v>
      </c>
      <c r="AC57" s="3" t="s">
        <v>1327</v>
      </c>
      <c r="AD57" s="3" t="s">
        <v>1328</v>
      </c>
      <c r="AE57" s="3" t="s">
        <v>1329</v>
      </c>
      <c r="AF57" s="3" t="s">
        <v>1523</v>
      </c>
      <c r="AG57" s="3" t="s">
        <v>1330</v>
      </c>
      <c r="AH57" s="3" t="s">
        <v>1347</v>
      </c>
      <c r="AI57" s="3" t="s">
        <v>1360</v>
      </c>
      <c r="AJ57" s="3" t="s">
        <v>1348</v>
      </c>
      <c r="AK57" s="3" t="s">
        <v>1464</v>
      </c>
      <c r="AL57" s="3">
        <v>2.0</v>
      </c>
      <c r="AM57" s="3" t="s">
        <v>1336</v>
      </c>
      <c r="AN57" s="3" t="s">
        <v>1336</v>
      </c>
      <c r="AO57" s="3" t="s">
        <v>1328</v>
      </c>
      <c r="AP57" s="3" t="s">
        <v>1336</v>
      </c>
      <c r="AQ57" s="3" t="s">
        <v>1336</v>
      </c>
      <c r="AR57" s="3" t="s">
        <v>1328</v>
      </c>
      <c r="AS57" s="3" t="s">
        <v>1395</v>
      </c>
      <c r="AT57" s="3" t="s">
        <v>1351</v>
      </c>
      <c r="AU57" s="3" t="s">
        <v>1363</v>
      </c>
      <c r="AV57" s="3" t="s">
        <v>1331</v>
      </c>
      <c r="AW57" s="3" t="s">
        <v>1328</v>
      </c>
      <c r="AX57" s="3" t="s">
        <v>5027</v>
      </c>
    </row>
    <row r="58" ht="12.75" customHeight="1">
      <c r="A58" s="3" t="s">
        <v>26</v>
      </c>
      <c r="B58" s="3" t="s">
        <v>4078</v>
      </c>
      <c r="C58" s="3" t="s">
        <v>1758</v>
      </c>
      <c r="D58" s="3" t="s">
        <v>2364</v>
      </c>
      <c r="E58" s="3" t="s">
        <v>38</v>
      </c>
      <c r="F58" s="3" t="s">
        <v>4079</v>
      </c>
      <c r="G58" s="3" t="s">
        <v>4080</v>
      </c>
      <c r="H58" s="3" t="s">
        <v>1759</v>
      </c>
      <c r="I58" s="3" t="s">
        <v>2590</v>
      </c>
      <c r="J58" s="3" t="s">
        <v>2591</v>
      </c>
      <c r="K58" s="3" t="s">
        <v>2594</v>
      </c>
      <c r="L58" s="3" t="s">
        <v>2595</v>
      </c>
      <c r="M58" s="3" t="s">
        <v>4087</v>
      </c>
      <c r="N58" s="3">
        <v>2013.0</v>
      </c>
      <c r="O58" s="3" t="s">
        <v>1760</v>
      </c>
      <c r="P58" s="25" t="str">
        <f>HYPERLINK("http://dx.doi.org/10.1088/1748-9326/8/2/024034","http://dx.doi.org/10.1088/1748-9326/8/2/024034")</f>
        <v>http://dx.doi.org/10.1088/1748-9326/8/2/024034</v>
      </c>
      <c r="Q58" s="3" t="s">
        <v>322</v>
      </c>
      <c r="R58" s="3" t="s">
        <v>2596</v>
      </c>
      <c r="S58" s="3" t="s">
        <v>2383</v>
      </c>
      <c r="T58" s="3" t="s">
        <v>4089</v>
      </c>
      <c r="U58" s="3" t="s">
        <v>1614</v>
      </c>
      <c r="V58" s="3" t="s">
        <v>1470</v>
      </c>
      <c r="W58" s="3" t="s">
        <v>1328</v>
      </c>
      <c r="X58" s="3" t="s">
        <v>1328</v>
      </c>
      <c r="Y58" s="3" t="s">
        <v>1328</v>
      </c>
      <c r="Z58" s="3" t="s">
        <v>1328</v>
      </c>
      <c r="AA58" s="3" t="s">
        <v>1328</v>
      </c>
      <c r="AB58" s="3" t="s">
        <v>1328</v>
      </c>
      <c r="AC58" s="3" t="s">
        <v>1470</v>
      </c>
      <c r="AD58" s="3" t="s">
        <v>1328</v>
      </c>
      <c r="AE58" s="3" t="s">
        <v>1329</v>
      </c>
      <c r="AF58" s="3" t="s">
        <v>1372</v>
      </c>
      <c r="AG58" s="3" t="s">
        <v>1331</v>
      </c>
      <c r="AH58" s="3" t="s">
        <v>1347</v>
      </c>
      <c r="AI58" s="3" t="s">
        <v>1333</v>
      </c>
      <c r="AJ58" s="3" t="s">
        <v>1334</v>
      </c>
      <c r="AK58" s="3" t="s">
        <v>1362</v>
      </c>
      <c r="AL58" s="3">
        <v>3.0</v>
      </c>
      <c r="AM58" s="3" t="s">
        <v>1336</v>
      </c>
      <c r="AN58" s="3" t="s">
        <v>1328</v>
      </c>
      <c r="AO58" s="3" t="s">
        <v>1328</v>
      </c>
      <c r="AP58" s="3" t="s">
        <v>1328</v>
      </c>
      <c r="AQ58" s="3" t="s">
        <v>1336</v>
      </c>
      <c r="AR58" s="3" t="s">
        <v>1336</v>
      </c>
      <c r="AS58" s="3" t="s">
        <v>1350</v>
      </c>
      <c r="AT58" s="3" t="s">
        <v>1351</v>
      </c>
      <c r="AU58" s="3" t="s">
        <v>1363</v>
      </c>
      <c r="AV58" s="3" t="s">
        <v>1331</v>
      </c>
      <c r="AW58" s="3" t="s">
        <v>1328</v>
      </c>
      <c r="AX58" s="3" t="s">
        <v>5027</v>
      </c>
    </row>
    <row r="59" ht="12.75" customHeight="1">
      <c r="A59" s="3" t="s">
        <v>26</v>
      </c>
      <c r="B59" s="3" t="s">
        <v>4805</v>
      </c>
      <c r="C59" s="3" t="s">
        <v>1764</v>
      </c>
      <c r="D59" s="3" t="s">
        <v>2364</v>
      </c>
      <c r="E59" s="3" t="s">
        <v>38</v>
      </c>
      <c r="F59" s="3" t="s">
        <v>4806</v>
      </c>
      <c r="G59" s="3" t="s">
        <v>4807</v>
      </c>
      <c r="H59" s="3" t="s">
        <v>1765</v>
      </c>
      <c r="I59" s="3" t="s">
        <v>3181</v>
      </c>
      <c r="J59" s="3" t="s">
        <v>3182</v>
      </c>
      <c r="K59" s="3" t="s">
        <v>4816</v>
      </c>
      <c r="L59" s="3" t="s">
        <v>4817</v>
      </c>
      <c r="M59" s="3" t="s">
        <v>4087</v>
      </c>
      <c r="N59" s="3">
        <v>2007.0</v>
      </c>
      <c r="O59" s="3" t="s">
        <v>1766</v>
      </c>
      <c r="P59" s="25" t="str">
        <f>HYPERLINK("http://dx.doi.org/10.1080/14634980701350686","http://dx.doi.org/10.1080/14634980701350686")</f>
        <v>http://dx.doi.org/10.1080/14634980701350686</v>
      </c>
      <c r="Q59" s="3" t="s">
        <v>4818</v>
      </c>
      <c r="R59" s="3" t="s">
        <v>2820</v>
      </c>
      <c r="S59" s="3" t="s">
        <v>2383</v>
      </c>
      <c r="T59" s="3" t="s">
        <v>4820</v>
      </c>
      <c r="U59" s="3" t="s">
        <v>1522</v>
      </c>
      <c r="V59" s="3" t="s">
        <v>1327</v>
      </c>
      <c r="W59" s="3" t="s">
        <v>1328</v>
      </c>
      <c r="X59" s="3" t="s">
        <v>1328</v>
      </c>
      <c r="Y59" s="3" t="s">
        <v>1328</v>
      </c>
      <c r="Z59" s="3" t="s">
        <v>1328</v>
      </c>
      <c r="AA59" s="3" t="s">
        <v>1328</v>
      </c>
      <c r="AB59" s="3" t="s">
        <v>1328</v>
      </c>
      <c r="AC59" s="3" t="s">
        <v>1327</v>
      </c>
      <c r="AD59" s="3" t="s">
        <v>1328</v>
      </c>
      <c r="AE59" s="3" t="s">
        <v>1443</v>
      </c>
      <c r="AF59" s="3" t="s">
        <v>1523</v>
      </c>
      <c r="AG59" s="3" t="s">
        <v>1372</v>
      </c>
      <c r="AH59" s="3" t="s">
        <v>1332</v>
      </c>
      <c r="AI59" s="3" t="s">
        <v>1360</v>
      </c>
      <c r="AJ59" s="3" t="s">
        <v>1348</v>
      </c>
      <c r="AK59" s="3" t="s">
        <v>1530</v>
      </c>
      <c r="AL59" s="3">
        <v>4.0</v>
      </c>
      <c r="AM59" s="3" t="s">
        <v>1336</v>
      </c>
      <c r="AN59" s="3" t="s">
        <v>1328</v>
      </c>
      <c r="AO59" s="3" t="s">
        <v>1328</v>
      </c>
      <c r="AP59" s="3" t="s">
        <v>1328</v>
      </c>
      <c r="AQ59" s="3" t="s">
        <v>1328</v>
      </c>
      <c r="AR59" s="3" t="s">
        <v>1336</v>
      </c>
      <c r="AS59" s="3" t="s">
        <v>1395</v>
      </c>
      <c r="AT59" s="3" t="s">
        <v>1338</v>
      </c>
      <c r="AU59" s="3" t="s">
        <v>1339</v>
      </c>
      <c r="AV59" s="3" t="s">
        <v>1331</v>
      </c>
      <c r="AW59" s="3" t="s">
        <v>1328</v>
      </c>
      <c r="AX59" s="3" t="s">
        <v>5027</v>
      </c>
    </row>
    <row r="60" ht="12.75" customHeight="1">
      <c r="A60" s="3" t="s">
        <v>26</v>
      </c>
      <c r="B60" s="3" t="s">
        <v>3173</v>
      </c>
      <c r="C60" s="3" t="s">
        <v>1770</v>
      </c>
      <c r="D60" s="3" t="s">
        <v>2364</v>
      </c>
      <c r="E60" s="3" t="s">
        <v>38</v>
      </c>
      <c r="F60" s="3" t="s">
        <v>3174</v>
      </c>
      <c r="G60" s="3" t="s">
        <v>3175</v>
      </c>
      <c r="H60" s="3" t="s">
        <v>1771</v>
      </c>
      <c r="I60" s="3" t="s">
        <v>3181</v>
      </c>
      <c r="J60" s="3" t="s">
        <v>3182</v>
      </c>
      <c r="K60" s="3" t="s">
        <v>3186</v>
      </c>
      <c r="L60" s="3" t="s">
        <v>3187</v>
      </c>
      <c r="M60" s="3" t="s">
        <v>1324</v>
      </c>
      <c r="N60" s="3">
        <v>2017.0</v>
      </c>
      <c r="O60" s="3" t="s">
        <v>1772</v>
      </c>
      <c r="P60" s="25" t="str">
        <f>HYPERLINK("http://dx.doi.org/10.1080/02705060.2017.1319431","http://dx.doi.org/10.1080/02705060.2017.1319431")</f>
        <v>http://dx.doi.org/10.1080/02705060.2017.1319431</v>
      </c>
      <c r="Q60" s="3" t="s">
        <v>3188</v>
      </c>
      <c r="R60" s="3" t="s">
        <v>2516</v>
      </c>
      <c r="S60" s="3" t="s">
        <v>2383</v>
      </c>
      <c r="T60" s="3" t="s">
        <v>3190</v>
      </c>
      <c r="U60" s="3" t="s">
        <v>1580</v>
      </c>
      <c r="V60" s="3" t="s">
        <v>1387</v>
      </c>
      <c r="W60" s="3" t="s">
        <v>1328</v>
      </c>
      <c r="X60" s="3" t="s">
        <v>1328</v>
      </c>
      <c r="Y60" s="3" t="s">
        <v>1328</v>
      </c>
      <c r="Z60" s="3" t="s">
        <v>1328</v>
      </c>
      <c r="AA60" s="3" t="s">
        <v>1328</v>
      </c>
      <c r="AB60" s="3" t="s">
        <v>1328</v>
      </c>
      <c r="AC60" s="3" t="s">
        <v>1387</v>
      </c>
      <c r="AD60" s="3" t="s">
        <v>1328</v>
      </c>
      <c r="AE60" s="3" t="s">
        <v>1329</v>
      </c>
      <c r="AF60" s="3" t="s">
        <v>1372</v>
      </c>
      <c r="AG60" s="3" t="s">
        <v>1331</v>
      </c>
      <c r="AH60" s="3" t="s">
        <v>1347</v>
      </c>
      <c r="AI60" s="3" t="s">
        <v>1333</v>
      </c>
      <c r="AJ60" s="3" t="s">
        <v>1348</v>
      </c>
      <c r="AK60" s="3" t="s">
        <v>1530</v>
      </c>
      <c r="AL60" s="3">
        <v>2.0</v>
      </c>
      <c r="AM60" s="3" t="s">
        <v>1336</v>
      </c>
      <c r="AN60" s="3" t="s">
        <v>1336</v>
      </c>
      <c r="AO60" s="3" t="s">
        <v>1328</v>
      </c>
      <c r="AP60" s="3" t="s">
        <v>1336</v>
      </c>
      <c r="AQ60" s="3" t="s">
        <v>1328</v>
      </c>
      <c r="AR60" s="3" t="s">
        <v>1336</v>
      </c>
      <c r="AS60" s="3" t="s">
        <v>1350</v>
      </c>
      <c r="AT60" s="3" t="s">
        <v>1351</v>
      </c>
      <c r="AU60" s="3" t="s">
        <v>1363</v>
      </c>
      <c r="AV60" s="3" t="s">
        <v>1374</v>
      </c>
      <c r="AW60" s="3" t="s">
        <v>1328</v>
      </c>
      <c r="AX60" s="3" t="s">
        <v>5027</v>
      </c>
    </row>
    <row r="61" ht="12.75" customHeight="1">
      <c r="A61" s="3" t="s">
        <v>26</v>
      </c>
      <c r="B61" s="3" t="s">
        <v>2779</v>
      </c>
      <c r="C61" s="3" t="s">
        <v>1775</v>
      </c>
      <c r="D61" s="3" t="s">
        <v>2364</v>
      </c>
      <c r="E61" s="3" t="s">
        <v>38</v>
      </c>
      <c r="F61" s="3" t="s">
        <v>2780</v>
      </c>
      <c r="G61" s="3" t="s">
        <v>2781</v>
      </c>
      <c r="H61" s="3" t="s">
        <v>1776</v>
      </c>
      <c r="I61" s="3" t="s">
        <v>2791</v>
      </c>
      <c r="J61" s="3" t="s">
        <v>2792</v>
      </c>
      <c r="K61" s="3" t="s">
        <v>2796</v>
      </c>
      <c r="L61" s="3" t="s">
        <v>2797</v>
      </c>
      <c r="M61" s="3" t="s">
        <v>2798</v>
      </c>
      <c r="N61" s="3">
        <v>2018.0</v>
      </c>
      <c r="O61" s="3" t="s">
        <v>1777</v>
      </c>
      <c r="P61" s="25" t="str">
        <f>HYPERLINK("http://dx.doi.org/10.1073/pnas.1711122115","http://dx.doi.org/10.1073/pnas.1711122115")</f>
        <v>http://dx.doi.org/10.1073/pnas.1711122115</v>
      </c>
      <c r="Q61" s="3" t="s">
        <v>42</v>
      </c>
      <c r="R61" s="3" t="s">
        <v>2430</v>
      </c>
      <c r="S61" s="3" t="s">
        <v>2383</v>
      </c>
      <c r="T61" s="3" t="s">
        <v>2800</v>
      </c>
      <c r="U61" s="3" t="s">
        <v>1580</v>
      </c>
      <c r="V61" s="3" t="s">
        <v>1387</v>
      </c>
      <c r="W61" s="3" t="s">
        <v>1328</v>
      </c>
      <c r="X61" s="3" t="s">
        <v>1328</v>
      </c>
      <c r="Y61" s="3" t="s">
        <v>1328</v>
      </c>
      <c r="Z61" s="3" t="s">
        <v>1328</v>
      </c>
      <c r="AA61" s="3" t="s">
        <v>1328</v>
      </c>
      <c r="AB61" s="3" t="s">
        <v>1328</v>
      </c>
      <c r="AC61" s="3" t="s">
        <v>1387</v>
      </c>
      <c r="AD61" s="3" t="s">
        <v>1328</v>
      </c>
      <c r="AE61" s="3" t="s">
        <v>1329</v>
      </c>
      <c r="AF61" s="3" t="s">
        <v>1330</v>
      </c>
      <c r="AG61" s="3" t="s">
        <v>1331</v>
      </c>
      <c r="AH61" s="3" t="s">
        <v>1347</v>
      </c>
      <c r="AI61" s="3" t="s">
        <v>1360</v>
      </c>
      <c r="AJ61" s="3" t="s">
        <v>1348</v>
      </c>
      <c r="AK61" s="3" t="s">
        <v>1349</v>
      </c>
      <c r="AL61" s="3">
        <v>3.0</v>
      </c>
      <c r="AM61" s="3" t="s">
        <v>1328</v>
      </c>
      <c r="AN61" s="3" t="s">
        <v>1336</v>
      </c>
      <c r="AO61" s="3" t="s">
        <v>1328</v>
      </c>
      <c r="AP61" s="3" t="s">
        <v>1336</v>
      </c>
      <c r="AQ61" s="3" t="s">
        <v>1336</v>
      </c>
      <c r="AR61" s="3" t="s">
        <v>1328</v>
      </c>
      <c r="AS61" s="3" t="s">
        <v>1350</v>
      </c>
      <c r="AT61" s="3" t="s">
        <v>1351</v>
      </c>
      <c r="AU61" s="3" t="s">
        <v>1363</v>
      </c>
      <c r="AV61" s="3" t="s">
        <v>1388</v>
      </c>
      <c r="AW61" s="3" t="s">
        <v>1328</v>
      </c>
      <c r="AX61" s="3" t="s">
        <v>5028</v>
      </c>
    </row>
    <row r="62" ht="12.75" customHeight="1">
      <c r="A62" s="3" t="s">
        <v>26</v>
      </c>
      <c r="B62" s="3" t="s">
        <v>4451</v>
      </c>
      <c r="C62" s="3" t="s">
        <v>1781</v>
      </c>
      <c r="D62" s="3" t="s">
        <v>2364</v>
      </c>
      <c r="E62" s="3" t="s">
        <v>38</v>
      </c>
      <c r="F62" s="3" t="s">
        <v>4453</v>
      </c>
      <c r="G62" s="3" t="s">
        <v>4454</v>
      </c>
      <c r="H62" s="3" t="s">
        <v>1782</v>
      </c>
      <c r="I62" s="3" t="s">
        <v>4464</v>
      </c>
      <c r="J62" s="3" t="s">
        <v>4465</v>
      </c>
      <c r="K62" s="3" t="s">
        <v>1780</v>
      </c>
      <c r="L62" s="3" t="s">
        <v>4469</v>
      </c>
      <c r="M62" s="3" t="s">
        <v>1324</v>
      </c>
      <c r="N62" s="3">
        <v>2011.0</v>
      </c>
      <c r="O62" s="3" t="s">
        <v>1783</v>
      </c>
      <c r="P62" s="25" t="str">
        <f>HYPERLINK("http://dx.doi.org/10.1071/MU10009","http://dx.doi.org/10.1071/MU10009")</f>
        <v>http://dx.doi.org/10.1071/MU10009</v>
      </c>
      <c r="Q62" s="3" t="s">
        <v>273</v>
      </c>
      <c r="R62" s="3" t="s">
        <v>2691</v>
      </c>
      <c r="S62" s="3" t="s">
        <v>2383</v>
      </c>
      <c r="T62" s="3" t="s">
        <v>4471</v>
      </c>
      <c r="U62" s="3" t="s">
        <v>1482</v>
      </c>
      <c r="V62" s="3" t="s">
        <v>1403</v>
      </c>
      <c r="W62" s="3" t="s">
        <v>1328</v>
      </c>
      <c r="X62" s="3" t="s">
        <v>1328</v>
      </c>
      <c r="Y62" s="3" t="s">
        <v>1328</v>
      </c>
      <c r="Z62" s="3" t="s">
        <v>1328</v>
      </c>
      <c r="AA62" s="3" t="s">
        <v>1328</v>
      </c>
      <c r="AB62" s="3" t="s">
        <v>1328</v>
      </c>
      <c r="AC62" s="3" t="s">
        <v>1403</v>
      </c>
      <c r="AD62" s="3" t="s">
        <v>1328</v>
      </c>
      <c r="AE62" s="3" t="s">
        <v>1329</v>
      </c>
      <c r="AF62" s="3" t="s">
        <v>1330</v>
      </c>
      <c r="AG62" s="3" t="s">
        <v>1331</v>
      </c>
      <c r="AH62" s="3" t="s">
        <v>1347</v>
      </c>
      <c r="AI62" s="3" t="s">
        <v>1333</v>
      </c>
      <c r="AJ62" s="3" t="s">
        <v>1381</v>
      </c>
      <c r="AK62" s="3" t="s">
        <v>1362</v>
      </c>
      <c r="AL62" s="3">
        <v>3.0</v>
      </c>
      <c r="AM62" s="3" t="s">
        <v>1328</v>
      </c>
      <c r="AN62" s="3" t="s">
        <v>1328</v>
      </c>
      <c r="AO62" s="3" t="s">
        <v>1336</v>
      </c>
      <c r="AP62" s="3" t="s">
        <v>1336</v>
      </c>
      <c r="AQ62" s="3" t="s">
        <v>1336</v>
      </c>
      <c r="AR62" s="3" t="s">
        <v>1328</v>
      </c>
      <c r="AS62" s="3" t="s">
        <v>1350</v>
      </c>
      <c r="AT62" s="3" t="s">
        <v>1351</v>
      </c>
      <c r="AU62" s="3" t="s">
        <v>1363</v>
      </c>
      <c r="AV62" s="3" t="s">
        <v>1331</v>
      </c>
      <c r="AW62" s="3" t="s">
        <v>1328</v>
      </c>
      <c r="AX62" s="3" t="s">
        <v>5027</v>
      </c>
    </row>
    <row r="63" ht="12.75" customHeight="1">
      <c r="A63" s="3" t="s">
        <v>26</v>
      </c>
      <c r="B63" s="3" t="s">
        <v>1785</v>
      </c>
      <c r="C63" s="3" t="s">
        <v>1786</v>
      </c>
      <c r="D63" s="3" t="s">
        <v>2364</v>
      </c>
      <c r="E63" s="3" t="s">
        <v>38</v>
      </c>
      <c r="F63" s="3" t="s">
        <v>4953</v>
      </c>
      <c r="G63" s="3" t="s">
        <v>4954</v>
      </c>
      <c r="H63" s="3" t="s">
        <v>4955</v>
      </c>
      <c r="I63" s="3" t="s">
        <v>2464</v>
      </c>
      <c r="J63" s="3" t="s">
        <v>2465</v>
      </c>
      <c r="K63" s="3" t="s">
        <v>2925</v>
      </c>
      <c r="L63" s="3" t="s">
        <v>2926</v>
      </c>
      <c r="M63" s="3" t="s">
        <v>2632</v>
      </c>
      <c r="N63" s="3">
        <v>2002.0</v>
      </c>
      <c r="O63" s="3" t="s">
        <v>1788</v>
      </c>
      <c r="P63" s="25" t="str">
        <f>HYPERLINK("http://dx.doi.org/10.1046/j.1365-2486.2002.00482.x","http://dx.doi.org/10.1046/j.1365-2486.2002.00482.x")</f>
        <v>http://dx.doi.org/10.1046/j.1365-2486.2002.00482.x</v>
      </c>
      <c r="Q63" s="3" t="s">
        <v>255</v>
      </c>
      <c r="R63" s="3" t="s">
        <v>2577</v>
      </c>
      <c r="S63" s="3" t="s">
        <v>2383</v>
      </c>
      <c r="T63" s="3" t="s">
        <v>4963</v>
      </c>
      <c r="U63" s="3" t="s">
        <v>1614</v>
      </c>
      <c r="V63" s="3" t="s">
        <v>1417</v>
      </c>
      <c r="W63" s="3" t="s">
        <v>1328</v>
      </c>
      <c r="X63" s="3" t="s">
        <v>1328</v>
      </c>
      <c r="Y63" s="3" t="s">
        <v>1328</v>
      </c>
      <c r="Z63" s="3" t="s">
        <v>1328</v>
      </c>
      <c r="AA63" s="3" t="s">
        <v>1328</v>
      </c>
      <c r="AB63" s="3" t="s">
        <v>1328</v>
      </c>
      <c r="AC63" s="3" t="s">
        <v>1417</v>
      </c>
      <c r="AD63" s="3" t="s">
        <v>1328</v>
      </c>
      <c r="AE63" s="3" t="s">
        <v>1329</v>
      </c>
      <c r="AF63" s="3" t="s">
        <v>1331</v>
      </c>
      <c r="AG63" s="3" t="s">
        <v>1372</v>
      </c>
      <c r="AH63" s="3" t="s">
        <v>1347</v>
      </c>
      <c r="AI63" s="3" t="s">
        <v>1360</v>
      </c>
      <c r="AJ63" s="3" t="s">
        <v>1348</v>
      </c>
      <c r="AK63" s="3" t="s">
        <v>1362</v>
      </c>
      <c r="AL63" s="3">
        <v>3.0</v>
      </c>
      <c r="AM63" s="3" t="s">
        <v>1336</v>
      </c>
      <c r="AN63" s="3" t="s">
        <v>1328</v>
      </c>
      <c r="AO63" s="3" t="s">
        <v>1328</v>
      </c>
      <c r="AP63" s="3" t="s">
        <v>1336</v>
      </c>
      <c r="AQ63" s="3" t="s">
        <v>1328</v>
      </c>
      <c r="AR63" s="3" t="s">
        <v>1336</v>
      </c>
      <c r="AS63" s="3" t="s">
        <v>1350</v>
      </c>
      <c r="AT63" s="3" t="s">
        <v>1351</v>
      </c>
      <c r="AU63" s="3" t="s">
        <v>1339</v>
      </c>
      <c r="AV63" s="3" t="s">
        <v>1331</v>
      </c>
      <c r="AW63" s="3" t="s">
        <v>1328</v>
      </c>
      <c r="AX63" s="3" t="s">
        <v>5027</v>
      </c>
    </row>
    <row r="64" ht="12.75" customHeight="1">
      <c r="A64" s="3" t="s">
        <v>26</v>
      </c>
      <c r="B64" s="3" t="s">
        <v>2881</v>
      </c>
      <c r="C64" s="3" t="s">
        <v>1791</v>
      </c>
      <c r="D64" s="3" t="s">
        <v>2364</v>
      </c>
      <c r="E64" s="3" t="s">
        <v>38</v>
      </c>
      <c r="F64" s="3" t="s">
        <v>1324</v>
      </c>
      <c r="G64" s="3" t="s">
        <v>2882</v>
      </c>
      <c r="H64" s="3" t="s">
        <v>1792</v>
      </c>
      <c r="I64" s="3" t="s">
        <v>2870</v>
      </c>
      <c r="J64" s="3" t="s">
        <v>2871</v>
      </c>
      <c r="K64" s="3" t="s">
        <v>2893</v>
      </c>
      <c r="L64" s="3" t="s">
        <v>2894</v>
      </c>
      <c r="M64" s="3" t="s">
        <v>2895</v>
      </c>
      <c r="N64" s="3">
        <v>2017.0</v>
      </c>
      <c r="O64" s="3" t="s">
        <v>1793</v>
      </c>
      <c r="P64" s="25" t="str">
        <f>HYPERLINK("http://dx.doi.org/10.1038/s41467-017-01997-0","http://dx.doi.org/10.1038/s41467-017-01997-0")</f>
        <v>http://dx.doi.org/10.1038/s41467-017-01997-0</v>
      </c>
      <c r="Q64" s="3" t="s">
        <v>42</v>
      </c>
      <c r="R64" s="3" t="s">
        <v>2430</v>
      </c>
      <c r="S64" s="3" t="s">
        <v>2383</v>
      </c>
      <c r="T64" s="3" t="s">
        <v>2898</v>
      </c>
      <c r="U64" s="3" t="s">
        <v>1614</v>
      </c>
      <c r="V64" s="3" t="s">
        <v>1470</v>
      </c>
      <c r="W64" s="3" t="s">
        <v>1328</v>
      </c>
      <c r="X64" s="3" t="s">
        <v>1328</v>
      </c>
      <c r="Y64" s="3" t="s">
        <v>1328</v>
      </c>
      <c r="Z64" s="3" t="s">
        <v>1328</v>
      </c>
      <c r="AA64" s="3" t="s">
        <v>1328</v>
      </c>
      <c r="AB64" s="3" t="s">
        <v>1328</v>
      </c>
      <c r="AC64" s="3" t="s">
        <v>1470</v>
      </c>
      <c r="AD64" s="3" t="s">
        <v>1328</v>
      </c>
      <c r="AE64" s="3" t="s">
        <v>1329</v>
      </c>
      <c r="AF64" s="3" t="s">
        <v>1372</v>
      </c>
      <c r="AG64" s="3" t="s">
        <v>1331</v>
      </c>
      <c r="AH64" s="3" t="s">
        <v>1347</v>
      </c>
      <c r="AI64" s="3" t="s">
        <v>1360</v>
      </c>
      <c r="AJ64" s="3" t="s">
        <v>1381</v>
      </c>
      <c r="AK64" s="3" t="s">
        <v>1362</v>
      </c>
      <c r="AL64" s="3">
        <v>3.0</v>
      </c>
      <c r="AM64" s="3" t="s">
        <v>1328</v>
      </c>
      <c r="AN64" s="3" t="s">
        <v>1328</v>
      </c>
      <c r="AO64" s="3" t="s">
        <v>1328</v>
      </c>
      <c r="AP64" s="3" t="s">
        <v>1336</v>
      </c>
      <c r="AQ64" s="3" t="s">
        <v>1336</v>
      </c>
      <c r="AR64" s="3" t="s">
        <v>1336</v>
      </c>
      <c r="AS64" s="3" t="s">
        <v>1350</v>
      </c>
      <c r="AT64" s="3" t="s">
        <v>1351</v>
      </c>
      <c r="AU64" s="3" t="s">
        <v>1339</v>
      </c>
      <c r="AV64" s="3" t="s">
        <v>1331</v>
      </c>
      <c r="AW64" s="3" t="s">
        <v>1328</v>
      </c>
      <c r="AX64" s="3" t="s">
        <v>5028</v>
      </c>
    </row>
    <row r="65" ht="12.75" customHeight="1">
      <c r="A65" s="3" t="s">
        <v>26</v>
      </c>
      <c r="B65" s="3" t="s">
        <v>2862</v>
      </c>
      <c r="C65" s="3" t="s">
        <v>1796</v>
      </c>
      <c r="D65" s="3" t="s">
        <v>2364</v>
      </c>
      <c r="E65" s="3" t="s">
        <v>38</v>
      </c>
      <c r="F65" s="3" t="s">
        <v>1324</v>
      </c>
      <c r="G65" s="3" t="s">
        <v>2863</v>
      </c>
      <c r="H65" s="3" t="s">
        <v>1797</v>
      </c>
      <c r="I65" s="3" t="s">
        <v>2870</v>
      </c>
      <c r="J65" s="3" t="s">
        <v>2871</v>
      </c>
      <c r="K65" s="3" t="s">
        <v>278</v>
      </c>
      <c r="L65" s="3" t="s">
        <v>2875</v>
      </c>
      <c r="M65" s="3" t="s">
        <v>2876</v>
      </c>
      <c r="N65" s="3">
        <v>2018.0</v>
      </c>
      <c r="O65" s="3" t="s">
        <v>1798</v>
      </c>
      <c r="P65" s="25" t="str">
        <f>HYPERLINK("http://dx.doi.org/10.1038/nature25139","http://dx.doi.org/10.1038/nature25139")</f>
        <v>http://dx.doi.org/10.1038/nature25139</v>
      </c>
      <c r="Q65" s="3" t="s">
        <v>42</v>
      </c>
      <c r="R65" s="3" t="s">
        <v>2430</v>
      </c>
      <c r="S65" s="3" t="s">
        <v>2383</v>
      </c>
      <c r="T65" s="3" t="s">
        <v>2880</v>
      </c>
      <c r="U65" s="3" t="s">
        <v>1346</v>
      </c>
      <c r="V65" s="3" t="s">
        <v>1403</v>
      </c>
      <c r="W65" s="3" t="s">
        <v>1328</v>
      </c>
      <c r="X65" s="3" t="s">
        <v>1328</v>
      </c>
      <c r="Y65" s="3" t="s">
        <v>1328</v>
      </c>
      <c r="Z65" s="3" t="s">
        <v>1328</v>
      </c>
      <c r="AA65" s="3" t="s">
        <v>1328</v>
      </c>
      <c r="AB65" s="3" t="s">
        <v>1328</v>
      </c>
      <c r="AC65" s="3" t="s">
        <v>1403</v>
      </c>
      <c r="AD65" s="3" t="s">
        <v>1328</v>
      </c>
      <c r="AE65" s="3" t="s">
        <v>1329</v>
      </c>
      <c r="AF65" s="3" t="s">
        <v>1330</v>
      </c>
      <c r="AG65" s="3" t="s">
        <v>1331</v>
      </c>
      <c r="AH65" s="3" t="s">
        <v>1347</v>
      </c>
      <c r="AI65" s="3" t="s">
        <v>1444</v>
      </c>
      <c r="AJ65" s="3" t="s">
        <v>1445</v>
      </c>
      <c r="AK65" s="3" t="s">
        <v>1530</v>
      </c>
      <c r="AL65" s="3">
        <v>3.0</v>
      </c>
      <c r="AM65" s="3" t="s">
        <v>1328</v>
      </c>
      <c r="AN65" s="3" t="s">
        <v>1328</v>
      </c>
      <c r="AO65" s="3" t="s">
        <v>1336</v>
      </c>
      <c r="AP65" s="3" t="s">
        <v>1336</v>
      </c>
      <c r="AQ65" s="3" t="s">
        <v>1336</v>
      </c>
      <c r="AR65" s="3" t="s">
        <v>1328</v>
      </c>
      <c r="AS65" s="3" t="s">
        <v>1350</v>
      </c>
      <c r="AT65" s="3" t="s">
        <v>1351</v>
      </c>
      <c r="AU65" s="3" t="s">
        <v>1363</v>
      </c>
      <c r="AV65" s="3" t="s">
        <v>1331</v>
      </c>
      <c r="AW65" s="3" t="s">
        <v>1328</v>
      </c>
      <c r="AX65" s="3" t="s">
        <v>5028</v>
      </c>
    </row>
    <row r="66" ht="12.75" customHeight="1">
      <c r="A66" s="3" t="s">
        <v>26</v>
      </c>
      <c r="B66" s="3" t="s">
        <v>1800</v>
      </c>
      <c r="C66" s="3" t="s">
        <v>1802</v>
      </c>
      <c r="D66" s="3" t="s">
        <v>2364</v>
      </c>
      <c r="E66" s="3" t="s">
        <v>38</v>
      </c>
      <c r="F66" s="3" t="s">
        <v>1324</v>
      </c>
      <c r="G66" s="3" t="s">
        <v>4989</v>
      </c>
      <c r="H66" s="3" t="s">
        <v>1803</v>
      </c>
      <c r="I66" s="3" t="s">
        <v>4266</v>
      </c>
      <c r="J66" s="3" t="s">
        <v>2792</v>
      </c>
      <c r="K66" s="3" t="s">
        <v>4995</v>
      </c>
      <c r="L66" s="3" t="s">
        <v>4996</v>
      </c>
      <c r="M66" s="3" t="s">
        <v>4997</v>
      </c>
      <c r="N66" s="3">
        <v>1996.0</v>
      </c>
      <c r="O66" s="3" t="s">
        <v>1804</v>
      </c>
      <c r="P66" s="25" t="str">
        <f>HYPERLINK("http://dx.doi.org/10.1029/95JD02138","http://dx.doi.org/10.1029/95JD02138")</f>
        <v>http://dx.doi.org/10.1029/95JD02138</v>
      </c>
      <c r="Q66" s="3" t="s">
        <v>50</v>
      </c>
      <c r="R66" s="3" t="s">
        <v>50</v>
      </c>
      <c r="S66" s="3" t="s">
        <v>2383</v>
      </c>
      <c r="T66" s="3" t="s">
        <v>5000</v>
      </c>
      <c r="U66" s="3" t="s">
        <v>1666</v>
      </c>
      <c r="V66" s="3" t="s">
        <v>1436</v>
      </c>
      <c r="W66" s="3" t="s">
        <v>1328</v>
      </c>
      <c r="X66" s="3" t="s">
        <v>1328</v>
      </c>
      <c r="Y66" s="3" t="s">
        <v>1328</v>
      </c>
      <c r="Z66" s="3" t="s">
        <v>1328</v>
      </c>
      <c r="AA66" s="3" t="s">
        <v>1328</v>
      </c>
      <c r="AB66" s="3" t="s">
        <v>1328</v>
      </c>
      <c r="AC66" s="3" t="s">
        <v>1436</v>
      </c>
      <c r="AD66" s="3" t="s">
        <v>1328</v>
      </c>
      <c r="AE66" s="3" t="s">
        <v>1329</v>
      </c>
      <c r="AF66" s="3" t="s">
        <v>1330</v>
      </c>
      <c r="AG66" s="3" t="s">
        <v>1331</v>
      </c>
      <c r="AH66" s="3" t="s">
        <v>1537</v>
      </c>
      <c r="AI66" s="3" t="s">
        <v>1444</v>
      </c>
      <c r="AJ66" s="3" t="s">
        <v>1445</v>
      </c>
      <c r="AK66" s="3" t="s">
        <v>1362</v>
      </c>
      <c r="AL66" s="3">
        <v>2.0</v>
      </c>
      <c r="AM66" s="3" t="s">
        <v>1328</v>
      </c>
      <c r="AN66" s="3" t="s">
        <v>1328</v>
      </c>
      <c r="AO66" s="3" t="s">
        <v>1336</v>
      </c>
      <c r="AP66" s="3" t="s">
        <v>1336</v>
      </c>
      <c r="AQ66" s="3" t="s">
        <v>1336</v>
      </c>
      <c r="AR66" s="3" t="s">
        <v>1336</v>
      </c>
      <c r="AS66" s="3" t="s">
        <v>1350</v>
      </c>
      <c r="AT66" s="3" t="s">
        <v>1351</v>
      </c>
      <c r="AU66" s="3" t="s">
        <v>1339</v>
      </c>
      <c r="AV66" s="3" t="s">
        <v>1374</v>
      </c>
      <c r="AW66" s="3" t="s">
        <v>1328</v>
      </c>
      <c r="AX66" s="3" t="s">
        <v>5027</v>
      </c>
    </row>
    <row r="67" ht="12.75" customHeight="1">
      <c r="A67" s="3" t="s">
        <v>26</v>
      </c>
      <c r="B67" s="3" t="s">
        <v>4255</v>
      </c>
      <c r="C67" s="3" t="s">
        <v>1808</v>
      </c>
      <c r="D67" s="3" t="s">
        <v>2364</v>
      </c>
      <c r="E67" s="3" t="s">
        <v>38</v>
      </c>
      <c r="F67" s="3" t="s">
        <v>1324</v>
      </c>
      <c r="G67" s="3" t="s">
        <v>4256</v>
      </c>
      <c r="H67" s="3" t="s">
        <v>1809</v>
      </c>
      <c r="I67" s="3" t="s">
        <v>4266</v>
      </c>
      <c r="J67" s="3" t="s">
        <v>2792</v>
      </c>
      <c r="K67" s="3" t="s">
        <v>4270</v>
      </c>
      <c r="L67" s="3" t="s">
        <v>4271</v>
      </c>
      <c r="M67" s="3" t="s">
        <v>4272</v>
      </c>
      <c r="N67" s="3">
        <v>2012.0</v>
      </c>
      <c r="O67" s="3" t="s">
        <v>1810</v>
      </c>
      <c r="P67" s="25" t="str">
        <f>HYPERLINK("http://dx.doi.org/10.1029/2011JG001930","http://dx.doi.org/10.1029/2011JG001930")</f>
        <v>http://dx.doi.org/10.1029/2011JG001930</v>
      </c>
      <c r="Q67" s="3" t="s">
        <v>1266</v>
      </c>
      <c r="R67" s="3" t="s">
        <v>3113</v>
      </c>
      <c r="S67" s="3" t="s">
        <v>2383</v>
      </c>
      <c r="T67" s="3" t="s">
        <v>4275</v>
      </c>
      <c r="U67" s="3" t="s">
        <v>1358</v>
      </c>
      <c r="V67" s="3" t="s">
        <v>1417</v>
      </c>
      <c r="W67" s="3" t="s">
        <v>1328</v>
      </c>
      <c r="X67" s="3" t="s">
        <v>1328</v>
      </c>
      <c r="Y67" s="3" t="s">
        <v>1328</v>
      </c>
      <c r="Z67" s="3" t="s">
        <v>1328</v>
      </c>
      <c r="AA67" s="3" t="s">
        <v>1328</v>
      </c>
      <c r="AB67" s="3" t="s">
        <v>1328</v>
      </c>
      <c r="AC67" s="3" t="s">
        <v>1417</v>
      </c>
      <c r="AD67" s="3" t="s">
        <v>1328</v>
      </c>
      <c r="AE67" s="3" t="s">
        <v>1329</v>
      </c>
      <c r="AF67" s="3" t="s">
        <v>1330</v>
      </c>
      <c r="AG67" s="3" t="s">
        <v>1331</v>
      </c>
      <c r="AH67" s="3" t="s">
        <v>1347</v>
      </c>
      <c r="AI67" s="3" t="s">
        <v>1660</v>
      </c>
      <c r="AJ67" s="3" t="s">
        <v>1348</v>
      </c>
      <c r="AK67" s="3" t="s">
        <v>1362</v>
      </c>
      <c r="AL67" s="3">
        <v>4.0</v>
      </c>
      <c r="AM67" s="3" t="s">
        <v>1328</v>
      </c>
      <c r="AN67" s="3" t="s">
        <v>1328</v>
      </c>
      <c r="AO67" s="3" t="s">
        <v>1336</v>
      </c>
      <c r="AP67" s="3" t="s">
        <v>1328</v>
      </c>
      <c r="AQ67" s="3" t="s">
        <v>1328</v>
      </c>
      <c r="AR67" s="3" t="s">
        <v>1336</v>
      </c>
      <c r="AS67" s="3" t="s">
        <v>1350</v>
      </c>
      <c r="AT67" s="3" t="s">
        <v>1351</v>
      </c>
      <c r="AU67" s="3" t="s">
        <v>1363</v>
      </c>
      <c r="AV67" s="3" t="s">
        <v>1331</v>
      </c>
      <c r="AW67" s="3" t="s">
        <v>1328</v>
      </c>
      <c r="AX67" s="3" t="s">
        <v>5028</v>
      </c>
    </row>
    <row r="68" ht="12.75" customHeight="1">
      <c r="A68" s="3" t="s">
        <v>26</v>
      </c>
      <c r="B68" s="3" t="s">
        <v>4400</v>
      </c>
      <c r="C68" s="3" t="s">
        <v>1814</v>
      </c>
      <c r="D68" s="3" t="s">
        <v>2364</v>
      </c>
      <c r="E68" s="3" t="s">
        <v>38</v>
      </c>
      <c r="F68" s="3" t="s">
        <v>1324</v>
      </c>
      <c r="G68" s="3" t="s">
        <v>4401</v>
      </c>
      <c r="H68" s="3" t="s">
        <v>1815</v>
      </c>
      <c r="I68" s="3" t="s">
        <v>4266</v>
      </c>
      <c r="J68" s="3" t="s">
        <v>2792</v>
      </c>
      <c r="K68" s="3" t="s">
        <v>4412</v>
      </c>
      <c r="L68" s="3" t="s">
        <v>4413</v>
      </c>
      <c r="M68" s="3" t="s">
        <v>4414</v>
      </c>
      <c r="N68" s="3">
        <v>2011.0</v>
      </c>
      <c r="O68" s="3" t="s">
        <v>1816</v>
      </c>
      <c r="P68" s="25" t="str">
        <f>HYPERLINK("http://dx.doi.org/10.1029/2010GB003838","http://dx.doi.org/10.1029/2010GB003838")</f>
        <v>http://dx.doi.org/10.1029/2010GB003838</v>
      </c>
      <c r="Q68" s="3" t="s">
        <v>527</v>
      </c>
      <c r="R68" s="3" t="s">
        <v>4416</v>
      </c>
      <c r="S68" s="3" t="s">
        <v>2383</v>
      </c>
      <c r="T68" s="3" t="s">
        <v>4418</v>
      </c>
      <c r="U68" s="3" t="s">
        <v>1358</v>
      </c>
      <c r="V68" s="3" t="s">
        <v>1436</v>
      </c>
      <c r="W68" s="3" t="s">
        <v>1328</v>
      </c>
      <c r="X68" s="3" t="s">
        <v>1328</v>
      </c>
      <c r="Y68" s="3" t="s">
        <v>1328</v>
      </c>
      <c r="Z68" s="3" t="s">
        <v>1328</v>
      </c>
      <c r="AA68" s="3" t="s">
        <v>1328</v>
      </c>
      <c r="AB68" s="3" t="s">
        <v>1328</v>
      </c>
      <c r="AC68" s="3" t="s">
        <v>1436</v>
      </c>
      <c r="AD68" s="3" t="s">
        <v>1328</v>
      </c>
      <c r="AE68" s="3" t="s">
        <v>1329</v>
      </c>
      <c r="AF68" s="3" t="s">
        <v>1330</v>
      </c>
      <c r="AG68" s="3" t="s">
        <v>1331</v>
      </c>
      <c r="AH68" s="3" t="s">
        <v>1347</v>
      </c>
      <c r="AI68" s="3" t="s">
        <v>1333</v>
      </c>
      <c r="AJ68" s="3" t="s">
        <v>1381</v>
      </c>
      <c r="AK68" s="3" t="s">
        <v>1362</v>
      </c>
      <c r="AL68" s="3">
        <v>3.0</v>
      </c>
      <c r="AM68" s="3" t="s">
        <v>1328</v>
      </c>
      <c r="AN68" s="3" t="s">
        <v>1328</v>
      </c>
      <c r="AO68" s="3" t="s">
        <v>1336</v>
      </c>
      <c r="AP68" s="3" t="s">
        <v>1336</v>
      </c>
      <c r="AQ68" s="3" t="s">
        <v>1328</v>
      </c>
      <c r="AR68" s="3" t="s">
        <v>1336</v>
      </c>
      <c r="AS68" s="3" t="s">
        <v>1350</v>
      </c>
      <c r="AT68" s="3" t="s">
        <v>1351</v>
      </c>
      <c r="AU68" s="3" t="s">
        <v>1339</v>
      </c>
      <c r="AV68" s="3" t="s">
        <v>1388</v>
      </c>
      <c r="AW68" s="3" t="s">
        <v>1328</v>
      </c>
      <c r="AX68" s="3" t="s">
        <v>5027</v>
      </c>
    </row>
    <row r="69" ht="12.75" customHeight="1">
      <c r="A69" s="3" t="s">
        <v>26</v>
      </c>
      <c r="B69" s="3" t="s">
        <v>1823</v>
      </c>
      <c r="C69" s="3" t="s">
        <v>1825</v>
      </c>
      <c r="D69" s="3" t="s">
        <v>2364</v>
      </c>
      <c r="E69" s="3" t="s">
        <v>38</v>
      </c>
      <c r="F69" s="3" t="s">
        <v>4944</v>
      </c>
      <c r="G69" s="3" t="s">
        <v>4945</v>
      </c>
      <c r="H69" s="3" t="s">
        <v>1826</v>
      </c>
      <c r="I69" s="3" t="s">
        <v>4950</v>
      </c>
      <c r="J69" s="3" t="s">
        <v>3251</v>
      </c>
      <c r="K69" s="3" t="s">
        <v>3255</v>
      </c>
      <c r="L69" s="3" t="s">
        <v>3256</v>
      </c>
      <c r="M69" s="3" t="s">
        <v>2471</v>
      </c>
      <c r="N69" s="3">
        <v>2003.0</v>
      </c>
      <c r="O69" s="3" t="s">
        <v>1827</v>
      </c>
      <c r="P69" s="25" t="str">
        <f>HYPERLINK("http://dx.doi.org/10.1023/A:1024147529295","http://dx.doi.org/10.1023/A:1024147529295")</f>
        <v>http://dx.doi.org/10.1023/A:1024147529295</v>
      </c>
      <c r="Q69" s="3" t="s">
        <v>255</v>
      </c>
      <c r="R69" s="3" t="s">
        <v>2577</v>
      </c>
      <c r="S69" s="3" t="s">
        <v>2383</v>
      </c>
      <c r="T69" s="3" t="s">
        <v>4952</v>
      </c>
      <c r="U69" s="3" t="s">
        <v>1614</v>
      </c>
      <c r="V69" s="3" t="s">
        <v>1371</v>
      </c>
      <c r="W69" s="3" t="s">
        <v>1328</v>
      </c>
      <c r="X69" s="3" t="s">
        <v>1328</v>
      </c>
      <c r="Y69" s="3" t="s">
        <v>1328</v>
      </c>
      <c r="Z69" s="3" t="s">
        <v>1328</v>
      </c>
      <c r="AA69" s="3" t="s">
        <v>1328</v>
      </c>
      <c r="AB69" s="3" t="s">
        <v>1328</v>
      </c>
      <c r="AC69" s="3" t="s">
        <v>1371</v>
      </c>
      <c r="AD69" s="3" t="s">
        <v>1328</v>
      </c>
      <c r="AE69" s="3" t="s">
        <v>1329</v>
      </c>
      <c r="AF69" s="3" t="s">
        <v>1372</v>
      </c>
      <c r="AG69" s="3" t="s">
        <v>1330</v>
      </c>
      <c r="AH69" s="3" t="s">
        <v>1347</v>
      </c>
      <c r="AI69" s="3" t="s">
        <v>1333</v>
      </c>
      <c r="AJ69" s="3" t="s">
        <v>1348</v>
      </c>
      <c r="AK69" s="3" t="s">
        <v>1362</v>
      </c>
      <c r="AL69" s="3">
        <v>2.0</v>
      </c>
      <c r="AM69" s="3" t="s">
        <v>1336</v>
      </c>
      <c r="AN69" s="3" t="s">
        <v>1336</v>
      </c>
      <c r="AO69" s="3" t="s">
        <v>1328</v>
      </c>
      <c r="AP69" s="3" t="s">
        <v>1336</v>
      </c>
      <c r="AQ69" s="3" t="s">
        <v>1336</v>
      </c>
      <c r="AR69" s="3" t="s">
        <v>1328</v>
      </c>
      <c r="AS69" s="3" t="s">
        <v>1350</v>
      </c>
      <c r="AT69" s="3" t="s">
        <v>1351</v>
      </c>
      <c r="AU69" s="3" t="s">
        <v>1363</v>
      </c>
      <c r="AV69" s="3" t="s">
        <v>1331</v>
      </c>
      <c r="AW69" s="3" t="s">
        <v>1328</v>
      </c>
      <c r="AX69" s="3" t="s">
        <v>5027</v>
      </c>
    </row>
    <row r="70" ht="12.75" customHeight="1">
      <c r="A70" s="3" t="s">
        <v>26</v>
      </c>
      <c r="B70" s="3" t="s">
        <v>1829</v>
      </c>
      <c r="C70" s="3" t="s">
        <v>1831</v>
      </c>
      <c r="D70" s="3" t="s">
        <v>2364</v>
      </c>
      <c r="E70" s="3" t="s">
        <v>38</v>
      </c>
      <c r="F70" s="3" t="s">
        <v>4964</v>
      </c>
      <c r="G70" s="3" t="s">
        <v>4965</v>
      </c>
      <c r="H70" s="3" t="s">
        <v>1832</v>
      </c>
      <c r="I70" s="3" t="s">
        <v>3250</v>
      </c>
      <c r="J70" s="3" t="s">
        <v>3251</v>
      </c>
      <c r="K70" s="3" t="s">
        <v>4973</v>
      </c>
      <c r="L70" s="3" t="s">
        <v>4974</v>
      </c>
      <c r="M70" s="3" t="s">
        <v>2651</v>
      </c>
      <c r="N70" s="3">
        <v>2001.0</v>
      </c>
      <c r="O70" s="3" t="s">
        <v>1833</v>
      </c>
      <c r="P70" s="25" t="str">
        <f>HYPERLINK("http://dx.doi.org/10.1023/A:1011185409347","http://dx.doi.org/10.1023/A:1011185409347")</f>
        <v>http://dx.doi.org/10.1023/A:1011185409347</v>
      </c>
      <c r="Q70" s="3" t="s">
        <v>4975</v>
      </c>
      <c r="R70" s="3" t="s">
        <v>4704</v>
      </c>
      <c r="S70" s="3" t="s">
        <v>2383</v>
      </c>
      <c r="T70" s="3" t="s">
        <v>4977</v>
      </c>
      <c r="U70" s="3" t="s">
        <v>1835</v>
      </c>
      <c r="V70" s="3" t="s">
        <v>1417</v>
      </c>
      <c r="W70" s="3" t="s">
        <v>1328</v>
      </c>
      <c r="X70" s="3" t="s">
        <v>1328</v>
      </c>
      <c r="Y70" s="3" t="s">
        <v>1328</v>
      </c>
      <c r="Z70" s="3" t="s">
        <v>1328</v>
      </c>
      <c r="AA70" s="3" t="s">
        <v>1328</v>
      </c>
      <c r="AB70" s="3" t="s">
        <v>1328</v>
      </c>
      <c r="AC70" s="3" t="s">
        <v>1417</v>
      </c>
      <c r="AD70" s="3" t="s">
        <v>1328</v>
      </c>
      <c r="AE70" s="3" t="s">
        <v>1329</v>
      </c>
      <c r="AF70" s="3" t="s">
        <v>1331</v>
      </c>
      <c r="AG70" s="3" t="s">
        <v>1330</v>
      </c>
      <c r="AH70" s="3" t="s">
        <v>1347</v>
      </c>
      <c r="AI70" s="3" t="s">
        <v>1333</v>
      </c>
      <c r="AJ70" s="3" t="s">
        <v>1348</v>
      </c>
      <c r="AK70" s="3" t="s">
        <v>1362</v>
      </c>
      <c r="AL70" s="3">
        <v>2.0</v>
      </c>
      <c r="AM70" s="3" t="s">
        <v>1336</v>
      </c>
      <c r="AN70" s="3" t="s">
        <v>1328</v>
      </c>
      <c r="AO70" s="3" t="s">
        <v>1328</v>
      </c>
      <c r="AP70" s="3" t="s">
        <v>1336</v>
      </c>
      <c r="AQ70" s="3" t="s">
        <v>1336</v>
      </c>
      <c r="AR70" s="3" t="s">
        <v>1336</v>
      </c>
      <c r="AS70" s="3" t="s">
        <v>1350</v>
      </c>
      <c r="AT70" s="3" t="s">
        <v>1351</v>
      </c>
      <c r="AU70" s="3" t="s">
        <v>1339</v>
      </c>
      <c r="AV70" s="3" t="s">
        <v>1331</v>
      </c>
      <c r="AW70" s="3" t="s">
        <v>1328</v>
      </c>
      <c r="AX70" s="3" t="s">
        <v>5027</v>
      </c>
    </row>
    <row r="71" ht="12.75" customHeight="1">
      <c r="A71" s="3" t="s">
        <v>26</v>
      </c>
      <c r="B71" s="3" t="s">
        <v>3116</v>
      </c>
      <c r="C71" s="3" t="s">
        <v>1843</v>
      </c>
      <c r="D71" s="3" t="s">
        <v>2364</v>
      </c>
      <c r="E71" s="3" t="s">
        <v>38</v>
      </c>
      <c r="F71" s="3" t="s">
        <v>1324</v>
      </c>
      <c r="G71" s="3" t="s">
        <v>3117</v>
      </c>
      <c r="H71" s="3" t="s">
        <v>1844</v>
      </c>
      <c r="I71" s="3" t="s">
        <v>3124</v>
      </c>
      <c r="J71" s="3" t="s">
        <v>2792</v>
      </c>
      <c r="K71" s="3" t="s">
        <v>3128</v>
      </c>
      <c r="L71" s="3" t="s">
        <v>3129</v>
      </c>
      <c r="M71" s="3" t="s">
        <v>3130</v>
      </c>
      <c r="N71" s="3">
        <v>2017.0</v>
      </c>
      <c r="O71" s="3" t="s">
        <v>1845</v>
      </c>
      <c r="P71" s="25" t="str">
        <f>HYPERLINK("http://dx.doi.org/10.1021/acs.est.6b05296","http://dx.doi.org/10.1021/acs.est.6b05296")</f>
        <v>http://dx.doi.org/10.1021/acs.est.6b05296</v>
      </c>
      <c r="Q71" s="3" t="s">
        <v>511</v>
      </c>
      <c r="R71" s="3" t="s">
        <v>3131</v>
      </c>
      <c r="S71" s="3" t="s">
        <v>2383</v>
      </c>
      <c r="T71" s="3" t="s">
        <v>3133</v>
      </c>
      <c r="U71" s="3" t="s">
        <v>1462</v>
      </c>
      <c r="V71" s="3" t="s">
        <v>1359</v>
      </c>
      <c r="W71" s="3" t="s">
        <v>1328</v>
      </c>
      <c r="X71" s="3" t="s">
        <v>1328</v>
      </c>
      <c r="Y71" s="3" t="s">
        <v>1328</v>
      </c>
      <c r="Z71" s="3" t="s">
        <v>1328</v>
      </c>
      <c r="AA71" s="3" t="s">
        <v>1328</v>
      </c>
      <c r="AB71" s="3" t="s">
        <v>1328</v>
      </c>
      <c r="AC71" s="3" t="s">
        <v>1359</v>
      </c>
      <c r="AD71" s="3" t="s">
        <v>1328</v>
      </c>
      <c r="AE71" s="3" t="s">
        <v>1329</v>
      </c>
      <c r="AF71" s="3" t="s">
        <v>1330</v>
      </c>
      <c r="AG71" s="3" t="s">
        <v>1331</v>
      </c>
      <c r="AH71" s="3" t="s">
        <v>1347</v>
      </c>
      <c r="AI71" s="3" t="s">
        <v>1444</v>
      </c>
      <c r="AJ71" s="3" t="s">
        <v>1445</v>
      </c>
      <c r="AK71" s="3" t="s">
        <v>1362</v>
      </c>
      <c r="AL71" s="3">
        <v>2.0</v>
      </c>
      <c r="AM71" s="3" t="s">
        <v>1328</v>
      </c>
      <c r="AN71" s="3" t="s">
        <v>1328</v>
      </c>
      <c r="AO71" s="3" t="s">
        <v>1336</v>
      </c>
      <c r="AP71" s="3" t="s">
        <v>1336</v>
      </c>
      <c r="AQ71" s="3" t="s">
        <v>1336</v>
      </c>
      <c r="AR71" s="3" t="s">
        <v>1336</v>
      </c>
      <c r="AS71" s="3" t="s">
        <v>1350</v>
      </c>
      <c r="AT71" s="3" t="s">
        <v>1351</v>
      </c>
      <c r="AU71" s="3" t="s">
        <v>1363</v>
      </c>
      <c r="AV71" s="3" t="s">
        <v>1331</v>
      </c>
      <c r="AW71" s="3" t="s">
        <v>1328</v>
      </c>
      <c r="AX71" s="3" t="s">
        <v>5028</v>
      </c>
    </row>
    <row r="72" ht="12.75" customHeight="1">
      <c r="A72" s="3" t="s">
        <v>26</v>
      </c>
      <c r="B72" s="3" t="s">
        <v>4290</v>
      </c>
      <c r="C72" s="3" t="s">
        <v>1849</v>
      </c>
      <c r="D72" s="3" t="s">
        <v>2364</v>
      </c>
      <c r="E72" s="3" t="s">
        <v>38</v>
      </c>
      <c r="F72" s="3" t="s">
        <v>1324</v>
      </c>
      <c r="G72" s="3" t="s">
        <v>4291</v>
      </c>
      <c r="H72" s="3" t="s">
        <v>1850</v>
      </c>
      <c r="I72" s="3" t="s">
        <v>4188</v>
      </c>
      <c r="J72" s="3" t="s">
        <v>3872</v>
      </c>
      <c r="K72" s="3" t="s">
        <v>4301</v>
      </c>
      <c r="L72" s="3" t="s">
        <v>4302</v>
      </c>
      <c r="M72" s="3" t="s">
        <v>3168</v>
      </c>
      <c r="N72" s="3">
        <v>2012.0</v>
      </c>
      <c r="O72" s="3" t="s">
        <v>1851</v>
      </c>
      <c r="P72" s="25" t="str">
        <f>HYPERLINK("http://dx.doi.org/10.1017/S0959270912000020","http://dx.doi.org/10.1017/S0959270912000020")</f>
        <v>http://dx.doi.org/10.1017/S0959270912000020</v>
      </c>
      <c r="Q72" s="3" t="s">
        <v>4303</v>
      </c>
      <c r="R72" s="3" t="s">
        <v>4304</v>
      </c>
      <c r="S72" s="3" t="s">
        <v>2383</v>
      </c>
      <c r="T72" s="3" t="s">
        <v>4306</v>
      </c>
      <c r="U72" s="3" t="s">
        <v>1326</v>
      </c>
      <c r="V72" s="3" t="s">
        <v>1327</v>
      </c>
      <c r="W72" s="3" t="s">
        <v>1328</v>
      </c>
      <c r="X72" s="3" t="s">
        <v>1328</v>
      </c>
      <c r="Y72" s="3" t="s">
        <v>1328</v>
      </c>
      <c r="Z72" s="3" t="s">
        <v>1328</v>
      </c>
      <c r="AA72" s="3" t="s">
        <v>1328</v>
      </c>
      <c r="AB72" s="3" t="s">
        <v>1328</v>
      </c>
      <c r="AC72" s="3" t="s">
        <v>1327</v>
      </c>
      <c r="AD72" s="3" t="s">
        <v>1328</v>
      </c>
      <c r="AE72" s="3" t="s">
        <v>1329</v>
      </c>
      <c r="AF72" s="3" t="s">
        <v>1330</v>
      </c>
      <c r="AG72" s="3" t="s">
        <v>1331</v>
      </c>
      <c r="AH72" s="3" t="s">
        <v>1347</v>
      </c>
      <c r="AI72" s="3" t="s">
        <v>1444</v>
      </c>
      <c r="AJ72" s="3" t="s">
        <v>1445</v>
      </c>
      <c r="AK72" s="3" t="s">
        <v>1349</v>
      </c>
      <c r="AL72" s="3">
        <v>6.0</v>
      </c>
      <c r="AM72" s="3" t="s">
        <v>1328</v>
      </c>
      <c r="AN72" s="3" t="s">
        <v>1328</v>
      </c>
      <c r="AO72" s="3" t="s">
        <v>1328</v>
      </c>
      <c r="AP72" s="3" t="s">
        <v>1328</v>
      </c>
      <c r="AQ72" s="3" t="s">
        <v>1328</v>
      </c>
      <c r="AR72" s="3" t="s">
        <v>1328</v>
      </c>
      <c r="AS72" s="3" t="s">
        <v>1395</v>
      </c>
      <c r="AT72" s="3" t="s">
        <v>1351</v>
      </c>
      <c r="AU72" s="3" t="s">
        <v>1363</v>
      </c>
      <c r="AV72" s="3" t="s">
        <v>1331</v>
      </c>
      <c r="AW72" s="3" t="s">
        <v>1328</v>
      </c>
      <c r="AX72" s="3" t="s">
        <v>5028</v>
      </c>
    </row>
    <row r="73" ht="12.75" customHeight="1">
      <c r="A73" s="3" t="s">
        <v>26</v>
      </c>
      <c r="B73" s="3" t="s">
        <v>4719</v>
      </c>
      <c r="C73" s="3" t="s">
        <v>1854</v>
      </c>
      <c r="D73" s="3" t="s">
        <v>2364</v>
      </c>
      <c r="E73" s="3" t="s">
        <v>38</v>
      </c>
      <c r="F73" s="3" t="s">
        <v>1324</v>
      </c>
      <c r="G73" s="3" t="s">
        <v>4720</v>
      </c>
      <c r="H73" s="3" t="s">
        <v>1855</v>
      </c>
      <c r="I73" s="3" t="s">
        <v>4188</v>
      </c>
      <c r="J73" s="3" t="s">
        <v>3872</v>
      </c>
      <c r="K73" s="3" t="s">
        <v>4301</v>
      </c>
      <c r="L73" s="3" t="s">
        <v>4302</v>
      </c>
      <c r="M73" s="3" t="s">
        <v>2471</v>
      </c>
      <c r="N73" s="3">
        <v>2008.0</v>
      </c>
      <c r="O73" s="3" t="s">
        <v>1856</v>
      </c>
      <c r="P73" s="25" t="str">
        <f>HYPERLINK("http://dx.doi.org/10.1017/S0959270908000439","http://dx.doi.org/10.1017/S0959270908000439")</f>
        <v>http://dx.doi.org/10.1017/S0959270908000439</v>
      </c>
      <c r="Q73" s="3" t="s">
        <v>4303</v>
      </c>
      <c r="R73" s="3" t="s">
        <v>4304</v>
      </c>
      <c r="S73" s="3" t="s">
        <v>2383</v>
      </c>
      <c r="T73" s="3" t="s">
        <v>4733</v>
      </c>
      <c r="U73" s="3" t="s">
        <v>1442</v>
      </c>
      <c r="V73" s="3" t="s">
        <v>1327</v>
      </c>
      <c r="W73" s="3" t="s">
        <v>1328</v>
      </c>
      <c r="X73" s="3" t="s">
        <v>1328</v>
      </c>
      <c r="Y73" s="3" t="s">
        <v>1328</v>
      </c>
      <c r="Z73" s="3" t="s">
        <v>1328</v>
      </c>
      <c r="AA73" s="3" t="s">
        <v>1328</v>
      </c>
      <c r="AB73" s="3" t="s">
        <v>1328</v>
      </c>
      <c r="AC73" s="3" t="s">
        <v>1327</v>
      </c>
      <c r="AD73" s="3" t="s">
        <v>1328</v>
      </c>
      <c r="AE73" s="3" t="s">
        <v>1443</v>
      </c>
      <c r="AF73" s="3" t="s">
        <v>1330</v>
      </c>
      <c r="AG73" s="3" t="s">
        <v>1331</v>
      </c>
      <c r="AH73" s="3" t="s">
        <v>1347</v>
      </c>
      <c r="AI73" s="3" t="s">
        <v>1444</v>
      </c>
      <c r="AJ73" s="3" t="s">
        <v>1445</v>
      </c>
      <c r="AK73" s="3" t="s">
        <v>1446</v>
      </c>
      <c r="AL73" s="3">
        <v>6.0</v>
      </c>
      <c r="AM73" s="3" t="s">
        <v>1328</v>
      </c>
      <c r="AN73" s="3" t="s">
        <v>1328</v>
      </c>
      <c r="AO73" s="3" t="s">
        <v>1328</v>
      </c>
      <c r="AP73" s="3" t="s">
        <v>1328</v>
      </c>
      <c r="AQ73" s="3" t="s">
        <v>1328</v>
      </c>
      <c r="AR73" s="3" t="s">
        <v>1328</v>
      </c>
      <c r="AS73" s="3" t="s">
        <v>1395</v>
      </c>
      <c r="AT73" s="3" t="s">
        <v>1351</v>
      </c>
      <c r="AU73" s="3" t="s">
        <v>1363</v>
      </c>
      <c r="AV73" s="3" t="s">
        <v>1331</v>
      </c>
      <c r="AW73" s="3" t="s">
        <v>1328</v>
      </c>
      <c r="AX73" s="3" t="s">
        <v>5028</v>
      </c>
    </row>
    <row r="74" ht="12.75" customHeight="1">
      <c r="A74" s="3" t="s">
        <v>26</v>
      </c>
      <c r="B74" s="3" t="s">
        <v>1866</v>
      </c>
      <c r="C74" s="3" t="s">
        <v>4921</v>
      </c>
      <c r="D74" s="3" t="s">
        <v>2364</v>
      </c>
      <c r="E74" s="3" t="s">
        <v>38</v>
      </c>
      <c r="F74" s="3" t="s">
        <v>4922</v>
      </c>
      <c r="G74" s="3" t="s">
        <v>4923</v>
      </c>
      <c r="H74" s="3" t="s">
        <v>1869</v>
      </c>
      <c r="I74" s="3" t="s">
        <v>4188</v>
      </c>
      <c r="J74" s="3" t="s">
        <v>4189</v>
      </c>
      <c r="K74" s="3" t="s">
        <v>4930</v>
      </c>
      <c r="L74" s="3" t="s">
        <v>4931</v>
      </c>
      <c r="M74" s="3" t="s">
        <v>3208</v>
      </c>
      <c r="N74" s="3">
        <v>2005.0</v>
      </c>
      <c r="O74" s="3" t="s">
        <v>1870</v>
      </c>
      <c r="P74" s="25" t="str">
        <f>HYPERLINK("http://dx.doi.org/10.1017/S0266467404001683","http://dx.doi.org/10.1017/S0266467404001683")</f>
        <v>http://dx.doi.org/10.1017/S0266467404001683</v>
      </c>
      <c r="Q74" s="3" t="s">
        <v>817</v>
      </c>
      <c r="R74" s="3" t="s">
        <v>2472</v>
      </c>
      <c r="S74" s="3" t="s">
        <v>2383</v>
      </c>
      <c r="T74" s="3" t="s">
        <v>4933</v>
      </c>
      <c r="U74" s="3" t="s">
        <v>1614</v>
      </c>
      <c r="V74" s="3" t="s">
        <v>1470</v>
      </c>
      <c r="W74" s="3" t="s">
        <v>1328</v>
      </c>
      <c r="X74" s="3" t="s">
        <v>1328</v>
      </c>
      <c r="Y74" s="3" t="s">
        <v>1328</v>
      </c>
      <c r="Z74" s="3" t="s">
        <v>1328</v>
      </c>
      <c r="AA74" s="3" t="s">
        <v>1328</v>
      </c>
      <c r="AB74" s="3" t="s">
        <v>1328</v>
      </c>
      <c r="AC74" s="3" t="s">
        <v>1470</v>
      </c>
      <c r="AD74" s="3" t="s">
        <v>1328</v>
      </c>
      <c r="AE74" s="3" t="s">
        <v>1329</v>
      </c>
      <c r="AF74" s="3" t="s">
        <v>1330</v>
      </c>
      <c r="AG74" s="3" t="s">
        <v>1331</v>
      </c>
      <c r="AH74" s="3" t="s">
        <v>1332</v>
      </c>
      <c r="AI74" s="3" t="s">
        <v>1333</v>
      </c>
      <c r="AJ74" s="3" t="s">
        <v>1348</v>
      </c>
      <c r="AK74" s="3" t="s">
        <v>1362</v>
      </c>
      <c r="AL74" s="3">
        <v>2.0</v>
      </c>
      <c r="AM74" s="3" t="s">
        <v>1336</v>
      </c>
      <c r="AN74" s="3" t="s">
        <v>1328</v>
      </c>
      <c r="AO74" s="3" t="s">
        <v>1328</v>
      </c>
      <c r="AP74" s="3" t="s">
        <v>1336</v>
      </c>
      <c r="AQ74" s="3" t="s">
        <v>1336</v>
      </c>
      <c r="AR74" s="3" t="s">
        <v>1336</v>
      </c>
      <c r="AS74" s="3" t="s">
        <v>1350</v>
      </c>
      <c r="AT74" s="3" t="s">
        <v>1351</v>
      </c>
      <c r="AU74" s="3" t="s">
        <v>1339</v>
      </c>
      <c r="AV74" s="3" t="s">
        <v>1331</v>
      </c>
      <c r="AW74" s="3" t="s">
        <v>1328</v>
      </c>
      <c r="AX74" s="3" t="s">
        <v>5027</v>
      </c>
    </row>
    <row r="75" ht="12.75" customHeight="1">
      <c r="A75" s="3" t="s">
        <v>26</v>
      </c>
      <c r="B75" s="3" t="s">
        <v>4179</v>
      </c>
      <c r="C75" s="3" t="s">
        <v>1874</v>
      </c>
      <c r="D75" s="3" t="s">
        <v>2364</v>
      </c>
      <c r="E75" s="3" t="s">
        <v>38</v>
      </c>
      <c r="F75" s="3" t="s">
        <v>4180</v>
      </c>
      <c r="G75" s="3" t="s">
        <v>4181</v>
      </c>
      <c r="H75" s="3" t="s">
        <v>1875</v>
      </c>
      <c r="I75" s="3" t="s">
        <v>4188</v>
      </c>
      <c r="J75" s="3" t="s">
        <v>4189</v>
      </c>
      <c r="K75" s="3" t="s">
        <v>1873</v>
      </c>
      <c r="L75" s="3" t="s">
        <v>4193</v>
      </c>
      <c r="M75" s="3" t="s">
        <v>3518</v>
      </c>
      <c r="N75" s="3">
        <v>2012.0</v>
      </c>
      <c r="O75" s="3" t="s">
        <v>1876</v>
      </c>
      <c r="P75" s="25" t="str">
        <f>HYPERLINK("http://dx.doi.org/10.1017/S0030605311000937","http://dx.doi.org/10.1017/S0030605311000937")</f>
        <v>http://dx.doi.org/10.1017/S0030605311000937</v>
      </c>
      <c r="Q75" s="3" t="s">
        <v>1124</v>
      </c>
      <c r="R75" s="3" t="s">
        <v>2577</v>
      </c>
      <c r="S75" s="3" t="s">
        <v>2383</v>
      </c>
      <c r="T75" s="3" t="s">
        <v>4195</v>
      </c>
      <c r="U75" s="3" t="s">
        <v>1482</v>
      </c>
      <c r="V75" s="3" t="s">
        <v>1470</v>
      </c>
      <c r="W75" s="3" t="s">
        <v>1328</v>
      </c>
      <c r="X75" s="3" t="s">
        <v>1328</v>
      </c>
      <c r="Y75" s="3" t="s">
        <v>1328</v>
      </c>
      <c r="Z75" s="3" t="s">
        <v>1328</v>
      </c>
      <c r="AA75" s="3" t="s">
        <v>1328</v>
      </c>
      <c r="AB75" s="3" t="s">
        <v>1328</v>
      </c>
      <c r="AC75" s="3" t="s">
        <v>1470</v>
      </c>
      <c r="AD75" s="3" t="s">
        <v>1328</v>
      </c>
      <c r="AE75" s="3" t="s">
        <v>1329</v>
      </c>
      <c r="AF75" s="3" t="s">
        <v>1330</v>
      </c>
      <c r="AG75" s="3" t="s">
        <v>1331</v>
      </c>
      <c r="AH75" s="3" t="s">
        <v>1332</v>
      </c>
      <c r="AI75" s="3" t="s">
        <v>1333</v>
      </c>
      <c r="AJ75" s="3" t="s">
        <v>1381</v>
      </c>
      <c r="AK75" s="3" t="s">
        <v>1530</v>
      </c>
      <c r="AL75" s="3">
        <v>5.0</v>
      </c>
      <c r="AM75" s="3" t="s">
        <v>1336</v>
      </c>
      <c r="AN75" s="3" t="s">
        <v>1328</v>
      </c>
      <c r="AO75" s="3" t="s">
        <v>1328</v>
      </c>
      <c r="AP75" s="3" t="s">
        <v>1328</v>
      </c>
      <c r="AQ75" s="3" t="s">
        <v>1328</v>
      </c>
      <c r="AR75" s="3" t="s">
        <v>1328</v>
      </c>
      <c r="AS75" s="3" t="s">
        <v>1395</v>
      </c>
      <c r="AT75" s="3" t="s">
        <v>1351</v>
      </c>
      <c r="AU75" s="3" t="s">
        <v>1339</v>
      </c>
      <c r="AV75" s="3" t="s">
        <v>1388</v>
      </c>
      <c r="AW75" s="3" t="s">
        <v>1328</v>
      </c>
      <c r="AX75" s="3" t="s">
        <v>5027</v>
      </c>
    </row>
    <row r="76" ht="12.75" customHeight="1">
      <c r="A76" s="3" t="s">
        <v>26</v>
      </c>
      <c r="B76" s="3" t="s">
        <v>4794</v>
      </c>
      <c r="C76" s="3" t="s">
        <v>4795</v>
      </c>
      <c r="D76" s="3" t="s">
        <v>2364</v>
      </c>
      <c r="E76" s="3" t="s">
        <v>38</v>
      </c>
      <c r="F76" s="3" t="s">
        <v>4796</v>
      </c>
      <c r="G76" s="3" t="s">
        <v>4797</v>
      </c>
      <c r="H76" s="3" t="s">
        <v>1880</v>
      </c>
      <c r="I76" s="3" t="s">
        <v>4188</v>
      </c>
      <c r="J76" s="3" t="s">
        <v>3872</v>
      </c>
      <c r="K76" s="3" t="s">
        <v>1873</v>
      </c>
      <c r="L76" s="3" t="s">
        <v>4193</v>
      </c>
      <c r="M76" s="3" t="s">
        <v>2734</v>
      </c>
      <c r="N76" s="3">
        <v>2007.0</v>
      </c>
      <c r="O76" s="3" t="s">
        <v>1881</v>
      </c>
      <c r="P76" s="25" t="str">
        <f>HYPERLINK("http://dx.doi.org/10.1017/S0030605307001883","http://dx.doi.org/10.1017/S0030605307001883")</f>
        <v>http://dx.doi.org/10.1017/S0030605307001883</v>
      </c>
      <c r="Q76" s="3" t="s">
        <v>1124</v>
      </c>
      <c r="R76" s="3" t="s">
        <v>2577</v>
      </c>
      <c r="S76" s="3" t="s">
        <v>2383</v>
      </c>
      <c r="T76" s="3" t="s">
        <v>4804</v>
      </c>
      <c r="U76" s="3" t="s">
        <v>1614</v>
      </c>
      <c r="V76" s="3" t="s">
        <v>1327</v>
      </c>
      <c r="W76" s="3" t="s">
        <v>1328</v>
      </c>
      <c r="X76" s="3" t="s">
        <v>1328</v>
      </c>
      <c r="Y76" s="3" t="s">
        <v>1328</v>
      </c>
      <c r="Z76" s="3" t="s">
        <v>1328</v>
      </c>
      <c r="AA76" s="3" t="s">
        <v>1328</v>
      </c>
      <c r="AB76" s="3" t="s">
        <v>1328</v>
      </c>
      <c r="AC76" s="3" t="s">
        <v>1327</v>
      </c>
      <c r="AD76" s="3" t="s">
        <v>1328</v>
      </c>
      <c r="AE76" s="3" t="s">
        <v>1329</v>
      </c>
      <c r="AF76" s="3" t="s">
        <v>1523</v>
      </c>
      <c r="AG76" s="3" t="s">
        <v>1330</v>
      </c>
      <c r="AH76" s="3" t="s">
        <v>1347</v>
      </c>
      <c r="AI76" s="3" t="s">
        <v>1333</v>
      </c>
      <c r="AJ76" s="3" t="s">
        <v>1334</v>
      </c>
      <c r="AK76" s="3" t="s">
        <v>1362</v>
      </c>
      <c r="AL76" s="3">
        <v>2.0</v>
      </c>
      <c r="AM76" s="3" t="s">
        <v>1336</v>
      </c>
      <c r="AN76" s="3" t="s">
        <v>1336</v>
      </c>
      <c r="AO76" s="3" t="s">
        <v>1328</v>
      </c>
      <c r="AP76" s="3" t="s">
        <v>1336</v>
      </c>
      <c r="AQ76" s="3" t="s">
        <v>1336</v>
      </c>
      <c r="AR76" s="3" t="s">
        <v>1328</v>
      </c>
      <c r="AS76" s="3" t="s">
        <v>1395</v>
      </c>
      <c r="AT76" s="3" t="s">
        <v>1338</v>
      </c>
      <c r="AU76" s="3" t="s">
        <v>1339</v>
      </c>
      <c r="AV76" s="3" t="s">
        <v>1331</v>
      </c>
      <c r="AW76" s="3" t="s">
        <v>1328</v>
      </c>
      <c r="AX76" s="3" t="s">
        <v>5027</v>
      </c>
    </row>
    <row r="77" ht="12.75" customHeight="1">
      <c r="A77" s="3" t="s">
        <v>26</v>
      </c>
      <c r="B77" s="3" t="s">
        <v>1889</v>
      </c>
      <c r="C77" s="3" t="s">
        <v>1890</v>
      </c>
      <c r="D77" s="3" t="s">
        <v>2364</v>
      </c>
      <c r="E77" s="3" t="s">
        <v>38</v>
      </c>
      <c r="F77" s="3" t="s">
        <v>4934</v>
      </c>
      <c r="G77" s="3" t="s">
        <v>4935</v>
      </c>
      <c r="H77" s="3" t="s">
        <v>1891</v>
      </c>
      <c r="I77" s="3" t="s">
        <v>2530</v>
      </c>
      <c r="J77" s="3" t="s">
        <v>2531</v>
      </c>
      <c r="K77" s="3" t="s">
        <v>2941</v>
      </c>
      <c r="L77" s="3" t="s">
        <v>2942</v>
      </c>
      <c r="M77" s="3" t="s">
        <v>2908</v>
      </c>
      <c r="N77" s="3">
        <v>2003.0</v>
      </c>
      <c r="O77" s="3" t="s">
        <v>1892</v>
      </c>
      <c r="P77" s="25" t="str">
        <f>HYPERLINK("http://dx.doi.org/10.1016/S0006-3207(03)00051-X","http://dx.doi.org/10.1016/S0006-3207(03)00051-X")</f>
        <v>http://dx.doi.org/10.1016/S0006-3207(03)00051-X</v>
      </c>
      <c r="Q77" s="3" t="s">
        <v>255</v>
      </c>
      <c r="R77" s="3" t="s">
        <v>2577</v>
      </c>
      <c r="S77" s="3" t="s">
        <v>2383</v>
      </c>
      <c r="T77" s="3" t="s">
        <v>4943</v>
      </c>
      <c r="U77" s="3" t="s">
        <v>1580</v>
      </c>
      <c r="V77" s="3" t="s">
        <v>1371</v>
      </c>
      <c r="W77" s="3" t="s">
        <v>1328</v>
      </c>
      <c r="X77" s="3" t="s">
        <v>1328</v>
      </c>
      <c r="Y77" s="3" t="s">
        <v>1328</v>
      </c>
      <c r="Z77" s="3" t="s">
        <v>1328</v>
      </c>
      <c r="AA77" s="3" t="s">
        <v>1328</v>
      </c>
      <c r="AB77" s="3" t="s">
        <v>1328</v>
      </c>
      <c r="AC77" s="3" t="s">
        <v>1371</v>
      </c>
      <c r="AD77" s="3" t="s">
        <v>1328</v>
      </c>
      <c r="AE77" s="3" t="s">
        <v>1329</v>
      </c>
      <c r="AF77" s="3" t="s">
        <v>1372</v>
      </c>
      <c r="AG77" s="3" t="s">
        <v>1331</v>
      </c>
      <c r="AH77" s="3" t="s">
        <v>1332</v>
      </c>
      <c r="AI77" s="3" t="s">
        <v>1333</v>
      </c>
      <c r="AJ77" s="3" t="s">
        <v>1361</v>
      </c>
      <c r="AK77" s="3" t="s">
        <v>1464</v>
      </c>
      <c r="AL77" s="3">
        <v>2.0</v>
      </c>
      <c r="AM77" s="3" t="s">
        <v>1336</v>
      </c>
      <c r="AN77" s="3" t="s">
        <v>1328</v>
      </c>
      <c r="AO77" s="3" t="s">
        <v>1336</v>
      </c>
      <c r="AP77" s="3" t="s">
        <v>1328</v>
      </c>
      <c r="AQ77" s="3" t="s">
        <v>1336</v>
      </c>
      <c r="AR77" s="3" t="s">
        <v>1336</v>
      </c>
      <c r="AS77" s="3" t="s">
        <v>1350</v>
      </c>
      <c r="AT77" s="3" t="s">
        <v>1351</v>
      </c>
      <c r="AU77" s="3" t="s">
        <v>1339</v>
      </c>
      <c r="AV77" s="3" t="s">
        <v>1388</v>
      </c>
      <c r="AW77" s="3" t="s">
        <v>1328</v>
      </c>
      <c r="AX77" s="3" t="s">
        <v>5027</v>
      </c>
    </row>
    <row r="78" ht="12.75" customHeight="1">
      <c r="A78" s="3" t="s">
        <v>26</v>
      </c>
      <c r="B78" s="3" t="s">
        <v>3031</v>
      </c>
      <c r="C78" s="3" t="s">
        <v>1910</v>
      </c>
      <c r="D78" s="3" t="s">
        <v>2364</v>
      </c>
      <c r="E78" s="3" t="s">
        <v>38</v>
      </c>
      <c r="F78" s="3" t="s">
        <v>3032</v>
      </c>
      <c r="G78" s="3" t="s">
        <v>3033</v>
      </c>
      <c r="H78" s="3" t="s">
        <v>1911</v>
      </c>
      <c r="I78" s="3" t="s">
        <v>3043</v>
      </c>
      <c r="J78" s="3" t="s">
        <v>2487</v>
      </c>
      <c r="K78" s="3" t="s">
        <v>3047</v>
      </c>
      <c r="L78" s="3" t="s">
        <v>3048</v>
      </c>
      <c r="M78" s="3" t="s">
        <v>3049</v>
      </c>
      <c r="N78" s="3">
        <v>2017.0</v>
      </c>
      <c r="O78" s="3" t="s">
        <v>1912</v>
      </c>
      <c r="P78" s="25" t="str">
        <f>HYPERLINK("http://dx.doi.org/10.1016/j.scitotenv.2017.02.210","http://dx.doi.org/10.1016/j.scitotenv.2017.02.210")</f>
        <v>http://dx.doi.org/10.1016/j.scitotenv.2017.02.210</v>
      </c>
      <c r="Q78" s="3" t="s">
        <v>68</v>
      </c>
      <c r="R78" s="3" t="s">
        <v>2472</v>
      </c>
      <c r="S78" s="3" t="s">
        <v>2383</v>
      </c>
      <c r="T78" s="3" t="s">
        <v>3051</v>
      </c>
      <c r="U78" s="3" t="s">
        <v>1666</v>
      </c>
      <c r="V78" s="3" t="s">
        <v>1436</v>
      </c>
      <c r="W78" s="3" t="s">
        <v>1328</v>
      </c>
      <c r="X78" s="3" t="s">
        <v>1328</v>
      </c>
      <c r="Y78" s="3" t="s">
        <v>1328</v>
      </c>
      <c r="Z78" s="3" t="s">
        <v>1328</v>
      </c>
      <c r="AA78" s="3" t="s">
        <v>1328</v>
      </c>
      <c r="AB78" s="3" t="s">
        <v>1328</v>
      </c>
      <c r="AC78" s="3" t="s">
        <v>1436</v>
      </c>
      <c r="AD78" s="3" t="s">
        <v>1328</v>
      </c>
      <c r="AE78" s="3" t="s">
        <v>1329</v>
      </c>
      <c r="AF78" s="3" t="s">
        <v>1330</v>
      </c>
      <c r="AG78" s="3" t="s">
        <v>1330</v>
      </c>
      <c r="AH78" s="3" t="s">
        <v>1347</v>
      </c>
      <c r="AI78" s="3" t="s">
        <v>1333</v>
      </c>
      <c r="AJ78" s="3" t="s">
        <v>1381</v>
      </c>
      <c r="AK78" s="3" t="s">
        <v>1464</v>
      </c>
      <c r="AL78" s="3">
        <v>2.0</v>
      </c>
      <c r="AM78" s="3" t="s">
        <v>1328</v>
      </c>
      <c r="AN78" s="3" t="s">
        <v>1328</v>
      </c>
      <c r="AO78" s="3" t="s">
        <v>1336</v>
      </c>
      <c r="AP78" s="3" t="s">
        <v>1336</v>
      </c>
      <c r="AQ78" s="3" t="s">
        <v>1336</v>
      </c>
      <c r="AR78" s="3" t="s">
        <v>1336</v>
      </c>
      <c r="AS78" s="3" t="s">
        <v>1350</v>
      </c>
      <c r="AT78" s="3" t="s">
        <v>1351</v>
      </c>
      <c r="AU78" s="3" t="s">
        <v>1339</v>
      </c>
      <c r="AV78" s="3" t="s">
        <v>1374</v>
      </c>
      <c r="AW78" s="3" t="s">
        <v>1328</v>
      </c>
      <c r="AX78" s="3" t="s">
        <v>5027</v>
      </c>
    </row>
    <row r="79" ht="12.75" customHeight="1">
      <c r="A79" s="3" t="s">
        <v>26</v>
      </c>
      <c r="B79" s="3" t="s">
        <v>3211</v>
      </c>
      <c r="C79" s="3" t="s">
        <v>1915</v>
      </c>
      <c r="D79" s="3" t="s">
        <v>2364</v>
      </c>
      <c r="E79" s="3" t="s">
        <v>38</v>
      </c>
      <c r="F79" s="3" t="s">
        <v>3212</v>
      </c>
      <c r="G79" s="3" t="s">
        <v>3213</v>
      </c>
      <c r="H79" s="3" t="s">
        <v>1916</v>
      </c>
      <c r="I79" s="3" t="s">
        <v>2486</v>
      </c>
      <c r="J79" s="3" t="s">
        <v>2487</v>
      </c>
      <c r="K79" s="3" t="s">
        <v>3047</v>
      </c>
      <c r="L79" s="3" t="s">
        <v>3048</v>
      </c>
      <c r="M79" s="3" t="s">
        <v>3223</v>
      </c>
      <c r="N79" s="3">
        <v>2016.0</v>
      </c>
      <c r="O79" s="3" t="s">
        <v>1917</v>
      </c>
      <c r="P79" s="25" t="str">
        <f>HYPERLINK("http://dx.doi.org/10.1016/j.scitotenv.2016.03.055","http://dx.doi.org/10.1016/j.scitotenv.2016.03.055")</f>
        <v>http://dx.doi.org/10.1016/j.scitotenv.2016.03.055</v>
      </c>
      <c r="Q79" s="3" t="s">
        <v>68</v>
      </c>
      <c r="R79" s="3" t="s">
        <v>2472</v>
      </c>
      <c r="S79" s="3" t="s">
        <v>2383</v>
      </c>
      <c r="T79" s="3" t="s">
        <v>3226</v>
      </c>
      <c r="U79" s="3" t="s">
        <v>1835</v>
      </c>
      <c r="V79" s="3" t="s">
        <v>1387</v>
      </c>
      <c r="W79" s="3" t="s">
        <v>1328</v>
      </c>
      <c r="X79" s="3" t="s">
        <v>1328</v>
      </c>
      <c r="Y79" s="3" t="s">
        <v>1328</v>
      </c>
      <c r="Z79" s="3" t="s">
        <v>1328</v>
      </c>
      <c r="AA79" s="3" t="s">
        <v>1328</v>
      </c>
      <c r="AB79" s="3" t="s">
        <v>1328</v>
      </c>
      <c r="AC79" s="3" t="s">
        <v>1387</v>
      </c>
      <c r="AD79" s="3" t="s">
        <v>1328</v>
      </c>
      <c r="AE79" s="3" t="s">
        <v>1329</v>
      </c>
      <c r="AF79" s="3" t="s">
        <v>1330</v>
      </c>
      <c r="AG79" s="3" t="s">
        <v>1331</v>
      </c>
      <c r="AH79" s="3" t="s">
        <v>1347</v>
      </c>
      <c r="AI79" s="3" t="s">
        <v>1333</v>
      </c>
      <c r="AJ79" s="3" t="s">
        <v>1361</v>
      </c>
      <c r="AK79" s="3" t="s">
        <v>1362</v>
      </c>
      <c r="AL79" s="3">
        <v>2.0</v>
      </c>
      <c r="AM79" s="3" t="s">
        <v>1336</v>
      </c>
      <c r="AN79" s="3" t="s">
        <v>1328</v>
      </c>
      <c r="AO79" s="3" t="s">
        <v>1336</v>
      </c>
      <c r="AP79" s="3" t="s">
        <v>1336</v>
      </c>
      <c r="AQ79" s="3" t="s">
        <v>1328</v>
      </c>
      <c r="AR79" s="3" t="s">
        <v>1336</v>
      </c>
      <c r="AS79" s="3" t="s">
        <v>1350</v>
      </c>
      <c r="AT79" s="3" t="s">
        <v>1351</v>
      </c>
      <c r="AU79" s="3" t="s">
        <v>1363</v>
      </c>
      <c r="AV79" s="3" t="s">
        <v>1388</v>
      </c>
      <c r="AW79" s="3" t="s">
        <v>1328</v>
      </c>
      <c r="AX79" s="3" t="s">
        <v>5027</v>
      </c>
    </row>
    <row r="80" ht="12.75" customHeight="1">
      <c r="A80" s="3" t="s">
        <v>26</v>
      </c>
      <c r="B80" s="3" t="s">
        <v>3828</v>
      </c>
      <c r="C80" s="3" t="s">
        <v>1920</v>
      </c>
      <c r="D80" s="3" t="s">
        <v>2364</v>
      </c>
      <c r="E80" s="3" t="s">
        <v>38</v>
      </c>
      <c r="F80" s="3" t="s">
        <v>3829</v>
      </c>
      <c r="G80" s="3" t="s">
        <v>3830</v>
      </c>
      <c r="H80" s="3" t="s">
        <v>1921</v>
      </c>
      <c r="I80" s="3" t="s">
        <v>2486</v>
      </c>
      <c r="J80" s="3" t="s">
        <v>2487</v>
      </c>
      <c r="K80" s="3" t="s">
        <v>3047</v>
      </c>
      <c r="L80" s="3" t="s">
        <v>3048</v>
      </c>
      <c r="M80" s="3" t="s">
        <v>3839</v>
      </c>
      <c r="N80" s="3">
        <v>2014.0</v>
      </c>
      <c r="O80" s="3" t="s">
        <v>1922</v>
      </c>
      <c r="P80" s="25" t="str">
        <f>HYPERLINK("http://dx.doi.org/10.1016/j.scitotenv.2013.10.128","http://dx.doi.org/10.1016/j.scitotenv.2013.10.128")</f>
        <v>http://dx.doi.org/10.1016/j.scitotenv.2013.10.128</v>
      </c>
      <c r="Q80" s="3" t="s">
        <v>68</v>
      </c>
      <c r="R80" s="3" t="s">
        <v>2472</v>
      </c>
      <c r="S80" s="3" t="s">
        <v>2383</v>
      </c>
      <c r="T80" s="3" t="s">
        <v>3841</v>
      </c>
      <c r="U80" s="3" t="s">
        <v>1358</v>
      </c>
      <c r="V80" s="3" t="s">
        <v>1387</v>
      </c>
      <c r="W80" s="3" t="s">
        <v>1328</v>
      </c>
      <c r="X80" s="3" t="s">
        <v>1328</v>
      </c>
      <c r="Y80" s="3" t="s">
        <v>1328</v>
      </c>
      <c r="Z80" s="3" t="s">
        <v>1328</v>
      </c>
      <c r="AA80" s="3" t="s">
        <v>1328</v>
      </c>
      <c r="AB80" s="3" t="s">
        <v>1328</v>
      </c>
      <c r="AC80" s="3" t="s">
        <v>1387</v>
      </c>
      <c r="AD80" s="3" t="s">
        <v>1328</v>
      </c>
      <c r="AE80" s="3" t="s">
        <v>1329</v>
      </c>
      <c r="AF80" s="3" t="s">
        <v>1330</v>
      </c>
      <c r="AG80" s="3" t="s">
        <v>1331</v>
      </c>
      <c r="AH80" s="3" t="s">
        <v>1347</v>
      </c>
      <c r="AI80" s="3" t="s">
        <v>1333</v>
      </c>
      <c r="AJ80" s="3" t="s">
        <v>1381</v>
      </c>
      <c r="AK80" s="3" t="s">
        <v>1362</v>
      </c>
      <c r="AL80" s="3">
        <v>2.0</v>
      </c>
      <c r="AM80" s="3" t="s">
        <v>1328</v>
      </c>
      <c r="AN80" s="3" t="s">
        <v>1328</v>
      </c>
      <c r="AO80" s="3" t="s">
        <v>1336</v>
      </c>
      <c r="AP80" s="3" t="s">
        <v>1336</v>
      </c>
      <c r="AQ80" s="3" t="s">
        <v>1336</v>
      </c>
      <c r="AR80" s="3" t="s">
        <v>1336</v>
      </c>
      <c r="AS80" s="3" t="s">
        <v>1404</v>
      </c>
      <c r="AT80" s="3" t="s">
        <v>1351</v>
      </c>
      <c r="AU80" s="3" t="s">
        <v>1363</v>
      </c>
      <c r="AV80" s="3" t="s">
        <v>1331</v>
      </c>
      <c r="AW80" s="3" t="s">
        <v>1328</v>
      </c>
      <c r="AX80" s="3" t="s">
        <v>5027</v>
      </c>
    </row>
    <row r="81" ht="12.75" customHeight="1">
      <c r="A81" s="3" t="s">
        <v>26</v>
      </c>
      <c r="B81" s="3" t="s">
        <v>3260</v>
      </c>
      <c r="C81" s="3" t="s">
        <v>1926</v>
      </c>
      <c r="D81" s="3" t="s">
        <v>2364</v>
      </c>
      <c r="E81" s="3" t="s">
        <v>38</v>
      </c>
      <c r="F81" s="3" t="s">
        <v>3261</v>
      </c>
      <c r="G81" s="3" t="s">
        <v>3262</v>
      </c>
      <c r="H81" s="3" t="s">
        <v>1927</v>
      </c>
      <c r="I81" s="3" t="s">
        <v>3043</v>
      </c>
      <c r="J81" s="3" t="s">
        <v>2487</v>
      </c>
      <c r="K81" s="3" t="s">
        <v>3273</v>
      </c>
      <c r="L81" s="3" t="s">
        <v>3274</v>
      </c>
      <c r="M81" s="3" t="s">
        <v>2927</v>
      </c>
      <c r="N81" s="3">
        <v>2016.0</v>
      </c>
      <c r="O81" s="3" t="s">
        <v>1928</v>
      </c>
      <c r="P81" s="25" t="str">
        <f>HYPERLINK("http://dx.doi.org/10.1016/j.rsma.2016.09.001","http://dx.doi.org/10.1016/j.rsma.2016.09.001")</f>
        <v>http://dx.doi.org/10.1016/j.rsma.2016.09.001</v>
      </c>
      <c r="Q81" s="3" t="s">
        <v>130</v>
      </c>
      <c r="R81" s="3" t="s">
        <v>2516</v>
      </c>
      <c r="S81" s="3" t="s">
        <v>2383</v>
      </c>
      <c r="T81" s="3" t="s">
        <v>3277</v>
      </c>
      <c r="U81" s="3" t="s">
        <v>1326</v>
      </c>
      <c r="V81" s="3" t="s">
        <v>1327</v>
      </c>
      <c r="W81" s="3" t="s">
        <v>1328</v>
      </c>
      <c r="X81" s="3" t="s">
        <v>1328</v>
      </c>
      <c r="Y81" s="3" t="s">
        <v>1328</v>
      </c>
      <c r="Z81" s="3" t="s">
        <v>1328</v>
      </c>
      <c r="AA81" s="3" t="s">
        <v>1328</v>
      </c>
      <c r="AB81" s="3" t="s">
        <v>1328</v>
      </c>
      <c r="AC81" s="3" t="s">
        <v>1327</v>
      </c>
      <c r="AD81" s="3" t="s">
        <v>1328</v>
      </c>
      <c r="AE81" s="3" t="s">
        <v>1443</v>
      </c>
      <c r="AF81" s="3" t="s">
        <v>1330</v>
      </c>
      <c r="AG81" s="3" t="s">
        <v>1331</v>
      </c>
      <c r="AH81" s="3" t="s">
        <v>1347</v>
      </c>
      <c r="AI81" s="3" t="s">
        <v>1360</v>
      </c>
      <c r="AJ81" s="3" t="s">
        <v>1381</v>
      </c>
      <c r="AK81" s="3" t="s">
        <v>1349</v>
      </c>
      <c r="AL81" s="3">
        <v>5.0</v>
      </c>
      <c r="AM81" s="3" t="s">
        <v>1328</v>
      </c>
      <c r="AN81" s="3" t="s">
        <v>1328</v>
      </c>
      <c r="AO81" s="3" t="s">
        <v>1328</v>
      </c>
      <c r="AP81" s="3" t="s">
        <v>1328</v>
      </c>
      <c r="AQ81" s="3" t="s">
        <v>1328</v>
      </c>
      <c r="AR81" s="3" t="s">
        <v>1336</v>
      </c>
      <c r="AS81" s="3" t="s">
        <v>1395</v>
      </c>
      <c r="AT81" s="3" t="s">
        <v>1351</v>
      </c>
      <c r="AU81" s="3" t="s">
        <v>1363</v>
      </c>
      <c r="AV81" s="3" t="s">
        <v>1331</v>
      </c>
      <c r="AW81" s="3" t="s">
        <v>1328</v>
      </c>
      <c r="AX81" s="3" t="s">
        <v>5028</v>
      </c>
    </row>
    <row r="82" ht="12.75" customHeight="1">
      <c r="A82" s="3" t="s">
        <v>26</v>
      </c>
      <c r="B82" s="3" t="s">
        <v>3437</v>
      </c>
      <c r="C82" s="3" t="s">
        <v>1931</v>
      </c>
      <c r="D82" s="3" t="s">
        <v>2364</v>
      </c>
      <c r="E82" s="3" t="s">
        <v>38</v>
      </c>
      <c r="F82" s="3" t="s">
        <v>3438</v>
      </c>
      <c r="G82" s="3" t="s">
        <v>3439</v>
      </c>
      <c r="H82" s="3" t="s">
        <v>1932</v>
      </c>
      <c r="I82" s="3" t="s">
        <v>2486</v>
      </c>
      <c r="J82" s="3" t="s">
        <v>2487</v>
      </c>
      <c r="K82" s="3" t="s">
        <v>3273</v>
      </c>
      <c r="L82" s="3" t="s">
        <v>3274</v>
      </c>
      <c r="M82" s="3" t="s">
        <v>3208</v>
      </c>
      <c r="N82" s="3">
        <v>2016.0</v>
      </c>
      <c r="O82" s="3" t="s">
        <v>1933</v>
      </c>
      <c r="P82" s="25" t="str">
        <f>HYPERLINK("http://dx.doi.org/10.1016/j.rsma.2015.06.001","http://dx.doi.org/10.1016/j.rsma.2015.06.001")</f>
        <v>http://dx.doi.org/10.1016/j.rsma.2015.06.001</v>
      </c>
      <c r="Q82" s="3" t="s">
        <v>130</v>
      </c>
      <c r="R82" s="3" t="s">
        <v>2516</v>
      </c>
      <c r="S82" s="3" t="s">
        <v>2383</v>
      </c>
      <c r="T82" s="3" t="s">
        <v>3450</v>
      </c>
      <c r="U82" s="3" t="s">
        <v>1346</v>
      </c>
      <c r="V82" s="3" t="s">
        <v>1436</v>
      </c>
      <c r="W82" s="3" t="s">
        <v>1328</v>
      </c>
      <c r="X82" s="3" t="s">
        <v>1328</v>
      </c>
      <c r="Y82" s="3" t="s">
        <v>1328</v>
      </c>
      <c r="Z82" s="3" t="s">
        <v>1328</v>
      </c>
      <c r="AA82" s="3" t="s">
        <v>1328</v>
      </c>
      <c r="AB82" s="3" t="s">
        <v>1328</v>
      </c>
      <c r="AC82" s="3" t="s">
        <v>1436</v>
      </c>
      <c r="AD82" s="3" t="s">
        <v>1328</v>
      </c>
      <c r="AE82" s="3" t="s">
        <v>1329</v>
      </c>
      <c r="AF82" s="3" t="s">
        <v>1372</v>
      </c>
      <c r="AG82" s="3" t="s">
        <v>1523</v>
      </c>
      <c r="AH82" s="3" t="s">
        <v>1347</v>
      </c>
      <c r="AI82" s="3" t="s">
        <v>1333</v>
      </c>
      <c r="AJ82" s="3" t="s">
        <v>1348</v>
      </c>
      <c r="AK82" s="3" t="s">
        <v>1349</v>
      </c>
      <c r="AL82" s="3">
        <v>3.0</v>
      </c>
      <c r="AM82" s="3" t="s">
        <v>1328</v>
      </c>
      <c r="AN82" s="3" t="s">
        <v>1336</v>
      </c>
      <c r="AO82" s="3" t="s">
        <v>1336</v>
      </c>
      <c r="AP82" s="3" t="s">
        <v>1336</v>
      </c>
      <c r="AQ82" s="3" t="s">
        <v>1328</v>
      </c>
      <c r="AR82" s="3" t="s">
        <v>1328</v>
      </c>
      <c r="AS82" s="3" t="s">
        <v>1350</v>
      </c>
      <c r="AT82" s="3" t="s">
        <v>1351</v>
      </c>
      <c r="AU82" s="3" t="s">
        <v>1339</v>
      </c>
      <c r="AV82" s="3" t="s">
        <v>1388</v>
      </c>
      <c r="AW82" s="3" t="s">
        <v>1328</v>
      </c>
      <c r="AX82" s="3" t="s">
        <v>5027</v>
      </c>
    </row>
    <row r="83" ht="12.75" customHeight="1">
      <c r="A83" s="3" t="s">
        <v>26</v>
      </c>
      <c r="B83" s="3" t="s">
        <v>2541</v>
      </c>
      <c r="C83" s="3" t="s">
        <v>1937</v>
      </c>
      <c r="D83" s="3" t="s">
        <v>2364</v>
      </c>
      <c r="E83" s="3" t="s">
        <v>38</v>
      </c>
      <c r="F83" s="3" t="s">
        <v>2542</v>
      </c>
      <c r="G83" s="3" t="s">
        <v>2543</v>
      </c>
      <c r="H83" s="3" t="s">
        <v>1938</v>
      </c>
      <c r="I83" s="3" t="s">
        <v>2550</v>
      </c>
      <c r="J83" s="3" t="s">
        <v>2551</v>
      </c>
      <c r="K83" s="3" t="s">
        <v>2555</v>
      </c>
      <c r="L83" s="3" t="s">
        <v>2556</v>
      </c>
      <c r="M83" s="3" t="s">
        <v>2557</v>
      </c>
      <c r="N83" s="3">
        <v>2018.0</v>
      </c>
      <c r="O83" s="3" t="s">
        <v>1939</v>
      </c>
      <c r="P83" s="25" t="str">
        <f>HYPERLINK("http://dx.doi.org/10.1016/j.rama.2018.02.008","http://dx.doi.org/10.1016/j.rama.2018.02.008")</f>
        <v>http://dx.doi.org/10.1016/j.rama.2018.02.008</v>
      </c>
      <c r="Q83" s="3" t="s">
        <v>698</v>
      </c>
      <c r="R83" s="3" t="s">
        <v>2472</v>
      </c>
      <c r="S83" s="3" t="s">
        <v>2383</v>
      </c>
      <c r="T83" s="3" t="s">
        <v>2559</v>
      </c>
      <c r="U83" s="3" t="s">
        <v>1482</v>
      </c>
      <c r="V83" s="3" t="s">
        <v>1371</v>
      </c>
      <c r="W83" s="3" t="s">
        <v>1328</v>
      </c>
      <c r="X83" s="3" t="s">
        <v>1328</v>
      </c>
      <c r="Y83" s="3" t="s">
        <v>1328</v>
      </c>
      <c r="Z83" s="3" t="s">
        <v>1328</v>
      </c>
      <c r="AA83" s="3" t="s">
        <v>1328</v>
      </c>
      <c r="AB83" s="3" t="s">
        <v>1328</v>
      </c>
      <c r="AC83" s="3" t="s">
        <v>1371</v>
      </c>
      <c r="AD83" s="3" t="s">
        <v>1328</v>
      </c>
      <c r="AE83" s="3" t="s">
        <v>1329</v>
      </c>
      <c r="AF83" s="3" t="s">
        <v>1330</v>
      </c>
      <c r="AG83" s="3" t="s">
        <v>1372</v>
      </c>
      <c r="AH83" s="3" t="s">
        <v>1347</v>
      </c>
      <c r="AI83" s="3" t="s">
        <v>1333</v>
      </c>
      <c r="AJ83" s="3" t="s">
        <v>1348</v>
      </c>
      <c r="AK83" s="3" t="s">
        <v>1362</v>
      </c>
      <c r="AL83" s="3">
        <v>2.0</v>
      </c>
      <c r="AM83" s="3" t="s">
        <v>1336</v>
      </c>
      <c r="AN83" s="3" t="s">
        <v>1328</v>
      </c>
      <c r="AO83" s="3" t="s">
        <v>1328</v>
      </c>
      <c r="AP83" s="3" t="s">
        <v>1336</v>
      </c>
      <c r="AQ83" s="3" t="s">
        <v>1336</v>
      </c>
      <c r="AR83" s="3" t="s">
        <v>1336</v>
      </c>
      <c r="AS83" s="3" t="s">
        <v>1350</v>
      </c>
      <c r="AT83" s="3" t="s">
        <v>1351</v>
      </c>
      <c r="AU83" s="3" t="s">
        <v>1363</v>
      </c>
      <c r="AV83" s="3" t="s">
        <v>1388</v>
      </c>
      <c r="AW83" s="3" t="s">
        <v>1328</v>
      </c>
      <c r="AX83" s="3" t="s">
        <v>5027</v>
      </c>
    </row>
    <row r="84" ht="12.75" customHeight="1">
      <c r="A84" s="3" t="s">
        <v>26</v>
      </c>
      <c r="B84" s="3" t="s">
        <v>3315</v>
      </c>
      <c r="C84" s="3" t="s">
        <v>1950</v>
      </c>
      <c r="D84" s="3" t="s">
        <v>2364</v>
      </c>
      <c r="E84" s="3" t="s">
        <v>38</v>
      </c>
      <c r="F84" s="3" t="s">
        <v>3316</v>
      </c>
      <c r="G84" s="3" t="s">
        <v>3317</v>
      </c>
      <c r="H84" s="3" t="s">
        <v>1951</v>
      </c>
      <c r="I84" s="3" t="s">
        <v>2508</v>
      </c>
      <c r="J84" s="3" t="s">
        <v>2509</v>
      </c>
      <c r="K84" s="3" t="s">
        <v>3329</v>
      </c>
      <c r="L84" s="3" t="s">
        <v>3330</v>
      </c>
      <c r="M84" s="3" t="s">
        <v>2515</v>
      </c>
      <c r="N84" s="3">
        <v>2016.0</v>
      </c>
      <c r="O84" s="3" t="s">
        <v>1952</v>
      </c>
      <c r="P84" s="25" t="str">
        <f>HYPERLINK("http://dx.doi.org/10.1016/j.orggeochem.2016.06.001","http://dx.doi.org/10.1016/j.orggeochem.2016.06.001")</f>
        <v>http://dx.doi.org/10.1016/j.orggeochem.2016.06.001</v>
      </c>
      <c r="Q84" s="3" t="s">
        <v>3331</v>
      </c>
      <c r="R84" s="3" t="s">
        <v>3331</v>
      </c>
      <c r="S84" s="3" t="s">
        <v>2383</v>
      </c>
      <c r="T84" s="3" t="s">
        <v>3333</v>
      </c>
      <c r="U84" s="3" t="s">
        <v>1370</v>
      </c>
      <c r="V84" s="3" t="s">
        <v>1371</v>
      </c>
      <c r="W84" s="3" t="s">
        <v>1328</v>
      </c>
      <c r="X84" s="3" t="s">
        <v>1328</v>
      </c>
      <c r="Y84" s="3" t="s">
        <v>1328</v>
      </c>
      <c r="Z84" s="3" t="s">
        <v>1328</v>
      </c>
      <c r="AA84" s="3" t="s">
        <v>1328</v>
      </c>
      <c r="AB84" s="3" t="s">
        <v>1328</v>
      </c>
      <c r="AC84" s="3" t="s">
        <v>1371</v>
      </c>
      <c r="AD84" s="3" t="s">
        <v>1328</v>
      </c>
      <c r="AE84" s="3" t="s">
        <v>1329</v>
      </c>
      <c r="AF84" s="3" t="s">
        <v>1330</v>
      </c>
      <c r="AG84" s="3" t="s">
        <v>1331</v>
      </c>
      <c r="AH84" s="3" t="s">
        <v>1347</v>
      </c>
      <c r="AI84" s="3" t="s">
        <v>1333</v>
      </c>
      <c r="AJ84" s="3" t="s">
        <v>1381</v>
      </c>
      <c r="AK84" s="3" t="s">
        <v>1373</v>
      </c>
      <c r="AL84" s="3">
        <v>2.0</v>
      </c>
      <c r="AM84" s="3" t="s">
        <v>1328</v>
      </c>
      <c r="AN84" s="3" t="s">
        <v>1328</v>
      </c>
      <c r="AO84" s="3" t="s">
        <v>1336</v>
      </c>
      <c r="AP84" s="3" t="s">
        <v>1336</v>
      </c>
      <c r="AQ84" s="3" t="s">
        <v>1336</v>
      </c>
      <c r="AR84" s="3" t="s">
        <v>1336</v>
      </c>
      <c r="AS84" s="3" t="s">
        <v>1350</v>
      </c>
      <c r="AT84" s="3" t="s">
        <v>1351</v>
      </c>
      <c r="AU84" s="3" t="s">
        <v>1339</v>
      </c>
      <c r="AV84" s="3" t="s">
        <v>1374</v>
      </c>
      <c r="AW84" s="3" t="s">
        <v>1328</v>
      </c>
      <c r="AX84" s="3" t="s">
        <v>5027</v>
      </c>
    </row>
    <row r="85" ht="12.75" customHeight="1">
      <c r="A85" s="3" t="s">
        <v>26</v>
      </c>
      <c r="B85" s="3" t="s">
        <v>2498</v>
      </c>
      <c r="C85" s="3" t="s">
        <v>1955</v>
      </c>
      <c r="D85" s="3" t="s">
        <v>2364</v>
      </c>
      <c r="E85" s="3" t="s">
        <v>38</v>
      </c>
      <c r="F85" s="3" t="s">
        <v>2499</v>
      </c>
      <c r="G85" s="3" t="s">
        <v>2500</v>
      </c>
      <c r="H85" s="3" t="s">
        <v>1956</v>
      </c>
      <c r="I85" s="3" t="s">
        <v>2508</v>
      </c>
      <c r="J85" s="3" t="s">
        <v>2509</v>
      </c>
      <c r="K85" s="3" t="s">
        <v>2513</v>
      </c>
      <c r="L85" s="3" t="s">
        <v>2514</v>
      </c>
      <c r="M85" s="3" t="s">
        <v>2515</v>
      </c>
      <c r="N85" s="3">
        <v>2018.0</v>
      </c>
      <c r="O85" s="3" t="s">
        <v>1957</v>
      </c>
      <c r="P85" s="25" t="str">
        <f>HYPERLINK("http://dx.doi.org/10.1016/j.marpolbul.2018.04.065","http://dx.doi.org/10.1016/j.marpolbul.2018.04.065")</f>
        <v>http://dx.doi.org/10.1016/j.marpolbul.2018.04.065</v>
      </c>
      <c r="Q85" s="3" t="s">
        <v>148</v>
      </c>
      <c r="R85" s="3" t="s">
        <v>2516</v>
      </c>
      <c r="S85" s="3" t="s">
        <v>2383</v>
      </c>
      <c r="T85" s="3" t="s">
        <v>2518</v>
      </c>
      <c r="U85" s="3" t="s">
        <v>1402</v>
      </c>
      <c r="V85" s="3" t="s">
        <v>1371</v>
      </c>
      <c r="W85" s="3" t="s">
        <v>1328</v>
      </c>
      <c r="X85" s="3" t="s">
        <v>1328</v>
      </c>
      <c r="Y85" s="3" t="s">
        <v>1328</v>
      </c>
      <c r="Z85" s="3" t="s">
        <v>1328</v>
      </c>
      <c r="AA85" s="3" t="s">
        <v>1328</v>
      </c>
      <c r="AB85" s="3" t="s">
        <v>1328</v>
      </c>
      <c r="AC85" s="3" t="s">
        <v>1371</v>
      </c>
      <c r="AD85" s="3" t="s">
        <v>1328</v>
      </c>
      <c r="AE85" s="3" t="s">
        <v>1329</v>
      </c>
      <c r="AF85" s="3" t="s">
        <v>1372</v>
      </c>
      <c r="AG85" s="3" t="s">
        <v>1330</v>
      </c>
      <c r="AH85" s="3" t="s">
        <v>1347</v>
      </c>
      <c r="AI85" s="3" t="s">
        <v>1333</v>
      </c>
      <c r="AJ85" s="3" t="s">
        <v>1381</v>
      </c>
      <c r="AK85" s="3" t="s">
        <v>1349</v>
      </c>
      <c r="AL85" s="3">
        <v>4.0</v>
      </c>
      <c r="AM85" s="3" t="s">
        <v>1328</v>
      </c>
      <c r="AN85" s="3" t="s">
        <v>1328</v>
      </c>
      <c r="AO85" s="3" t="s">
        <v>1328</v>
      </c>
      <c r="AP85" s="3" t="s">
        <v>1336</v>
      </c>
      <c r="AQ85" s="3" t="s">
        <v>1328</v>
      </c>
      <c r="AR85" s="3" t="s">
        <v>1336</v>
      </c>
      <c r="AS85" s="3" t="s">
        <v>1350</v>
      </c>
      <c r="AT85" s="3" t="s">
        <v>1351</v>
      </c>
      <c r="AU85" s="3" t="s">
        <v>1363</v>
      </c>
      <c r="AV85" s="3" t="s">
        <v>1388</v>
      </c>
      <c r="AW85" s="3" t="s">
        <v>1328</v>
      </c>
      <c r="AX85" s="3" t="s">
        <v>5027</v>
      </c>
    </row>
    <row r="86" ht="12.75" customHeight="1">
      <c r="A86" s="3" t="s">
        <v>26</v>
      </c>
      <c r="B86" s="3" t="s">
        <v>2967</v>
      </c>
      <c r="C86" s="3" t="s">
        <v>1960</v>
      </c>
      <c r="D86" s="3" t="s">
        <v>2364</v>
      </c>
      <c r="E86" s="3" t="s">
        <v>38</v>
      </c>
      <c r="F86" s="3" t="s">
        <v>2968</v>
      </c>
      <c r="G86" s="3" t="s">
        <v>2969</v>
      </c>
      <c r="H86" s="3" t="s">
        <v>1961</v>
      </c>
      <c r="I86" s="3" t="s">
        <v>2508</v>
      </c>
      <c r="J86" s="3" t="s">
        <v>2509</v>
      </c>
      <c r="K86" s="3" t="s">
        <v>2513</v>
      </c>
      <c r="L86" s="3" t="s">
        <v>2514</v>
      </c>
      <c r="M86" s="3" t="s">
        <v>2979</v>
      </c>
      <c r="N86" s="3">
        <v>2017.0</v>
      </c>
      <c r="O86" s="3" t="s">
        <v>1962</v>
      </c>
      <c r="P86" s="25" t="str">
        <f>HYPERLINK("http://dx.doi.org/10.1016/j.marpolbul.2017.06.054","http://dx.doi.org/10.1016/j.marpolbul.2017.06.054")</f>
        <v>http://dx.doi.org/10.1016/j.marpolbul.2017.06.054</v>
      </c>
      <c r="Q86" s="3" t="s">
        <v>148</v>
      </c>
      <c r="R86" s="3" t="s">
        <v>2516</v>
      </c>
      <c r="S86" s="3" t="s">
        <v>2383</v>
      </c>
      <c r="T86" s="3" t="s">
        <v>2982</v>
      </c>
      <c r="U86" s="3" t="s">
        <v>1402</v>
      </c>
      <c r="V86" s="3" t="s">
        <v>1327</v>
      </c>
      <c r="W86" s="3" t="s">
        <v>1328</v>
      </c>
      <c r="X86" s="3" t="s">
        <v>1328</v>
      </c>
      <c r="Y86" s="3" t="s">
        <v>1328</v>
      </c>
      <c r="Z86" s="3" t="s">
        <v>1328</v>
      </c>
      <c r="AA86" s="3" t="s">
        <v>1328</v>
      </c>
      <c r="AB86" s="3" t="s">
        <v>1328</v>
      </c>
      <c r="AC86" s="3" t="s">
        <v>1327</v>
      </c>
      <c r="AD86" s="3" t="s">
        <v>1328</v>
      </c>
      <c r="AE86" s="3" t="s">
        <v>1443</v>
      </c>
      <c r="AF86" s="3" t="s">
        <v>1330</v>
      </c>
      <c r="AG86" s="3" t="s">
        <v>1523</v>
      </c>
      <c r="AH86" s="3" t="s">
        <v>1347</v>
      </c>
      <c r="AI86" s="3" t="s">
        <v>1333</v>
      </c>
      <c r="AJ86" s="3" t="s">
        <v>1381</v>
      </c>
      <c r="AK86" s="3" t="s">
        <v>1349</v>
      </c>
      <c r="AL86" s="3">
        <v>2.0</v>
      </c>
      <c r="AM86" s="3" t="s">
        <v>1336</v>
      </c>
      <c r="AN86" s="3" t="s">
        <v>1328</v>
      </c>
      <c r="AO86" s="3" t="s">
        <v>1336</v>
      </c>
      <c r="AP86" s="3" t="s">
        <v>1336</v>
      </c>
      <c r="AQ86" s="3" t="s">
        <v>1328</v>
      </c>
      <c r="AR86" s="3" t="s">
        <v>1336</v>
      </c>
      <c r="AS86" s="3" t="s">
        <v>1350</v>
      </c>
      <c r="AT86" s="3" t="s">
        <v>1351</v>
      </c>
      <c r="AU86" s="3" t="s">
        <v>1339</v>
      </c>
      <c r="AV86" s="3" t="s">
        <v>1331</v>
      </c>
      <c r="AW86" s="3" t="s">
        <v>1328</v>
      </c>
      <c r="AX86" s="3" t="s">
        <v>5027</v>
      </c>
    </row>
    <row r="87" ht="12.75" customHeight="1">
      <c r="A87" s="3" t="s">
        <v>26</v>
      </c>
      <c r="B87" s="3" t="s">
        <v>2519</v>
      </c>
      <c r="C87" s="3" t="s">
        <v>1966</v>
      </c>
      <c r="D87" s="3" t="s">
        <v>2364</v>
      </c>
      <c r="E87" s="3" t="s">
        <v>38</v>
      </c>
      <c r="F87" s="3" t="s">
        <v>2520</v>
      </c>
      <c r="G87" s="3" t="s">
        <v>2521</v>
      </c>
      <c r="H87" s="3" t="s">
        <v>1967</v>
      </c>
      <c r="I87" s="3" t="s">
        <v>2530</v>
      </c>
      <c r="J87" s="3" t="s">
        <v>2531</v>
      </c>
      <c r="K87" s="3" t="s">
        <v>2535</v>
      </c>
      <c r="L87" s="3" t="s">
        <v>2536</v>
      </c>
      <c r="M87" s="3" t="s">
        <v>2515</v>
      </c>
      <c r="N87" s="3">
        <v>2018.0</v>
      </c>
      <c r="O87" s="3" t="s">
        <v>1968</v>
      </c>
      <c r="P87" s="25" t="str">
        <f>HYPERLINK("http://dx.doi.org/10.1016/j.marenvres.2018.05.008","http://dx.doi.org/10.1016/j.marenvres.2018.05.008")</f>
        <v>http://dx.doi.org/10.1016/j.marenvres.2018.05.008</v>
      </c>
      <c r="Q87" s="3" t="s">
        <v>2537</v>
      </c>
      <c r="R87" s="3" t="s">
        <v>2538</v>
      </c>
      <c r="S87" s="3" t="s">
        <v>2383</v>
      </c>
      <c r="T87" s="3" t="s">
        <v>2540</v>
      </c>
      <c r="U87" s="3" t="s">
        <v>1402</v>
      </c>
      <c r="V87" s="3" t="s">
        <v>1387</v>
      </c>
      <c r="W87" s="3" t="s">
        <v>1328</v>
      </c>
      <c r="X87" s="3" t="s">
        <v>1328</v>
      </c>
      <c r="Y87" s="3" t="s">
        <v>1328</v>
      </c>
      <c r="Z87" s="3" t="s">
        <v>1328</v>
      </c>
      <c r="AA87" s="3" t="s">
        <v>1328</v>
      </c>
      <c r="AB87" s="3" t="s">
        <v>1328</v>
      </c>
      <c r="AC87" s="3" t="s">
        <v>1387</v>
      </c>
      <c r="AD87" s="3" t="s">
        <v>1328</v>
      </c>
      <c r="AE87" s="3" t="s">
        <v>1329</v>
      </c>
      <c r="AF87" s="3" t="s">
        <v>1330</v>
      </c>
      <c r="AG87" s="3" t="s">
        <v>1331</v>
      </c>
      <c r="AH87" s="3" t="s">
        <v>1347</v>
      </c>
      <c r="AI87" s="3" t="s">
        <v>1333</v>
      </c>
      <c r="AJ87" s="3" t="s">
        <v>1348</v>
      </c>
      <c r="AK87" s="3" t="s">
        <v>1349</v>
      </c>
      <c r="AL87" s="3">
        <v>3.0</v>
      </c>
      <c r="AM87" s="3" t="s">
        <v>1336</v>
      </c>
      <c r="AN87" s="3" t="s">
        <v>1336</v>
      </c>
      <c r="AO87" s="3" t="s">
        <v>1328</v>
      </c>
      <c r="AP87" s="3" t="s">
        <v>1336</v>
      </c>
      <c r="AQ87" s="3" t="s">
        <v>1328</v>
      </c>
      <c r="AR87" s="3" t="s">
        <v>1328</v>
      </c>
      <c r="AS87" s="3" t="s">
        <v>1350</v>
      </c>
      <c r="AT87" s="3" t="s">
        <v>1351</v>
      </c>
      <c r="AU87" s="3" t="s">
        <v>1363</v>
      </c>
      <c r="AV87" s="3" t="s">
        <v>1388</v>
      </c>
      <c r="AW87" s="3" t="s">
        <v>1328</v>
      </c>
      <c r="AX87" s="3" t="s">
        <v>5027</v>
      </c>
    </row>
    <row r="88" ht="12.75" customHeight="1">
      <c r="A88" s="3" t="s">
        <v>26</v>
      </c>
      <c r="B88" s="3" t="s">
        <v>2899</v>
      </c>
      <c r="C88" s="3" t="s">
        <v>1971</v>
      </c>
      <c r="D88" s="3" t="s">
        <v>2364</v>
      </c>
      <c r="E88" s="3" t="s">
        <v>38</v>
      </c>
      <c r="F88" s="3" t="s">
        <v>2900</v>
      </c>
      <c r="G88" s="3" t="s">
        <v>2901</v>
      </c>
      <c r="H88" s="3" t="s">
        <v>1972</v>
      </c>
      <c r="I88" s="3" t="s">
        <v>2530</v>
      </c>
      <c r="J88" s="3" t="s">
        <v>2509</v>
      </c>
      <c r="K88" s="3" t="s">
        <v>168</v>
      </c>
      <c r="L88" s="3" t="s">
        <v>2907</v>
      </c>
      <c r="M88" s="3" t="s">
        <v>2908</v>
      </c>
      <c r="N88" s="3">
        <v>2017.0</v>
      </c>
      <c r="O88" s="3" t="s">
        <v>1973</v>
      </c>
      <c r="P88" s="25" t="str">
        <f>HYPERLINK("http://dx.doi.org/10.1016/j.landusepol.2017.09.045","http://dx.doi.org/10.1016/j.landusepol.2017.09.045")</f>
        <v>http://dx.doi.org/10.1016/j.landusepol.2017.09.045</v>
      </c>
      <c r="Q88" s="3" t="s">
        <v>172</v>
      </c>
      <c r="R88" s="3" t="s">
        <v>2472</v>
      </c>
      <c r="S88" s="3" t="s">
        <v>2383</v>
      </c>
      <c r="T88" s="3" t="s">
        <v>2910</v>
      </c>
      <c r="U88" s="3" t="s">
        <v>1482</v>
      </c>
      <c r="V88" s="3" t="s">
        <v>1327</v>
      </c>
      <c r="W88" s="3" t="s">
        <v>1328</v>
      </c>
      <c r="X88" s="3" t="s">
        <v>1328</v>
      </c>
      <c r="Y88" s="3" t="s">
        <v>1328</v>
      </c>
      <c r="Z88" s="3" t="s">
        <v>1328</v>
      </c>
      <c r="AA88" s="3" t="s">
        <v>1328</v>
      </c>
      <c r="AB88" s="3" t="s">
        <v>1328</v>
      </c>
      <c r="AC88" s="3" t="s">
        <v>1327</v>
      </c>
      <c r="AD88" s="3" t="s">
        <v>1328</v>
      </c>
      <c r="AE88" s="3" t="s">
        <v>1443</v>
      </c>
      <c r="AF88" s="3" t="s">
        <v>1330</v>
      </c>
      <c r="AG88" s="3" t="s">
        <v>1331</v>
      </c>
      <c r="AH88" s="3" t="s">
        <v>1332</v>
      </c>
      <c r="AI88" s="3" t="s">
        <v>1660</v>
      </c>
      <c r="AJ88" s="3" t="s">
        <v>1361</v>
      </c>
      <c r="AK88" s="3" t="s">
        <v>1446</v>
      </c>
      <c r="AL88" s="3">
        <v>2.0</v>
      </c>
      <c r="AM88" s="3" t="s">
        <v>1336</v>
      </c>
      <c r="AN88" s="3" t="s">
        <v>1328</v>
      </c>
      <c r="AO88" s="3" t="s">
        <v>1328</v>
      </c>
      <c r="AP88" s="3" t="s">
        <v>1336</v>
      </c>
      <c r="AQ88" s="3" t="s">
        <v>1336</v>
      </c>
      <c r="AR88" s="3" t="s">
        <v>1336</v>
      </c>
      <c r="AS88" s="3" t="s">
        <v>1395</v>
      </c>
      <c r="AT88" s="3" t="s">
        <v>1351</v>
      </c>
      <c r="AU88" s="3" t="s">
        <v>1339</v>
      </c>
      <c r="AV88" s="3" t="s">
        <v>1331</v>
      </c>
      <c r="AW88" s="3" t="s">
        <v>1328</v>
      </c>
      <c r="AX88" s="3" t="s">
        <v>5028</v>
      </c>
    </row>
    <row r="89" ht="12.75" customHeight="1">
      <c r="A89" s="3" t="s">
        <v>26</v>
      </c>
      <c r="B89" s="3" t="s">
        <v>3390</v>
      </c>
      <c r="C89" s="3" t="s">
        <v>1977</v>
      </c>
      <c r="D89" s="3" t="s">
        <v>2364</v>
      </c>
      <c r="E89" s="3" t="s">
        <v>38</v>
      </c>
      <c r="F89" s="3" t="s">
        <v>3391</v>
      </c>
      <c r="G89" s="3" t="s">
        <v>3392</v>
      </c>
      <c r="H89" s="3" t="s">
        <v>1978</v>
      </c>
      <c r="I89" s="3" t="s">
        <v>2530</v>
      </c>
      <c r="J89" s="3" t="s">
        <v>2509</v>
      </c>
      <c r="K89" s="3" t="s">
        <v>3403</v>
      </c>
      <c r="L89" s="3" t="s">
        <v>3404</v>
      </c>
      <c r="M89" s="3" t="s">
        <v>2818</v>
      </c>
      <c r="N89" s="3">
        <v>2016.0</v>
      </c>
      <c r="O89" s="3" t="s">
        <v>1979</v>
      </c>
      <c r="P89" s="25" t="str">
        <f>HYPERLINK("http://dx.doi.org/10.1016/j.jglr.2015.11.006","http://dx.doi.org/10.1016/j.jglr.2015.11.006")</f>
        <v>http://dx.doi.org/10.1016/j.jglr.2015.11.006</v>
      </c>
      <c r="Q89" s="3" t="s">
        <v>3405</v>
      </c>
      <c r="R89" s="3" t="s">
        <v>2516</v>
      </c>
      <c r="S89" s="3" t="s">
        <v>2383</v>
      </c>
      <c r="T89" s="3" t="s">
        <v>3407</v>
      </c>
      <c r="U89" s="3" t="s">
        <v>1346</v>
      </c>
      <c r="V89" s="3" t="s">
        <v>1417</v>
      </c>
      <c r="W89" s="3" t="s">
        <v>1328</v>
      </c>
      <c r="X89" s="3" t="s">
        <v>1328</v>
      </c>
      <c r="Y89" s="3" t="s">
        <v>1328</v>
      </c>
      <c r="Z89" s="3" t="s">
        <v>1328</v>
      </c>
      <c r="AA89" s="3" t="s">
        <v>1328</v>
      </c>
      <c r="AB89" s="3" t="s">
        <v>1328</v>
      </c>
      <c r="AC89" s="3" t="s">
        <v>1417</v>
      </c>
      <c r="AD89" s="3" t="s">
        <v>1328</v>
      </c>
      <c r="AE89" s="3" t="s">
        <v>1329</v>
      </c>
      <c r="AF89" s="3" t="s">
        <v>1331</v>
      </c>
      <c r="AG89" s="3" t="s">
        <v>1330</v>
      </c>
      <c r="AH89" s="3" t="s">
        <v>1347</v>
      </c>
      <c r="AI89" s="3" t="s">
        <v>1333</v>
      </c>
      <c r="AJ89" s="3" t="s">
        <v>1361</v>
      </c>
      <c r="AK89" s="3" t="s">
        <v>1530</v>
      </c>
      <c r="AL89" s="29">
        <v>2.0</v>
      </c>
      <c r="AM89" s="3" t="s">
        <v>1328</v>
      </c>
      <c r="AN89" s="3" t="s">
        <v>1336</v>
      </c>
      <c r="AO89" s="3" t="s">
        <v>1336</v>
      </c>
      <c r="AP89" s="3" t="s">
        <v>1336</v>
      </c>
      <c r="AQ89" s="3" t="s">
        <v>1328</v>
      </c>
      <c r="AR89" s="3" t="s">
        <v>1336</v>
      </c>
      <c r="AS89" s="3" t="s">
        <v>1404</v>
      </c>
      <c r="AT89" s="3" t="s">
        <v>1351</v>
      </c>
      <c r="AU89" s="3" t="s">
        <v>1339</v>
      </c>
      <c r="AV89" s="3" t="s">
        <v>1331</v>
      </c>
      <c r="AW89" s="3" t="s">
        <v>1328</v>
      </c>
      <c r="AX89" s="3" t="s">
        <v>5027</v>
      </c>
    </row>
    <row r="90" ht="12.75" customHeight="1">
      <c r="A90" s="3" t="s">
        <v>26</v>
      </c>
      <c r="B90" s="3" t="s">
        <v>4148</v>
      </c>
      <c r="C90" s="3" t="s">
        <v>1982</v>
      </c>
      <c r="D90" s="3" t="s">
        <v>2364</v>
      </c>
      <c r="E90" s="3" t="s">
        <v>38</v>
      </c>
      <c r="F90" s="3" t="s">
        <v>4149</v>
      </c>
      <c r="G90" s="3" t="s">
        <v>4150</v>
      </c>
      <c r="H90" s="3" t="s">
        <v>1983</v>
      </c>
      <c r="I90" s="3" t="s">
        <v>2530</v>
      </c>
      <c r="J90" s="3" t="s">
        <v>2509</v>
      </c>
      <c r="K90" s="3" t="s">
        <v>3403</v>
      </c>
      <c r="L90" s="3" t="s">
        <v>3404</v>
      </c>
      <c r="M90" s="3" t="s">
        <v>2908</v>
      </c>
      <c r="N90" s="3">
        <v>2012.0</v>
      </c>
      <c r="O90" s="3" t="s">
        <v>1984</v>
      </c>
      <c r="P90" s="25" t="str">
        <f>HYPERLINK("http://dx.doi.org/10.1016/j.jglr.2012.09.022","http://dx.doi.org/10.1016/j.jglr.2012.09.022")</f>
        <v>http://dx.doi.org/10.1016/j.jglr.2012.09.022</v>
      </c>
      <c r="Q90" s="3" t="s">
        <v>3405</v>
      </c>
      <c r="R90" s="3" t="s">
        <v>2516</v>
      </c>
      <c r="S90" s="3" t="s">
        <v>2383</v>
      </c>
      <c r="T90" s="3" t="s">
        <v>4159</v>
      </c>
      <c r="U90" s="3" t="s">
        <v>1522</v>
      </c>
      <c r="V90" s="3" t="s">
        <v>1436</v>
      </c>
      <c r="W90" s="3" t="s">
        <v>1328</v>
      </c>
      <c r="X90" s="3" t="s">
        <v>1328</v>
      </c>
      <c r="Y90" s="3" t="s">
        <v>1328</v>
      </c>
      <c r="Z90" s="3" t="s">
        <v>1328</v>
      </c>
      <c r="AA90" s="3" t="s">
        <v>1328</v>
      </c>
      <c r="AB90" s="3" t="s">
        <v>1328</v>
      </c>
      <c r="AC90" s="3" t="s">
        <v>1436</v>
      </c>
      <c r="AD90" s="3" t="s">
        <v>1328</v>
      </c>
      <c r="AE90" s="3" t="s">
        <v>1329</v>
      </c>
      <c r="AF90" s="3" t="s">
        <v>1330</v>
      </c>
      <c r="AG90" s="3" t="s">
        <v>1330</v>
      </c>
      <c r="AH90" s="3" t="s">
        <v>1347</v>
      </c>
      <c r="AI90" s="3" t="s">
        <v>1333</v>
      </c>
      <c r="AJ90" s="3" t="s">
        <v>1334</v>
      </c>
      <c r="AK90" s="3" t="s">
        <v>1530</v>
      </c>
      <c r="AL90" s="3">
        <v>2.0</v>
      </c>
      <c r="AM90" s="3" t="s">
        <v>1328</v>
      </c>
      <c r="AN90" s="3" t="s">
        <v>1336</v>
      </c>
      <c r="AO90" s="3" t="s">
        <v>1328</v>
      </c>
      <c r="AP90" s="3" t="s">
        <v>1336</v>
      </c>
      <c r="AQ90" s="3" t="s">
        <v>1336</v>
      </c>
      <c r="AR90" s="3" t="s">
        <v>1336</v>
      </c>
      <c r="AS90" s="3" t="s">
        <v>1350</v>
      </c>
      <c r="AT90" s="3" t="s">
        <v>1351</v>
      </c>
      <c r="AU90" s="3" t="s">
        <v>1339</v>
      </c>
      <c r="AV90" s="3" t="s">
        <v>1388</v>
      </c>
      <c r="AW90" s="3" t="s">
        <v>1328</v>
      </c>
      <c r="AX90" s="3" t="s">
        <v>5027</v>
      </c>
    </row>
    <row r="91" ht="12.75" customHeight="1">
      <c r="A91" s="3" t="s">
        <v>26</v>
      </c>
      <c r="B91" s="3" t="s">
        <v>3592</v>
      </c>
      <c r="C91" s="3" t="s">
        <v>1988</v>
      </c>
      <c r="D91" s="3" t="s">
        <v>2364</v>
      </c>
      <c r="E91" s="3" t="s">
        <v>38</v>
      </c>
      <c r="F91" s="3" t="s">
        <v>3593</v>
      </c>
      <c r="G91" s="3" t="s">
        <v>3594</v>
      </c>
      <c r="H91" s="3" t="s">
        <v>3595</v>
      </c>
      <c r="I91" s="3" t="s">
        <v>3602</v>
      </c>
      <c r="J91" s="3" t="s">
        <v>2400</v>
      </c>
      <c r="K91" s="3" t="s">
        <v>3606</v>
      </c>
      <c r="L91" s="3" t="s">
        <v>3607</v>
      </c>
      <c r="M91" s="3" t="s">
        <v>3608</v>
      </c>
      <c r="N91" s="3">
        <v>2015.0</v>
      </c>
      <c r="O91" s="3" t="s">
        <v>1990</v>
      </c>
      <c r="P91" s="25" t="str">
        <f>HYPERLINK("http://dx.doi.org/10.1016/j.jenvman.2014.01.020","http://dx.doi.org/10.1016/j.jenvman.2014.01.020")</f>
        <v>http://dx.doi.org/10.1016/j.jenvman.2014.01.020</v>
      </c>
      <c r="Q91" s="3" t="s">
        <v>68</v>
      </c>
      <c r="R91" s="3" t="s">
        <v>2472</v>
      </c>
      <c r="S91" s="3" t="s">
        <v>2383</v>
      </c>
      <c r="T91" s="3" t="s">
        <v>3610</v>
      </c>
      <c r="U91" s="3" t="s">
        <v>1370</v>
      </c>
      <c r="V91" s="3" t="s">
        <v>1327</v>
      </c>
      <c r="W91" s="3" t="s">
        <v>1328</v>
      </c>
      <c r="X91" s="3" t="s">
        <v>1328</v>
      </c>
      <c r="Y91" s="3" t="s">
        <v>1328</v>
      </c>
      <c r="Z91" s="3" t="s">
        <v>1328</v>
      </c>
      <c r="AA91" s="3" t="s">
        <v>1328</v>
      </c>
      <c r="AB91" s="3" t="s">
        <v>1328</v>
      </c>
      <c r="AC91" s="3" t="s">
        <v>1327</v>
      </c>
      <c r="AD91" s="3" t="s">
        <v>1328</v>
      </c>
      <c r="AE91" s="3" t="s">
        <v>1329</v>
      </c>
      <c r="AF91" s="3" t="s">
        <v>1330</v>
      </c>
      <c r="AG91" s="3" t="s">
        <v>1331</v>
      </c>
      <c r="AH91" s="3" t="s">
        <v>1347</v>
      </c>
      <c r="AI91" s="3" t="s">
        <v>1360</v>
      </c>
      <c r="AJ91" s="3" t="s">
        <v>1381</v>
      </c>
      <c r="AK91" s="3" t="s">
        <v>1335</v>
      </c>
      <c r="AL91" s="3">
        <v>3.0</v>
      </c>
      <c r="AM91" s="3" t="s">
        <v>1336</v>
      </c>
      <c r="AN91" s="3" t="s">
        <v>1328</v>
      </c>
      <c r="AO91" s="3" t="s">
        <v>1328</v>
      </c>
      <c r="AP91" s="3" t="s">
        <v>1336</v>
      </c>
      <c r="AQ91" s="3" t="s">
        <v>1328</v>
      </c>
      <c r="AR91" s="3" t="s">
        <v>1336</v>
      </c>
      <c r="AS91" s="3" t="s">
        <v>1350</v>
      </c>
      <c r="AT91" s="3" t="s">
        <v>1351</v>
      </c>
      <c r="AU91" s="3" t="s">
        <v>1339</v>
      </c>
      <c r="AV91" s="3" t="s">
        <v>1331</v>
      </c>
      <c r="AW91" s="3" t="s">
        <v>1328</v>
      </c>
      <c r="AX91" s="3" t="s">
        <v>5028</v>
      </c>
    </row>
    <row r="92" ht="12.75" customHeight="1">
      <c r="A92" s="3" t="s">
        <v>26</v>
      </c>
      <c r="B92" s="3" t="s">
        <v>4160</v>
      </c>
      <c r="C92" s="3" t="s">
        <v>1993</v>
      </c>
      <c r="D92" s="3" t="s">
        <v>2364</v>
      </c>
      <c r="E92" s="3" t="s">
        <v>38</v>
      </c>
      <c r="F92" s="3" t="s">
        <v>4161</v>
      </c>
      <c r="G92" s="3" t="s">
        <v>4162</v>
      </c>
      <c r="H92" s="3" t="s">
        <v>1994</v>
      </c>
      <c r="I92" s="3" t="s">
        <v>2530</v>
      </c>
      <c r="J92" s="3" t="s">
        <v>2509</v>
      </c>
      <c r="K92" s="3" t="s">
        <v>4174</v>
      </c>
      <c r="L92" s="3" t="s">
        <v>4175</v>
      </c>
      <c r="M92" s="3" t="s">
        <v>2908</v>
      </c>
      <c r="N92" s="3">
        <v>2012.0</v>
      </c>
      <c r="O92" s="3" t="s">
        <v>1995</v>
      </c>
      <c r="P92" s="25" t="str">
        <f>HYPERLINK("http://dx.doi.org/10.1016/j.jclepro.2012.06.016","http://dx.doi.org/10.1016/j.jclepro.2012.06.016")</f>
        <v>http://dx.doi.org/10.1016/j.jclepro.2012.06.016</v>
      </c>
      <c r="Q92" s="3" t="s">
        <v>197</v>
      </c>
      <c r="R92" s="3" t="s">
        <v>4176</v>
      </c>
      <c r="S92" s="3" t="s">
        <v>2383</v>
      </c>
      <c r="T92" s="3" t="s">
        <v>4178</v>
      </c>
      <c r="U92" s="3" t="s">
        <v>1462</v>
      </c>
      <c r="V92" s="3" t="s">
        <v>1387</v>
      </c>
      <c r="W92" s="3" t="s">
        <v>1328</v>
      </c>
      <c r="X92" s="3" t="s">
        <v>1328</v>
      </c>
      <c r="Y92" s="3" t="s">
        <v>1328</v>
      </c>
      <c r="Z92" s="3" t="s">
        <v>1328</v>
      </c>
      <c r="AA92" s="3" t="s">
        <v>1328</v>
      </c>
      <c r="AB92" s="3" t="s">
        <v>1328</v>
      </c>
      <c r="AC92" s="3" t="s">
        <v>1387</v>
      </c>
      <c r="AD92" s="3" t="s">
        <v>1328</v>
      </c>
      <c r="AE92" s="3" t="s">
        <v>1329</v>
      </c>
      <c r="AF92" s="3" t="s">
        <v>1372</v>
      </c>
      <c r="AG92" s="3" t="s">
        <v>1331</v>
      </c>
      <c r="AH92" s="3" t="s">
        <v>1337</v>
      </c>
      <c r="AI92" s="3" t="s">
        <v>1444</v>
      </c>
      <c r="AJ92" s="3" t="s">
        <v>1864</v>
      </c>
      <c r="AK92" s="3" t="s">
        <v>1446</v>
      </c>
      <c r="AL92" s="3">
        <v>3.0</v>
      </c>
      <c r="AM92" s="3" t="s">
        <v>1328</v>
      </c>
      <c r="AN92" s="3" t="s">
        <v>1328</v>
      </c>
      <c r="AO92" s="3" t="s">
        <v>1328</v>
      </c>
      <c r="AP92" s="3" t="s">
        <v>1336</v>
      </c>
      <c r="AQ92" s="3" t="s">
        <v>1336</v>
      </c>
      <c r="AR92" s="3" t="s">
        <v>1336</v>
      </c>
      <c r="AS92" s="3" t="s">
        <v>1404</v>
      </c>
      <c r="AT92" s="3" t="s">
        <v>1351</v>
      </c>
      <c r="AU92" s="3" t="s">
        <v>1363</v>
      </c>
      <c r="AV92" s="3" t="s">
        <v>1331</v>
      </c>
      <c r="AW92" s="3" t="s">
        <v>1328</v>
      </c>
      <c r="AX92" s="3" t="s">
        <v>5028</v>
      </c>
    </row>
    <row r="93" ht="12.75" customHeight="1">
      <c r="A93" s="3" t="s">
        <v>26</v>
      </c>
      <c r="B93" s="3" t="s">
        <v>3687</v>
      </c>
      <c r="C93" s="3" t="s">
        <v>1998</v>
      </c>
      <c r="D93" s="3" t="s">
        <v>2364</v>
      </c>
      <c r="E93" s="3" t="s">
        <v>38</v>
      </c>
      <c r="F93" s="3" t="s">
        <v>3688</v>
      </c>
      <c r="G93" s="3" t="s">
        <v>3689</v>
      </c>
      <c r="H93" s="3" t="s">
        <v>1999</v>
      </c>
      <c r="I93" s="3" t="s">
        <v>3043</v>
      </c>
      <c r="J93" s="3" t="s">
        <v>2487</v>
      </c>
      <c r="K93" s="3" t="s">
        <v>3700</v>
      </c>
      <c r="L93" s="3" t="s">
        <v>3701</v>
      </c>
      <c r="M93" s="3" t="s">
        <v>3518</v>
      </c>
      <c r="N93" s="3">
        <v>2014.0</v>
      </c>
      <c r="O93" s="3" t="s">
        <v>2000</v>
      </c>
      <c r="P93" s="25" t="str">
        <f>HYPERLINK("http://dx.doi.org/10.1016/j.gloplacha.2014.07.007","http://dx.doi.org/10.1016/j.gloplacha.2014.07.007")</f>
        <v>http://dx.doi.org/10.1016/j.gloplacha.2014.07.007</v>
      </c>
      <c r="Q93" s="3" t="s">
        <v>1059</v>
      </c>
      <c r="R93" s="3" t="s">
        <v>3702</v>
      </c>
      <c r="S93" s="3" t="s">
        <v>2383</v>
      </c>
      <c r="T93" s="3" t="s">
        <v>3704</v>
      </c>
      <c r="U93" s="3" t="s">
        <v>1358</v>
      </c>
      <c r="V93" s="3" t="s">
        <v>1371</v>
      </c>
      <c r="W93" s="3" t="s">
        <v>1328</v>
      </c>
      <c r="X93" s="3" t="s">
        <v>1328</v>
      </c>
      <c r="Y93" s="3" t="s">
        <v>1328</v>
      </c>
      <c r="Z93" s="3" t="s">
        <v>1328</v>
      </c>
      <c r="AA93" s="3" t="s">
        <v>1328</v>
      </c>
      <c r="AB93" s="3" t="s">
        <v>1328</v>
      </c>
      <c r="AC93" s="3" t="s">
        <v>1371</v>
      </c>
      <c r="AD93" s="3" t="s">
        <v>1328</v>
      </c>
      <c r="AE93" s="3" t="s">
        <v>1329</v>
      </c>
      <c r="AF93" s="3" t="s">
        <v>1330</v>
      </c>
      <c r="AG93" s="3" t="s">
        <v>1330</v>
      </c>
      <c r="AH93" s="3" t="s">
        <v>1347</v>
      </c>
      <c r="AI93" s="3" t="s">
        <v>1333</v>
      </c>
      <c r="AJ93" s="3" t="s">
        <v>1381</v>
      </c>
      <c r="AK93" s="3" t="s">
        <v>1362</v>
      </c>
      <c r="AL93" s="3">
        <v>2.0</v>
      </c>
      <c r="AM93" s="3" t="s">
        <v>1328</v>
      </c>
      <c r="AN93" s="3" t="s">
        <v>1328</v>
      </c>
      <c r="AO93" s="3" t="s">
        <v>1336</v>
      </c>
      <c r="AP93" s="3" t="s">
        <v>1336</v>
      </c>
      <c r="AQ93" s="3" t="s">
        <v>1336</v>
      </c>
      <c r="AR93" s="3" t="s">
        <v>1336</v>
      </c>
      <c r="AS93" s="3" t="s">
        <v>1350</v>
      </c>
      <c r="AT93" s="3" t="s">
        <v>1351</v>
      </c>
      <c r="AU93" s="3" t="s">
        <v>1363</v>
      </c>
      <c r="AV93" s="3" t="s">
        <v>1388</v>
      </c>
      <c r="AW93" s="3" t="s">
        <v>1328</v>
      </c>
      <c r="AX93" s="3" t="s">
        <v>5027</v>
      </c>
    </row>
    <row r="94" ht="12.75" customHeight="1">
      <c r="A94" s="3" t="s">
        <v>26</v>
      </c>
      <c r="B94" s="3" t="s">
        <v>3964</v>
      </c>
      <c r="C94" s="3" t="s">
        <v>2003</v>
      </c>
      <c r="D94" s="3" t="s">
        <v>2364</v>
      </c>
      <c r="E94" s="3" t="s">
        <v>38</v>
      </c>
      <c r="F94" s="3" t="s">
        <v>3965</v>
      </c>
      <c r="G94" s="3" t="s">
        <v>3966</v>
      </c>
      <c r="H94" s="3" t="s">
        <v>2004</v>
      </c>
      <c r="I94" s="3" t="s">
        <v>2486</v>
      </c>
      <c r="J94" s="3" t="s">
        <v>2487</v>
      </c>
      <c r="K94" s="3" t="s">
        <v>3700</v>
      </c>
      <c r="L94" s="3" t="s">
        <v>3701</v>
      </c>
      <c r="M94" s="3" t="s">
        <v>2471</v>
      </c>
      <c r="N94" s="3">
        <v>2013.0</v>
      </c>
      <c r="O94" s="3" t="s">
        <v>2005</v>
      </c>
      <c r="P94" s="25" t="str">
        <f>HYPERLINK("http://dx.doi.org/10.1016/j.gloplacha.2013.06.007","http://dx.doi.org/10.1016/j.gloplacha.2013.06.007")</f>
        <v>http://dx.doi.org/10.1016/j.gloplacha.2013.06.007</v>
      </c>
      <c r="Q94" s="3" t="s">
        <v>1059</v>
      </c>
      <c r="R94" s="3" t="s">
        <v>3702</v>
      </c>
      <c r="S94" s="3" t="s">
        <v>2383</v>
      </c>
      <c r="T94" s="3" t="s">
        <v>3975</v>
      </c>
      <c r="U94" s="3" t="s">
        <v>1358</v>
      </c>
      <c r="V94" s="3" t="s">
        <v>1403</v>
      </c>
      <c r="W94" s="3" t="s">
        <v>1328</v>
      </c>
      <c r="X94" s="3" t="s">
        <v>1328</v>
      </c>
      <c r="Y94" s="3" t="s">
        <v>1328</v>
      </c>
      <c r="Z94" s="3" t="s">
        <v>1328</v>
      </c>
      <c r="AA94" s="3" t="s">
        <v>1328</v>
      </c>
      <c r="AB94" s="3" t="s">
        <v>1328</v>
      </c>
      <c r="AC94" s="3" t="s">
        <v>1403</v>
      </c>
      <c r="AD94" s="3" t="s">
        <v>1328</v>
      </c>
      <c r="AE94" s="3" t="s">
        <v>1631</v>
      </c>
      <c r="AF94" s="3" t="s">
        <v>1330</v>
      </c>
      <c r="AG94" s="3" t="s">
        <v>1331</v>
      </c>
      <c r="AH94" s="3" t="s">
        <v>1347</v>
      </c>
      <c r="AI94" s="3" t="s">
        <v>1333</v>
      </c>
      <c r="AJ94" s="3" t="s">
        <v>1381</v>
      </c>
      <c r="AK94" s="3" t="s">
        <v>1362</v>
      </c>
      <c r="AL94" s="3">
        <v>2.0</v>
      </c>
      <c r="AM94" s="3" t="s">
        <v>1328</v>
      </c>
      <c r="AN94" s="3" t="s">
        <v>1328</v>
      </c>
      <c r="AO94" s="3" t="s">
        <v>1336</v>
      </c>
      <c r="AP94" s="3" t="s">
        <v>1336</v>
      </c>
      <c r="AQ94" s="3" t="s">
        <v>1336</v>
      </c>
      <c r="AR94" s="3" t="s">
        <v>1336</v>
      </c>
      <c r="AS94" s="3" t="s">
        <v>1350</v>
      </c>
      <c r="AT94" s="3" t="s">
        <v>1351</v>
      </c>
      <c r="AU94" s="3" t="s">
        <v>1363</v>
      </c>
      <c r="AV94" s="3" t="s">
        <v>1331</v>
      </c>
      <c r="AW94" s="3" t="s">
        <v>1328</v>
      </c>
      <c r="AX94" s="3" t="s">
        <v>5027</v>
      </c>
    </row>
    <row r="95" ht="12.75" customHeight="1">
      <c r="A95" s="3" t="s">
        <v>26</v>
      </c>
      <c r="B95" s="3" t="s">
        <v>2476</v>
      </c>
      <c r="C95" s="3" t="s">
        <v>2009</v>
      </c>
      <c r="D95" s="3" t="s">
        <v>2364</v>
      </c>
      <c r="E95" s="3" t="s">
        <v>38</v>
      </c>
      <c r="F95" s="3" t="s">
        <v>2477</v>
      </c>
      <c r="G95" s="3" t="s">
        <v>2478</v>
      </c>
      <c r="H95" s="3" t="s">
        <v>2010</v>
      </c>
      <c r="I95" s="3" t="s">
        <v>2486</v>
      </c>
      <c r="J95" s="3" t="s">
        <v>2487</v>
      </c>
      <c r="K95" s="3" t="s">
        <v>2491</v>
      </c>
      <c r="L95" s="3" t="s">
        <v>2492</v>
      </c>
      <c r="M95" s="3" t="s">
        <v>2493</v>
      </c>
      <c r="N95" s="3">
        <v>2018.0</v>
      </c>
      <c r="O95" s="3" t="s">
        <v>2011</v>
      </c>
      <c r="P95" s="25" t="str">
        <f>HYPERLINK("http://dx.doi.org/10.1016/j.foreco.2018.04.012","http://dx.doi.org/10.1016/j.foreco.2018.04.012")</f>
        <v>http://dx.doi.org/10.1016/j.foreco.2018.04.012</v>
      </c>
      <c r="Q95" s="3" t="s">
        <v>2494</v>
      </c>
      <c r="R95" s="3" t="s">
        <v>2494</v>
      </c>
      <c r="S95" s="3" t="s">
        <v>2383</v>
      </c>
      <c r="T95" s="3" t="s">
        <v>2497</v>
      </c>
      <c r="U95" s="3" t="s">
        <v>1835</v>
      </c>
      <c r="V95" s="3" t="s">
        <v>1417</v>
      </c>
      <c r="W95" s="3" t="s">
        <v>1328</v>
      </c>
      <c r="X95" s="3" t="s">
        <v>1328</v>
      </c>
      <c r="Y95" s="3" t="s">
        <v>1328</v>
      </c>
      <c r="Z95" s="3" t="s">
        <v>1328</v>
      </c>
      <c r="AA95" s="3" t="s">
        <v>1328</v>
      </c>
      <c r="AB95" s="3" t="s">
        <v>1328</v>
      </c>
      <c r="AC95" s="3" t="s">
        <v>1417</v>
      </c>
      <c r="AD95" s="3" t="s">
        <v>1328</v>
      </c>
      <c r="AE95" s="3" t="s">
        <v>1329</v>
      </c>
      <c r="AF95" s="3" t="s">
        <v>1331</v>
      </c>
      <c r="AG95" s="3" t="s">
        <v>1330</v>
      </c>
      <c r="AH95" s="3" t="s">
        <v>1347</v>
      </c>
      <c r="AI95" s="3" t="s">
        <v>1360</v>
      </c>
      <c r="AJ95" s="3" t="s">
        <v>1348</v>
      </c>
      <c r="AK95" s="3" t="s">
        <v>1362</v>
      </c>
      <c r="AL95" s="3">
        <v>4.0</v>
      </c>
      <c r="AM95" s="3" t="s">
        <v>1328</v>
      </c>
      <c r="AN95" s="3" t="s">
        <v>1328</v>
      </c>
      <c r="AO95" s="3" t="s">
        <v>1328</v>
      </c>
      <c r="AP95" s="3" t="s">
        <v>1336</v>
      </c>
      <c r="AQ95" s="3" t="s">
        <v>1336</v>
      </c>
      <c r="AR95" s="3" t="s">
        <v>1328</v>
      </c>
      <c r="AS95" s="3" t="s">
        <v>1404</v>
      </c>
      <c r="AT95" s="3" t="s">
        <v>1338</v>
      </c>
      <c r="AU95" s="3" t="s">
        <v>1339</v>
      </c>
      <c r="AV95" s="3" t="s">
        <v>1331</v>
      </c>
      <c r="AW95" s="3" t="s">
        <v>1328</v>
      </c>
      <c r="AX95" s="3" t="s">
        <v>5027</v>
      </c>
    </row>
    <row r="96" ht="12.75" customHeight="1">
      <c r="A96" s="3" t="s">
        <v>26</v>
      </c>
      <c r="B96" s="3" t="s">
        <v>3882</v>
      </c>
      <c r="C96" s="3" t="s">
        <v>2014</v>
      </c>
      <c r="D96" s="3" t="s">
        <v>2364</v>
      </c>
      <c r="E96" s="3" t="s">
        <v>38</v>
      </c>
      <c r="F96" s="3" t="s">
        <v>3883</v>
      </c>
      <c r="G96" s="3" t="s">
        <v>3884</v>
      </c>
      <c r="H96" s="3" t="s">
        <v>2015</v>
      </c>
      <c r="I96" s="3" t="s">
        <v>2486</v>
      </c>
      <c r="J96" s="3" t="s">
        <v>2487</v>
      </c>
      <c r="K96" s="3" t="s">
        <v>2491</v>
      </c>
      <c r="L96" s="3" t="s">
        <v>2492</v>
      </c>
      <c r="M96" s="3" t="s">
        <v>3894</v>
      </c>
      <c r="N96" s="3">
        <v>2014.0</v>
      </c>
      <c r="O96" s="3" t="s">
        <v>2016</v>
      </c>
      <c r="P96" s="25" t="str">
        <f>HYPERLINK("http://dx.doi.org/10.1016/j.foreco.2013.10.039","http://dx.doi.org/10.1016/j.foreco.2013.10.039")</f>
        <v>http://dx.doi.org/10.1016/j.foreco.2013.10.039</v>
      </c>
      <c r="Q96" s="3" t="s">
        <v>2494</v>
      </c>
      <c r="R96" s="3" t="s">
        <v>2494</v>
      </c>
      <c r="S96" s="3" t="s">
        <v>2383</v>
      </c>
      <c r="T96" s="3" t="s">
        <v>3896</v>
      </c>
      <c r="U96" s="3" t="s">
        <v>1835</v>
      </c>
      <c r="V96" s="3" t="s">
        <v>1436</v>
      </c>
      <c r="W96" s="3" t="s">
        <v>1328</v>
      </c>
      <c r="X96" s="3" t="s">
        <v>1328</v>
      </c>
      <c r="Y96" s="3" t="s">
        <v>1328</v>
      </c>
      <c r="Z96" s="3" t="s">
        <v>1328</v>
      </c>
      <c r="AA96" s="3" t="s">
        <v>1328</v>
      </c>
      <c r="AB96" s="3" t="s">
        <v>1328</v>
      </c>
      <c r="AC96" s="3" t="s">
        <v>1436</v>
      </c>
      <c r="AD96" s="3" t="s">
        <v>1328</v>
      </c>
      <c r="AE96" s="3" t="s">
        <v>1329</v>
      </c>
      <c r="AF96" s="3" t="s">
        <v>1372</v>
      </c>
      <c r="AG96" s="3" t="s">
        <v>1330</v>
      </c>
      <c r="AH96" s="3" t="s">
        <v>1347</v>
      </c>
      <c r="AI96" s="3" t="s">
        <v>1333</v>
      </c>
      <c r="AJ96" s="3" t="s">
        <v>1348</v>
      </c>
      <c r="AK96" s="3" t="s">
        <v>1362</v>
      </c>
      <c r="AL96" s="3">
        <v>4.0</v>
      </c>
      <c r="AM96" s="3" t="s">
        <v>1328</v>
      </c>
      <c r="AN96" s="3" t="s">
        <v>1328</v>
      </c>
      <c r="AO96" s="3" t="s">
        <v>1328</v>
      </c>
      <c r="AP96" s="3" t="s">
        <v>1336</v>
      </c>
      <c r="AQ96" s="3" t="s">
        <v>1336</v>
      </c>
      <c r="AR96" s="3" t="s">
        <v>1328</v>
      </c>
      <c r="AS96" s="3" t="s">
        <v>1350</v>
      </c>
      <c r="AT96" s="3" t="s">
        <v>1351</v>
      </c>
      <c r="AU96" s="3" t="s">
        <v>1339</v>
      </c>
      <c r="AV96" s="3" t="s">
        <v>1388</v>
      </c>
      <c r="AW96" s="3" t="s">
        <v>1328</v>
      </c>
      <c r="AX96" s="3" t="s">
        <v>5027</v>
      </c>
    </row>
    <row r="97" ht="12.75" customHeight="1">
      <c r="A97" s="3" t="s">
        <v>26</v>
      </c>
      <c r="B97" s="3" t="s">
        <v>4635</v>
      </c>
      <c r="C97" s="3" t="s">
        <v>2019</v>
      </c>
      <c r="D97" s="3" t="s">
        <v>2364</v>
      </c>
      <c r="E97" s="3" t="s">
        <v>38</v>
      </c>
      <c r="F97" s="3" t="s">
        <v>4636</v>
      </c>
      <c r="G97" s="3" t="s">
        <v>4637</v>
      </c>
      <c r="H97" s="3" t="s">
        <v>2020</v>
      </c>
      <c r="I97" s="3" t="s">
        <v>2486</v>
      </c>
      <c r="J97" s="3" t="s">
        <v>2487</v>
      </c>
      <c r="K97" s="3" t="s">
        <v>2491</v>
      </c>
      <c r="L97" s="3" t="s">
        <v>2492</v>
      </c>
      <c r="M97" s="3" t="s">
        <v>2979</v>
      </c>
      <c r="N97" s="3">
        <v>2009.0</v>
      </c>
      <c r="O97" s="3" t="s">
        <v>2021</v>
      </c>
      <c r="P97" s="25" t="str">
        <f>HYPERLINK("http://dx.doi.org/10.1016/j.foreco.2009.07.013","http://dx.doi.org/10.1016/j.foreco.2009.07.013")</f>
        <v>http://dx.doi.org/10.1016/j.foreco.2009.07.013</v>
      </c>
      <c r="Q97" s="3" t="s">
        <v>2494</v>
      </c>
      <c r="R97" s="3" t="s">
        <v>2494</v>
      </c>
      <c r="S97" s="3" t="s">
        <v>2383</v>
      </c>
      <c r="T97" s="3" t="s">
        <v>4645</v>
      </c>
      <c r="U97" s="3" t="s">
        <v>1947</v>
      </c>
      <c r="V97" s="3" t="s">
        <v>1371</v>
      </c>
      <c r="W97" s="3" t="s">
        <v>1328</v>
      </c>
      <c r="X97" s="3" t="s">
        <v>1328</v>
      </c>
      <c r="Y97" s="3" t="s">
        <v>1328</v>
      </c>
      <c r="Z97" s="3" t="s">
        <v>1328</v>
      </c>
      <c r="AA97" s="3" t="s">
        <v>1328</v>
      </c>
      <c r="AB97" s="3" t="s">
        <v>1328</v>
      </c>
      <c r="AC97" s="3" t="s">
        <v>1371</v>
      </c>
      <c r="AD97" s="3" t="s">
        <v>1328</v>
      </c>
      <c r="AE97" s="3" t="s">
        <v>1329</v>
      </c>
      <c r="AF97" s="3" t="s">
        <v>1330</v>
      </c>
      <c r="AG97" s="3" t="s">
        <v>1330</v>
      </c>
      <c r="AH97" s="3" t="s">
        <v>1347</v>
      </c>
      <c r="AI97" s="3" t="s">
        <v>1333</v>
      </c>
      <c r="AJ97" s="3" t="s">
        <v>1348</v>
      </c>
      <c r="AK97" s="3" t="s">
        <v>1362</v>
      </c>
      <c r="AL97" s="3">
        <v>3.0</v>
      </c>
      <c r="AM97" s="3" t="s">
        <v>1336</v>
      </c>
      <c r="AN97" s="3" t="s">
        <v>1328</v>
      </c>
      <c r="AO97" s="3" t="s">
        <v>1336</v>
      </c>
      <c r="AP97" s="3" t="s">
        <v>1328</v>
      </c>
      <c r="AQ97" s="3" t="s">
        <v>1336</v>
      </c>
      <c r="AR97" s="3" t="s">
        <v>1328</v>
      </c>
      <c r="AS97" s="3" t="s">
        <v>1350</v>
      </c>
      <c r="AT97" s="3" t="s">
        <v>1351</v>
      </c>
      <c r="AU97" s="3" t="s">
        <v>1363</v>
      </c>
      <c r="AV97" s="3" t="s">
        <v>1388</v>
      </c>
      <c r="AW97" s="3" t="s">
        <v>1328</v>
      </c>
      <c r="AX97" s="3" t="s">
        <v>5027</v>
      </c>
    </row>
    <row r="98" ht="12.75" customHeight="1">
      <c r="A98" s="3" t="s">
        <v>26</v>
      </c>
      <c r="B98" s="3" t="s">
        <v>3633</v>
      </c>
      <c r="C98" s="3" t="s">
        <v>2025</v>
      </c>
      <c r="D98" s="3" t="s">
        <v>2364</v>
      </c>
      <c r="E98" s="3" t="s">
        <v>38</v>
      </c>
      <c r="F98" s="3" t="s">
        <v>3634</v>
      </c>
      <c r="G98" s="3" t="s">
        <v>3635</v>
      </c>
      <c r="H98" s="3" t="s">
        <v>3636</v>
      </c>
      <c r="I98" s="3" t="s">
        <v>3642</v>
      </c>
      <c r="J98" s="3" t="s">
        <v>3643</v>
      </c>
      <c r="K98" s="3" t="s">
        <v>2024</v>
      </c>
      <c r="L98" s="3" t="s">
        <v>3647</v>
      </c>
      <c r="M98" s="3" t="s">
        <v>1324</v>
      </c>
      <c r="N98" s="3">
        <v>2015.0</v>
      </c>
      <c r="O98" s="3" t="s">
        <v>2027</v>
      </c>
      <c r="P98" s="25" t="str">
        <f>HYPERLINK("http://dx.doi.org/10.1016/j.flora.2015.09.013","http://dx.doi.org/10.1016/j.flora.2015.09.013")</f>
        <v>http://dx.doi.org/10.1016/j.flora.2015.09.013</v>
      </c>
      <c r="Q98" s="3" t="s">
        <v>3648</v>
      </c>
      <c r="R98" s="3" t="s">
        <v>3649</v>
      </c>
      <c r="S98" s="3" t="s">
        <v>2383</v>
      </c>
      <c r="T98" s="3" t="s">
        <v>3651</v>
      </c>
      <c r="U98" s="3" t="s">
        <v>1495</v>
      </c>
      <c r="V98" s="3" t="s">
        <v>1387</v>
      </c>
      <c r="W98" s="3" t="s">
        <v>1328</v>
      </c>
      <c r="X98" s="3" t="s">
        <v>1328</v>
      </c>
      <c r="Y98" s="3" t="s">
        <v>1328</v>
      </c>
      <c r="Z98" s="3" t="s">
        <v>1328</v>
      </c>
      <c r="AA98" s="3" t="s">
        <v>1328</v>
      </c>
      <c r="AB98" s="3" t="s">
        <v>1328</v>
      </c>
      <c r="AC98" s="3" t="s">
        <v>1387</v>
      </c>
      <c r="AD98" s="3" t="s">
        <v>1328</v>
      </c>
      <c r="AE98" s="3" t="s">
        <v>1329</v>
      </c>
      <c r="AF98" s="3" t="s">
        <v>1330</v>
      </c>
      <c r="AG98" s="3" t="s">
        <v>1331</v>
      </c>
      <c r="AH98" s="3" t="s">
        <v>1347</v>
      </c>
      <c r="AI98" s="3" t="s">
        <v>1360</v>
      </c>
      <c r="AJ98" s="3" t="s">
        <v>1361</v>
      </c>
      <c r="AK98" s="3" t="s">
        <v>1362</v>
      </c>
      <c r="AL98" s="3">
        <v>3.0</v>
      </c>
      <c r="AM98" s="3" t="s">
        <v>1328</v>
      </c>
      <c r="AN98" s="3" t="s">
        <v>1328</v>
      </c>
      <c r="AO98" s="3" t="s">
        <v>1336</v>
      </c>
      <c r="AP98" s="3" t="s">
        <v>1336</v>
      </c>
      <c r="AQ98" s="3" t="s">
        <v>1328</v>
      </c>
      <c r="AR98" s="3" t="s">
        <v>1336</v>
      </c>
      <c r="AS98" s="3" t="s">
        <v>1395</v>
      </c>
      <c r="AT98" s="3" t="s">
        <v>1351</v>
      </c>
      <c r="AU98" s="3" t="s">
        <v>1339</v>
      </c>
      <c r="AV98" s="3" t="s">
        <v>1331</v>
      </c>
      <c r="AW98" s="3" t="s">
        <v>1328</v>
      </c>
      <c r="AX98" s="3" t="s">
        <v>5028</v>
      </c>
    </row>
    <row r="99" ht="12.75" customHeight="1">
      <c r="A99" s="3" t="s">
        <v>26</v>
      </c>
      <c r="B99" s="3" t="s">
        <v>2843</v>
      </c>
      <c r="C99" s="3" t="s">
        <v>2031</v>
      </c>
      <c r="D99" s="3" t="s">
        <v>2364</v>
      </c>
      <c r="E99" s="3" t="s">
        <v>38</v>
      </c>
      <c r="F99" s="3" t="s">
        <v>2844</v>
      </c>
      <c r="G99" s="3" t="s">
        <v>2845</v>
      </c>
      <c r="H99" s="3" t="s">
        <v>2032</v>
      </c>
      <c r="I99" s="3" t="s">
        <v>2486</v>
      </c>
      <c r="J99" s="3" t="s">
        <v>2487</v>
      </c>
      <c r="K99" s="3" t="s">
        <v>2857</v>
      </c>
      <c r="L99" s="3" t="s">
        <v>2858</v>
      </c>
      <c r="M99" s="3" t="s">
        <v>2818</v>
      </c>
      <c r="N99" s="3">
        <v>2018.0</v>
      </c>
      <c r="O99" s="3" t="s">
        <v>2033</v>
      </c>
      <c r="P99" s="25" t="str">
        <f>HYPERLINK("http://dx.doi.org/10.1016/j.fishres.2017.10.012","http://dx.doi.org/10.1016/j.fishres.2017.10.012")</f>
        <v>http://dx.doi.org/10.1016/j.fishres.2017.10.012</v>
      </c>
      <c r="Q99" s="3" t="s">
        <v>2859</v>
      </c>
      <c r="R99" s="3" t="s">
        <v>2859</v>
      </c>
      <c r="S99" s="3" t="s">
        <v>2383</v>
      </c>
      <c r="T99" s="3" t="s">
        <v>2861</v>
      </c>
      <c r="U99" s="3" t="s">
        <v>1346</v>
      </c>
      <c r="V99" s="3" t="s">
        <v>1417</v>
      </c>
      <c r="W99" s="3" t="s">
        <v>1328</v>
      </c>
      <c r="X99" s="3" t="s">
        <v>1328</v>
      </c>
      <c r="Y99" s="3" t="s">
        <v>1328</v>
      </c>
      <c r="Z99" s="3" t="s">
        <v>1328</v>
      </c>
      <c r="AA99" s="3" t="s">
        <v>1328</v>
      </c>
      <c r="AB99" s="3" t="s">
        <v>1328</v>
      </c>
      <c r="AC99" s="3" t="s">
        <v>1417</v>
      </c>
      <c r="AD99" s="3" t="s">
        <v>1328</v>
      </c>
      <c r="AE99" s="3" t="s">
        <v>1329</v>
      </c>
      <c r="AF99" s="3" t="s">
        <v>1331</v>
      </c>
      <c r="AG99" s="3" t="s">
        <v>1330</v>
      </c>
      <c r="AH99" s="3" t="s">
        <v>1347</v>
      </c>
      <c r="AI99" s="3" t="s">
        <v>1360</v>
      </c>
      <c r="AJ99" s="3" t="s">
        <v>1361</v>
      </c>
      <c r="AK99" s="3" t="s">
        <v>1335</v>
      </c>
      <c r="AL99" s="3">
        <v>2.0</v>
      </c>
      <c r="AM99" s="3" t="s">
        <v>1328</v>
      </c>
      <c r="AN99" s="3" t="s">
        <v>1336</v>
      </c>
      <c r="AO99" s="3" t="s">
        <v>1328</v>
      </c>
      <c r="AP99" s="3" t="s">
        <v>1336</v>
      </c>
      <c r="AQ99" s="3" t="s">
        <v>1336</v>
      </c>
      <c r="AR99" s="3" t="s">
        <v>1336</v>
      </c>
      <c r="AS99" s="3" t="s">
        <v>1350</v>
      </c>
      <c r="AT99" s="3" t="s">
        <v>1351</v>
      </c>
      <c r="AU99" s="3" t="s">
        <v>1339</v>
      </c>
      <c r="AV99" s="3" t="s">
        <v>1331</v>
      </c>
      <c r="AW99" s="3" t="s">
        <v>1328</v>
      </c>
      <c r="AX99" s="3" t="s">
        <v>5027</v>
      </c>
    </row>
    <row r="100" ht="12.75" customHeight="1">
      <c r="A100" s="3" t="s">
        <v>26</v>
      </c>
      <c r="B100" s="3" t="s">
        <v>3375</v>
      </c>
      <c r="C100" s="3" t="s">
        <v>2037</v>
      </c>
      <c r="D100" s="3" t="s">
        <v>2364</v>
      </c>
      <c r="E100" s="3" t="s">
        <v>38</v>
      </c>
      <c r="F100" s="3" t="s">
        <v>3376</v>
      </c>
      <c r="G100" s="3" t="s">
        <v>3377</v>
      </c>
      <c r="H100" s="3" t="s">
        <v>2038</v>
      </c>
      <c r="I100" s="3" t="s">
        <v>2486</v>
      </c>
      <c r="J100" s="3" t="s">
        <v>2487</v>
      </c>
      <c r="K100" s="3" t="s">
        <v>2857</v>
      </c>
      <c r="L100" s="3" t="s">
        <v>2858</v>
      </c>
      <c r="M100" s="3" t="s">
        <v>2651</v>
      </c>
      <c r="N100" s="3">
        <v>2016.0</v>
      </c>
      <c r="O100" s="3" t="s">
        <v>2039</v>
      </c>
      <c r="P100" s="25" t="str">
        <f>HYPERLINK("http://dx.doi.org/10.1016/j.fishres.2016.01.005","http://dx.doi.org/10.1016/j.fishres.2016.01.005")</f>
        <v>http://dx.doi.org/10.1016/j.fishres.2016.01.005</v>
      </c>
      <c r="Q100" s="3" t="s">
        <v>2859</v>
      </c>
      <c r="R100" s="3" t="s">
        <v>2859</v>
      </c>
      <c r="S100" s="3" t="s">
        <v>2383</v>
      </c>
      <c r="T100" s="3" t="s">
        <v>3389</v>
      </c>
      <c r="U100" s="3" t="s">
        <v>1416</v>
      </c>
      <c r="V100" s="3" t="s">
        <v>1403</v>
      </c>
      <c r="W100" s="3" t="s">
        <v>1328</v>
      </c>
      <c r="X100" s="3" t="s">
        <v>1328</v>
      </c>
      <c r="Y100" s="3" t="s">
        <v>1328</v>
      </c>
      <c r="Z100" s="3" t="s">
        <v>1328</v>
      </c>
      <c r="AA100" s="3" t="s">
        <v>1328</v>
      </c>
      <c r="AB100" s="3" t="s">
        <v>1328</v>
      </c>
      <c r="AC100" s="3" t="s">
        <v>1403</v>
      </c>
      <c r="AD100" s="3" t="s">
        <v>1328</v>
      </c>
      <c r="AE100" s="3" t="s">
        <v>1329</v>
      </c>
      <c r="AF100" s="3" t="s">
        <v>1330</v>
      </c>
      <c r="AG100" s="3" t="s">
        <v>1331</v>
      </c>
      <c r="AH100" s="3" t="s">
        <v>1347</v>
      </c>
      <c r="AI100" s="3" t="s">
        <v>1333</v>
      </c>
      <c r="AJ100" s="3" t="s">
        <v>1361</v>
      </c>
      <c r="AK100" s="3" t="s">
        <v>1349</v>
      </c>
      <c r="AL100" s="3">
        <v>2.0</v>
      </c>
      <c r="AM100" s="3" t="s">
        <v>1328</v>
      </c>
      <c r="AN100" s="3" t="s">
        <v>1336</v>
      </c>
      <c r="AO100" s="3" t="s">
        <v>1328</v>
      </c>
      <c r="AP100" s="3" t="s">
        <v>1336</v>
      </c>
      <c r="AQ100" s="3" t="s">
        <v>1336</v>
      </c>
      <c r="AR100" s="3" t="s">
        <v>1336</v>
      </c>
      <c r="AS100" s="3" t="s">
        <v>1350</v>
      </c>
      <c r="AT100" s="3" t="s">
        <v>1351</v>
      </c>
      <c r="AU100" s="3" t="s">
        <v>1363</v>
      </c>
      <c r="AV100" s="3" t="s">
        <v>1331</v>
      </c>
      <c r="AW100" s="3" t="s">
        <v>1328</v>
      </c>
      <c r="AX100" s="3" t="s">
        <v>5027</v>
      </c>
    </row>
    <row r="101" ht="12.75" customHeight="1">
      <c r="A101" s="3" t="s">
        <v>26</v>
      </c>
      <c r="B101" s="3" t="s">
        <v>3550</v>
      </c>
      <c r="C101" s="3" t="s">
        <v>2042</v>
      </c>
      <c r="D101" s="3" t="s">
        <v>2364</v>
      </c>
      <c r="E101" s="3" t="s">
        <v>38</v>
      </c>
      <c r="F101" s="3" t="s">
        <v>3551</v>
      </c>
      <c r="G101" s="3" t="s">
        <v>3552</v>
      </c>
      <c r="H101" s="3" t="s">
        <v>2043</v>
      </c>
      <c r="I101" s="3" t="s">
        <v>2486</v>
      </c>
      <c r="J101" s="3" t="s">
        <v>2487</v>
      </c>
      <c r="K101" s="3" t="s">
        <v>2857</v>
      </c>
      <c r="L101" s="3" t="s">
        <v>2858</v>
      </c>
      <c r="M101" s="3" t="s">
        <v>2651</v>
      </c>
      <c r="N101" s="3">
        <v>2015.0</v>
      </c>
      <c r="O101" s="3" t="s">
        <v>2044</v>
      </c>
      <c r="P101" s="25" t="str">
        <f>HYPERLINK("http://dx.doi.org/10.1016/j.fishres.2014.12.016","http://dx.doi.org/10.1016/j.fishres.2014.12.016")</f>
        <v>http://dx.doi.org/10.1016/j.fishres.2014.12.016</v>
      </c>
      <c r="Q101" s="3" t="s">
        <v>2859</v>
      </c>
      <c r="R101" s="3" t="s">
        <v>2859</v>
      </c>
      <c r="S101" s="3" t="s">
        <v>2383</v>
      </c>
      <c r="T101" s="3" t="s">
        <v>3563</v>
      </c>
      <c r="U101" s="3" t="s">
        <v>1410</v>
      </c>
      <c r="V101" s="3" t="s">
        <v>1327</v>
      </c>
      <c r="W101" s="3" t="s">
        <v>1328</v>
      </c>
      <c r="X101" s="3" t="s">
        <v>1328</v>
      </c>
      <c r="Y101" s="3" t="s">
        <v>1328</v>
      </c>
      <c r="Z101" s="3" t="s">
        <v>1328</v>
      </c>
      <c r="AA101" s="3" t="s">
        <v>1328</v>
      </c>
      <c r="AB101" s="3" t="s">
        <v>1328</v>
      </c>
      <c r="AC101" s="3" t="s">
        <v>1327</v>
      </c>
      <c r="AD101" s="3" t="s">
        <v>1328</v>
      </c>
      <c r="AE101" s="3" t="s">
        <v>1329</v>
      </c>
      <c r="AF101" s="3" t="s">
        <v>1330</v>
      </c>
      <c r="AG101" s="3" t="s">
        <v>1331</v>
      </c>
      <c r="AH101" s="3" t="s">
        <v>1347</v>
      </c>
      <c r="AI101" s="3" t="s">
        <v>1333</v>
      </c>
      <c r="AJ101" s="3" t="s">
        <v>1361</v>
      </c>
      <c r="AK101" s="3" t="s">
        <v>2046</v>
      </c>
      <c r="AL101" s="3">
        <v>2.0</v>
      </c>
      <c r="AM101" s="3" t="s">
        <v>1328</v>
      </c>
      <c r="AN101" s="3" t="s">
        <v>1336</v>
      </c>
      <c r="AO101" s="3" t="s">
        <v>1328</v>
      </c>
      <c r="AP101" s="3" t="s">
        <v>1336</v>
      </c>
      <c r="AQ101" s="3" t="s">
        <v>1336</v>
      </c>
      <c r="AR101" s="3" t="s">
        <v>1336</v>
      </c>
      <c r="AS101" s="3" t="s">
        <v>1350</v>
      </c>
      <c r="AT101" s="3" t="s">
        <v>1351</v>
      </c>
      <c r="AU101" s="3" t="s">
        <v>1363</v>
      </c>
      <c r="AV101" s="3" t="s">
        <v>1331</v>
      </c>
      <c r="AW101" s="3" t="s">
        <v>1328</v>
      </c>
      <c r="AX101" s="3" t="s">
        <v>5027</v>
      </c>
    </row>
    <row r="102" ht="12.75" customHeight="1">
      <c r="A102" s="3" t="s">
        <v>26</v>
      </c>
      <c r="B102" s="3" t="s">
        <v>3470</v>
      </c>
      <c r="C102" s="3" t="s">
        <v>2049</v>
      </c>
      <c r="D102" s="3" t="s">
        <v>2364</v>
      </c>
      <c r="E102" s="3" t="s">
        <v>38</v>
      </c>
      <c r="F102" s="3" t="s">
        <v>3471</v>
      </c>
      <c r="G102" s="3" t="s">
        <v>3472</v>
      </c>
      <c r="H102" s="3" t="s">
        <v>2050</v>
      </c>
      <c r="I102" s="3" t="s">
        <v>3482</v>
      </c>
      <c r="J102" s="3" t="s">
        <v>3483</v>
      </c>
      <c r="K102" s="3" t="s">
        <v>3487</v>
      </c>
      <c r="L102" s="3" t="s">
        <v>3488</v>
      </c>
      <c r="M102" s="3" t="s">
        <v>3208</v>
      </c>
      <c r="N102" s="3">
        <v>2016.0</v>
      </c>
      <c r="O102" s="3" t="s">
        <v>2051</v>
      </c>
      <c r="P102" s="25" t="str">
        <f>HYPERLINK("http://dx.doi.org/10.1016/j.envres.2015.09.002","http://dx.doi.org/10.1016/j.envres.2015.09.002")</f>
        <v>http://dx.doi.org/10.1016/j.envres.2015.09.002</v>
      </c>
      <c r="Q102" s="3" t="s">
        <v>3489</v>
      </c>
      <c r="R102" s="3" t="s">
        <v>3490</v>
      </c>
      <c r="S102" s="3" t="s">
        <v>2383</v>
      </c>
      <c r="T102" s="3" t="s">
        <v>3492</v>
      </c>
      <c r="U102" s="3" t="s">
        <v>1666</v>
      </c>
      <c r="V102" s="3" t="s">
        <v>1470</v>
      </c>
      <c r="W102" s="3" t="s">
        <v>1328</v>
      </c>
      <c r="X102" s="3" t="s">
        <v>1328</v>
      </c>
      <c r="Y102" s="3" t="s">
        <v>1328</v>
      </c>
      <c r="Z102" s="3" t="s">
        <v>1328</v>
      </c>
      <c r="AA102" s="3" t="s">
        <v>1328</v>
      </c>
      <c r="AB102" s="3" t="s">
        <v>1328</v>
      </c>
      <c r="AC102" s="3" t="s">
        <v>1470</v>
      </c>
      <c r="AD102" s="3" t="s">
        <v>1328</v>
      </c>
      <c r="AE102" s="3" t="s">
        <v>1329</v>
      </c>
      <c r="AF102" s="3" t="s">
        <v>1330</v>
      </c>
      <c r="AG102" s="3" t="s">
        <v>1330</v>
      </c>
      <c r="AH102" s="3" t="s">
        <v>1332</v>
      </c>
      <c r="AI102" s="3" t="s">
        <v>1333</v>
      </c>
      <c r="AJ102" s="3" t="s">
        <v>1381</v>
      </c>
      <c r="AK102" s="3" t="s">
        <v>1362</v>
      </c>
      <c r="AL102" s="3">
        <v>2.0</v>
      </c>
      <c r="AM102" s="3" t="s">
        <v>1328</v>
      </c>
      <c r="AN102" s="3" t="s">
        <v>1328</v>
      </c>
      <c r="AO102" s="3" t="s">
        <v>1336</v>
      </c>
      <c r="AP102" s="3" t="s">
        <v>1336</v>
      </c>
      <c r="AQ102" s="3" t="s">
        <v>1336</v>
      </c>
      <c r="AR102" s="3" t="s">
        <v>1336</v>
      </c>
      <c r="AS102" s="3" t="s">
        <v>1350</v>
      </c>
      <c r="AT102" s="3" t="s">
        <v>1351</v>
      </c>
      <c r="AU102" s="3" t="s">
        <v>1339</v>
      </c>
      <c r="AV102" s="3" t="s">
        <v>1331</v>
      </c>
      <c r="AW102" s="3" t="s">
        <v>1328</v>
      </c>
      <c r="AX102" s="3" t="s">
        <v>5027</v>
      </c>
    </row>
    <row r="103" ht="12.75" customHeight="1">
      <c r="A103" s="3" t="s">
        <v>26</v>
      </c>
      <c r="B103" s="3" t="s">
        <v>4837</v>
      </c>
      <c r="C103" s="3" t="s">
        <v>4838</v>
      </c>
      <c r="D103" s="3" t="s">
        <v>2364</v>
      </c>
      <c r="E103" s="3" t="s">
        <v>38</v>
      </c>
      <c r="F103" s="3" t="s">
        <v>4839</v>
      </c>
      <c r="G103" s="3" t="s">
        <v>4840</v>
      </c>
      <c r="H103" s="3" t="s">
        <v>4841</v>
      </c>
      <c r="I103" s="3" t="s">
        <v>3602</v>
      </c>
      <c r="J103" s="3" t="s">
        <v>2400</v>
      </c>
      <c r="K103" s="3" t="s">
        <v>4850</v>
      </c>
      <c r="L103" s="3" t="s">
        <v>4851</v>
      </c>
      <c r="M103" s="3" t="s">
        <v>2818</v>
      </c>
      <c r="N103" s="3">
        <v>2007.0</v>
      </c>
      <c r="O103" s="3" t="s">
        <v>2056</v>
      </c>
      <c r="P103" s="25" t="str">
        <f>HYPERLINK("http://dx.doi.org/10.1016/j.ecss.2006.08.018","http://dx.doi.org/10.1016/j.ecss.2006.08.018")</f>
        <v>http://dx.doi.org/10.1016/j.ecss.2006.08.018</v>
      </c>
      <c r="Q103" s="3" t="s">
        <v>231</v>
      </c>
      <c r="R103" s="3" t="s">
        <v>231</v>
      </c>
      <c r="S103" s="3" t="s">
        <v>2383</v>
      </c>
      <c r="T103" s="3" t="s">
        <v>4854</v>
      </c>
      <c r="U103" s="3" t="s">
        <v>1346</v>
      </c>
      <c r="V103" s="3" t="s">
        <v>1436</v>
      </c>
      <c r="W103" s="3" t="s">
        <v>1328</v>
      </c>
      <c r="X103" s="3" t="s">
        <v>1328</v>
      </c>
      <c r="Y103" s="3" t="s">
        <v>1328</v>
      </c>
      <c r="Z103" s="3" t="s">
        <v>1328</v>
      </c>
      <c r="AA103" s="3" t="s">
        <v>1328</v>
      </c>
      <c r="AB103" s="3" t="s">
        <v>1328</v>
      </c>
      <c r="AC103" s="3" t="s">
        <v>1436</v>
      </c>
      <c r="AD103" s="3" t="s">
        <v>1328</v>
      </c>
      <c r="AE103" s="3" t="s">
        <v>1329</v>
      </c>
      <c r="AF103" s="3" t="s">
        <v>1330</v>
      </c>
      <c r="AG103" s="3" t="s">
        <v>1331</v>
      </c>
      <c r="AH103" s="3" t="s">
        <v>1347</v>
      </c>
      <c r="AI103" s="3" t="s">
        <v>1333</v>
      </c>
      <c r="AJ103" s="3" t="s">
        <v>1361</v>
      </c>
      <c r="AK103" s="3" t="s">
        <v>1335</v>
      </c>
      <c r="AL103" s="3">
        <v>2.0</v>
      </c>
      <c r="AM103" s="3" t="s">
        <v>1328</v>
      </c>
      <c r="AN103" s="3" t="s">
        <v>1336</v>
      </c>
      <c r="AO103" s="3" t="s">
        <v>1336</v>
      </c>
      <c r="AP103" s="3" t="s">
        <v>1336</v>
      </c>
      <c r="AQ103" s="3" t="s">
        <v>1328</v>
      </c>
      <c r="AR103" s="3" t="s">
        <v>1336</v>
      </c>
      <c r="AS103" s="3" t="s">
        <v>1350</v>
      </c>
      <c r="AT103" s="3" t="s">
        <v>1351</v>
      </c>
      <c r="AU103" s="3" t="s">
        <v>1339</v>
      </c>
      <c r="AV103" s="3" t="s">
        <v>1388</v>
      </c>
      <c r="AW103" s="3" t="s">
        <v>1328</v>
      </c>
      <c r="AX103" s="3" t="s">
        <v>5027</v>
      </c>
    </row>
    <row r="104" ht="12.75" customHeight="1">
      <c r="A104" s="3" t="s">
        <v>26</v>
      </c>
      <c r="B104" s="3" t="s">
        <v>3842</v>
      </c>
      <c r="C104" s="3" t="s">
        <v>2060</v>
      </c>
      <c r="D104" s="3" t="s">
        <v>2364</v>
      </c>
      <c r="E104" s="3" t="s">
        <v>38</v>
      </c>
      <c r="F104" s="3" t="s">
        <v>3843</v>
      </c>
      <c r="G104" s="3" t="s">
        <v>3844</v>
      </c>
      <c r="H104" s="3" t="s">
        <v>2061</v>
      </c>
      <c r="I104" s="3" t="s">
        <v>2486</v>
      </c>
      <c r="J104" s="3" t="s">
        <v>2487</v>
      </c>
      <c r="K104" s="3" t="s">
        <v>3855</v>
      </c>
      <c r="L104" s="3" t="s">
        <v>3856</v>
      </c>
      <c r="M104" s="3" t="s">
        <v>3857</v>
      </c>
      <c r="N104" s="3">
        <v>2014.0</v>
      </c>
      <c r="O104" s="3" t="s">
        <v>2062</v>
      </c>
      <c r="P104" s="25" t="str">
        <f>HYPERLINK("http://dx.doi.org/10.1016/j.ecolmodel.2013.11.004","http://dx.doi.org/10.1016/j.ecolmodel.2013.11.004")</f>
        <v>http://dx.doi.org/10.1016/j.ecolmodel.2013.11.004</v>
      </c>
      <c r="Q104" s="3" t="s">
        <v>817</v>
      </c>
      <c r="R104" s="3" t="s">
        <v>2472</v>
      </c>
      <c r="S104" s="3" t="s">
        <v>2383</v>
      </c>
      <c r="T104" s="3" t="s">
        <v>3859</v>
      </c>
      <c r="U104" s="3" t="s">
        <v>1522</v>
      </c>
      <c r="V104" s="3" t="s">
        <v>1371</v>
      </c>
      <c r="W104" s="3" t="s">
        <v>1328</v>
      </c>
      <c r="X104" s="3" t="s">
        <v>1328</v>
      </c>
      <c r="Y104" s="3" t="s">
        <v>1328</v>
      </c>
      <c r="Z104" s="3" t="s">
        <v>1328</v>
      </c>
      <c r="AA104" s="3" t="s">
        <v>1328</v>
      </c>
      <c r="AB104" s="3" t="s">
        <v>1328</v>
      </c>
      <c r="AC104" s="3" t="s">
        <v>1371</v>
      </c>
      <c r="AD104" s="3" t="s">
        <v>1328</v>
      </c>
      <c r="AE104" s="3" t="s">
        <v>1329</v>
      </c>
      <c r="AF104" s="3" t="s">
        <v>1372</v>
      </c>
      <c r="AG104" s="3" t="s">
        <v>1331</v>
      </c>
      <c r="AH104" s="3" t="s">
        <v>1347</v>
      </c>
      <c r="AI104" s="3" t="s">
        <v>1333</v>
      </c>
      <c r="AJ104" s="3" t="s">
        <v>1334</v>
      </c>
      <c r="AK104" s="3" t="s">
        <v>1349</v>
      </c>
      <c r="AL104" s="3">
        <v>2.0</v>
      </c>
      <c r="AM104" s="3" t="s">
        <v>1336</v>
      </c>
      <c r="AN104" s="3" t="s">
        <v>1336</v>
      </c>
      <c r="AO104" s="3" t="s">
        <v>1328</v>
      </c>
      <c r="AP104" s="3" t="s">
        <v>1328</v>
      </c>
      <c r="AQ104" s="3" t="s">
        <v>1336</v>
      </c>
      <c r="AR104" s="3" t="s">
        <v>1336</v>
      </c>
      <c r="AS104" s="3" t="s">
        <v>1350</v>
      </c>
      <c r="AT104" s="3" t="s">
        <v>1351</v>
      </c>
      <c r="AU104" s="3" t="s">
        <v>1363</v>
      </c>
      <c r="AV104" s="3" t="s">
        <v>1388</v>
      </c>
      <c r="AW104" s="3" t="s">
        <v>1328</v>
      </c>
      <c r="AX104" s="3" t="s">
        <v>5027</v>
      </c>
    </row>
    <row r="105" ht="12.75" customHeight="1">
      <c r="A105" s="3" t="s">
        <v>26</v>
      </c>
      <c r="B105" s="3" t="s">
        <v>2600</v>
      </c>
      <c r="C105" s="3" t="s">
        <v>2602</v>
      </c>
      <c r="D105" s="3" t="s">
        <v>2364</v>
      </c>
      <c r="E105" s="3" t="s">
        <v>38</v>
      </c>
      <c r="F105" s="3" t="s">
        <v>2603</v>
      </c>
      <c r="G105" s="3" t="s">
        <v>2604</v>
      </c>
      <c r="H105" s="3" t="s">
        <v>2605</v>
      </c>
      <c r="I105" s="3" t="s">
        <v>2486</v>
      </c>
      <c r="J105" s="3" t="s">
        <v>2487</v>
      </c>
      <c r="K105" s="3" t="s">
        <v>2616</v>
      </c>
      <c r="L105" s="3" t="s">
        <v>2617</v>
      </c>
      <c r="M105" s="3" t="s">
        <v>2557</v>
      </c>
      <c r="N105" s="3">
        <v>2018.0</v>
      </c>
      <c r="O105" s="3" t="s">
        <v>2074</v>
      </c>
      <c r="P105" s="25" t="str">
        <f>HYPERLINK("http://dx.doi.org/10.1016/j.ecolind.2018.03.004","http://dx.doi.org/10.1016/j.ecolind.2018.03.004")</f>
        <v>http://dx.doi.org/10.1016/j.ecolind.2018.03.004</v>
      </c>
      <c r="Q105" s="3" t="s">
        <v>707</v>
      </c>
      <c r="R105" s="3" t="s">
        <v>2577</v>
      </c>
      <c r="S105" s="3" t="s">
        <v>2383</v>
      </c>
      <c r="T105" s="3" t="s">
        <v>2619</v>
      </c>
      <c r="U105" s="3" t="s">
        <v>1495</v>
      </c>
      <c r="V105" s="3" t="s">
        <v>1359</v>
      </c>
      <c r="W105" s="3" t="s">
        <v>1328</v>
      </c>
      <c r="X105" s="3" t="s">
        <v>1328</v>
      </c>
      <c r="Y105" s="3" t="s">
        <v>1328</v>
      </c>
      <c r="Z105" s="3" t="s">
        <v>1328</v>
      </c>
      <c r="AA105" s="3" t="s">
        <v>1328</v>
      </c>
      <c r="AB105" s="3" t="s">
        <v>1328</v>
      </c>
      <c r="AC105" s="3" t="s">
        <v>1359</v>
      </c>
      <c r="AD105" s="3" t="s">
        <v>1328</v>
      </c>
      <c r="AE105" s="3" t="s">
        <v>1329</v>
      </c>
      <c r="AF105" s="3" t="s">
        <v>1330</v>
      </c>
      <c r="AG105" s="3" t="s">
        <v>1330</v>
      </c>
      <c r="AH105" s="3" t="s">
        <v>1347</v>
      </c>
      <c r="AI105" s="3" t="s">
        <v>1333</v>
      </c>
      <c r="AJ105" s="3" t="s">
        <v>1381</v>
      </c>
      <c r="AK105" s="3" t="s">
        <v>1530</v>
      </c>
      <c r="AL105" s="3">
        <v>2.0</v>
      </c>
      <c r="AM105" s="3" t="s">
        <v>1336</v>
      </c>
      <c r="AN105" s="3" t="s">
        <v>1336</v>
      </c>
      <c r="AO105" s="3" t="s">
        <v>1336</v>
      </c>
      <c r="AP105" s="3" t="s">
        <v>1328</v>
      </c>
      <c r="AQ105" s="3" t="s">
        <v>1336</v>
      </c>
      <c r="AR105" s="3" t="s">
        <v>1328</v>
      </c>
      <c r="AS105" s="3" t="s">
        <v>1350</v>
      </c>
      <c r="AT105" s="3" t="s">
        <v>1351</v>
      </c>
      <c r="AU105" s="3" t="s">
        <v>1339</v>
      </c>
      <c r="AV105" s="3" t="s">
        <v>1331</v>
      </c>
      <c r="AW105" s="3" t="s">
        <v>1328</v>
      </c>
      <c r="AX105" s="3" t="s">
        <v>5027</v>
      </c>
    </row>
    <row r="106" ht="12.75" customHeight="1">
      <c r="A106" s="3" t="s">
        <v>26</v>
      </c>
      <c r="B106" s="3" t="s">
        <v>3152</v>
      </c>
      <c r="C106" s="3" t="s">
        <v>2084</v>
      </c>
      <c r="D106" s="3" t="s">
        <v>2364</v>
      </c>
      <c r="E106" s="3" t="s">
        <v>38</v>
      </c>
      <c r="F106" s="3" t="s">
        <v>3153</v>
      </c>
      <c r="G106" s="3" t="s">
        <v>3154</v>
      </c>
      <c r="H106" s="3" t="s">
        <v>3155</v>
      </c>
      <c r="I106" s="3" t="s">
        <v>2486</v>
      </c>
      <c r="J106" s="3" t="s">
        <v>2487</v>
      </c>
      <c r="K106" s="3" t="s">
        <v>2083</v>
      </c>
      <c r="L106" s="3" t="s">
        <v>3167</v>
      </c>
      <c r="M106" s="3" t="s">
        <v>3168</v>
      </c>
      <c r="N106" s="3">
        <v>2017.0</v>
      </c>
      <c r="O106" s="3" t="s">
        <v>2086</v>
      </c>
      <c r="P106" s="25" t="str">
        <f>HYPERLINK("http://dx.doi.org/10.1016/j.catena.2016.11.014","http://dx.doi.org/10.1016/j.catena.2016.11.014")</f>
        <v>http://dx.doi.org/10.1016/j.catena.2016.11.014</v>
      </c>
      <c r="Q106" s="3" t="s">
        <v>3169</v>
      </c>
      <c r="R106" s="3" t="s">
        <v>3170</v>
      </c>
      <c r="S106" s="3" t="s">
        <v>2383</v>
      </c>
      <c r="T106" s="3" t="s">
        <v>3172</v>
      </c>
      <c r="U106" s="3" t="s">
        <v>1358</v>
      </c>
      <c r="V106" s="3" t="s">
        <v>1403</v>
      </c>
      <c r="W106" s="3" t="s">
        <v>1328</v>
      </c>
      <c r="X106" s="3" t="s">
        <v>1328</v>
      </c>
      <c r="Y106" s="3" t="s">
        <v>1328</v>
      </c>
      <c r="Z106" s="3" t="s">
        <v>1328</v>
      </c>
      <c r="AA106" s="3" t="s">
        <v>1328</v>
      </c>
      <c r="AB106" s="3" t="s">
        <v>1328</v>
      </c>
      <c r="AC106" s="3" t="s">
        <v>1403</v>
      </c>
      <c r="AD106" s="3" t="s">
        <v>1328</v>
      </c>
      <c r="AE106" s="3" t="s">
        <v>1631</v>
      </c>
      <c r="AF106" s="3" t="s">
        <v>1372</v>
      </c>
      <c r="AG106" s="3" t="s">
        <v>1331</v>
      </c>
      <c r="AH106" s="3" t="s">
        <v>1347</v>
      </c>
      <c r="AI106" s="3" t="s">
        <v>1333</v>
      </c>
      <c r="AJ106" s="3" t="s">
        <v>1361</v>
      </c>
      <c r="AK106" s="3" t="s">
        <v>1362</v>
      </c>
      <c r="AL106" s="3">
        <v>2.0</v>
      </c>
      <c r="AM106" s="3" t="s">
        <v>1328</v>
      </c>
      <c r="AN106" s="3" t="s">
        <v>1328</v>
      </c>
      <c r="AO106" s="3" t="s">
        <v>1336</v>
      </c>
      <c r="AP106" s="3" t="s">
        <v>1336</v>
      </c>
      <c r="AQ106" s="3" t="s">
        <v>1336</v>
      </c>
      <c r="AR106" s="3" t="s">
        <v>1336</v>
      </c>
      <c r="AS106" s="3" t="s">
        <v>1350</v>
      </c>
      <c r="AT106" s="3" t="s">
        <v>1351</v>
      </c>
      <c r="AU106" s="3" t="s">
        <v>1363</v>
      </c>
      <c r="AV106" s="3" t="s">
        <v>1331</v>
      </c>
      <c r="AW106" s="3" t="s">
        <v>1328</v>
      </c>
      <c r="AX106" s="3" t="s">
        <v>5027</v>
      </c>
    </row>
    <row r="107" ht="12.75" customHeight="1">
      <c r="A107" s="3" t="s">
        <v>26</v>
      </c>
      <c r="B107" s="3" t="s">
        <v>2930</v>
      </c>
      <c r="C107" s="3" t="s">
        <v>2089</v>
      </c>
      <c r="D107" s="3" t="s">
        <v>2364</v>
      </c>
      <c r="E107" s="3" t="s">
        <v>38</v>
      </c>
      <c r="F107" s="3" t="s">
        <v>2931</v>
      </c>
      <c r="G107" s="3" t="s">
        <v>2932</v>
      </c>
      <c r="H107" s="3" t="s">
        <v>2090</v>
      </c>
      <c r="I107" s="3" t="s">
        <v>2530</v>
      </c>
      <c r="J107" s="3" t="s">
        <v>2509</v>
      </c>
      <c r="K107" s="3" t="s">
        <v>2941</v>
      </c>
      <c r="L107" s="3" t="s">
        <v>2942</v>
      </c>
      <c r="M107" s="3" t="s">
        <v>2927</v>
      </c>
      <c r="N107" s="3">
        <v>2017.0</v>
      </c>
      <c r="O107" s="3" t="s">
        <v>2091</v>
      </c>
      <c r="P107" s="25" t="str">
        <f>HYPERLINK("http://dx.doi.org/10.1016/j.biocon.2017.08.032","http://dx.doi.org/10.1016/j.biocon.2017.08.032")</f>
        <v>http://dx.doi.org/10.1016/j.biocon.2017.08.032</v>
      </c>
      <c r="Q107" s="3" t="s">
        <v>255</v>
      </c>
      <c r="R107" s="3" t="s">
        <v>2577</v>
      </c>
      <c r="S107" s="3" t="s">
        <v>2383</v>
      </c>
      <c r="T107" s="3" t="s">
        <v>2945</v>
      </c>
      <c r="U107" s="3" t="s">
        <v>1835</v>
      </c>
      <c r="V107" s="3" t="s">
        <v>1327</v>
      </c>
      <c r="W107" s="3" t="s">
        <v>1328</v>
      </c>
      <c r="X107" s="3" t="s">
        <v>1328</v>
      </c>
      <c r="Y107" s="3" t="s">
        <v>1328</v>
      </c>
      <c r="Z107" s="3" t="s">
        <v>1328</v>
      </c>
      <c r="AA107" s="3" t="s">
        <v>1328</v>
      </c>
      <c r="AB107" s="3" t="s">
        <v>1328</v>
      </c>
      <c r="AC107" s="3" t="s">
        <v>1327</v>
      </c>
      <c r="AD107" s="3" t="s">
        <v>1328</v>
      </c>
      <c r="AE107" s="3" t="s">
        <v>1443</v>
      </c>
      <c r="AF107" s="3" t="s">
        <v>1523</v>
      </c>
      <c r="AG107" s="3" t="s">
        <v>1330</v>
      </c>
      <c r="AH107" s="3" t="s">
        <v>1332</v>
      </c>
      <c r="AI107" s="3" t="s">
        <v>1360</v>
      </c>
      <c r="AJ107" s="3" t="s">
        <v>1381</v>
      </c>
      <c r="AK107" s="3" t="s">
        <v>1362</v>
      </c>
      <c r="AL107" s="3">
        <v>4.0</v>
      </c>
      <c r="AM107" s="3" t="s">
        <v>1328</v>
      </c>
      <c r="AN107" s="3" t="s">
        <v>1328</v>
      </c>
      <c r="AO107" s="3" t="s">
        <v>1328</v>
      </c>
      <c r="AP107" s="3" t="s">
        <v>1336</v>
      </c>
      <c r="AQ107" s="3" t="s">
        <v>1336</v>
      </c>
      <c r="AR107" s="3" t="s">
        <v>1328</v>
      </c>
      <c r="AS107" s="3" t="s">
        <v>1395</v>
      </c>
      <c r="AT107" s="3" t="s">
        <v>1338</v>
      </c>
      <c r="AU107" s="3" t="s">
        <v>1339</v>
      </c>
      <c r="AV107" s="3" t="s">
        <v>1331</v>
      </c>
      <c r="AW107" s="3" t="s">
        <v>1328</v>
      </c>
      <c r="AX107" s="3" t="s">
        <v>5027</v>
      </c>
    </row>
    <row r="108" ht="12.75" customHeight="1">
      <c r="A108" s="3" t="s">
        <v>26</v>
      </c>
      <c r="B108" s="3" t="s">
        <v>3334</v>
      </c>
      <c r="C108" s="3" t="s">
        <v>2099</v>
      </c>
      <c r="D108" s="3" t="s">
        <v>2364</v>
      </c>
      <c r="E108" s="3" t="s">
        <v>38</v>
      </c>
      <c r="F108" s="3" t="s">
        <v>3335</v>
      </c>
      <c r="G108" s="3" t="s">
        <v>3336</v>
      </c>
      <c r="H108" s="3" t="s">
        <v>3337</v>
      </c>
      <c r="I108" s="3" t="s">
        <v>2530</v>
      </c>
      <c r="J108" s="3" t="s">
        <v>2531</v>
      </c>
      <c r="K108" s="3" t="s">
        <v>2941</v>
      </c>
      <c r="L108" s="3" t="s">
        <v>2942</v>
      </c>
      <c r="M108" s="3" t="s">
        <v>2515</v>
      </c>
      <c r="N108" s="3">
        <v>2016.0</v>
      </c>
      <c r="O108" s="3" t="s">
        <v>2101</v>
      </c>
      <c r="P108" s="25" t="str">
        <f>HYPERLINK("http://dx.doi.org/10.1016/j.biocon.2016.05.031","http://dx.doi.org/10.1016/j.biocon.2016.05.031")</f>
        <v>http://dx.doi.org/10.1016/j.biocon.2016.05.031</v>
      </c>
      <c r="Q108" s="3" t="s">
        <v>255</v>
      </c>
      <c r="R108" s="3" t="s">
        <v>2577</v>
      </c>
      <c r="S108" s="3" t="s">
        <v>2383</v>
      </c>
      <c r="T108" s="3" t="s">
        <v>3347</v>
      </c>
      <c r="U108" s="3" t="s">
        <v>2103</v>
      </c>
      <c r="V108" s="3" t="s">
        <v>1403</v>
      </c>
      <c r="W108" s="3" t="s">
        <v>1328</v>
      </c>
      <c r="X108" s="3" t="s">
        <v>1328</v>
      </c>
      <c r="Y108" s="3" t="s">
        <v>1328</v>
      </c>
      <c r="Z108" s="3" t="s">
        <v>1328</v>
      </c>
      <c r="AA108" s="3" t="s">
        <v>1328</v>
      </c>
      <c r="AB108" s="3" t="s">
        <v>1328</v>
      </c>
      <c r="AC108" s="3" t="s">
        <v>1403</v>
      </c>
      <c r="AD108" s="3" t="s">
        <v>1328</v>
      </c>
      <c r="AE108" s="3" t="s">
        <v>1329</v>
      </c>
      <c r="AF108" s="3" t="s">
        <v>1330</v>
      </c>
      <c r="AG108" s="3" t="s">
        <v>1331</v>
      </c>
      <c r="AH108" s="3" t="s">
        <v>1347</v>
      </c>
      <c r="AI108" s="3" t="s">
        <v>1333</v>
      </c>
      <c r="AJ108" s="3" t="s">
        <v>1361</v>
      </c>
      <c r="AK108" s="3" t="s">
        <v>1464</v>
      </c>
      <c r="AL108" s="29">
        <v>2.0</v>
      </c>
      <c r="AM108" s="3" t="s">
        <v>1336</v>
      </c>
      <c r="AN108" s="3" t="s">
        <v>1328</v>
      </c>
      <c r="AO108" s="3" t="s">
        <v>1336</v>
      </c>
      <c r="AP108" s="3" t="s">
        <v>1336</v>
      </c>
      <c r="AQ108" s="3" t="s">
        <v>1328</v>
      </c>
      <c r="AR108" s="3" t="s">
        <v>1336</v>
      </c>
      <c r="AS108" s="3" t="s">
        <v>1404</v>
      </c>
      <c r="AT108" s="3" t="s">
        <v>1338</v>
      </c>
      <c r="AU108" s="3" t="s">
        <v>1363</v>
      </c>
      <c r="AV108" s="3" t="s">
        <v>1331</v>
      </c>
      <c r="AW108" s="3" t="s">
        <v>1328</v>
      </c>
      <c r="AX108" s="3" t="s">
        <v>5027</v>
      </c>
    </row>
    <row r="109" ht="12.75" customHeight="1">
      <c r="A109" s="3" t="s">
        <v>26</v>
      </c>
      <c r="B109" s="3" t="s">
        <v>3348</v>
      </c>
      <c r="C109" s="3" t="s">
        <v>2105</v>
      </c>
      <c r="D109" s="3" t="s">
        <v>2364</v>
      </c>
      <c r="E109" s="3" t="s">
        <v>38</v>
      </c>
      <c r="F109" s="3" t="s">
        <v>3349</v>
      </c>
      <c r="G109" s="3" t="s">
        <v>3350</v>
      </c>
      <c r="H109" s="3" t="s">
        <v>2106</v>
      </c>
      <c r="I109" s="3" t="s">
        <v>2530</v>
      </c>
      <c r="J109" s="3" t="s">
        <v>2509</v>
      </c>
      <c r="K109" s="3" t="s">
        <v>2941</v>
      </c>
      <c r="L109" s="3" t="s">
        <v>2942</v>
      </c>
      <c r="M109" s="3" t="s">
        <v>2557</v>
      </c>
      <c r="N109" s="3">
        <v>2016.0</v>
      </c>
      <c r="O109" s="3" t="s">
        <v>2107</v>
      </c>
      <c r="P109" s="25" t="str">
        <f>HYPERLINK("http://dx.doi.org/10.1016/j.biocon.2016.04.013","http://dx.doi.org/10.1016/j.biocon.2016.04.013")</f>
        <v>http://dx.doi.org/10.1016/j.biocon.2016.04.013</v>
      </c>
      <c r="Q109" s="3" t="s">
        <v>255</v>
      </c>
      <c r="R109" s="3" t="s">
        <v>2577</v>
      </c>
      <c r="S109" s="3" t="s">
        <v>2383</v>
      </c>
      <c r="T109" s="3" t="s">
        <v>3360</v>
      </c>
      <c r="U109" s="3" t="s">
        <v>1614</v>
      </c>
      <c r="V109" s="3" t="s">
        <v>1371</v>
      </c>
      <c r="W109" s="3" t="s">
        <v>1328</v>
      </c>
      <c r="X109" s="3" t="s">
        <v>1328</v>
      </c>
      <c r="Y109" s="3" t="s">
        <v>1328</v>
      </c>
      <c r="Z109" s="3" t="s">
        <v>1328</v>
      </c>
      <c r="AA109" s="3" t="s">
        <v>1328</v>
      </c>
      <c r="AB109" s="3" t="s">
        <v>1328</v>
      </c>
      <c r="AC109" s="3" t="s">
        <v>1371</v>
      </c>
      <c r="AD109" s="3" t="s">
        <v>1328</v>
      </c>
      <c r="AE109" s="3" t="s">
        <v>1329</v>
      </c>
      <c r="AF109" s="3" t="s">
        <v>1330</v>
      </c>
      <c r="AG109" s="3" t="s">
        <v>1330</v>
      </c>
      <c r="AH109" s="3" t="s">
        <v>1332</v>
      </c>
      <c r="AI109" s="3" t="s">
        <v>1333</v>
      </c>
      <c r="AJ109" s="3" t="s">
        <v>1334</v>
      </c>
      <c r="AK109" s="3" t="s">
        <v>1362</v>
      </c>
      <c r="AL109" s="3">
        <v>2.0</v>
      </c>
      <c r="AM109" s="3" t="s">
        <v>1336</v>
      </c>
      <c r="AN109" s="3" t="s">
        <v>1328</v>
      </c>
      <c r="AO109" s="3" t="s">
        <v>1328</v>
      </c>
      <c r="AP109" s="3" t="s">
        <v>1336</v>
      </c>
      <c r="AQ109" s="3" t="s">
        <v>1336</v>
      </c>
      <c r="AR109" s="3" t="s">
        <v>1336</v>
      </c>
      <c r="AS109" s="3" t="s">
        <v>1395</v>
      </c>
      <c r="AT109" s="3" t="s">
        <v>1351</v>
      </c>
      <c r="AU109" s="3" t="s">
        <v>1363</v>
      </c>
      <c r="AV109" s="3" t="s">
        <v>1374</v>
      </c>
      <c r="AW109" s="3" t="s">
        <v>1328</v>
      </c>
      <c r="AX109" s="3" t="s">
        <v>5027</v>
      </c>
    </row>
    <row r="110" ht="12.75" customHeight="1">
      <c r="A110" s="3" t="s">
        <v>26</v>
      </c>
      <c r="B110" s="3" t="s">
        <v>3949</v>
      </c>
      <c r="C110" s="3" t="s">
        <v>2110</v>
      </c>
      <c r="D110" s="3" t="s">
        <v>2364</v>
      </c>
      <c r="E110" s="3" t="s">
        <v>38</v>
      </c>
      <c r="F110" s="3" t="s">
        <v>3950</v>
      </c>
      <c r="G110" s="3" t="s">
        <v>3951</v>
      </c>
      <c r="H110" s="3" t="s">
        <v>3952</v>
      </c>
      <c r="I110" s="3" t="s">
        <v>2530</v>
      </c>
      <c r="J110" s="3" t="s">
        <v>2509</v>
      </c>
      <c r="K110" s="3" t="s">
        <v>2941</v>
      </c>
      <c r="L110" s="3" t="s">
        <v>2942</v>
      </c>
      <c r="M110" s="3" t="s">
        <v>2927</v>
      </c>
      <c r="N110" s="3">
        <v>2013.0</v>
      </c>
      <c r="O110" s="3" t="s">
        <v>2112</v>
      </c>
      <c r="P110" s="25" t="str">
        <f>HYPERLINK("http://dx.doi.org/10.1016/j.biocon.2013.07.012","http://dx.doi.org/10.1016/j.biocon.2013.07.012")</f>
        <v>http://dx.doi.org/10.1016/j.biocon.2013.07.012</v>
      </c>
      <c r="Q110" s="3" t="s">
        <v>255</v>
      </c>
      <c r="R110" s="3" t="s">
        <v>2577</v>
      </c>
      <c r="S110" s="3" t="s">
        <v>2383</v>
      </c>
      <c r="T110" s="3" t="s">
        <v>3963</v>
      </c>
      <c r="U110" s="3" t="s">
        <v>1442</v>
      </c>
      <c r="V110" s="3" t="s">
        <v>1327</v>
      </c>
      <c r="W110" s="3" t="s">
        <v>1328</v>
      </c>
      <c r="X110" s="3" t="s">
        <v>1328</v>
      </c>
      <c r="Y110" s="3" t="s">
        <v>1328</v>
      </c>
      <c r="Z110" s="3" t="s">
        <v>1328</v>
      </c>
      <c r="AA110" s="3" t="s">
        <v>1328</v>
      </c>
      <c r="AB110" s="3" t="s">
        <v>1328</v>
      </c>
      <c r="AC110" s="3" t="s">
        <v>1327</v>
      </c>
      <c r="AD110" s="3" t="s">
        <v>1328</v>
      </c>
      <c r="AE110" s="3" t="s">
        <v>1443</v>
      </c>
      <c r="AF110" s="3" t="s">
        <v>1330</v>
      </c>
      <c r="AG110" s="3" t="s">
        <v>1331</v>
      </c>
      <c r="AH110" s="3" t="s">
        <v>1331</v>
      </c>
      <c r="AI110" s="3" t="s">
        <v>1333</v>
      </c>
      <c r="AJ110" s="3" t="s">
        <v>1381</v>
      </c>
      <c r="AK110" s="3" t="s">
        <v>1446</v>
      </c>
      <c r="AL110" s="3">
        <v>2.0</v>
      </c>
      <c r="AM110" s="3" t="s">
        <v>1336</v>
      </c>
      <c r="AN110" s="3" t="s">
        <v>1328</v>
      </c>
      <c r="AO110" s="3" t="s">
        <v>1328</v>
      </c>
      <c r="AP110" s="3" t="s">
        <v>1336</v>
      </c>
      <c r="AQ110" s="3" t="s">
        <v>1336</v>
      </c>
      <c r="AR110" s="3" t="s">
        <v>1336</v>
      </c>
      <c r="AS110" s="3" t="s">
        <v>1395</v>
      </c>
      <c r="AT110" s="3" t="s">
        <v>1338</v>
      </c>
      <c r="AU110" s="3" t="s">
        <v>1339</v>
      </c>
      <c r="AV110" s="3" t="s">
        <v>1331</v>
      </c>
      <c r="AW110" s="3" t="s">
        <v>1328</v>
      </c>
      <c r="AX110" s="3" t="s">
        <v>5027</v>
      </c>
    </row>
    <row r="111" ht="12.75" customHeight="1">
      <c r="A111" s="3" t="s">
        <v>26</v>
      </c>
      <c r="B111" s="3" t="s">
        <v>4276</v>
      </c>
      <c r="C111" s="3" t="s">
        <v>2115</v>
      </c>
      <c r="D111" s="3" t="s">
        <v>2364</v>
      </c>
      <c r="E111" s="3" t="s">
        <v>38</v>
      </c>
      <c r="F111" s="3" t="s">
        <v>4277</v>
      </c>
      <c r="G111" s="3" t="s">
        <v>4278</v>
      </c>
      <c r="H111" s="3" t="s">
        <v>2116</v>
      </c>
      <c r="I111" s="3" t="s">
        <v>2530</v>
      </c>
      <c r="J111" s="3" t="s">
        <v>2509</v>
      </c>
      <c r="K111" s="3" t="s">
        <v>2941</v>
      </c>
      <c r="L111" s="3" t="s">
        <v>2942</v>
      </c>
      <c r="M111" s="3" t="s">
        <v>2734</v>
      </c>
      <c r="N111" s="3">
        <v>2012.0</v>
      </c>
      <c r="O111" s="3" t="s">
        <v>2117</v>
      </c>
      <c r="P111" s="25" t="str">
        <f>HYPERLINK("http://dx.doi.org/10.1016/j.biocon.2012.01.062","http://dx.doi.org/10.1016/j.biocon.2012.01.062")</f>
        <v>http://dx.doi.org/10.1016/j.biocon.2012.01.062</v>
      </c>
      <c r="Q111" s="3" t="s">
        <v>255</v>
      </c>
      <c r="R111" s="3" t="s">
        <v>2577</v>
      </c>
      <c r="S111" s="3" t="s">
        <v>2383</v>
      </c>
      <c r="T111" s="3" t="s">
        <v>4289</v>
      </c>
      <c r="U111" s="3" t="s">
        <v>1442</v>
      </c>
      <c r="V111" s="3" t="s">
        <v>1327</v>
      </c>
      <c r="W111" s="3" t="s">
        <v>1328</v>
      </c>
      <c r="X111" s="3" t="s">
        <v>1328</v>
      </c>
      <c r="Y111" s="3" t="s">
        <v>1328</v>
      </c>
      <c r="Z111" s="3" t="s">
        <v>1328</v>
      </c>
      <c r="AA111" s="3" t="s">
        <v>1328</v>
      </c>
      <c r="AB111" s="3" t="s">
        <v>1328</v>
      </c>
      <c r="AC111" s="3" t="s">
        <v>1327</v>
      </c>
      <c r="AD111" s="3" t="s">
        <v>1328</v>
      </c>
      <c r="AE111" s="3" t="s">
        <v>1443</v>
      </c>
      <c r="AF111" s="3" t="s">
        <v>1330</v>
      </c>
      <c r="AG111" s="3" t="s">
        <v>1331</v>
      </c>
      <c r="AH111" s="3" t="s">
        <v>1347</v>
      </c>
      <c r="AI111" s="3" t="s">
        <v>1660</v>
      </c>
      <c r="AJ111" s="3" t="s">
        <v>1381</v>
      </c>
      <c r="AK111" s="3" t="s">
        <v>1446</v>
      </c>
      <c r="AL111" s="3">
        <v>6.0</v>
      </c>
      <c r="AM111" s="3" t="s">
        <v>1328</v>
      </c>
      <c r="AN111" s="3" t="s">
        <v>1328</v>
      </c>
      <c r="AO111" s="3" t="s">
        <v>1328</v>
      </c>
      <c r="AP111" s="3" t="s">
        <v>1328</v>
      </c>
      <c r="AQ111" s="3" t="s">
        <v>1328</v>
      </c>
      <c r="AR111" s="3" t="s">
        <v>1328</v>
      </c>
      <c r="AS111" s="3" t="s">
        <v>1395</v>
      </c>
      <c r="AT111" s="3" t="s">
        <v>1351</v>
      </c>
      <c r="AU111" s="3" t="s">
        <v>1363</v>
      </c>
      <c r="AV111" s="3" t="s">
        <v>1331</v>
      </c>
      <c r="AW111" s="3" t="s">
        <v>1328</v>
      </c>
      <c r="AX111" s="3" t="s">
        <v>5028</v>
      </c>
    </row>
    <row r="112" ht="12.75" customHeight="1">
      <c r="A112" s="3" t="s">
        <v>26</v>
      </c>
      <c r="B112" s="3" t="s">
        <v>4749</v>
      </c>
      <c r="C112" s="3" t="s">
        <v>2121</v>
      </c>
      <c r="D112" s="3" t="s">
        <v>2364</v>
      </c>
      <c r="E112" s="3" t="s">
        <v>38</v>
      </c>
      <c r="F112" s="3" t="s">
        <v>4750</v>
      </c>
      <c r="G112" s="3" t="s">
        <v>4751</v>
      </c>
      <c r="H112" s="3" t="s">
        <v>2122</v>
      </c>
      <c r="I112" s="3" t="s">
        <v>2530</v>
      </c>
      <c r="J112" s="3" t="s">
        <v>2509</v>
      </c>
      <c r="K112" s="3" t="s">
        <v>2941</v>
      </c>
      <c r="L112" s="3" t="s">
        <v>2942</v>
      </c>
      <c r="M112" s="3" t="s">
        <v>2557</v>
      </c>
      <c r="N112" s="3">
        <v>2008.0</v>
      </c>
      <c r="O112" s="3" t="s">
        <v>2123</v>
      </c>
      <c r="P112" s="25" t="str">
        <f>HYPERLINK("http://dx.doi.org/10.1016/j.biocon.2008.04.024","http://dx.doi.org/10.1016/j.biocon.2008.04.024")</f>
        <v>http://dx.doi.org/10.1016/j.biocon.2008.04.024</v>
      </c>
      <c r="Q112" s="3" t="s">
        <v>255</v>
      </c>
      <c r="R112" s="3" t="s">
        <v>2577</v>
      </c>
      <c r="S112" s="3" t="s">
        <v>2383</v>
      </c>
      <c r="T112" s="3" t="s">
        <v>4761</v>
      </c>
      <c r="U112" s="3" t="s">
        <v>1614</v>
      </c>
      <c r="V112" s="3" t="s">
        <v>1470</v>
      </c>
      <c r="W112" s="3" t="s">
        <v>1328</v>
      </c>
      <c r="X112" s="3" t="s">
        <v>1328</v>
      </c>
      <c r="Y112" s="3" t="s">
        <v>1328</v>
      </c>
      <c r="Z112" s="3" t="s">
        <v>1328</v>
      </c>
      <c r="AA112" s="3" t="s">
        <v>1328</v>
      </c>
      <c r="AB112" s="3" t="s">
        <v>1328</v>
      </c>
      <c r="AC112" s="3" t="s">
        <v>1470</v>
      </c>
      <c r="AD112" s="3" t="s">
        <v>1328</v>
      </c>
      <c r="AE112" s="3" t="s">
        <v>1329</v>
      </c>
      <c r="AF112" s="3" t="s">
        <v>1331</v>
      </c>
      <c r="AG112" s="3" t="s">
        <v>1330</v>
      </c>
      <c r="AH112" s="3" t="s">
        <v>1347</v>
      </c>
      <c r="AI112" s="3" t="s">
        <v>1333</v>
      </c>
      <c r="AJ112" s="3" t="s">
        <v>1348</v>
      </c>
      <c r="AK112" s="3" t="s">
        <v>1362</v>
      </c>
      <c r="AL112" s="3">
        <v>2.0</v>
      </c>
      <c r="AM112" s="3" t="s">
        <v>1336</v>
      </c>
      <c r="AN112" s="3" t="s">
        <v>1328</v>
      </c>
      <c r="AO112" s="3" t="s">
        <v>1328</v>
      </c>
      <c r="AP112" s="3" t="s">
        <v>1336</v>
      </c>
      <c r="AQ112" s="3" t="s">
        <v>1336</v>
      </c>
      <c r="AR112" s="3" t="s">
        <v>1336</v>
      </c>
      <c r="AS112" s="3" t="s">
        <v>1350</v>
      </c>
      <c r="AT112" s="3" t="s">
        <v>1351</v>
      </c>
      <c r="AU112" s="3" t="s">
        <v>1363</v>
      </c>
      <c r="AV112" s="3" t="s">
        <v>1388</v>
      </c>
      <c r="AW112" s="3" t="s">
        <v>1328</v>
      </c>
      <c r="AX112" s="3" t="s">
        <v>5027</v>
      </c>
    </row>
    <row r="113" ht="12.75" customHeight="1">
      <c r="A113" s="3" t="s">
        <v>26</v>
      </c>
      <c r="B113" s="3" t="s">
        <v>2635</v>
      </c>
      <c r="C113" s="3" t="s">
        <v>2126</v>
      </c>
      <c r="D113" s="3" t="s">
        <v>2364</v>
      </c>
      <c r="E113" s="3" t="s">
        <v>38</v>
      </c>
      <c r="F113" s="3" t="s">
        <v>2636</v>
      </c>
      <c r="G113" s="3" t="s">
        <v>2637</v>
      </c>
      <c r="H113" s="3" t="s">
        <v>2127</v>
      </c>
      <c r="I113" s="3" t="s">
        <v>2530</v>
      </c>
      <c r="J113" s="3" t="s">
        <v>2509</v>
      </c>
      <c r="K113" s="3" t="s">
        <v>2649</v>
      </c>
      <c r="L113" s="3" t="s">
        <v>2650</v>
      </c>
      <c r="M113" s="3" t="s">
        <v>2651</v>
      </c>
      <c r="N113" s="3">
        <v>2018.0</v>
      </c>
      <c r="O113" s="3" t="s">
        <v>2128</v>
      </c>
      <c r="P113" s="25" t="str">
        <f>HYPERLINK("http://dx.doi.org/10.1016/j.apgeog.2018.03.006","http://dx.doi.org/10.1016/j.apgeog.2018.03.006")</f>
        <v>http://dx.doi.org/10.1016/j.apgeog.2018.03.006</v>
      </c>
      <c r="Q113" s="3" t="s">
        <v>953</v>
      </c>
      <c r="R113" s="3" t="s">
        <v>953</v>
      </c>
      <c r="S113" s="3" t="s">
        <v>2383</v>
      </c>
      <c r="T113" s="3" t="s">
        <v>2654</v>
      </c>
      <c r="U113" s="3" t="s">
        <v>1370</v>
      </c>
      <c r="V113" s="3" t="s">
        <v>1327</v>
      </c>
      <c r="W113" s="3" t="s">
        <v>1328</v>
      </c>
      <c r="X113" s="3" t="s">
        <v>1328</v>
      </c>
      <c r="Y113" s="3" t="s">
        <v>1328</v>
      </c>
      <c r="Z113" s="3" t="s">
        <v>1328</v>
      </c>
      <c r="AA113" s="3" t="s">
        <v>1328</v>
      </c>
      <c r="AB113" s="3" t="s">
        <v>1328</v>
      </c>
      <c r="AC113" s="3" t="s">
        <v>1327</v>
      </c>
      <c r="AD113" s="3" t="s">
        <v>1328</v>
      </c>
      <c r="AE113" s="3" t="s">
        <v>1329</v>
      </c>
      <c r="AF113" s="3" t="s">
        <v>1330</v>
      </c>
      <c r="AG113" s="3" t="s">
        <v>1331</v>
      </c>
      <c r="AH113" s="3" t="s">
        <v>1347</v>
      </c>
      <c r="AI113" s="3" t="s">
        <v>1333</v>
      </c>
      <c r="AJ113" s="3" t="s">
        <v>1381</v>
      </c>
      <c r="AK113" s="3" t="s">
        <v>1530</v>
      </c>
      <c r="AL113" s="3">
        <v>3.0</v>
      </c>
      <c r="AM113" s="3" t="s">
        <v>1336</v>
      </c>
      <c r="AN113" s="3" t="s">
        <v>1328</v>
      </c>
      <c r="AO113" s="3" t="s">
        <v>1336</v>
      </c>
      <c r="AP113" s="3" t="s">
        <v>1336</v>
      </c>
      <c r="AQ113" s="3" t="s">
        <v>1328</v>
      </c>
      <c r="AR113" s="3" t="s">
        <v>1328</v>
      </c>
      <c r="AS113" s="3" t="s">
        <v>1350</v>
      </c>
      <c r="AT113" s="3" t="s">
        <v>1338</v>
      </c>
      <c r="AU113" s="3" t="s">
        <v>1339</v>
      </c>
      <c r="AV113" s="3" t="s">
        <v>1331</v>
      </c>
      <c r="AW113" s="3" t="s">
        <v>1328</v>
      </c>
      <c r="AX113" s="3" t="s">
        <v>5027</v>
      </c>
    </row>
    <row r="114" ht="12.75" customHeight="1">
      <c r="A114" s="3" t="s">
        <v>26</v>
      </c>
      <c r="B114" s="3" t="s">
        <v>3785</v>
      </c>
      <c r="C114" s="3" t="s">
        <v>2132</v>
      </c>
      <c r="D114" s="3" t="s">
        <v>2364</v>
      </c>
      <c r="E114" s="3" t="s">
        <v>38</v>
      </c>
      <c r="F114" s="3" t="s">
        <v>3786</v>
      </c>
      <c r="G114" s="3" t="s">
        <v>3787</v>
      </c>
      <c r="H114" s="3" t="s">
        <v>2133</v>
      </c>
      <c r="I114" s="3" t="s">
        <v>3043</v>
      </c>
      <c r="J114" s="3" t="s">
        <v>2487</v>
      </c>
      <c r="K114" s="3" t="s">
        <v>3799</v>
      </c>
      <c r="L114" s="3" t="s">
        <v>3800</v>
      </c>
      <c r="M114" s="3" t="s">
        <v>3801</v>
      </c>
      <c r="N114" s="3">
        <v>2014.0</v>
      </c>
      <c r="O114" s="3" t="s">
        <v>2134</v>
      </c>
      <c r="P114" s="25" t="str">
        <f>HYPERLINK("http://dx.doi.org/10.1016/j.agrformet.2014.01.002","http://dx.doi.org/10.1016/j.agrformet.2014.01.002")</f>
        <v>http://dx.doi.org/10.1016/j.agrformet.2014.01.002</v>
      </c>
      <c r="Q114" s="3" t="s">
        <v>3802</v>
      </c>
      <c r="R114" s="3" t="s">
        <v>3803</v>
      </c>
      <c r="S114" s="3" t="s">
        <v>2383</v>
      </c>
      <c r="T114" s="3" t="s">
        <v>3805</v>
      </c>
      <c r="U114" s="3" t="s">
        <v>1358</v>
      </c>
      <c r="V114" s="3" t="s">
        <v>1403</v>
      </c>
      <c r="W114" s="3" t="s">
        <v>1328</v>
      </c>
      <c r="X114" s="3" t="s">
        <v>1328</v>
      </c>
      <c r="Y114" s="3" t="s">
        <v>1328</v>
      </c>
      <c r="Z114" s="3" t="s">
        <v>1328</v>
      </c>
      <c r="AA114" s="3" t="s">
        <v>1328</v>
      </c>
      <c r="AB114" s="3" t="s">
        <v>1328</v>
      </c>
      <c r="AC114" s="3" t="s">
        <v>1403</v>
      </c>
      <c r="AD114" s="3" t="s">
        <v>1328</v>
      </c>
      <c r="AE114" s="3" t="s">
        <v>1631</v>
      </c>
      <c r="AF114" s="3" t="s">
        <v>1330</v>
      </c>
      <c r="AG114" s="3" t="s">
        <v>1331</v>
      </c>
      <c r="AH114" s="3" t="s">
        <v>1347</v>
      </c>
      <c r="AI114" s="3" t="s">
        <v>1333</v>
      </c>
      <c r="AJ114" s="3" t="s">
        <v>1361</v>
      </c>
      <c r="AK114" s="3" t="s">
        <v>1362</v>
      </c>
      <c r="AL114" s="3">
        <v>2.0</v>
      </c>
      <c r="AM114" s="3" t="s">
        <v>1328</v>
      </c>
      <c r="AN114" s="3" t="s">
        <v>1328</v>
      </c>
      <c r="AO114" s="3" t="s">
        <v>1336</v>
      </c>
      <c r="AP114" s="3" t="s">
        <v>1336</v>
      </c>
      <c r="AQ114" s="3" t="s">
        <v>1336</v>
      </c>
      <c r="AR114" s="3" t="s">
        <v>1336</v>
      </c>
      <c r="AS114" s="3" t="s">
        <v>1350</v>
      </c>
      <c r="AT114" s="3" t="s">
        <v>1351</v>
      </c>
      <c r="AU114" s="3" t="s">
        <v>1363</v>
      </c>
      <c r="AV114" s="3" t="s">
        <v>1331</v>
      </c>
      <c r="AW114" s="3" t="s">
        <v>1328</v>
      </c>
      <c r="AX114" s="3" t="s">
        <v>5027</v>
      </c>
    </row>
    <row r="115" ht="12.75" customHeight="1">
      <c r="A115" s="3" t="s">
        <v>26</v>
      </c>
      <c r="B115" s="3" t="s">
        <v>4136</v>
      </c>
      <c r="C115" s="3" t="s">
        <v>2137</v>
      </c>
      <c r="D115" s="3" t="s">
        <v>2364</v>
      </c>
      <c r="E115" s="3" t="s">
        <v>38</v>
      </c>
      <c r="F115" s="3" t="s">
        <v>4137</v>
      </c>
      <c r="G115" s="3" t="s">
        <v>4138</v>
      </c>
      <c r="H115" s="3" t="s">
        <v>2138</v>
      </c>
      <c r="I115" s="3" t="s">
        <v>2486</v>
      </c>
      <c r="J115" s="3" t="s">
        <v>2487</v>
      </c>
      <c r="K115" s="3" t="s">
        <v>3799</v>
      </c>
      <c r="L115" s="3" t="s">
        <v>3800</v>
      </c>
      <c r="M115" s="3" t="s">
        <v>4145</v>
      </c>
      <c r="N115" s="3">
        <v>2012.0</v>
      </c>
      <c r="O115" s="3" t="s">
        <v>2139</v>
      </c>
      <c r="P115" s="25" t="str">
        <f>HYPERLINK("http://dx.doi.org/10.1016/j.agrformet.2012.07.007","http://dx.doi.org/10.1016/j.agrformet.2012.07.007")</f>
        <v>http://dx.doi.org/10.1016/j.agrformet.2012.07.007</v>
      </c>
      <c r="Q115" s="3" t="s">
        <v>3802</v>
      </c>
      <c r="R115" s="3" t="s">
        <v>3803</v>
      </c>
      <c r="S115" s="3" t="s">
        <v>2383</v>
      </c>
      <c r="T115" s="3" t="s">
        <v>4147</v>
      </c>
      <c r="U115" s="3" t="s">
        <v>1666</v>
      </c>
      <c r="V115" s="3" t="s">
        <v>1371</v>
      </c>
      <c r="W115" s="3" t="s">
        <v>1328</v>
      </c>
      <c r="X115" s="3" t="s">
        <v>1328</v>
      </c>
      <c r="Y115" s="3" t="s">
        <v>1328</v>
      </c>
      <c r="Z115" s="3" t="s">
        <v>1328</v>
      </c>
      <c r="AA115" s="3" t="s">
        <v>1328</v>
      </c>
      <c r="AB115" s="3" t="s">
        <v>1328</v>
      </c>
      <c r="AC115" s="3" t="s">
        <v>1371</v>
      </c>
      <c r="AD115" s="3" t="s">
        <v>1328</v>
      </c>
      <c r="AE115" s="3" t="s">
        <v>1329</v>
      </c>
      <c r="AF115" s="3" t="s">
        <v>1372</v>
      </c>
      <c r="AG115" s="3" t="s">
        <v>1372</v>
      </c>
      <c r="AH115" s="3" t="s">
        <v>1347</v>
      </c>
      <c r="AI115" s="3" t="s">
        <v>1333</v>
      </c>
      <c r="AJ115" s="3" t="s">
        <v>1348</v>
      </c>
      <c r="AK115" s="3" t="s">
        <v>1362</v>
      </c>
      <c r="AL115" s="3">
        <v>2.0</v>
      </c>
      <c r="AM115" s="3" t="s">
        <v>1336</v>
      </c>
      <c r="AN115" s="3" t="s">
        <v>1336</v>
      </c>
      <c r="AO115" s="3" t="s">
        <v>1336</v>
      </c>
      <c r="AP115" s="3" t="s">
        <v>1328</v>
      </c>
      <c r="AQ115" s="3" t="s">
        <v>1336</v>
      </c>
      <c r="AR115" s="3" t="s">
        <v>1328</v>
      </c>
      <c r="AS115" s="3" t="s">
        <v>1350</v>
      </c>
      <c r="AT115" s="3" t="s">
        <v>1351</v>
      </c>
      <c r="AU115" s="3" t="s">
        <v>1363</v>
      </c>
      <c r="AV115" s="3" t="s">
        <v>1388</v>
      </c>
      <c r="AW115" s="3" t="s">
        <v>1328</v>
      </c>
      <c r="AX115" s="3" t="s">
        <v>5027</v>
      </c>
    </row>
    <row r="116" ht="12.75" customHeight="1">
      <c r="A116" s="3" t="s">
        <v>26</v>
      </c>
      <c r="B116" s="3" t="s">
        <v>2141</v>
      </c>
      <c r="C116" s="3" t="s">
        <v>2143</v>
      </c>
      <c r="D116" s="3" t="s">
        <v>2364</v>
      </c>
      <c r="E116" s="3" t="s">
        <v>38</v>
      </c>
      <c r="F116" s="3" t="s">
        <v>4871</v>
      </c>
      <c r="G116" s="3" t="s">
        <v>4872</v>
      </c>
      <c r="H116" s="3" t="s">
        <v>2144</v>
      </c>
      <c r="I116" s="3" t="s">
        <v>3043</v>
      </c>
      <c r="J116" s="3" t="s">
        <v>2487</v>
      </c>
      <c r="K116" s="3" t="s">
        <v>4880</v>
      </c>
      <c r="L116" s="3" t="s">
        <v>4881</v>
      </c>
      <c r="M116" s="3" t="s">
        <v>2734</v>
      </c>
      <c r="N116" s="3">
        <v>2006.0</v>
      </c>
      <c r="O116" s="3" t="s">
        <v>2145</v>
      </c>
      <c r="P116" s="25" t="str">
        <f>HYPERLINK("http://dx.doi.org/10.1016/j.agee.2005.10.019","http://dx.doi.org/10.1016/j.agee.2005.10.019")</f>
        <v>http://dx.doi.org/10.1016/j.agee.2005.10.019</v>
      </c>
      <c r="Q116" s="3" t="s">
        <v>4883</v>
      </c>
      <c r="R116" s="3" t="s">
        <v>4884</v>
      </c>
      <c r="S116" s="3" t="s">
        <v>2383</v>
      </c>
      <c r="T116" s="3" t="s">
        <v>4886</v>
      </c>
      <c r="U116" s="3" t="s">
        <v>1947</v>
      </c>
      <c r="V116" s="3" t="s">
        <v>1327</v>
      </c>
      <c r="W116" s="3" t="s">
        <v>1328</v>
      </c>
      <c r="X116" s="3" t="s">
        <v>1328</v>
      </c>
      <c r="Y116" s="3" t="s">
        <v>1328</v>
      </c>
      <c r="Z116" s="3" t="s">
        <v>1328</v>
      </c>
      <c r="AA116" s="3" t="s">
        <v>1328</v>
      </c>
      <c r="AB116" s="3" t="s">
        <v>1328</v>
      </c>
      <c r="AC116" s="3" t="s">
        <v>1327</v>
      </c>
      <c r="AD116" s="3" t="s">
        <v>1328</v>
      </c>
      <c r="AE116" s="3" t="s">
        <v>1329</v>
      </c>
      <c r="AF116" s="3" t="s">
        <v>1330</v>
      </c>
      <c r="AG116" s="3" t="s">
        <v>1331</v>
      </c>
      <c r="AH116" s="3" t="s">
        <v>1347</v>
      </c>
      <c r="AI116" s="3" t="s">
        <v>1333</v>
      </c>
      <c r="AJ116" s="3" t="s">
        <v>1334</v>
      </c>
      <c r="AK116" s="3" t="s">
        <v>1362</v>
      </c>
      <c r="AL116" s="3">
        <v>2.0</v>
      </c>
      <c r="AM116" s="3" t="s">
        <v>1336</v>
      </c>
      <c r="AN116" s="3" t="s">
        <v>1328</v>
      </c>
      <c r="AO116" s="3" t="s">
        <v>1328</v>
      </c>
      <c r="AP116" s="3" t="s">
        <v>1336</v>
      </c>
      <c r="AQ116" s="3" t="s">
        <v>1336</v>
      </c>
      <c r="AR116" s="3" t="s">
        <v>1336</v>
      </c>
      <c r="AS116" s="3" t="s">
        <v>1350</v>
      </c>
      <c r="AT116" s="3" t="s">
        <v>1351</v>
      </c>
      <c r="AU116" s="3" t="s">
        <v>1363</v>
      </c>
      <c r="AV116" s="3" t="s">
        <v>1331</v>
      </c>
      <c r="AW116" s="3" t="s">
        <v>1328</v>
      </c>
      <c r="AX116" s="3" t="s">
        <v>5027</v>
      </c>
    </row>
    <row r="117" ht="12.75" customHeight="1">
      <c r="A117" s="3" t="s">
        <v>26</v>
      </c>
      <c r="B117" s="3" t="s">
        <v>3897</v>
      </c>
      <c r="C117" s="3" t="s">
        <v>2149</v>
      </c>
      <c r="D117" s="3" t="s">
        <v>2364</v>
      </c>
      <c r="E117" s="3" t="s">
        <v>38</v>
      </c>
      <c r="F117" s="3" t="s">
        <v>3898</v>
      </c>
      <c r="G117" s="3" t="s">
        <v>3899</v>
      </c>
      <c r="H117" s="3" t="s">
        <v>2150</v>
      </c>
      <c r="I117" s="3" t="s">
        <v>2486</v>
      </c>
      <c r="J117" s="3" t="s">
        <v>2487</v>
      </c>
      <c r="K117" s="3" t="s">
        <v>3909</v>
      </c>
      <c r="L117" s="3" t="s">
        <v>3910</v>
      </c>
      <c r="M117" s="3" t="s">
        <v>2818</v>
      </c>
      <c r="N117" s="3">
        <v>2014.0</v>
      </c>
      <c r="O117" s="3" t="s">
        <v>2151</v>
      </c>
      <c r="P117" s="25" t="str">
        <f>HYPERLINK("http://dx.doi.org/10.1016/j.actao.2013.12.006","http://dx.doi.org/10.1016/j.actao.2013.12.006")</f>
        <v>http://dx.doi.org/10.1016/j.actao.2013.12.006</v>
      </c>
      <c r="Q117" s="3" t="s">
        <v>817</v>
      </c>
      <c r="R117" s="3" t="s">
        <v>2472</v>
      </c>
      <c r="S117" s="3" t="s">
        <v>2383</v>
      </c>
      <c r="T117" s="3" t="s">
        <v>3912</v>
      </c>
      <c r="U117" s="3" t="s">
        <v>1358</v>
      </c>
      <c r="V117" s="3" t="s">
        <v>1403</v>
      </c>
      <c r="W117" s="3" t="s">
        <v>1328</v>
      </c>
      <c r="X117" s="3" t="s">
        <v>1328</v>
      </c>
      <c r="Y117" s="3" t="s">
        <v>1328</v>
      </c>
      <c r="Z117" s="3" t="s">
        <v>1328</v>
      </c>
      <c r="AA117" s="3" t="s">
        <v>1328</v>
      </c>
      <c r="AB117" s="3" t="s">
        <v>1328</v>
      </c>
      <c r="AC117" s="3" t="s">
        <v>1403</v>
      </c>
      <c r="AD117" s="3" t="s">
        <v>1328</v>
      </c>
      <c r="AE117" s="3" t="s">
        <v>1631</v>
      </c>
      <c r="AF117" s="3" t="s">
        <v>1330</v>
      </c>
      <c r="AG117" s="3" t="s">
        <v>1331</v>
      </c>
      <c r="AH117" s="3" t="s">
        <v>1347</v>
      </c>
      <c r="AI117" s="3" t="s">
        <v>1333</v>
      </c>
      <c r="AJ117" s="3" t="s">
        <v>1381</v>
      </c>
      <c r="AK117" s="3" t="s">
        <v>1362</v>
      </c>
      <c r="AL117" s="3">
        <v>2.0</v>
      </c>
      <c r="AM117" s="3" t="s">
        <v>1328</v>
      </c>
      <c r="AN117" s="3" t="s">
        <v>1328</v>
      </c>
      <c r="AO117" s="3" t="s">
        <v>1336</v>
      </c>
      <c r="AP117" s="3" t="s">
        <v>1336</v>
      </c>
      <c r="AQ117" s="3" t="s">
        <v>1336</v>
      </c>
      <c r="AR117" s="3" t="s">
        <v>1336</v>
      </c>
      <c r="AS117" s="3" t="s">
        <v>1350</v>
      </c>
      <c r="AT117" s="3" t="s">
        <v>1351</v>
      </c>
      <c r="AU117" s="3" t="s">
        <v>1363</v>
      </c>
      <c r="AV117" s="3" t="s">
        <v>1331</v>
      </c>
      <c r="AW117" s="3" t="s">
        <v>1328</v>
      </c>
      <c r="AX117" s="3" t="s">
        <v>5027</v>
      </c>
    </row>
    <row r="118" ht="12.75" customHeight="1">
      <c r="A118" s="3" t="s">
        <v>26</v>
      </c>
      <c r="B118" s="3" t="s">
        <v>3913</v>
      </c>
      <c r="C118" s="3" t="s">
        <v>2167</v>
      </c>
      <c r="D118" s="3" t="s">
        <v>2364</v>
      </c>
      <c r="E118" s="3" t="s">
        <v>38</v>
      </c>
      <c r="F118" s="3" t="s">
        <v>3914</v>
      </c>
      <c r="G118" s="3" t="s">
        <v>3915</v>
      </c>
      <c r="H118" s="3" t="s">
        <v>2168</v>
      </c>
      <c r="I118" s="3" t="s">
        <v>3924</v>
      </c>
      <c r="J118" s="3" t="s">
        <v>3925</v>
      </c>
      <c r="K118" s="3" t="s">
        <v>3929</v>
      </c>
      <c r="L118" s="3" t="s">
        <v>3930</v>
      </c>
      <c r="M118" s="3" t="s">
        <v>2908</v>
      </c>
      <c r="N118" s="3">
        <v>2013.0</v>
      </c>
      <c r="O118" s="3" t="s">
        <v>2169</v>
      </c>
      <c r="P118" s="25" t="str">
        <f>HYPERLINK("http://dx.doi.org/10.1007/s40333-013-0181-z","http://dx.doi.org/10.1007/s40333-013-0181-z")</f>
        <v>http://dx.doi.org/10.1007/s40333-013-0181-z</v>
      </c>
      <c r="Q118" s="3" t="s">
        <v>68</v>
      </c>
      <c r="R118" s="3" t="s">
        <v>2472</v>
      </c>
      <c r="S118" s="3" t="s">
        <v>2383</v>
      </c>
      <c r="T118" s="3" t="s">
        <v>3932</v>
      </c>
      <c r="U118" s="3" t="s">
        <v>1358</v>
      </c>
      <c r="V118" s="3" t="s">
        <v>1403</v>
      </c>
      <c r="W118" s="3" t="s">
        <v>1328</v>
      </c>
      <c r="X118" s="3" t="s">
        <v>1328</v>
      </c>
      <c r="Y118" s="3" t="s">
        <v>1328</v>
      </c>
      <c r="Z118" s="3" t="s">
        <v>1328</v>
      </c>
      <c r="AA118" s="3" t="s">
        <v>1328</v>
      </c>
      <c r="AB118" s="3" t="s">
        <v>1328</v>
      </c>
      <c r="AC118" s="3" t="s">
        <v>1403</v>
      </c>
      <c r="AD118" s="3" t="s">
        <v>1328</v>
      </c>
      <c r="AE118" s="3" t="s">
        <v>1631</v>
      </c>
      <c r="AF118" s="3" t="s">
        <v>1330</v>
      </c>
      <c r="AG118" s="3" t="s">
        <v>1331</v>
      </c>
      <c r="AH118" s="3" t="s">
        <v>1347</v>
      </c>
      <c r="AI118" s="3" t="s">
        <v>1333</v>
      </c>
      <c r="AJ118" s="3" t="s">
        <v>1381</v>
      </c>
      <c r="AK118" s="3" t="s">
        <v>1362</v>
      </c>
      <c r="AL118" s="3">
        <v>2.0</v>
      </c>
      <c r="AM118" s="3" t="s">
        <v>1328</v>
      </c>
      <c r="AN118" s="3" t="s">
        <v>1328</v>
      </c>
      <c r="AO118" s="3" t="s">
        <v>1336</v>
      </c>
      <c r="AP118" s="3" t="s">
        <v>1336</v>
      </c>
      <c r="AQ118" s="3" t="s">
        <v>1336</v>
      </c>
      <c r="AR118" s="3" t="s">
        <v>1336</v>
      </c>
      <c r="AS118" s="3" t="s">
        <v>1350</v>
      </c>
      <c r="AT118" s="3" t="s">
        <v>1351</v>
      </c>
      <c r="AU118" s="3" t="s">
        <v>1363</v>
      </c>
      <c r="AV118" s="3" t="s">
        <v>1331</v>
      </c>
      <c r="AW118" s="3" t="s">
        <v>1328</v>
      </c>
      <c r="AX118" s="3" t="s">
        <v>5027</v>
      </c>
    </row>
    <row r="119" ht="12.75" customHeight="1">
      <c r="A119" s="3" t="s">
        <v>26</v>
      </c>
      <c r="B119" s="3" t="s">
        <v>3860</v>
      </c>
      <c r="C119" s="3" t="s">
        <v>2173</v>
      </c>
      <c r="D119" s="3" t="s">
        <v>2364</v>
      </c>
      <c r="E119" s="3" t="s">
        <v>38</v>
      </c>
      <c r="F119" s="3" t="s">
        <v>3861</v>
      </c>
      <c r="G119" s="3" t="s">
        <v>3862</v>
      </c>
      <c r="H119" s="3" t="s">
        <v>2174</v>
      </c>
      <c r="I119" s="3" t="s">
        <v>3250</v>
      </c>
      <c r="J119" s="3" t="s">
        <v>3872</v>
      </c>
      <c r="K119" s="3" t="s">
        <v>3876</v>
      </c>
      <c r="L119" s="3" t="s">
        <v>3877</v>
      </c>
      <c r="M119" s="3" t="s">
        <v>2818</v>
      </c>
      <c r="N119" s="3">
        <v>2014.0</v>
      </c>
      <c r="O119" s="3" t="s">
        <v>2175</v>
      </c>
      <c r="P119" s="25" t="str">
        <f>HYPERLINK("http://dx.doi.org/10.1007/s12665-013-2547-0","http://dx.doi.org/10.1007/s12665-013-2547-0")</f>
        <v>http://dx.doi.org/10.1007/s12665-013-2547-0</v>
      </c>
      <c r="Q119" s="3" t="s">
        <v>3878</v>
      </c>
      <c r="R119" s="3" t="s">
        <v>3879</v>
      </c>
      <c r="S119" s="3" t="s">
        <v>2383</v>
      </c>
      <c r="T119" s="3" t="s">
        <v>3881</v>
      </c>
      <c r="U119" s="3" t="s">
        <v>1666</v>
      </c>
      <c r="V119" s="3" t="s">
        <v>1417</v>
      </c>
      <c r="W119" s="3" t="s">
        <v>1328</v>
      </c>
      <c r="X119" s="3" t="s">
        <v>1328</v>
      </c>
      <c r="Y119" s="3" t="s">
        <v>1328</v>
      </c>
      <c r="Z119" s="3" t="s">
        <v>1328</v>
      </c>
      <c r="AA119" s="3" t="s">
        <v>1328</v>
      </c>
      <c r="AB119" s="3" t="s">
        <v>1328</v>
      </c>
      <c r="AC119" s="3" t="s">
        <v>1417</v>
      </c>
      <c r="AD119" s="3" t="s">
        <v>1328</v>
      </c>
      <c r="AE119" s="3" t="s">
        <v>1329</v>
      </c>
      <c r="AF119" s="3" t="s">
        <v>1330</v>
      </c>
      <c r="AG119" s="3" t="s">
        <v>1331</v>
      </c>
      <c r="AH119" s="3" t="s">
        <v>1332</v>
      </c>
      <c r="AI119" s="3" t="s">
        <v>1333</v>
      </c>
      <c r="AJ119" s="3" t="s">
        <v>1381</v>
      </c>
      <c r="AK119" s="3" t="s">
        <v>1362</v>
      </c>
      <c r="AL119" s="3">
        <v>2.0</v>
      </c>
      <c r="AM119" s="3" t="s">
        <v>1328</v>
      </c>
      <c r="AN119" s="3" t="s">
        <v>1328</v>
      </c>
      <c r="AO119" s="3" t="s">
        <v>1336</v>
      </c>
      <c r="AP119" s="3" t="s">
        <v>1336</v>
      </c>
      <c r="AQ119" s="3" t="s">
        <v>1336</v>
      </c>
      <c r="AR119" s="3" t="s">
        <v>1336</v>
      </c>
      <c r="AS119" s="3" t="s">
        <v>1350</v>
      </c>
      <c r="AT119" s="3" t="s">
        <v>1351</v>
      </c>
      <c r="AU119" s="3" t="s">
        <v>1339</v>
      </c>
      <c r="AV119" s="3" t="s">
        <v>1331</v>
      </c>
      <c r="AW119" s="3" t="s">
        <v>1328</v>
      </c>
      <c r="AX119" s="3" t="s">
        <v>5027</v>
      </c>
    </row>
    <row r="120" ht="12.75" customHeight="1">
      <c r="A120" s="3" t="s">
        <v>26</v>
      </c>
      <c r="B120" s="3" t="s">
        <v>4336</v>
      </c>
      <c r="C120" s="3" t="s">
        <v>2178</v>
      </c>
      <c r="D120" s="3" t="s">
        <v>2364</v>
      </c>
      <c r="E120" s="3" t="s">
        <v>38</v>
      </c>
      <c r="F120" s="3" t="s">
        <v>4337</v>
      </c>
      <c r="G120" s="3" t="s">
        <v>4338</v>
      </c>
      <c r="H120" s="3" t="s">
        <v>2179</v>
      </c>
      <c r="I120" s="3" t="s">
        <v>3250</v>
      </c>
      <c r="J120" s="3" t="s">
        <v>3872</v>
      </c>
      <c r="K120" s="3" t="s">
        <v>3876</v>
      </c>
      <c r="L120" s="3" t="s">
        <v>3877</v>
      </c>
      <c r="M120" s="3" t="s">
        <v>2908</v>
      </c>
      <c r="N120" s="3">
        <v>2011.0</v>
      </c>
      <c r="O120" s="3" t="s">
        <v>2180</v>
      </c>
      <c r="P120" s="25" t="str">
        <f>HYPERLINK("http://dx.doi.org/10.1007/s12665-011-1046-4","http://dx.doi.org/10.1007/s12665-011-1046-4")</f>
        <v>http://dx.doi.org/10.1007/s12665-011-1046-4</v>
      </c>
      <c r="Q120" s="3" t="s">
        <v>3878</v>
      </c>
      <c r="R120" s="3" t="s">
        <v>3879</v>
      </c>
      <c r="S120" s="3" t="s">
        <v>2383</v>
      </c>
      <c r="T120" s="3" t="s">
        <v>4347</v>
      </c>
      <c r="U120" s="3" t="s">
        <v>1358</v>
      </c>
      <c r="V120" s="3" t="s">
        <v>1436</v>
      </c>
      <c r="W120" s="3" t="s">
        <v>1328</v>
      </c>
      <c r="X120" s="3" t="s">
        <v>1328</v>
      </c>
      <c r="Y120" s="3" t="s">
        <v>1328</v>
      </c>
      <c r="Z120" s="3" t="s">
        <v>1328</v>
      </c>
      <c r="AA120" s="3" t="s">
        <v>1328</v>
      </c>
      <c r="AB120" s="3" t="s">
        <v>1328</v>
      </c>
      <c r="AC120" s="3" t="s">
        <v>1436</v>
      </c>
      <c r="AD120" s="3" t="s">
        <v>1328</v>
      </c>
      <c r="AE120" s="3" t="s">
        <v>1329</v>
      </c>
      <c r="AF120" s="3" t="s">
        <v>1330</v>
      </c>
      <c r="AG120" s="3" t="s">
        <v>1331</v>
      </c>
      <c r="AH120" s="3" t="s">
        <v>1347</v>
      </c>
      <c r="AI120" s="3" t="s">
        <v>1333</v>
      </c>
      <c r="AJ120" s="3" t="s">
        <v>1381</v>
      </c>
      <c r="AK120" s="3" t="s">
        <v>1362</v>
      </c>
      <c r="AL120" s="3">
        <v>2.0</v>
      </c>
      <c r="AM120" s="3" t="s">
        <v>1328</v>
      </c>
      <c r="AN120" s="3" t="s">
        <v>1328</v>
      </c>
      <c r="AO120" s="3" t="s">
        <v>1336</v>
      </c>
      <c r="AP120" s="3" t="s">
        <v>1336</v>
      </c>
      <c r="AQ120" s="3" t="s">
        <v>1336</v>
      </c>
      <c r="AR120" s="3" t="s">
        <v>1336</v>
      </c>
      <c r="AS120" s="3" t="s">
        <v>1350</v>
      </c>
      <c r="AT120" s="3" t="s">
        <v>1351</v>
      </c>
      <c r="AU120" s="3" t="s">
        <v>1363</v>
      </c>
      <c r="AV120" s="3" t="s">
        <v>1388</v>
      </c>
      <c r="AW120" s="3" t="s">
        <v>1328</v>
      </c>
      <c r="AX120" s="3" t="s">
        <v>5027</v>
      </c>
    </row>
    <row r="121" ht="12.75" customHeight="1">
      <c r="A121" s="3" t="s">
        <v>26</v>
      </c>
      <c r="B121" s="3" t="s">
        <v>4210</v>
      </c>
      <c r="C121" s="3" t="s">
        <v>2184</v>
      </c>
      <c r="D121" s="3" t="s">
        <v>2364</v>
      </c>
      <c r="E121" s="3" t="s">
        <v>38</v>
      </c>
      <c r="F121" s="3" t="s">
        <v>4211</v>
      </c>
      <c r="G121" s="3" t="s">
        <v>4212</v>
      </c>
      <c r="H121" s="3" t="s">
        <v>2185</v>
      </c>
      <c r="I121" s="3" t="s">
        <v>3250</v>
      </c>
      <c r="J121" s="3" t="s">
        <v>3872</v>
      </c>
      <c r="K121" s="3" t="s">
        <v>4224</v>
      </c>
      <c r="L121" s="3" t="s">
        <v>4225</v>
      </c>
      <c r="M121" s="3" t="s">
        <v>2557</v>
      </c>
      <c r="N121" s="3">
        <v>2012.0</v>
      </c>
      <c r="O121" s="3" t="s">
        <v>2186</v>
      </c>
      <c r="P121" s="25" t="str">
        <f>HYPERLINK("http://dx.doi.org/10.1007/s12237-012-9506-y","http://dx.doi.org/10.1007/s12237-012-9506-y")</f>
        <v>http://dx.doi.org/10.1007/s12237-012-9506-y</v>
      </c>
      <c r="Q121" s="3" t="s">
        <v>148</v>
      </c>
      <c r="R121" s="3" t="s">
        <v>2516</v>
      </c>
      <c r="S121" s="3" t="s">
        <v>2383</v>
      </c>
      <c r="T121" s="3" t="s">
        <v>4227</v>
      </c>
      <c r="U121" s="3" t="s">
        <v>1346</v>
      </c>
      <c r="V121" s="3" t="s">
        <v>1387</v>
      </c>
      <c r="W121" s="3" t="s">
        <v>1328</v>
      </c>
      <c r="X121" s="3" t="s">
        <v>1328</v>
      </c>
      <c r="Y121" s="3" t="s">
        <v>1328</v>
      </c>
      <c r="Z121" s="3" t="s">
        <v>1328</v>
      </c>
      <c r="AA121" s="3" t="s">
        <v>1328</v>
      </c>
      <c r="AB121" s="3" t="s">
        <v>1328</v>
      </c>
      <c r="AC121" s="3" t="s">
        <v>1387</v>
      </c>
      <c r="AD121" s="3" t="s">
        <v>1328</v>
      </c>
      <c r="AE121" s="3" t="s">
        <v>1329</v>
      </c>
      <c r="AF121" s="3" t="s">
        <v>1330</v>
      </c>
      <c r="AG121" s="3" t="s">
        <v>1331</v>
      </c>
      <c r="AH121" s="3" t="s">
        <v>1347</v>
      </c>
      <c r="AI121" s="3" t="s">
        <v>1333</v>
      </c>
      <c r="AJ121" s="3" t="s">
        <v>1361</v>
      </c>
      <c r="AK121" s="3" t="s">
        <v>1530</v>
      </c>
      <c r="AL121" s="29">
        <v>3.0</v>
      </c>
      <c r="AM121" s="3" t="s">
        <v>1328</v>
      </c>
      <c r="AN121" s="3" t="s">
        <v>1328</v>
      </c>
      <c r="AO121" s="3" t="s">
        <v>1336</v>
      </c>
      <c r="AP121" s="3" t="s">
        <v>1336</v>
      </c>
      <c r="AQ121" s="3" t="s">
        <v>1336</v>
      </c>
      <c r="AR121" s="3" t="s">
        <v>1328</v>
      </c>
      <c r="AS121" s="3" t="s">
        <v>1350</v>
      </c>
      <c r="AT121" s="3" t="s">
        <v>1351</v>
      </c>
      <c r="AU121" s="3" t="s">
        <v>1363</v>
      </c>
      <c r="AV121" s="3" t="s">
        <v>1374</v>
      </c>
      <c r="AW121" s="3" t="s">
        <v>1328</v>
      </c>
      <c r="AX121" s="3" t="s">
        <v>5027</v>
      </c>
    </row>
    <row r="122" ht="12.75" customHeight="1">
      <c r="A122" s="3" t="s">
        <v>26</v>
      </c>
      <c r="B122" s="3" t="s">
        <v>4090</v>
      </c>
      <c r="C122" s="3" t="s">
        <v>2190</v>
      </c>
      <c r="D122" s="3" t="s">
        <v>2364</v>
      </c>
      <c r="E122" s="3" t="s">
        <v>38</v>
      </c>
      <c r="F122" s="3" t="s">
        <v>4091</v>
      </c>
      <c r="G122" s="3" t="s">
        <v>4092</v>
      </c>
      <c r="H122" s="3" t="s">
        <v>2191</v>
      </c>
      <c r="I122" s="3" t="s">
        <v>3250</v>
      </c>
      <c r="J122" s="3" t="s">
        <v>3872</v>
      </c>
      <c r="K122" s="3" t="s">
        <v>4103</v>
      </c>
      <c r="L122" s="3" t="s">
        <v>4104</v>
      </c>
      <c r="M122" s="3" t="s">
        <v>3168</v>
      </c>
      <c r="N122" s="3">
        <v>2013.0</v>
      </c>
      <c r="O122" s="3" t="s">
        <v>2192</v>
      </c>
      <c r="P122" s="25" t="str">
        <f>HYPERLINK("http://dx.doi.org/10.1007/s11707-012-0335-x","http://dx.doi.org/10.1007/s11707-012-0335-x")</f>
        <v>http://dx.doi.org/10.1007/s11707-012-0335-x</v>
      </c>
      <c r="Q122" s="3" t="s">
        <v>59</v>
      </c>
      <c r="R122" s="3" t="s">
        <v>4105</v>
      </c>
      <c r="S122" s="3" t="s">
        <v>2383</v>
      </c>
      <c r="T122" s="3" t="s">
        <v>4107</v>
      </c>
      <c r="U122" s="3" t="s">
        <v>1358</v>
      </c>
      <c r="V122" s="3" t="s">
        <v>1417</v>
      </c>
      <c r="W122" s="3" t="s">
        <v>1328</v>
      </c>
      <c r="X122" s="3" t="s">
        <v>1328</v>
      </c>
      <c r="Y122" s="3" t="s">
        <v>1328</v>
      </c>
      <c r="Z122" s="3" t="s">
        <v>1328</v>
      </c>
      <c r="AA122" s="3" t="s">
        <v>1328</v>
      </c>
      <c r="AB122" s="3" t="s">
        <v>1328</v>
      </c>
      <c r="AC122" s="3" t="s">
        <v>1417</v>
      </c>
      <c r="AD122" s="3" t="s">
        <v>1328</v>
      </c>
      <c r="AE122" s="3" t="s">
        <v>1329</v>
      </c>
      <c r="AF122" s="3" t="s">
        <v>1330</v>
      </c>
      <c r="AG122" s="3" t="s">
        <v>1372</v>
      </c>
      <c r="AH122" s="3" t="s">
        <v>1347</v>
      </c>
      <c r="AI122" s="3" t="s">
        <v>1360</v>
      </c>
      <c r="AJ122" s="3" t="s">
        <v>1381</v>
      </c>
      <c r="AK122" s="3" t="s">
        <v>1362</v>
      </c>
      <c r="AL122" s="3">
        <v>2.0</v>
      </c>
      <c r="AM122" s="3" t="s">
        <v>1328</v>
      </c>
      <c r="AN122" s="3" t="s">
        <v>1328</v>
      </c>
      <c r="AO122" s="3" t="s">
        <v>1336</v>
      </c>
      <c r="AP122" s="3" t="s">
        <v>1336</v>
      </c>
      <c r="AQ122" s="3" t="s">
        <v>1336</v>
      </c>
      <c r="AR122" s="3" t="s">
        <v>1336</v>
      </c>
      <c r="AS122" s="3" t="s">
        <v>1350</v>
      </c>
      <c r="AT122" s="3" t="s">
        <v>1351</v>
      </c>
      <c r="AU122" s="3" t="s">
        <v>1363</v>
      </c>
      <c r="AV122" s="3" t="s">
        <v>1331</v>
      </c>
      <c r="AW122" s="3" t="s">
        <v>1328</v>
      </c>
      <c r="AX122" s="3" t="s">
        <v>5028</v>
      </c>
    </row>
    <row r="123" ht="12.75" customHeight="1">
      <c r="A123" s="3" t="s">
        <v>26</v>
      </c>
      <c r="B123" s="3" t="s">
        <v>3806</v>
      </c>
      <c r="C123" s="3" t="s">
        <v>2195</v>
      </c>
      <c r="D123" s="3" t="s">
        <v>2364</v>
      </c>
      <c r="E123" s="3" t="s">
        <v>38</v>
      </c>
      <c r="F123" s="3" t="s">
        <v>3807</v>
      </c>
      <c r="G123" s="3" t="s">
        <v>3808</v>
      </c>
      <c r="H123" s="3" t="s">
        <v>2196</v>
      </c>
      <c r="I123" s="3" t="s">
        <v>3818</v>
      </c>
      <c r="J123" s="3" t="s">
        <v>3819</v>
      </c>
      <c r="K123" s="3" t="s">
        <v>3823</v>
      </c>
      <c r="L123" s="3" t="s">
        <v>3824</v>
      </c>
      <c r="M123" s="3" t="s">
        <v>2734</v>
      </c>
      <c r="N123" s="3">
        <v>2014.0</v>
      </c>
      <c r="O123" s="3" t="s">
        <v>2197</v>
      </c>
      <c r="P123" s="25" t="str">
        <f>HYPERLINK("http://dx.doi.org/10.1007/s11270-014-1925-x","http://dx.doi.org/10.1007/s11270-014-1925-x")</f>
        <v>http://dx.doi.org/10.1007/s11270-014-1925-x</v>
      </c>
      <c r="Q123" s="3" t="s">
        <v>472</v>
      </c>
      <c r="R123" s="3" t="s">
        <v>3825</v>
      </c>
      <c r="S123" s="3" t="s">
        <v>2383</v>
      </c>
      <c r="T123" s="3" t="s">
        <v>3827</v>
      </c>
      <c r="U123" s="3" t="s">
        <v>1358</v>
      </c>
      <c r="V123" s="3" t="s">
        <v>1359</v>
      </c>
      <c r="W123" s="3" t="s">
        <v>1328</v>
      </c>
      <c r="X123" s="3" t="s">
        <v>1328</v>
      </c>
      <c r="Y123" s="3" t="s">
        <v>1328</v>
      </c>
      <c r="Z123" s="3" t="s">
        <v>1328</v>
      </c>
      <c r="AA123" s="3" t="s">
        <v>1328</v>
      </c>
      <c r="AB123" s="3" t="s">
        <v>1328</v>
      </c>
      <c r="AC123" s="3" t="s">
        <v>1359</v>
      </c>
      <c r="AD123" s="3" t="s">
        <v>1328</v>
      </c>
      <c r="AE123" s="3" t="s">
        <v>1329</v>
      </c>
      <c r="AF123" s="3" t="s">
        <v>1331</v>
      </c>
      <c r="AG123" s="3" t="s">
        <v>1372</v>
      </c>
      <c r="AH123" s="3" t="s">
        <v>1347</v>
      </c>
      <c r="AI123" s="3" t="s">
        <v>1333</v>
      </c>
      <c r="AJ123" s="3" t="s">
        <v>1348</v>
      </c>
      <c r="AK123" s="3" t="s">
        <v>1362</v>
      </c>
      <c r="AL123" s="3">
        <v>2.0</v>
      </c>
      <c r="AM123" s="3" t="s">
        <v>1336</v>
      </c>
      <c r="AN123" s="3" t="s">
        <v>1328</v>
      </c>
      <c r="AO123" s="3" t="s">
        <v>1328</v>
      </c>
      <c r="AP123" s="3" t="s">
        <v>1336</v>
      </c>
      <c r="AQ123" s="3" t="s">
        <v>1336</v>
      </c>
      <c r="AR123" s="3" t="s">
        <v>1336</v>
      </c>
      <c r="AS123" s="3" t="s">
        <v>1395</v>
      </c>
      <c r="AT123" s="3" t="s">
        <v>1351</v>
      </c>
      <c r="AU123" s="3" t="s">
        <v>1339</v>
      </c>
      <c r="AV123" s="3" t="s">
        <v>1331</v>
      </c>
      <c r="AW123" s="3" t="s">
        <v>1328</v>
      </c>
      <c r="AX123" s="3" t="s">
        <v>5027</v>
      </c>
    </row>
    <row r="124" ht="12.75" customHeight="1">
      <c r="A124" s="3" t="s">
        <v>26</v>
      </c>
      <c r="B124" s="3" t="s">
        <v>3504</v>
      </c>
      <c r="C124" s="3" t="s">
        <v>2201</v>
      </c>
      <c r="D124" s="3" t="s">
        <v>2364</v>
      </c>
      <c r="E124" s="3" t="s">
        <v>38</v>
      </c>
      <c r="F124" s="3" t="s">
        <v>1324</v>
      </c>
      <c r="G124" s="3" t="s">
        <v>3505</v>
      </c>
      <c r="H124" s="3" t="s">
        <v>2202</v>
      </c>
      <c r="I124" s="3" t="s">
        <v>3250</v>
      </c>
      <c r="J124" s="3" t="s">
        <v>3251</v>
      </c>
      <c r="K124" s="3" t="s">
        <v>2200</v>
      </c>
      <c r="L124" s="3" t="s">
        <v>3517</v>
      </c>
      <c r="M124" s="3" t="s">
        <v>3518</v>
      </c>
      <c r="N124" s="3">
        <v>2015.0</v>
      </c>
      <c r="O124" s="3" t="s">
        <v>2203</v>
      </c>
      <c r="P124" s="25" t="str">
        <f>HYPERLINK("http://dx.doi.org/10.1007/s10584-015-1448-5","http://dx.doi.org/10.1007/s10584-015-1448-5")</f>
        <v>http://dx.doi.org/10.1007/s10584-015-1448-5</v>
      </c>
      <c r="Q124" s="3" t="s">
        <v>322</v>
      </c>
      <c r="R124" s="3" t="s">
        <v>2596</v>
      </c>
      <c r="S124" s="3" t="s">
        <v>2383</v>
      </c>
      <c r="T124" s="3" t="s">
        <v>3520</v>
      </c>
      <c r="U124" s="3" t="s">
        <v>1358</v>
      </c>
      <c r="V124" s="3" t="s">
        <v>1359</v>
      </c>
      <c r="W124" s="3" t="s">
        <v>1328</v>
      </c>
      <c r="X124" s="3" t="s">
        <v>1328</v>
      </c>
      <c r="Y124" s="3" t="s">
        <v>1328</v>
      </c>
      <c r="Z124" s="3" t="s">
        <v>1328</v>
      </c>
      <c r="AA124" s="3" t="s">
        <v>1328</v>
      </c>
      <c r="AB124" s="3" t="s">
        <v>1328</v>
      </c>
      <c r="AC124" s="3" t="s">
        <v>1359</v>
      </c>
      <c r="AD124" s="3" t="s">
        <v>1328</v>
      </c>
      <c r="AE124" s="3" t="s">
        <v>1329</v>
      </c>
      <c r="AF124" s="3" t="s">
        <v>1330</v>
      </c>
      <c r="AG124" s="3" t="s">
        <v>1331</v>
      </c>
      <c r="AH124" s="3" t="s">
        <v>1347</v>
      </c>
      <c r="AI124" s="3" t="s">
        <v>1333</v>
      </c>
      <c r="AJ124" s="3" t="s">
        <v>1381</v>
      </c>
      <c r="AK124" s="3" t="s">
        <v>1362</v>
      </c>
      <c r="AL124" s="3">
        <v>3.0</v>
      </c>
      <c r="AM124" s="3" t="s">
        <v>1328</v>
      </c>
      <c r="AN124" s="3" t="s">
        <v>1328</v>
      </c>
      <c r="AO124" s="3" t="s">
        <v>1336</v>
      </c>
      <c r="AP124" s="3" t="s">
        <v>1336</v>
      </c>
      <c r="AQ124" s="3" t="s">
        <v>1328</v>
      </c>
      <c r="AR124" s="3" t="s">
        <v>1336</v>
      </c>
      <c r="AS124" s="3" t="s">
        <v>1350</v>
      </c>
      <c r="AT124" s="3" t="s">
        <v>1351</v>
      </c>
      <c r="AU124" s="3" t="s">
        <v>1339</v>
      </c>
      <c r="AV124" s="3" t="s">
        <v>1331</v>
      </c>
      <c r="AW124" s="3" t="s">
        <v>1328</v>
      </c>
      <c r="AX124" s="3" t="s">
        <v>5027</v>
      </c>
    </row>
    <row r="125" ht="12.75" customHeight="1">
      <c r="A125" s="3" t="s">
        <v>26</v>
      </c>
      <c r="B125" s="3" t="s">
        <v>3240</v>
      </c>
      <c r="C125" s="3" t="s">
        <v>2206</v>
      </c>
      <c r="D125" s="3" t="s">
        <v>2364</v>
      </c>
      <c r="E125" s="3" t="s">
        <v>38</v>
      </c>
      <c r="F125" s="3" t="s">
        <v>3241</v>
      </c>
      <c r="G125" s="3" t="s">
        <v>3242</v>
      </c>
      <c r="H125" s="3" t="s">
        <v>3243</v>
      </c>
      <c r="I125" s="3" t="s">
        <v>3250</v>
      </c>
      <c r="J125" s="3" t="s">
        <v>3251</v>
      </c>
      <c r="K125" s="3" t="s">
        <v>3255</v>
      </c>
      <c r="L125" s="3" t="s">
        <v>3256</v>
      </c>
      <c r="M125" s="3" t="s">
        <v>2927</v>
      </c>
      <c r="N125" s="3">
        <v>2016.0</v>
      </c>
      <c r="O125" s="3" t="s">
        <v>2208</v>
      </c>
      <c r="P125" s="25" t="str">
        <f>HYPERLINK("http://dx.doi.org/10.1007/s10531-016-1172-0","http://dx.doi.org/10.1007/s10531-016-1172-0")</f>
        <v>http://dx.doi.org/10.1007/s10531-016-1172-0</v>
      </c>
      <c r="Q125" s="3" t="s">
        <v>255</v>
      </c>
      <c r="R125" s="3" t="s">
        <v>2577</v>
      </c>
      <c r="S125" s="3" t="s">
        <v>2383</v>
      </c>
      <c r="T125" s="3" t="s">
        <v>3259</v>
      </c>
      <c r="U125" s="3" t="s">
        <v>1482</v>
      </c>
      <c r="V125" s="3" t="s">
        <v>1327</v>
      </c>
      <c r="W125" s="3" t="s">
        <v>1328</v>
      </c>
      <c r="X125" s="3" t="s">
        <v>1328</v>
      </c>
      <c r="Y125" s="3" t="s">
        <v>1328</v>
      </c>
      <c r="Z125" s="3" t="s">
        <v>1328</v>
      </c>
      <c r="AA125" s="3" t="s">
        <v>1328</v>
      </c>
      <c r="AB125" s="3" t="s">
        <v>1328</v>
      </c>
      <c r="AC125" s="3" t="s">
        <v>1327</v>
      </c>
      <c r="AD125" s="3" t="s">
        <v>1328</v>
      </c>
      <c r="AE125" s="3" t="s">
        <v>1443</v>
      </c>
      <c r="AF125" s="3" t="s">
        <v>1330</v>
      </c>
      <c r="AG125" s="3" t="s">
        <v>1523</v>
      </c>
      <c r="AH125" s="3" t="s">
        <v>1332</v>
      </c>
      <c r="AI125" s="3" t="s">
        <v>1360</v>
      </c>
      <c r="AJ125" s="3" t="s">
        <v>1361</v>
      </c>
      <c r="AK125" s="3" t="s">
        <v>1362</v>
      </c>
      <c r="AL125" s="3">
        <v>3.0</v>
      </c>
      <c r="AM125" s="3" t="s">
        <v>1328</v>
      </c>
      <c r="AN125" s="3" t="s">
        <v>1328</v>
      </c>
      <c r="AO125" s="3" t="s">
        <v>1328</v>
      </c>
      <c r="AP125" s="3" t="s">
        <v>1336</v>
      </c>
      <c r="AQ125" s="3" t="s">
        <v>1336</v>
      </c>
      <c r="AR125" s="3" t="s">
        <v>1336</v>
      </c>
      <c r="AS125" s="3" t="s">
        <v>1395</v>
      </c>
      <c r="AT125" s="3" t="s">
        <v>1351</v>
      </c>
      <c r="AU125" s="3" t="s">
        <v>1339</v>
      </c>
      <c r="AV125" s="3" t="s">
        <v>1331</v>
      </c>
      <c r="AW125" s="3" t="s">
        <v>1328</v>
      </c>
      <c r="AX125" s="3" t="s">
        <v>5028</v>
      </c>
    </row>
    <row r="126" ht="12.75" customHeight="1">
      <c r="A126" s="3" t="s">
        <v>26</v>
      </c>
      <c r="B126" s="3" t="s">
        <v>3361</v>
      </c>
      <c r="C126" s="3" t="s">
        <v>2211</v>
      </c>
      <c r="D126" s="3" t="s">
        <v>2364</v>
      </c>
      <c r="E126" s="3" t="s">
        <v>38</v>
      </c>
      <c r="F126" s="3" t="s">
        <v>3362</v>
      </c>
      <c r="G126" s="3" t="s">
        <v>3363</v>
      </c>
      <c r="H126" s="3" t="s">
        <v>2212</v>
      </c>
      <c r="I126" s="3" t="s">
        <v>3250</v>
      </c>
      <c r="J126" s="3" t="s">
        <v>3251</v>
      </c>
      <c r="K126" s="3" t="s">
        <v>3255</v>
      </c>
      <c r="L126" s="3" t="s">
        <v>3256</v>
      </c>
      <c r="M126" s="3" t="s">
        <v>2632</v>
      </c>
      <c r="N126" s="3">
        <v>2016.0</v>
      </c>
      <c r="O126" s="3" t="s">
        <v>2213</v>
      </c>
      <c r="P126" s="25" t="str">
        <f>HYPERLINK("http://dx.doi.org/10.1007/s10531-016-1141-7","http://dx.doi.org/10.1007/s10531-016-1141-7")</f>
        <v>http://dx.doi.org/10.1007/s10531-016-1141-7</v>
      </c>
      <c r="Q126" s="3" t="s">
        <v>255</v>
      </c>
      <c r="R126" s="3" t="s">
        <v>2577</v>
      </c>
      <c r="S126" s="3" t="s">
        <v>2383</v>
      </c>
      <c r="T126" s="3" t="s">
        <v>3374</v>
      </c>
      <c r="U126" s="3" t="s">
        <v>1346</v>
      </c>
      <c r="V126" s="3" t="s">
        <v>1387</v>
      </c>
      <c r="W126" s="3" t="s">
        <v>1328</v>
      </c>
      <c r="X126" s="3" t="s">
        <v>1328</v>
      </c>
      <c r="Y126" s="3" t="s">
        <v>1328</v>
      </c>
      <c r="Z126" s="3" t="s">
        <v>1328</v>
      </c>
      <c r="AA126" s="3" t="s">
        <v>1328</v>
      </c>
      <c r="AB126" s="3" t="s">
        <v>1328</v>
      </c>
      <c r="AC126" s="3" t="s">
        <v>1387</v>
      </c>
      <c r="AD126" s="3" t="s">
        <v>1328</v>
      </c>
      <c r="AE126" s="3" t="s">
        <v>1329</v>
      </c>
      <c r="AF126" s="3" t="s">
        <v>1372</v>
      </c>
      <c r="AG126" s="3" t="s">
        <v>1331</v>
      </c>
      <c r="AH126" s="3" t="s">
        <v>1537</v>
      </c>
      <c r="AI126" s="3" t="s">
        <v>1660</v>
      </c>
      <c r="AJ126" s="3" t="s">
        <v>1361</v>
      </c>
      <c r="AK126" s="3" t="s">
        <v>1349</v>
      </c>
      <c r="AL126" s="29">
        <v>6.0</v>
      </c>
      <c r="AM126" s="3" t="s">
        <v>1328</v>
      </c>
      <c r="AN126" s="3" t="s">
        <v>1328</v>
      </c>
      <c r="AO126" s="3" t="s">
        <v>1328</v>
      </c>
      <c r="AP126" s="3" t="s">
        <v>1328</v>
      </c>
      <c r="AQ126" s="3" t="s">
        <v>1328</v>
      </c>
      <c r="AR126" s="3" t="s">
        <v>1328</v>
      </c>
      <c r="AS126" s="3" t="s">
        <v>1395</v>
      </c>
      <c r="AT126" s="3" t="s">
        <v>1338</v>
      </c>
      <c r="AU126" s="3" t="s">
        <v>1339</v>
      </c>
      <c r="AV126" s="3" t="s">
        <v>1331</v>
      </c>
      <c r="AW126" s="3" t="s">
        <v>1328</v>
      </c>
      <c r="AX126" s="3" t="s">
        <v>5028</v>
      </c>
    </row>
    <row r="127" ht="12.75" customHeight="1">
      <c r="A127" s="3" t="s">
        <v>26</v>
      </c>
      <c r="B127" s="3" t="s">
        <v>3408</v>
      </c>
      <c r="C127" s="3" t="s">
        <v>2216</v>
      </c>
      <c r="D127" s="3" t="s">
        <v>2364</v>
      </c>
      <c r="E127" s="3" t="s">
        <v>38</v>
      </c>
      <c r="F127" s="3" t="s">
        <v>3409</v>
      </c>
      <c r="G127" s="3" t="s">
        <v>3410</v>
      </c>
      <c r="H127" s="3" t="s">
        <v>2217</v>
      </c>
      <c r="I127" s="3" t="s">
        <v>3250</v>
      </c>
      <c r="J127" s="3" t="s">
        <v>3251</v>
      </c>
      <c r="K127" s="3" t="s">
        <v>3255</v>
      </c>
      <c r="L127" s="3" t="s">
        <v>3256</v>
      </c>
      <c r="M127" s="3" t="s">
        <v>2818</v>
      </c>
      <c r="N127" s="3">
        <v>2016.0</v>
      </c>
      <c r="O127" s="3" t="s">
        <v>2218</v>
      </c>
      <c r="P127" s="25" t="str">
        <f>HYPERLINK("http://dx.doi.org/10.1007/s10531-015-1036-z","http://dx.doi.org/10.1007/s10531-015-1036-z")</f>
        <v>http://dx.doi.org/10.1007/s10531-015-1036-z</v>
      </c>
      <c r="Q127" s="3" t="s">
        <v>255</v>
      </c>
      <c r="R127" s="3" t="s">
        <v>2577</v>
      </c>
      <c r="S127" s="3" t="s">
        <v>2383</v>
      </c>
      <c r="T127" s="3" t="s">
        <v>3418</v>
      </c>
      <c r="U127" s="3" t="s">
        <v>1442</v>
      </c>
      <c r="V127" s="3" t="s">
        <v>1327</v>
      </c>
      <c r="W127" s="3" t="s">
        <v>1328</v>
      </c>
      <c r="X127" s="3" t="s">
        <v>1328</v>
      </c>
      <c r="Y127" s="3" t="s">
        <v>1328</v>
      </c>
      <c r="Z127" s="3" t="s">
        <v>1328</v>
      </c>
      <c r="AA127" s="3" t="s">
        <v>1328</v>
      </c>
      <c r="AB127" s="3" t="s">
        <v>1328</v>
      </c>
      <c r="AC127" s="3" t="s">
        <v>1327</v>
      </c>
      <c r="AD127" s="3" t="s">
        <v>1328</v>
      </c>
      <c r="AE127" s="3" t="s">
        <v>1443</v>
      </c>
      <c r="AF127" s="3" t="s">
        <v>1330</v>
      </c>
      <c r="AG127" s="3" t="s">
        <v>1331</v>
      </c>
      <c r="AH127" s="3" t="s">
        <v>1347</v>
      </c>
      <c r="AI127" s="3" t="s">
        <v>1444</v>
      </c>
      <c r="AJ127" s="3" t="s">
        <v>1445</v>
      </c>
      <c r="AK127" s="3" t="s">
        <v>1446</v>
      </c>
      <c r="AL127" s="3">
        <v>6.0</v>
      </c>
      <c r="AM127" s="3" t="s">
        <v>1328</v>
      </c>
      <c r="AN127" s="3" t="s">
        <v>1328</v>
      </c>
      <c r="AO127" s="3" t="s">
        <v>1328</v>
      </c>
      <c r="AP127" s="3" t="s">
        <v>1328</v>
      </c>
      <c r="AQ127" s="3" t="s">
        <v>1328</v>
      </c>
      <c r="AR127" s="3" t="s">
        <v>1328</v>
      </c>
      <c r="AS127" s="3" t="s">
        <v>1395</v>
      </c>
      <c r="AT127" s="3" t="s">
        <v>1351</v>
      </c>
      <c r="AU127" s="3" t="s">
        <v>1363</v>
      </c>
      <c r="AV127" s="3" t="s">
        <v>1331</v>
      </c>
      <c r="AW127" s="3" t="s">
        <v>1328</v>
      </c>
      <c r="AX127" s="3" t="s">
        <v>5028</v>
      </c>
    </row>
    <row r="128" ht="12.75" customHeight="1">
      <c r="A128" s="3" t="s">
        <v>26</v>
      </c>
      <c r="B128" s="3" t="s">
        <v>4762</v>
      </c>
      <c r="C128" s="3" t="s">
        <v>2222</v>
      </c>
      <c r="D128" s="3" t="s">
        <v>2364</v>
      </c>
      <c r="E128" s="3" t="s">
        <v>38</v>
      </c>
      <c r="F128" s="3" t="s">
        <v>4763</v>
      </c>
      <c r="G128" s="3" t="s">
        <v>4764</v>
      </c>
      <c r="H128" s="3" t="s">
        <v>2223</v>
      </c>
      <c r="I128" s="3" t="s">
        <v>3250</v>
      </c>
      <c r="J128" s="3" t="s">
        <v>3251</v>
      </c>
      <c r="K128" s="3" t="s">
        <v>4772</v>
      </c>
      <c r="L128" s="3" t="s">
        <v>4773</v>
      </c>
      <c r="M128" s="3" t="s">
        <v>2734</v>
      </c>
      <c r="N128" s="3">
        <v>2008.0</v>
      </c>
      <c r="O128" s="3" t="s">
        <v>2224</v>
      </c>
      <c r="P128" s="25" t="str">
        <f>HYPERLINK("http://dx.doi.org/10.1007/s10530-007-9138-5","http://dx.doi.org/10.1007/s10530-007-9138-5")</f>
        <v>http://dx.doi.org/10.1007/s10530-007-9138-5</v>
      </c>
      <c r="Q128" s="3" t="s">
        <v>1124</v>
      </c>
      <c r="R128" s="3" t="s">
        <v>2577</v>
      </c>
      <c r="S128" s="3" t="s">
        <v>2383</v>
      </c>
      <c r="T128" s="3" t="s">
        <v>4775</v>
      </c>
      <c r="U128" s="3" t="s">
        <v>1482</v>
      </c>
      <c r="V128" s="3" t="s">
        <v>1371</v>
      </c>
      <c r="W128" s="3" t="s">
        <v>1328</v>
      </c>
      <c r="X128" s="3" t="s">
        <v>1328</v>
      </c>
      <c r="Y128" s="3" t="s">
        <v>1328</v>
      </c>
      <c r="Z128" s="3" t="s">
        <v>1328</v>
      </c>
      <c r="AA128" s="3" t="s">
        <v>1328</v>
      </c>
      <c r="AB128" s="3" t="s">
        <v>1328</v>
      </c>
      <c r="AC128" s="3" t="s">
        <v>1371</v>
      </c>
      <c r="AD128" s="3" t="s">
        <v>1328</v>
      </c>
      <c r="AE128" s="3" t="s">
        <v>1329</v>
      </c>
      <c r="AF128" s="3" t="s">
        <v>1330</v>
      </c>
      <c r="AG128" s="3" t="s">
        <v>1330</v>
      </c>
      <c r="AH128" s="3" t="s">
        <v>1332</v>
      </c>
      <c r="AI128" s="3" t="s">
        <v>1444</v>
      </c>
      <c r="AJ128" s="3" t="s">
        <v>1445</v>
      </c>
      <c r="AK128" s="3" t="s">
        <v>1446</v>
      </c>
      <c r="AL128" s="3">
        <v>2.0</v>
      </c>
      <c r="AM128" s="3" t="s">
        <v>1336</v>
      </c>
      <c r="AN128" s="3" t="s">
        <v>1328</v>
      </c>
      <c r="AO128" s="3" t="s">
        <v>1336</v>
      </c>
      <c r="AP128" s="3" t="s">
        <v>1328</v>
      </c>
      <c r="AQ128" s="3" t="s">
        <v>1336</v>
      </c>
      <c r="AR128" s="3" t="s">
        <v>1336</v>
      </c>
      <c r="AS128" s="3" t="s">
        <v>1350</v>
      </c>
      <c r="AT128" s="3" t="s">
        <v>1351</v>
      </c>
      <c r="AU128" s="3" t="s">
        <v>1363</v>
      </c>
      <c r="AV128" s="3" t="s">
        <v>1388</v>
      </c>
      <c r="AW128" s="3" t="s">
        <v>1328</v>
      </c>
      <c r="AX128" s="3" t="s">
        <v>5028</v>
      </c>
    </row>
    <row r="129" ht="12.75" customHeight="1">
      <c r="A129" s="3" t="s">
        <v>26</v>
      </c>
      <c r="B129" s="3" t="s">
        <v>4821</v>
      </c>
      <c r="C129" s="3" t="s">
        <v>2228</v>
      </c>
      <c r="D129" s="3" t="s">
        <v>2364</v>
      </c>
      <c r="E129" s="3" t="s">
        <v>38</v>
      </c>
      <c r="F129" s="3" t="s">
        <v>4822</v>
      </c>
      <c r="G129" s="3" t="s">
        <v>4823</v>
      </c>
      <c r="H129" s="3" t="s">
        <v>4824</v>
      </c>
      <c r="I129" s="3" t="s">
        <v>3250</v>
      </c>
      <c r="J129" s="3" t="s">
        <v>3872</v>
      </c>
      <c r="K129" s="3" t="s">
        <v>2227</v>
      </c>
      <c r="L129" s="3" t="s">
        <v>4834</v>
      </c>
      <c r="M129" s="3" t="s">
        <v>3168</v>
      </c>
      <c r="N129" s="3">
        <v>2007.0</v>
      </c>
      <c r="O129" s="3" t="s">
        <v>2230</v>
      </c>
      <c r="P129" s="25" t="str">
        <f>HYPERLINK("http://dx.doi.org/10.1007/s00442-006-0655-1","http://dx.doi.org/10.1007/s00442-006-0655-1")</f>
        <v>http://dx.doi.org/10.1007/s00442-006-0655-1</v>
      </c>
      <c r="Q129" s="3" t="s">
        <v>817</v>
      </c>
      <c r="R129" s="3" t="s">
        <v>2472</v>
      </c>
      <c r="S129" s="3" t="s">
        <v>2383</v>
      </c>
      <c r="T129" s="3" t="s">
        <v>4836</v>
      </c>
      <c r="U129" s="3" t="s">
        <v>1495</v>
      </c>
      <c r="V129" s="3" t="s">
        <v>1436</v>
      </c>
      <c r="W129" s="3" t="s">
        <v>1328</v>
      </c>
      <c r="X129" s="3" t="s">
        <v>1328</v>
      </c>
      <c r="Y129" s="3" t="s">
        <v>1328</v>
      </c>
      <c r="Z129" s="3" t="s">
        <v>1328</v>
      </c>
      <c r="AA129" s="3" t="s">
        <v>1328</v>
      </c>
      <c r="AB129" s="3" t="s">
        <v>1328</v>
      </c>
      <c r="AC129" s="3" t="s">
        <v>1436</v>
      </c>
      <c r="AD129" s="3" t="s">
        <v>1328</v>
      </c>
      <c r="AE129" s="3" t="s">
        <v>1329</v>
      </c>
      <c r="AF129" s="3" t="s">
        <v>1372</v>
      </c>
      <c r="AG129" s="3" t="s">
        <v>1331</v>
      </c>
      <c r="AH129" s="3" t="s">
        <v>1347</v>
      </c>
      <c r="AI129" s="3" t="s">
        <v>1333</v>
      </c>
      <c r="AJ129" s="3" t="s">
        <v>1361</v>
      </c>
      <c r="AK129" s="3" t="s">
        <v>1530</v>
      </c>
      <c r="AL129" s="3">
        <v>2.0</v>
      </c>
      <c r="AM129" s="3" t="s">
        <v>1328</v>
      </c>
      <c r="AN129" s="3" t="s">
        <v>1336</v>
      </c>
      <c r="AO129" s="3" t="s">
        <v>1336</v>
      </c>
      <c r="AP129" s="3" t="s">
        <v>1336</v>
      </c>
      <c r="AQ129" s="3" t="s">
        <v>1328</v>
      </c>
      <c r="AR129" s="3" t="s">
        <v>1336</v>
      </c>
      <c r="AS129" s="3" t="s">
        <v>1350</v>
      </c>
      <c r="AT129" s="3" t="s">
        <v>1351</v>
      </c>
      <c r="AU129" s="3" t="s">
        <v>1339</v>
      </c>
      <c r="AV129" s="3" t="s">
        <v>1388</v>
      </c>
      <c r="AW129" s="3" t="s">
        <v>1328</v>
      </c>
      <c r="AX129" s="3" t="s">
        <v>5027</v>
      </c>
    </row>
    <row r="130" ht="12.75" customHeight="1">
      <c r="A130" s="3" t="s">
        <v>26</v>
      </c>
      <c r="B130" s="3" t="s">
        <v>2452</v>
      </c>
      <c r="C130" s="3" t="s">
        <v>2239</v>
      </c>
      <c r="D130" s="3" t="s">
        <v>2364</v>
      </c>
      <c r="E130" s="3" t="s">
        <v>38</v>
      </c>
      <c r="F130" s="3" t="s">
        <v>2453</v>
      </c>
      <c r="G130" s="3" t="s">
        <v>2454</v>
      </c>
      <c r="H130" s="3" t="s">
        <v>2240</v>
      </c>
      <c r="I130" s="3" t="s">
        <v>2464</v>
      </c>
      <c r="J130" s="3" t="s">
        <v>2465</v>
      </c>
      <c r="K130" s="3" t="s">
        <v>2469</v>
      </c>
      <c r="L130" s="3" t="s">
        <v>2470</v>
      </c>
      <c r="M130" s="3" t="s">
        <v>2471</v>
      </c>
      <c r="N130" s="3">
        <v>2018.0</v>
      </c>
      <c r="O130" s="3" t="s">
        <v>2241</v>
      </c>
      <c r="P130" s="25" t="str">
        <f>HYPERLINK("http://dx.doi.org/10.1002/eap.1755","http://dx.doi.org/10.1002/eap.1755")</f>
        <v>http://dx.doi.org/10.1002/eap.1755</v>
      </c>
      <c r="Q130" s="3" t="s">
        <v>698</v>
      </c>
      <c r="R130" s="3" t="s">
        <v>2472</v>
      </c>
      <c r="S130" s="3" t="s">
        <v>2383</v>
      </c>
      <c r="T130" s="3" t="s">
        <v>2475</v>
      </c>
      <c r="U130" s="3" t="s">
        <v>1358</v>
      </c>
      <c r="V130" s="3" t="s">
        <v>1417</v>
      </c>
      <c r="W130" s="3" t="s">
        <v>1328</v>
      </c>
      <c r="X130" s="3" t="s">
        <v>1328</v>
      </c>
      <c r="Y130" s="3" t="s">
        <v>1328</v>
      </c>
      <c r="Z130" s="3" t="s">
        <v>1328</v>
      </c>
      <c r="AA130" s="3" t="s">
        <v>1328</v>
      </c>
      <c r="AB130" s="3" t="s">
        <v>1328</v>
      </c>
      <c r="AC130" s="3" t="s">
        <v>1417</v>
      </c>
      <c r="AD130" s="3" t="s">
        <v>1328</v>
      </c>
      <c r="AE130" s="3" t="s">
        <v>1329</v>
      </c>
      <c r="AF130" s="3" t="s">
        <v>1330</v>
      </c>
      <c r="AG130" s="3" t="s">
        <v>1330</v>
      </c>
      <c r="AH130" s="3" t="s">
        <v>1347</v>
      </c>
      <c r="AI130" s="3" t="s">
        <v>1360</v>
      </c>
      <c r="AJ130" s="3" t="s">
        <v>1348</v>
      </c>
      <c r="AK130" s="3" t="s">
        <v>1362</v>
      </c>
      <c r="AL130" s="3">
        <v>4.0</v>
      </c>
      <c r="AM130" s="3" t="s">
        <v>1328</v>
      </c>
      <c r="AN130" s="3" t="s">
        <v>1328</v>
      </c>
      <c r="AO130" s="3" t="s">
        <v>1336</v>
      </c>
      <c r="AP130" s="3" t="s">
        <v>1336</v>
      </c>
      <c r="AQ130" s="3" t="s">
        <v>1328</v>
      </c>
      <c r="AR130" s="3" t="s">
        <v>1328</v>
      </c>
      <c r="AS130" s="3" t="s">
        <v>1350</v>
      </c>
      <c r="AT130" s="3" t="s">
        <v>1351</v>
      </c>
      <c r="AU130" s="3" t="s">
        <v>1363</v>
      </c>
      <c r="AV130" s="3" t="s">
        <v>1331</v>
      </c>
      <c r="AW130" s="3" t="s">
        <v>1328</v>
      </c>
      <c r="AX130" s="3" t="s">
        <v>5028</v>
      </c>
    </row>
    <row r="131" ht="12.75" customHeight="1">
      <c r="A131" s="3" t="s">
        <v>26</v>
      </c>
      <c r="B131" s="3" t="s">
        <v>2801</v>
      </c>
      <c r="C131" s="3" t="s">
        <v>2245</v>
      </c>
      <c r="D131" s="3" t="s">
        <v>2364</v>
      </c>
      <c r="E131" s="3" t="s">
        <v>38</v>
      </c>
      <c r="F131" s="3" t="s">
        <v>2802</v>
      </c>
      <c r="G131" s="3" t="s">
        <v>2803</v>
      </c>
      <c r="H131" s="3" t="s">
        <v>2804</v>
      </c>
      <c r="I131" s="3" t="s">
        <v>2464</v>
      </c>
      <c r="J131" s="3" t="s">
        <v>2465</v>
      </c>
      <c r="K131" s="3" t="s">
        <v>2816</v>
      </c>
      <c r="L131" s="3" t="s">
        <v>2817</v>
      </c>
      <c r="M131" s="3" t="s">
        <v>2818</v>
      </c>
      <c r="N131" s="3">
        <v>2018.0</v>
      </c>
      <c r="O131" s="3" t="s">
        <v>2247</v>
      </c>
      <c r="P131" s="25" t="str">
        <f>HYPERLINK("http://dx.doi.org/10.1002/aqc.2850","http://dx.doi.org/10.1002/aqc.2850")</f>
        <v>http://dx.doi.org/10.1002/aqc.2850</v>
      </c>
      <c r="Q131" s="3" t="s">
        <v>2819</v>
      </c>
      <c r="R131" s="3" t="s">
        <v>2820</v>
      </c>
      <c r="S131" s="3" t="s">
        <v>2383</v>
      </c>
      <c r="T131" s="3" t="s">
        <v>2822</v>
      </c>
      <c r="U131" s="3" t="s">
        <v>1326</v>
      </c>
      <c r="V131" s="3" t="s">
        <v>1327</v>
      </c>
      <c r="W131" s="3" t="s">
        <v>1328</v>
      </c>
      <c r="X131" s="3" t="s">
        <v>1328</v>
      </c>
      <c r="Y131" s="3" t="s">
        <v>1328</v>
      </c>
      <c r="Z131" s="3" t="s">
        <v>1328</v>
      </c>
      <c r="AA131" s="3" t="s">
        <v>1328</v>
      </c>
      <c r="AB131" s="3" t="s">
        <v>1328</v>
      </c>
      <c r="AC131" s="3" t="s">
        <v>1327</v>
      </c>
      <c r="AD131" s="3" t="s">
        <v>1328</v>
      </c>
      <c r="AE131" s="3" t="s">
        <v>1443</v>
      </c>
      <c r="AF131" s="3" t="s">
        <v>1330</v>
      </c>
      <c r="AG131" s="3" t="s">
        <v>1331</v>
      </c>
      <c r="AH131" s="3" t="s">
        <v>1337</v>
      </c>
      <c r="AI131" s="3" t="s">
        <v>1333</v>
      </c>
      <c r="AJ131" s="3" t="s">
        <v>1334</v>
      </c>
      <c r="AK131" s="3" t="s">
        <v>1530</v>
      </c>
      <c r="AL131" s="3">
        <v>6.0</v>
      </c>
      <c r="AM131" s="3" t="s">
        <v>1328</v>
      </c>
      <c r="AN131" s="3" t="s">
        <v>1328</v>
      </c>
      <c r="AO131" s="3" t="s">
        <v>1328</v>
      </c>
      <c r="AP131" s="3" t="s">
        <v>1328</v>
      </c>
      <c r="AQ131" s="3" t="s">
        <v>1328</v>
      </c>
      <c r="AR131" s="3" t="s">
        <v>1328</v>
      </c>
      <c r="AS131" s="3" t="s">
        <v>1395</v>
      </c>
      <c r="AT131" s="3" t="s">
        <v>1351</v>
      </c>
      <c r="AU131" s="3" t="s">
        <v>1363</v>
      </c>
      <c r="AV131" s="3" t="s">
        <v>1331</v>
      </c>
      <c r="AW131" s="3" t="s">
        <v>1328</v>
      </c>
      <c r="AX131" s="3" t="s">
        <v>5027</v>
      </c>
    </row>
    <row r="132" ht="12.75" customHeight="1">
      <c r="A132" s="3" t="s">
        <v>26</v>
      </c>
      <c r="B132" s="3" t="s">
        <v>4023</v>
      </c>
      <c r="C132" s="3" t="s">
        <v>2255</v>
      </c>
      <c r="D132" s="3" t="s">
        <v>2364</v>
      </c>
      <c r="E132" s="3" t="s">
        <v>38</v>
      </c>
      <c r="F132" s="3" t="s">
        <v>4024</v>
      </c>
      <c r="G132" s="3" t="s">
        <v>4025</v>
      </c>
      <c r="H132" s="3" t="s">
        <v>2256</v>
      </c>
      <c r="I132" s="3" t="s">
        <v>2464</v>
      </c>
      <c r="J132" s="3" t="s">
        <v>2465</v>
      </c>
      <c r="K132" s="3" t="s">
        <v>2816</v>
      </c>
      <c r="L132" s="3" t="s">
        <v>2817</v>
      </c>
      <c r="M132" s="3" t="s">
        <v>2632</v>
      </c>
      <c r="N132" s="3">
        <v>2013.0</v>
      </c>
      <c r="O132" s="3" t="s">
        <v>2257</v>
      </c>
      <c r="P132" s="25" t="str">
        <f>HYPERLINK("http://dx.doi.org/10.1002/aqc.2345","http://dx.doi.org/10.1002/aqc.2345")</f>
        <v>http://dx.doi.org/10.1002/aqc.2345</v>
      </c>
      <c r="Q132" s="3" t="s">
        <v>2819</v>
      </c>
      <c r="R132" s="3" t="s">
        <v>2820</v>
      </c>
      <c r="S132" s="3" t="s">
        <v>2383</v>
      </c>
      <c r="T132" s="3" t="s">
        <v>4035</v>
      </c>
      <c r="U132" s="3" t="s">
        <v>1346</v>
      </c>
      <c r="V132" s="3" t="s">
        <v>1470</v>
      </c>
      <c r="W132" s="3" t="s">
        <v>1328</v>
      </c>
      <c r="X132" s="3" t="s">
        <v>1328</v>
      </c>
      <c r="Y132" s="3" t="s">
        <v>1328</v>
      </c>
      <c r="Z132" s="3" t="s">
        <v>1328</v>
      </c>
      <c r="AA132" s="3" t="s">
        <v>1328</v>
      </c>
      <c r="AB132" s="3" t="s">
        <v>1328</v>
      </c>
      <c r="AC132" s="3" t="s">
        <v>1470</v>
      </c>
      <c r="AD132" s="3" t="s">
        <v>1328</v>
      </c>
      <c r="AE132" s="3" t="s">
        <v>1329</v>
      </c>
      <c r="AF132" s="3" t="s">
        <v>1372</v>
      </c>
      <c r="AG132" s="3" t="s">
        <v>1331</v>
      </c>
      <c r="AH132" s="3" t="s">
        <v>1347</v>
      </c>
      <c r="AI132" s="3" t="s">
        <v>1333</v>
      </c>
      <c r="AJ132" s="3" t="s">
        <v>1361</v>
      </c>
      <c r="AK132" s="3" t="s">
        <v>1530</v>
      </c>
      <c r="AL132" s="3">
        <v>2.0</v>
      </c>
      <c r="AM132" s="3" t="s">
        <v>1336</v>
      </c>
      <c r="AN132" s="3" t="s">
        <v>1336</v>
      </c>
      <c r="AO132" s="3" t="s">
        <v>1336</v>
      </c>
      <c r="AP132" s="3" t="s">
        <v>1328</v>
      </c>
      <c r="AQ132" s="3" t="s">
        <v>1328</v>
      </c>
      <c r="AR132" s="3" t="s">
        <v>1336</v>
      </c>
      <c r="AS132" s="3" t="s">
        <v>1350</v>
      </c>
      <c r="AT132" s="3" t="s">
        <v>1351</v>
      </c>
      <c r="AU132" s="3" t="s">
        <v>1339</v>
      </c>
      <c r="AV132" s="3" t="s">
        <v>1331</v>
      </c>
      <c r="AW132" s="3" t="s">
        <v>1328</v>
      </c>
      <c r="AX132" s="3" t="s">
        <v>5027</v>
      </c>
    </row>
    <row r="133" ht="12.75" customHeight="1">
      <c r="A133" s="3" t="s">
        <v>26</v>
      </c>
      <c r="B133" s="3" t="s">
        <v>4542</v>
      </c>
      <c r="C133" s="3" t="s">
        <v>2260</v>
      </c>
      <c r="D133" s="3" t="s">
        <v>2364</v>
      </c>
      <c r="E133" s="3" t="s">
        <v>38</v>
      </c>
      <c r="F133" s="3" t="s">
        <v>4543</v>
      </c>
      <c r="G133" s="3" t="s">
        <v>4544</v>
      </c>
      <c r="H133" s="3" t="s">
        <v>4545</v>
      </c>
      <c r="I133" s="3" t="s">
        <v>2464</v>
      </c>
      <c r="J133" s="3" t="s">
        <v>2465</v>
      </c>
      <c r="K133" s="3" t="s">
        <v>2816</v>
      </c>
      <c r="L133" s="3" t="s">
        <v>2817</v>
      </c>
      <c r="M133" s="3" t="s">
        <v>2651</v>
      </c>
      <c r="N133" s="3">
        <v>2010.0</v>
      </c>
      <c r="O133" s="3" t="s">
        <v>2262</v>
      </c>
      <c r="P133" s="25" t="str">
        <f>HYPERLINK("http://dx.doi.org/10.1002/aqc.1079","http://dx.doi.org/10.1002/aqc.1079")</f>
        <v>http://dx.doi.org/10.1002/aqc.1079</v>
      </c>
      <c r="Q133" s="3" t="s">
        <v>2819</v>
      </c>
      <c r="R133" s="3" t="s">
        <v>2820</v>
      </c>
      <c r="S133" s="3" t="s">
        <v>2383</v>
      </c>
      <c r="T133" s="3" t="s">
        <v>4556</v>
      </c>
      <c r="U133" s="3" t="s">
        <v>1835</v>
      </c>
      <c r="V133" s="3" t="s">
        <v>1403</v>
      </c>
      <c r="W133" s="3" t="s">
        <v>1328</v>
      </c>
      <c r="X133" s="3" t="s">
        <v>1328</v>
      </c>
      <c r="Y133" s="3" t="s">
        <v>1328</v>
      </c>
      <c r="Z133" s="3" t="s">
        <v>1328</v>
      </c>
      <c r="AA133" s="3" t="s">
        <v>1328</v>
      </c>
      <c r="AB133" s="3" t="s">
        <v>1328</v>
      </c>
      <c r="AC133" s="3" t="s">
        <v>1403</v>
      </c>
      <c r="AD133" s="3" t="s">
        <v>1328</v>
      </c>
      <c r="AE133" s="3" t="s">
        <v>1443</v>
      </c>
      <c r="AF133" s="3" t="s">
        <v>1331</v>
      </c>
      <c r="AG133" s="3" t="s">
        <v>1330</v>
      </c>
      <c r="AH133" s="3" t="s">
        <v>1337</v>
      </c>
      <c r="AI133" s="3" t="s">
        <v>1333</v>
      </c>
      <c r="AJ133" s="3" t="s">
        <v>1381</v>
      </c>
      <c r="AK133" s="3" t="s">
        <v>1349</v>
      </c>
      <c r="AL133" s="3">
        <v>6.0</v>
      </c>
      <c r="AM133" s="3" t="s">
        <v>1328</v>
      </c>
      <c r="AN133" s="3" t="s">
        <v>1328</v>
      </c>
      <c r="AO133" s="3" t="s">
        <v>1328</v>
      </c>
      <c r="AP133" s="3" t="s">
        <v>1328</v>
      </c>
      <c r="AQ133" s="3" t="s">
        <v>1328</v>
      </c>
      <c r="AR133" s="3" t="s">
        <v>1328</v>
      </c>
      <c r="AS133" s="3" t="s">
        <v>1395</v>
      </c>
      <c r="AT133" s="3" t="s">
        <v>1351</v>
      </c>
      <c r="AU133" s="3" t="s">
        <v>1339</v>
      </c>
      <c r="AV133" s="3" t="s">
        <v>1331</v>
      </c>
      <c r="AW133" s="3" t="s">
        <v>1328</v>
      </c>
      <c r="AX133" s="3" t="s">
        <v>5027</v>
      </c>
    </row>
    <row r="134" ht="12.75" customHeight="1">
      <c r="A134" s="3" t="s">
        <v>26</v>
      </c>
      <c r="B134" s="3" t="s">
        <v>2363</v>
      </c>
      <c r="C134" s="3" t="s">
        <v>2295</v>
      </c>
      <c r="D134" s="3" t="s">
        <v>2364</v>
      </c>
      <c r="E134" s="3" t="s">
        <v>38</v>
      </c>
      <c r="F134" s="3" t="s">
        <v>2365</v>
      </c>
      <c r="G134" s="3" t="s">
        <v>1324</v>
      </c>
      <c r="H134" s="3" t="s">
        <v>2296</v>
      </c>
      <c r="I134" s="3" t="s">
        <v>2372</v>
      </c>
      <c r="J134" s="3" t="s">
        <v>2373</v>
      </c>
      <c r="K134" s="3" t="s">
        <v>2377</v>
      </c>
      <c r="L134" s="3" t="s">
        <v>2378</v>
      </c>
      <c r="M134" s="3" t="s">
        <v>2379</v>
      </c>
      <c r="N134" s="3">
        <v>2015.0</v>
      </c>
      <c r="O134" s="3" t="s">
        <v>1324</v>
      </c>
      <c r="P134" s="3" t="s">
        <v>1324</v>
      </c>
      <c r="Q134" s="3" t="s">
        <v>2380</v>
      </c>
      <c r="R134" s="3" t="s">
        <v>2380</v>
      </c>
      <c r="S134" s="3" t="s">
        <v>2383</v>
      </c>
      <c r="T134" s="3" t="s">
        <v>2384</v>
      </c>
      <c r="U134" s="3" t="s">
        <v>1326</v>
      </c>
      <c r="V134" s="3" t="s">
        <v>1327</v>
      </c>
      <c r="W134" s="3" t="s">
        <v>1328</v>
      </c>
      <c r="X134" s="3" t="s">
        <v>1328</v>
      </c>
      <c r="Y134" s="3" t="s">
        <v>1328</v>
      </c>
      <c r="Z134" s="3" t="s">
        <v>1328</v>
      </c>
      <c r="AA134" s="3" t="s">
        <v>1328</v>
      </c>
      <c r="AB134" s="3" t="s">
        <v>1328</v>
      </c>
      <c r="AC134" s="3" t="s">
        <v>1327</v>
      </c>
      <c r="AD134" s="3" t="s">
        <v>1328</v>
      </c>
      <c r="AE134" s="3" t="s">
        <v>1329</v>
      </c>
      <c r="AF134" s="3" t="s">
        <v>1330</v>
      </c>
      <c r="AG134" s="3" t="s">
        <v>1331</v>
      </c>
      <c r="AH134" s="3" t="s">
        <v>1347</v>
      </c>
      <c r="AI134" s="3" t="s">
        <v>1333</v>
      </c>
      <c r="AJ134" s="3" t="s">
        <v>1334</v>
      </c>
      <c r="AK134" s="3" t="s">
        <v>1362</v>
      </c>
      <c r="AL134" s="3">
        <v>5.0</v>
      </c>
      <c r="AM134" s="3" t="s">
        <v>1328</v>
      </c>
      <c r="AN134" s="3" t="s">
        <v>1328</v>
      </c>
      <c r="AO134" s="3" t="s">
        <v>1328</v>
      </c>
      <c r="AP134" s="3" t="s">
        <v>1328</v>
      </c>
      <c r="AQ134" s="3" t="s">
        <v>1328</v>
      </c>
      <c r="AR134" s="3" t="s">
        <v>1336</v>
      </c>
      <c r="AS134" s="3" t="s">
        <v>1395</v>
      </c>
      <c r="AT134" s="3" t="s">
        <v>1351</v>
      </c>
      <c r="AU134" s="3" t="s">
        <v>1363</v>
      </c>
      <c r="AV134" s="3" t="s">
        <v>1331</v>
      </c>
      <c r="AW134" s="3" t="s">
        <v>1328</v>
      </c>
      <c r="AX134" s="3" t="s">
        <v>5027</v>
      </c>
      <c r="AY134" s="3"/>
    </row>
    <row r="135" ht="12.75" customHeight="1">
      <c r="A135" s="3" t="s">
        <v>636</v>
      </c>
      <c r="B135" s="3" t="s">
        <v>4776</v>
      </c>
      <c r="C135" s="3" t="s">
        <v>2155</v>
      </c>
      <c r="D135" s="3" t="s">
        <v>2364</v>
      </c>
      <c r="E135" s="3" t="s">
        <v>2437</v>
      </c>
      <c r="F135" s="3" t="s">
        <v>1324</v>
      </c>
      <c r="G135" s="3" t="s">
        <v>4779</v>
      </c>
      <c r="H135" s="3" t="s">
        <v>4780</v>
      </c>
      <c r="I135" s="3" t="s">
        <v>4786</v>
      </c>
      <c r="J135" s="3" t="s">
        <v>3483</v>
      </c>
      <c r="K135" s="3" t="s">
        <v>4790</v>
      </c>
      <c r="L135" s="3" t="s">
        <v>4791</v>
      </c>
      <c r="M135" s="3" t="s">
        <v>1324</v>
      </c>
      <c r="N135" s="3">
        <v>2008.0</v>
      </c>
      <c r="O135" s="3" t="s">
        <v>2157</v>
      </c>
      <c r="P135" s="25" t="str">
        <f>HYPERLINK("http://dx.doi.org/10.1016/B978-012088449-0.50007-8","http://dx.doi.org/10.1016/B978-012088449-0.50007-8")</f>
        <v>http://dx.doi.org/10.1016/B978-012088449-0.50007-8</v>
      </c>
      <c r="Q135" s="3" t="s">
        <v>130</v>
      </c>
      <c r="R135" s="3" t="s">
        <v>2516</v>
      </c>
      <c r="S135" s="3" t="s">
        <v>2383</v>
      </c>
      <c r="T135" s="3" t="s">
        <v>4793</v>
      </c>
      <c r="U135" s="3" t="s">
        <v>1495</v>
      </c>
      <c r="V135" s="3" t="s">
        <v>1327</v>
      </c>
      <c r="W135" s="3" t="s">
        <v>1328</v>
      </c>
      <c r="X135" s="3" t="s">
        <v>1328</v>
      </c>
      <c r="Y135" s="3" t="s">
        <v>1328</v>
      </c>
      <c r="Z135" s="3" t="s">
        <v>1328</v>
      </c>
      <c r="AA135" s="3" t="s">
        <v>1328</v>
      </c>
      <c r="AB135" s="3" t="s">
        <v>1328</v>
      </c>
      <c r="AC135" s="3" t="s">
        <v>1327</v>
      </c>
      <c r="AD135" s="3" t="s">
        <v>1328</v>
      </c>
      <c r="AE135" s="3" t="s">
        <v>1443</v>
      </c>
      <c r="AF135" s="3" t="s">
        <v>1372</v>
      </c>
      <c r="AG135" s="3" t="s">
        <v>1331</v>
      </c>
      <c r="AH135" s="3" t="s">
        <v>1332</v>
      </c>
      <c r="AI135" s="3" t="s">
        <v>1444</v>
      </c>
      <c r="AJ135" s="3" t="s">
        <v>1476</v>
      </c>
      <c r="AK135" s="3" t="s">
        <v>1530</v>
      </c>
      <c r="AL135" s="3">
        <v>5.0</v>
      </c>
      <c r="AM135" s="3" t="s">
        <v>1336</v>
      </c>
      <c r="AN135" s="3" t="s">
        <v>1328</v>
      </c>
      <c r="AO135" s="3" t="s">
        <v>1328</v>
      </c>
      <c r="AP135" s="3" t="s">
        <v>1328</v>
      </c>
      <c r="AQ135" s="3" t="s">
        <v>1328</v>
      </c>
      <c r="AR135" s="3" t="s">
        <v>1328</v>
      </c>
      <c r="AS135" s="3" t="s">
        <v>1350</v>
      </c>
      <c r="AT135" s="3" t="s">
        <v>1351</v>
      </c>
      <c r="AU135" s="3" t="s">
        <v>1339</v>
      </c>
      <c r="AV135" s="3" t="s">
        <v>1331</v>
      </c>
      <c r="AW135" s="3" t="s">
        <v>1328</v>
      </c>
      <c r="AX135" s="3" t="s">
        <v>5028</v>
      </c>
    </row>
    <row r="136" ht="12.75" customHeight="1">
      <c r="A136" s="3" t="s">
        <v>2433</v>
      </c>
      <c r="B136" s="3" t="s">
        <v>4321</v>
      </c>
      <c r="C136" s="3" t="s">
        <v>2161</v>
      </c>
      <c r="D136" s="3" t="s">
        <v>2364</v>
      </c>
      <c r="E136" s="3" t="s">
        <v>2437</v>
      </c>
      <c r="F136" s="3" t="s">
        <v>4323</v>
      </c>
      <c r="G136" s="3" t="s">
        <v>4324</v>
      </c>
      <c r="H136" s="3" t="s">
        <v>4325</v>
      </c>
      <c r="I136" s="3" t="s">
        <v>3043</v>
      </c>
      <c r="J136" s="3" t="s">
        <v>2487</v>
      </c>
      <c r="K136" s="3" t="s">
        <v>4333</v>
      </c>
      <c r="L136" s="3" t="s">
        <v>1324</v>
      </c>
      <c r="M136" s="3" t="s">
        <v>1324</v>
      </c>
      <c r="N136" s="3">
        <v>2012.0</v>
      </c>
      <c r="O136" s="3" t="s">
        <v>2163</v>
      </c>
      <c r="P136" s="25" t="str">
        <f>HYPERLINK("http://dx.doi.org/10.1016/B978-0-12-385140-6.00064-5","http://dx.doi.org/10.1016/B978-0-12-385140-6.00064-5")</f>
        <v>http://dx.doi.org/10.1016/B978-0-12-385140-6.00064-5</v>
      </c>
      <c r="Q136" s="3" t="s">
        <v>59</v>
      </c>
      <c r="R136" s="3" t="s">
        <v>4105</v>
      </c>
      <c r="S136" s="3" t="s">
        <v>2383</v>
      </c>
      <c r="T136" s="3" t="s">
        <v>4335</v>
      </c>
      <c r="U136" s="3" t="s">
        <v>1402</v>
      </c>
      <c r="V136" s="3" t="s">
        <v>1371</v>
      </c>
      <c r="W136" s="3" t="s">
        <v>1328</v>
      </c>
      <c r="X136" s="3" t="s">
        <v>1328</v>
      </c>
      <c r="Y136" s="3" t="s">
        <v>1328</v>
      </c>
      <c r="Z136" s="3" t="s">
        <v>1328</v>
      </c>
      <c r="AA136" s="3" t="s">
        <v>1328</v>
      </c>
      <c r="AB136" s="3" t="s">
        <v>1328</v>
      </c>
      <c r="AC136" s="3" t="s">
        <v>1371</v>
      </c>
      <c r="AD136" s="3" t="s">
        <v>1328</v>
      </c>
      <c r="AE136" s="3" t="s">
        <v>1463</v>
      </c>
      <c r="AF136" s="3" t="s">
        <v>1330</v>
      </c>
      <c r="AG136" s="3" t="s">
        <v>1331</v>
      </c>
      <c r="AH136" s="3" t="s">
        <v>1331</v>
      </c>
      <c r="AI136" s="3" t="s">
        <v>1444</v>
      </c>
      <c r="AJ136" s="3" t="s">
        <v>1445</v>
      </c>
      <c r="AK136" s="3" t="s">
        <v>1349</v>
      </c>
      <c r="AL136" s="3">
        <v>6.0</v>
      </c>
      <c r="AM136" s="3" t="s">
        <v>1328</v>
      </c>
      <c r="AN136" s="3" t="s">
        <v>1328</v>
      </c>
      <c r="AO136" s="3" t="s">
        <v>1328</v>
      </c>
      <c r="AP136" s="3" t="s">
        <v>1328</v>
      </c>
      <c r="AQ136" s="3" t="s">
        <v>1328</v>
      </c>
      <c r="AR136" s="3" t="s">
        <v>1328</v>
      </c>
      <c r="AS136" s="3" t="s">
        <v>1395</v>
      </c>
      <c r="AT136" s="3" t="s">
        <v>1338</v>
      </c>
      <c r="AU136" s="3" t="s">
        <v>1339</v>
      </c>
      <c r="AV136" s="3" t="s">
        <v>1331</v>
      </c>
      <c r="AW136" s="3" t="s">
        <v>1328</v>
      </c>
      <c r="AX136" s="3" t="s">
        <v>5028</v>
      </c>
    </row>
    <row r="137" ht="12.75" customHeight="1">
      <c r="A137" s="3" t="s">
        <v>2433</v>
      </c>
      <c r="B137" s="3" t="s">
        <v>3451</v>
      </c>
      <c r="C137" s="3" t="s">
        <v>3453</v>
      </c>
      <c r="D137" s="3" t="s">
        <v>2364</v>
      </c>
      <c r="E137" s="3" t="s">
        <v>2437</v>
      </c>
      <c r="F137" s="3" t="s">
        <v>1324</v>
      </c>
      <c r="G137" s="3" t="s">
        <v>3455</v>
      </c>
      <c r="H137" s="3" t="s">
        <v>1324</v>
      </c>
      <c r="I137" s="3" t="s">
        <v>3461</v>
      </c>
      <c r="J137" s="3" t="s">
        <v>3462</v>
      </c>
      <c r="K137" s="3" t="s">
        <v>1324</v>
      </c>
      <c r="L137" s="3" t="s">
        <v>1324</v>
      </c>
      <c r="M137" s="3" t="s">
        <v>1324</v>
      </c>
      <c r="N137" s="3">
        <v>2016.0</v>
      </c>
      <c r="O137" s="3" t="s">
        <v>2236</v>
      </c>
      <c r="P137" s="25" t="str">
        <f>HYPERLINK("http://dx.doi.org/10.1002/wene.41","http://dx.doi.org/10.1002/wene.41")</f>
        <v>http://dx.doi.org/10.1002/wene.41</v>
      </c>
      <c r="Q137" s="3" t="s">
        <v>3466</v>
      </c>
      <c r="R137" s="3" t="s">
        <v>3467</v>
      </c>
      <c r="S137" s="3" t="s">
        <v>2383</v>
      </c>
      <c r="T137" s="3" t="s">
        <v>3469</v>
      </c>
      <c r="U137" s="3" t="s">
        <v>1358</v>
      </c>
      <c r="V137" s="3" t="s">
        <v>1371</v>
      </c>
      <c r="W137" s="3" t="s">
        <v>1328</v>
      </c>
      <c r="X137" s="3" t="s">
        <v>1328</v>
      </c>
      <c r="Y137" s="3" t="s">
        <v>1328</v>
      </c>
      <c r="Z137" s="3" t="s">
        <v>1328</v>
      </c>
      <c r="AA137" s="3" t="s">
        <v>1328</v>
      </c>
      <c r="AB137" s="3" t="s">
        <v>1328</v>
      </c>
      <c r="AC137" s="3" t="s">
        <v>1371</v>
      </c>
      <c r="AD137" s="3" t="s">
        <v>1328</v>
      </c>
      <c r="AE137" s="3" t="s">
        <v>1443</v>
      </c>
      <c r="AF137" s="3" t="s">
        <v>1330</v>
      </c>
      <c r="AG137" s="3" t="s">
        <v>1330</v>
      </c>
      <c r="AH137" s="3" t="s">
        <v>1347</v>
      </c>
      <c r="AI137" s="3" t="s">
        <v>1444</v>
      </c>
      <c r="AJ137" s="3" t="s">
        <v>1445</v>
      </c>
      <c r="AK137" s="3" t="s">
        <v>1362</v>
      </c>
      <c r="AL137" s="3">
        <v>2.0</v>
      </c>
      <c r="AM137" s="3" t="s">
        <v>1328</v>
      </c>
      <c r="AN137" s="3" t="s">
        <v>1328</v>
      </c>
      <c r="AO137" s="3" t="s">
        <v>1336</v>
      </c>
      <c r="AP137" s="3" t="s">
        <v>1336</v>
      </c>
      <c r="AQ137" s="3" t="s">
        <v>1336</v>
      </c>
      <c r="AR137" s="3" t="s">
        <v>1336</v>
      </c>
      <c r="AS137" s="3" t="s">
        <v>1350</v>
      </c>
      <c r="AT137" s="3" t="s">
        <v>1351</v>
      </c>
      <c r="AU137" s="3" t="s">
        <v>1363</v>
      </c>
      <c r="AV137" s="3" t="s">
        <v>1388</v>
      </c>
      <c r="AW137" s="3" t="s">
        <v>1328</v>
      </c>
      <c r="AX137" s="3" t="s">
        <v>5028</v>
      </c>
    </row>
    <row r="138" ht="12.75" customHeight="1">
      <c r="A138" s="3" t="s">
        <v>2433</v>
      </c>
      <c r="B138" s="3" t="s">
        <v>2434</v>
      </c>
      <c r="C138" s="3" t="s">
        <v>2266</v>
      </c>
      <c r="D138" s="3" t="s">
        <v>2364</v>
      </c>
      <c r="E138" s="3" t="s">
        <v>2437</v>
      </c>
      <c r="F138" s="3" t="s">
        <v>1324</v>
      </c>
      <c r="G138" s="3" t="s">
        <v>2438</v>
      </c>
      <c r="H138" s="3" t="s">
        <v>1324</v>
      </c>
      <c r="I138" s="3" t="s">
        <v>2442</v>
      </c>
      <c r="J138" s="3" t="s">
        <v>2400</v>
      </c>
      <c r="K138" s="3" t="s">
        <v>2445</v>
      </c>
      <c r="L138" s="3" t="s">
        <v>1324</v>
      </c>
      <c r="M138" s="3" t="s">
        <v>1324</v>
      </c>
      <c r="N138" s="3">
        <v>2014.0</v>
      </c>
      <c r="O138" s="3" t="s">
        <v>1324</v>
      </c>
      <c r="P138" s="3" t="s">
        <v>1324</v>
      </c>
      <c r="Q138" s="3" t="s">
        <v>2447</v>
      </c>
      <c r="R138" s="3" t="s">
        <v>2449</v>
      </c>
      <c r="S138" s="3" t="s">
        <v>2383</v>
      </c>
      <c r="T138" s="3" t="s">
        <v>2451</v>
      </c>
      <c r="U138" s="3" t="s">
        <v>1522</v>
      </c>
      <c r="V138" s="3" t="s">
        <v>1371</v>
      </c>
      <c r="W138" s="3" t="s">
        <v>1328</v>
      </c>
      <c r="X138" s="3" t="s">
        <v>1328</v>
      </c>
      <c r="Y138" s="3" t="s">
        <v>1328</v>
      </c>
      <c r="Z138" s="3" t="s">
        <v>1328</v>
      </c>
      <c r="AA138" s="3" t="s">
        <v>1328</v>
      </c>
      <c r="AB138" s="3" t="s">
        <v>1328</v>
      </c>
      <c r="AC138" s="3" t="s">
        <v>1371</v>
      </c>
      <c r="AD138" s="3" t="s">
        <v>1328</v>
      </c>
      <c r="AE138" s="3" t="s">
        <v>1329</v>
      </c>
      <c r="AF138" s="3" t="s">
        <v>1330</v>
      </c>
      <c r="AG138" s="3" t="s">
        <v>1372</v>
      </c>
      <c r="AH138" s="3" t="s">
        <v>1347</v>
      </c>
      <c r="AI138" s="3" t="s">
        <v>1444</v>
      </c>
      <c r="AJ138" s="3" t="s">
        <v>1445</v>
      </c>
      <c r="AK138" s="3" t="s">
        <v>1335</v>
      </c>
      <c r="AL138" s="3">
        <v>3.0</v>
      </c>
      <c r="AM138" s="3" t="s">
        <v>1328</v>
      </c>
      <c r="AN138" s="3" t="s">
        <v>1328</v>
      </c>
      <c r="AO138" s="3" t="s">
        <v>1328</v>
      </c>
      <c r="AP138" s="3" t="s">
        <v>1336</v>
      </c>
      <c r="AQ138" s="3" t="s">
        <v>1336</v>
      </c>
      <c r="AR138" s="3" t="s">
        <v>1336</v>
      </c>
      <c r="AS138" s="3" t="s">
        <v>1350</v>
      </c>
      <c r="AT138" s="3" t="s">
        <v>1351</v>
      </c>
      <c r="AU138" s="3" t="s">
        <v>1363</v>
      </c>
      <c r="AV138" s="3" t="s">
        <v>1388</v>
      </c>
      <c r="AW138" s="3" t="s">
        <v>1328</v>
      </c>
      <c r="AX138" s="3" t="s">
        <v>5028</v>
      </c>
      <c r="AY138" s="3"/>
    </row>
    <row r="139" ht="12.75" customHeight="1">
      <c r="A139" s="3" t="s">
        <v>26</v>
      </c>
      <c r="B139" s="3" t="s">
        <v>4382</v>
      </c>
      <c r="C139" s="3" t="s">
        <v>2065</v>
      </c>
      <c r="D139" s="3" t="s">
        <v>2364</v>
      </c>
      <c r="E139" s="3" t="s">
        <v>269</v>
      </c>
      <c r="F139" s="3" t="s">
        <v>4387</v>
      </c>
      <c r="G139" s="3" t="s">
        <v>4388</v>
      </c>
      <c r="H139" s="3" t="s">
        <v>4389</v>
      </c>
      <c r="I139" s="3" t="s">
        <v>2486</v>
      </c>
      <c r="J139" s="3" t="s">
        <v>2487</v>
      </c>
      <c r="K139" s="3" t="s">
        <v>3855</v>
      </c>
      <c r="L139" s="3" t="s">
        <v>3856</v>
      </c>
      <c r="M139" s="3" t="s">
        <v>4396</v>
      </c>
      <c r="N139" s="3">
        <v>2011.0</v>
      </c>
      <c r="O139" s="3" t="s">
        <v>2067</v>
      </c>
      <c r="P139" s="25" t="str">
        <f>HYPERLINK("http://dx.doi.org/10.1016/j.ecolmodel.2011.03.042","http://dx.doi.org/10.1016/j.ecolmodel.2011.03.042")</f>
        <v>http://dx.doi.org/10.1016/j.ecolmodel.2011.03.042</v>
      </c>
      <c r="Q139" s="3" t="s">
        <v>817</v>
      </c>
      <c r="R139" s="3" t="s">
        <v>2472</v>
      </c>
      <c r="S139" s="3" t="s">
        <v>2383</v>
      </c>
      <c r="T139" s="3" t="s">
        <v>4399</v>
      </c>
      <c r="U139" s="3" t="s">
        <v>1358</v>
      </c>
      <c r="V139" s="3" t="s">
        <v>1327</v>
      </c>
      <c r="W139" s="3" t="s">
        <v>1328</v>
      </c>
      <c r="X139" s="3" t="s">
        <v>1328</v>
      </c>
      <c r="Y139" s="3" t="s">
        <v>1328</v>
      </c>
      <c r="Z139" s="3" t="s">
        <v>1328</v>
      </c>
      <c r="AA139" s="3" t="s">
        <v>1328</v>
      </c>
      <c r="AB139" s="3" t="s">
        <v>1328</v>
      </c>
      <c r="AC139" s="3" t="s">
        <v>1327</v>
      </c>
      <c r="AD139" s="3" t="s">
        <v>1328</v>
      </c>
      <c r="AE139" s="3" t="s">
        <v>1329</v>
      </c>
      <c r="AF139" s="3" t="s">
        <v>1330</v>
      </c>
      <c r="AG139" s="3" t="s">
        <v>1331</v>
      </c>
      <c r="AH139" s="3" t="s">
        <v>1347</v>
      </c>
      <c r="AI139" s="3" t="s">
        <v>1360</v>
      </c>
      <c r="AJ139" s="3" t="s">
        <v>1348</v>
      </c>
      <c r="AK139" s="3" t="s">
        <v>2069</v>
      </c>
      <c r="AL139" s="3">
        <v>3.0</v>
      </c>
      <c r="AM139" s="3" t="s">
        <v>1336</v>
      </c>
      <c r="AN139" s="3" t="s">
        <v>1328</v>
      </c>
      <c r="AO139" s="3" t="s">
        <v>1328</v>
      </c>
      <c r="AP139" s="3" t="s">
        <v>1336</v>
      </c>
      <c r="AQ139" s="3" t="s">
        <v>1336</v>
      </c>
      <c r="AR139" s="3" t="s">
        <v>1328</v>
      </c>
      <c r="AS139" s="3" t="s">
        <v>1350</v>
      </c>
      <c r="AT139" s="3" t="s">
        <v>1351</v>
      </c>
      <c r="AU139" s="3" t="s">
        <v>1363</v>
      </c>
      <c r="AV139" s="3" t="s">
        <v>1331</v>
      </c>
      <c r="AW139" s="3" t="s">
        <v>1328</v>
      </c>
      <c r="AX139" s="3" t="s">
        <v>5028</v>
      </c>
    </row>
    <row r="140" ht="12.75" customHeight="1">
      <c r="A140" s="3" t="s">
        <v>3611</v>
      </c>
      <c r="B140" s="3" t="s">
        <v>3612</v>
      </c>
      <c r="C140" s="3" t="s">
        <v>1518</v>
      </c>
      <c r="D140" s="3" t="s">
        <v>2364</v>
      </c>
      <c r="E140" s="3" t="s">
        <v>3614</v>
      </c>
      <c r="F140" s="3" t="s">
        <v>1324</v>
      </c>
      <c r="G140" s="3" t="s">
        <v>3619</v>
      </c>
      <c r="H140" s="3" t="s">
        <v>1519</v>
      </c>
      <c r="I140" s="3" t="s">
        <v>3625</v>
      </c>
      <c r="J140" s="3" t="s">
        <v>3251</v>
      </c>
      <c r="K140" s="3" t="s">
        <v>1324</v>
      </c>
      <c r="L140" s="3" t="s">
        <v>1324</v>
      </c>
      <c r="M140" s="3" t="s">
        <v>1324</v>
      </c>
      <c r="N140" s="3">
        <v>2015.0</v>
      </c>
      <c r="O140" s="3" t="s">
        <v>1520</v>
      </c>
      <c r="P140" s="25" t="str">
        <f>HYPERLINK("http://dx.doi.org/10.1153/9789004284081_018","http://dx.doi.org/10.1153/9789004284081_018")</f>
        <v>http://dx.doi.org/10.1153/9789004284081_018</v>
      </c>
      <c r="Q140" s="3" t="s">
        <v>3628</v>
      </c>
      <c r="R140" s="3" t="s">
        <v>3630</v>
      </c>
      <c r="S140" s="3" t="s">
        <v>2383</v>
      </c>
      <c r="T140" s="3" t="s">
        <v>3632</v>
      </c>
      <c r="U140" s="3" t="s">
        <v>1522</v>
      </c>
      <c r="V140" s="3" t="s">
        <v>1327</v>
      </c>
      <c r="W140" s="3" t="s">
        <v>1328</v>
      </c>
      <c r="X140" s="3" t="s">
        <v>1328</v>
      </c>
      <c r="Y140" s="3" t="s">
        <v>1328</v>
      </c>
      <c r="Z140" s="3" t="s">
        <v>1328</v>
      </c>
      <c r="AA140" s="3" t="s">
        <v>1328</v>
      </c>
      <c r="AB140" s="3" t="s">
        <v>1328</v>
      </c>
      <c r="AC140" s="3" t="s">
        <v>1327</v>
      </c>
      <c r="AD140" s="3" t="s">
        <v>1328</v>
      </c>
      <c r="AE140" s="3" t="s">
        <v>1443</v>
      </c>
      <c r="AF140" s="3" t="s">
        <v>1523</v>
      </c>
      <c r="AG140" s="3" t="s">
        <v>1372</v>
      </c>
      <c r="AH140" s="3" t="s">
        <v>1332</v>
      </c>
      <c r="AI140" s="3" t="s">
        <v>1444</v>
      </c>
      <c r="AJ140" s="3" t="s">
        <v>1445</v>
      </c>
      <c r="AK140" s="3" t="s">
        <v>1349</v>
      </c>
      <c r="AL140" s="3">
        <v>4.0</v>
      </c>
      <c r="AM140" s="3" t="s">
        <v>1328</v>
      </c>
      <c r="AN140" s="3" t="s">
        <v>1328</v>
      </c>
      <c r="AO140" s="3" t="s">
        <v>1328</v>
      </c>
      <c r="AP140" s="3" t="s">
        <v>1336</v>
      </c>
      <c r="AQ140" s="3" t="s">
        <v>1328</v>
      </c>
      <c r="AR140" s="3" t="s">
        <v>1336</v>
      </c>
      <c r="AS140" s="3" t="s">
        <v>1337</v>
      </c>
      <c r="AT140" s="3" t="s">
        <v>1338</v>
      </c>
      <c r="AU140" s="3" t="s">
        <v>1339</v>
      </c>
      <c r="AV140" s="3" t="s">
        <v>1331</v>
      </c>
      <c r="AW140" s="3" t="s">
        <v>1328</v>
      </c>
      <c r="AX140" s="3" t="s">
        <v>5027</v>
      </c>
    </row>
    <row r="141" ht="12.75" customHeight="1">
      <c r="A141" s="3" t="s">
        <v>3611</v>
      </c>
      <c r="B141" s="3" t="s">
        <v>4419</v>
      </c>
      <c r="C141" s="3" t="s">
        <v>1943</v>
      </c>
      <c r="D141" s="3" t="s">
        <v>2364</v>
      </c>
      <c r="E141" s="3" t="s">
        <v>3614</v>
      </c>
      <c r="F141" s="3" t="s">
        <v>4426</v>
      </c>
      <c r="G141" s="3" t="s">
        <v>1324</v>
      </c>
      <c r="H141" s="3" t="s">
        <v>1944</v>
      </c>
      <c r="I141" s="3" t="s">
        <v>3043</v>
      </c>
      <c r="J141" s="3" t="s">
        <v>2487</v>
      </c>
      <c r="K141" s="3" t="s">
        <v>4433</v>
      </c>
      <c r="L141" s="3" t="s">
        <v>1324</v>
      </c>
      <c r="M141" s="3" t="s">
        <v>1324</v>
      </c>
      <c r="N141" s="3">
        <v>2011.0</v>
      </c>
      <c r="O141" s="3" t="s">
        <v>1945</v>
      </c>
      <c r="P141" s="25" t="str">
        <f>HYPERLINK("http://dx.doi.org/10.1016/j.proenv.2011.09.341","http://dx.doi.org/10.1016/j.proenv.2011.09.341")</f>
        <v>http://dx.doi.org/10.1016/j.proenv.2011.09.341</v>
      </c>
      <c r="Q141" s="3" t="s">
        <v>4434</v>
      </c>
      <c r="R141" s="3" t="s">
        <v>3131</v>
      </c>
      <c r="S141" s="3" t="s">
        <v>2383</v>
      </c>
      <c r="T141" s="3" t="s">
        <v>4437</v>
      </c>
      <c r="U141" s="3" t="s">
        <v>1947</v>
      </c>
      <c r="V141" s="3" t="s">
        <v>1371</v>
      </c>
      <c r="W141" s="3" t="s">
        <v>1328</v>
      </c>
      <c r="X141" s="3" t="s">
        <v>1328</v>
      </c>
      <c r="Y141" s="3" t="s">
        <v>1328</v>
      </c>
      <c r="Z141" s="3" t="s">
        <v>1328</v>
      </c>
      <c r="AA141" s="3" t="s">
        <v>1328</v>
      </c>
      <c r="AB141" s="3" t="s">
        <v>1328</v>
      </c>
      <c r="AC141" s="3" t="s">
        <v>1371</v>
      </c>
      <c r="AD141" s="3" t="s">
        <v>1328</v>
      </c>
      <c r="AE141" s="3" t="s">
        <v>1329</v>
      </c>
      <c r="AF141" s="3" t="s">
        <v>1372</v>
      </c>
      <c r="AG141" s="3" t="s">
        <v>1331</v>
      </c>
      <c r="AH141" s="3" t="s">
        <v>1347</v>
      </c>
      <c r="AI141" s="3" t="s">
        <v>1333</v>
      </c>
      <c r="AJ141" s="3" t="s">
        <v>1381</v>
      </c>
      <c r="AK141" s="3" t="s">
        <v>1464</v>
      </c>
      <c r="AL141" s="3">
        <v>3.0</v>
      </c>
      <c r="AM141" s="3" t="s">
        <v>1336</v>
      </c>
      <c r="AN141" s="3" t="s">
        <v>1328</v>
      </c>
      <c r="AO141" s="3" t="s">
        <v>1328</v>
      </c>
      <c r="AP141" s="3" t="s">
        <v>1336</v>
      </c>
      <c r="AQ141" s="3" t="s">
        <v>1336</v>
      </c>
      <c r="AR141" s="3" t="s">
        <v>1328</v>
      </c>
      <c r="AS141" s="3" t="s">
        <v>1350</v>
      </c>
      <c r="AT141" s="3" t="s">
        <v>1351</v>
      </c>
      <c r="AU141" s="3" t="s">
        <v>1363</v>
      </c>
      <c r="AV141" s="3" t="s">
        <v>1331</v>
      </c>
      <c r="AW141" s="3" t="s">
        <v>1328</v>
      </c>
      <c r="AX141" s="3" t="s">
        <v>5027</v>
      </c>
    </row>
    <row r="142" ht="12.75" customHeight="1">
      <c r="A142" s="3" t="s">
        <v>26</v>
      </c>
      <c r="B142" s="3" t="s">
        <v>4108</v>
      </c>
      <c r="C142" s="3" t="s">
        <v>1466</v>
      </c>
      <c r="D142" s="3" t="s">
        <v>2364</v>
      </c>
      <c r="E142" s="3" t="s">
        <v>30</v>
      </c>
      <c r="F142" s="3" t="s">
        <v>1324</v>
      </c>
      <c r="G142" s="3" t="s">
        <v>1324</v>
      </c>
      <c r="H142" s="3" t="s">
        <v>1467</v>
      </c>
      <c r="I142" s="3" t="s">
        <v>2423</v>
      </c>
      <c r="J142" s="3" t="s">
        <v>2424</v>
      </c>
      <c r="K142" s="3" t="s">
        <v>365</v>
      </c>
      <c r="L142" s="3" t="s">
        <v>2427</v>
      </c>
      <c r="M142" s="3" t="s">
        <v>4116</v>
      </c>
      <c r="N142" s="3">
        <v>2013.0</v>
      </c>
      <c r="O142" s="3" t="s">
        <v>1468</v>
      </c>
      <c r="P142" s="25" t="str">
        <f>HYPERLINK("http://dx.doi.org/10.1371/journal.pone.0050719","http://dx.doi.org/10.1371/journal.pone.0050719")</f>
        <v>http://dx.doi.org/10.1371/journal.pone.0050719</v>
      </c>
      <c r="Q142" s="3" t="s">
        <v>42</v>
      </c>
      <c r="R142" s="3" t="s">
        <v>2430</v>
      </c>
      <c r="S142" s="3" t="s">
        <v>2383</v>
      </c>
      <c r="T142" s="3" t="s">
        <v>4119</v>
      </c>
      <c r="U142" s="3" t="s">
        <v>1402</v>
      </c>
      <c r="V142" s="3" t="s">
        <v>1470</v>
      </c>
      <c r="W142" s="3" t="s">
        <v>1328</v>
      </c>
      <c r="X142" s="3" t="s">
        <v>1328</v>
      </c>
      <c r="Y142" s="3" t="s">
        <v>1328</v>
      </c>
      <c r="Z142" s="3" t="s">
        <v>1328</v>
      </c>
      <c r="AA142" s="3" t="s">
        <v>1328</v>
      </c>
      <c r="AB142" s="3" t="s">
        <v>1328</v>
      </c>
      <c r="AC142" s="3" t="s">
        <v>1470</v>
      </c>
      <c r="AD142" s="3" t="s">
        <v>1328</v>
      </c>
      <c r="AE142" s="3" t="s">
        <v>1443</v>
      </c>
      <c r="AF142" s="3" t="s">
        <v>1372</v>
      </c>
      <c r="AG142" s="3" t="s">
        <v>1331</v>
      </c>
      <c r="AH142" s="3" t="s">
        <v>1347</v>
      </c>
      <c r="AI142" s="3" t="s">
        <v>1360</v>
      </c>
      <c r="AJ142" s="3" t="s">
        <v>1381</v>
      </c>
      <c r="AK142" s="3" t="s">
        <v>1349</v>
      </c>
      <c r="AL142" s="3">
        <v>5.0</v>
      </c>
      <c r="AM142" s="3" t="s">
        <v>1328</v>
      </c>
      <c r="AN142" s="3" t="s">
        <v>1328</v>
      </c>
      <c r="AO142" s="3" t="s">
        <v>1328</v>
      </c>
      <c r="AP142" s="3" t="s">
        <v>1336</v>
      </c>
      <c r="AQ142" s="3" t="s">
        <v>1328</v>
      </c>
      <c r="AR142" s="3" t="s">
        <v>1328</v>
      </c>
      <c r="AS142" s="3" t="s">
        <v>1350</v>
      </c>
      <c r="AT142" s="3" t="s">
        <v>1338</v>
      </c>
      <c r="AU142" s="3" t="s">
        <v>1339</v>
      </c>
      <c r="AV142" s="3" t="s">
        <v>1331</v>
      </c>
      <c r="AW142" s="3" t="s">
        <v>1328</v>
      </c>
      <c r="AX142" s="3" t="s">
        <v>5028</v>
      </c>
    </row>
    <row r="143" ht="12.75" customHeight="1">
      <c r="A143" s="3" t="s">
        <v>26</v>
      </c>
      <c r="B143" s="3" t="s">
        <v>2674</v>
      </c>
      <c r="C143" s="3" t="s">
        <v>1506</v>
      </c>
      <c r="D143" s="3" t="s">
        <v>2364</v>
      </c>
      <c r="E143" s="3" t="s">
        <v>30</v>
      </c>
      <c r="F143" s="3" t="s">
        <v>2675</v>
      </c>
      <c r="G143" s="3" t="s">
        <v>2676</v>
      </c>
      <c r="H143" s="3" t="s">
        <v>2677</v>
      </c>
      <c r="I143" s="3" t="s">
        <v>2399</v>
      </c>
      <c r="J143" s="3" t="s">
        <v>2400</v>
      </c>
      <c r="K143" s="3" t="s">
        <v>2688</v>
      </c>
      <c r="L143" s="3" t="s">
        <v>2689</v>
      </c>
      <c r="M143" s="3" t="s">
        <v>2690</v>
      </c>
      <c r="N143" s="3">
        <v>2018.0</v>
      </c>
      <c r="O143" s="3" t="s">
        <v>1508</v>
      </c>
      <c r="P143" s="25" t="str">
        <f>HYPERLINK("http://dx.doi.org/10.1186/s40657-018-0106-9","http://dx.doi.org/10.1186/s40657-018-0106-9")</f>
        <v>http://dx.doi.org/10.1186/s40657-018-0106-9</v>
      </c>
      <c r="Q143" s="3" t="s">
        <v>273</v>
      </c>
      <c r="R143" s="3" t="s">
        <v>2691</v>
      </c>
      <c r="S143" s="3" t="s">
        <v>2383</v>
      </c>
      <c r="T143" s="3" t="s">
        <v>2693</v>
      </c>
      <c r="U143" s="3" t="s">
        <v>1326</v>
      </c>
      <c r="V143" s="3" t="s">
        <v>1327</v>
      </c>
      <c r="W143" s="3" t="s">
        <v>1328</v>
      </c>
      <c r="X143" s="3" t="s">
        <v>1328</v>
      </c>
      <c r="Y143" s="3" t="s">
        <v>1328</v>
      </c>
      <c r="Z143" s="3" t="s">
        <v>1328</v>
      </c>
      <c r="AA143" s="3" t="s">
        <v>1328</v>
      </c>
      <c r="AB143" s="3" t="s">
        <v>1328</v>
      </c>
      <c r="AC143" s="3" t="s">
        <v>1327</v>
      </c>
      <c r="AD143" s="3" t="s">
        <v>1328</v>
      </c>
      <c r="AE143" s="3" t="s">
        <v>1443</v>
      </c>
      <c r="AF143" s="3" t="s">
        <v>1330</v>
      </c>
      <c r="AG143" s="3" t="s">
        <v>1331</v>
      </c>
      <c r="AH143" s="3" t="s">
        <v>1347</v>
      </c>
      <c r="AI143" s="3" t="s">
        <v>1360</v>
      </c>
      <c r="AJ143" s="3" t="s">
        <v>1381</v>
      </c>
      <c r="AK143" s="3" t="s">
        <v>1335</v>
      </c>
      <c r="AL143" s="3">
        <v>4.0</v>
      </c>
      <c r="AM143" s="3" t="s">
        <v>1336</v>
      </c>
      <c r="AN143" s="3" t="s">
        <v>1328</v>
      </c>
      <c r="AO143" s="3" t="s">
        <v>1328</v>
      </c>
      <c r="AP143" s="3" t="s">
        <v>1336</v>
      </c>
      <c r="AQ143" s="3" t="s">
        <v>1328</v>
      </c>
      <c r="AR143" s="3" t="s">
        <v>1328</v>
      </c>
      <c r="AS143" s="3" t="s">
        <v>1395</v>
      </c>
      <c r="AT143" s="3" t="s">
        <v>1351</v>
      </c>
      <c r="AU143" s="3" t="s">
        <v>1363</v>
      </c>
      <c r="AV143" s="3" t="s">
        <v>1331</v>
      </c>
      <c r="AW143" s="3" t="s">
        <v>1328</v>
      </c>
      <c r="AX143" s="3" t="s">
        <v>5028</v>
      </c>
    </row>
    <row r="144" ht="12.75" customHeight="1">
      <c r="A144" s="3" t="s">
        <v>26</v>
      </c>
      <c r="B144" s="3" t="s">
        <v>1524</v>
      </c>
      <c r="C144" s="3" t="s">
        <v>1526</v>
      </c>
      <c r="D144" s="3" t="s">
        <v>2364</v>
      </c>
      <c r="E144" s="3" t="s">
        <v>30</v>
      </c>
      <c r="F144" s="3" t="s">
        <v>1324</v>
      </c>
      <c r="G144" s="3" t="s">
        <v>4907</v>
      </c>
      <c r="H144" s="3" t="s">
        <v>1527</v>
      </c>
      <c r="I144" s="3" t="s">
        <v>3085</v>
      </c>
      <c r="J144" s="3" t="s">
        <v>3086</v>
      </c>
      <c r="K144" s="3" t="s">
        <v>4916</v>
      </c>
      <c r="L144" s="3" t="s">
        <v>4917</v>
      </c>
      <c r="M144" s="3" t="s">
        <v>2632</v>
      </c>
      <c r="N144" s="3">
        <v>2005.0</v>
      </c>
      <c r="O144" s="3" t="s">
        <v>1528</v>
      </c>
      <c r="P144" s="25" t="str">
        <f>HYPERLINK("http://dx.doi.org/10.1139/F05-061","http://dx.doi.org/10.1139/F05-061")</f>
        <v>http://dx.doi.org/10.1139/F05-061</v>
      </c>
      <c r="Q144" s="3" t="s">
        <v>4918</v>
      </c>
      <c r="R144" s="3" t="s">
        <v>4918</v>
      </c>
      <c r="S144" s="3" t="s">
        <v>2383</v>
      </c>
      <c r="T144" s="3" t="s">
        <v>4920</v>
      </c>
      <c r="U144" s="3" t="s">
        <v>1410</v>
      </c>
      <c r="V144" s="3" t="s">
        <v>1371</v>
      </c>
      <c r="W144" s="3" t="s">
        <v>1328</v>
      </c>
      <c r="X144" s="3" t="s">
        <v>1328</v>
      </c>
      <c r="Y144" s="3" t="s">
        <v>1328</v>
      </c>
      <c r="Z144" s="3" t="s">
        <v>1328</v>
      </c>
      <c r="AA144" s="3" t="s">
        <v>1328</v>
      </c>
      <c r="AB144" s="3" t="s">
        <v>1328</v>
      </c>
      <c r="AC144" s="3" t="s">
        <v>1371</v>
      </c>
      <c r="AD144" s="3" t="s">
        <v>1328</v>
      </c>
      <c r="AE144" s="3" t="s">
        <v>1329</v>
      </c>
      <c r="AF144" s="3" t="s">
        <v>1372</v>
      </c>
      <c r="AG144" s="3" t="s">
        <v>1331</v>
      </c>
      <c r="AH144" s="3" t="s">
        <v>1347</v>
      </c>
      <c r="AI144" s="3" t="s">
        <v>1333</v>
      </c>
      <c r="AJ144" s="3" t="s">
        <v>1348</v>
      </c>
      <c r="AK144" s="3" t="s">
        <v>1530</v>
      </c>
      <c r="AL144" s="3">
        <v>4.0</v>
      </c>
      <c r="AM144" s="3" t="s">
        <v>1336</v>
      </c>
      <c r="AN144" s="3" t="s">
        <v>1328</v>
      </c>
      <c r="AO144" s="3" t="s">
        <v>1328</v>
      </c>
      <c r="AP144" s="3" t="s">
        <v>1328</v>
      </c>
      <c r="AQ144" s="3" t="s">
        <v>1328</v>
      </c>
      <c r="AR144" s="3" t="s">
        <v>1336</v>
      </c>
      <c r="AS144" s="3" t="s">
        <v>1350</v>
      </c>
      <c r="AT144" s="3" t="s">
        <v>1351</v>
      </c>
      <c r="AU144" s="3" t="s">
        <v>1339</v>
      </c>
      <c r="AV144" s="3" t="s">
        <v>1374</v>
      </c>
      <c r="AW144" s="3" t="s">
        <v>1328</v>
      </c>
      <c r="AX144" s="3" t="s">
        <v>5027</v>
      </c>
    </row>
    <row r="145" ht="12.75" customHeight="1">
      <c r="A145" s="3" t="s">
        <v>26</v>
      </c>
      <c r="B145" s="3" t="s">
        <v>3073</v>
      </c>
      <c r="C145" s="3" t="s">
        <v>1533</v>
      </c>
      <c r="D145" s="3" t="s">
        <v>2364</v>
      </c>
      <c r="E145" s="3" t="s">
        <v>30</v>
      </c>
      <c r="F145" s="3" t="s">
        <v>3074</v>
      </c>
      <c r="G145" s="3" t="s">
        <v>3075</v>
      </c>
      <c r="H145" s="3" t="s">
        <v>1534</v>
      </c>
      <c r="I145" s="3" t="s">
        <v>3085</v>
      </c>
      <c r="J145" s="3" t="s">
        <v>3086</v>
      </c>
      <c r="K145" s="3" t="s">
        <v>3090</v>
      </c>
      <c r="L145" s="3" t="s">
        <v>3091</v>
      </c>
      <c r="M145" s="3" t="s">
        <v>2632</v>
      </c>
      <c r="N145" s="3">
        <v>2017.0</v>
      </c>
      <c r="O145" s="3" t="s">
        <v>1535</v>
      </c>
      <c r="P145" s="25" t="str">
        <f>HYPERLINK("http://dx.doi.org/10.1139/er-2016-0085","http://dx.doi.org/10.1139/er-2016-0085")</f>
        <v>http://dx.doi.org/10.1139/er-2016-0085</v>
      </c>
      <c r="Q145" s="3" t="s">
        <v>68</v>
      </c>
      <c r="R145" s="3" t="s">
        <v>2472</v>
      </c>
      <c r="S145" s="3" t="s">
        <v>2383</v>
      </c>
      <c r="T145" s="3" t="s">
        <v>3093</v>
      </c>
      <c r="U145" s="3" t="s">
        <v>1482</v>
      </c>
      <c r="V145" s="3" t="s">
        <v>1470</v>
      </c>
      <c r="W145" s="3" t="s">
        <v>1328</v>
      </c>
      <c r="X145" s="3" t="s">
        <v>1328</v>
      </c>
      <c r="Y145" s="3" t="s">
        <v>1328</v>
      </c>
      <c r="Z145" s="3" t="s">
        <v>1328</v>
      </c>
      <c r="AA145" s="3" t="s">
        <v>1328</v>
      </c>
      <c r="AB145" s="3" t="s">
        <v>1328</v>
      </c>
      <c r="AC145" s="3" t="s">
        <v>1470</v>
      </c>
      <c r="AD145" s="3" t="s">
        <v>1328</v>
      </c>
      <c r="AE145" s="3" t="s">
        <v>1443</v>
      </c>
      <c r="AF145" s="3" t="s">
        <v>1330</v>
      </c>
      <c r="AG145" s="3" t="s">
        <v>1331</v>
      </c>
      <c r="AH145" s="3" t="s">
        <v>1537</v>
      </c>
      <c r="AI145" s="3" t="s">
        <v>1360</v>
      </c>
      <c r="AJ145" s="3" t="s">
        <v>1538</v>
      </c>
      <c r="AK145" s="3" t="s">
        <v>1446</v>
      </c>
      <c r="AL145" s="3">
        <v>5.0</v>
      </c>
      <c r="AM145" s="3" t="s">
        <v>1328</v>
      </c>
      <c r="AN145" s="3" t="s">
        <v>1328</v>
      </c>
      <c r="AO145" s="3" t="s">
        <v>1336</v>
      </c>
      <c r="AP145" s="3" t="s">
        <v>1328</v>
      </c>
      <c r="AQ145" s="3" t="s">
        <v>1328</v>
      </c>
      <c r="AR145" s="3" t="s">
        <v>1328</v>
      </c>
      <c r="AS145" s="3" t="s">
        <v>1395</v>
      </c>
      <c r="AT145" s="3" t="s">
        <v>1338</v>
      </c>
      <c r="AU145" s="3" t="s">
        <v>1339</v>
      </c>
      <c r="AV145" s="3" t="s">
        <v>1331</v>
      </c>
      <c r="AW145" s="3" t="s">
        <v>1328</v>
      </c>
      <c r="AX145" s="3" t="s">
        <v>5028</v>
      </c>
    </row>
    <row r="146" ht="12.75" customHeight="1">
      <c r="A146" s="3" t="s">
        <v>26</v>
      </c>
      <c r="B146" s="3" t="s">
        <v>4120</v>
      </c>
      <c r="C146" s="3" t="s">
        <v>1570</v>
      </c>
      <c r="D146" s="3" t="s">
        <v>2364</v>
      </c>
      <c r="E146" s="3" t="s">
        <v>30</v>
      </c>
      <c r="F146" s="3" t="s">
        <v>4121</v>
      </c>
      <c r="G146" s="3" t="s">
        <v>4122</v>
      </c>
      <c r="H146" s="3" t="s">
        <v>1571</v>
      </c>
      <c r="I146" s="3" t="s">
        <v>2464</v>
      </c>
      <c r="J146" s="3" t="s">
        <v>2465</v>
      </c>
      <c r="K146" s="3" t="s">
        <v>4130</v>
      </c>
      <c r="L146" s="3" t="s">
        <v>4131</v>
      </c>
      <c r="M146" s="3" t="s">
        <v>3208</v>
      </c>
      <c r="N146" s="3">
        <v>2013.0</v>
      </c>
      <c r="O146" s="3" t="s">
        <v>1572</v>
      </c>
      <c r="P146" s="25" t="str">
        <f>HYPERLINK("http://dx.doi.org/10.1111/j.1752-4598.2012.00186.x","http://dx.doi.org/10.1111/j.1752-4598.2012.00186.x")</f>
        <v>http://dx.doi.org/10.1111/j.1752-4598.2012.00186.x</v>
      </c>
      <c r="Q146" s="3" t="s">
        <v>4132</v>
      </c>
      <c r="R146" s="3" t="s">
        <v>4133</v>
      </c>
      <c r="S146" s="3" t="s">
        <v>2383</v>
      </c>
      <c r="T146" s="3" t="s">
        <v>4135</v>
      </c>
      <c r="U146" s="3" t="s">
        <v>1482</v>
      </c>
      <c r="V146" s="3" t="s">
        <v>1417</v>
      </c>
      <c r="W146" s="3" t="s">
        <v>1328</v>
      </c>
      <c r="X146" s="3" t="s">
        <v>1328</v>
      </c>
      <c r="Y146" s="3" t="s">
        <v>1328</v>
      </c>
      <c r="Z146" s="3" t="s">
        <v>1328</v>
      </c>
      <c r="AA146" s="3" t="s">
        <v>1328</v>
      </c>
      <c r="AB146" s="3" t="s">
        <v>1328</v>
      </c>
      <c r="AC146" s="3" t="s">
        <v>1417</v>
      </c>
      <c r="AD146" s="3" t="s">
        <v>1328</v>
      </c>
      <c r="AE146" s="3" t="s">
        <v>1443</v>
      </c>
      <c r="AF146" s="3" t="s">
        <v>1331</v>
      </c>
      <c r="AG146" s="3" t="s">
        <v>1372</v>
      </c>
      <c r="AH146" s="3" t="s">
        <v>1337</v>
      </c>
      <c r="AI146" s="3" t="s">
        <v>1360</v>
      </c>
      <c r="AJ146" s="3" t="s">
        <v>1361</v>
      </c>
      <c r="AK146" s="3" t="s">
        <v>1362</v>
      </c>
      <c r="AL146" s="3">
        <v>5.0</v>
      </c>
      <c r="AM146" s="3" t="s">
        <v>1328</v>
      </c>
      <c r="AN146" s="3" t="s">
        <v>1328</v>
      </c>
      <c r="AO146" s="3" t="s">
        <v>1328</v>
      </c>
      <c r="AP146" s="3" t="s">
        <v>1328</v>
      </c>
      <c r="AQ146" s="3" t="s">
        <v>1328</v>
      </c>
      <c r="AR146" s="3" t="s">
        <v>1336</v>
      </c>
      <c r="AS146" s="3" t="s">
        <v>1337</v>
      </c>
      <c r="AT146" s="3" t="s">
        <v>1338</v>
      </c>
      <c r="AU146" s="3" t="s">
        <v>1339</v>
      </c>
      <c r="AV146" s="3" t="s">
        <v>1331</v>
      </c>
      <c r="AW146" s="3" t="s">
        <v>1328</v>
      </c>
      <c r="AX146" s="3" t="s">
        <v>5027</v>
      </c>
    </row>
    <row r="147" ht="12.75" customHeight="1">
      <c r="A147" s="3" t="s">
        <v>26</v>
      </c>
      <c r="B147" s="3" t="s">
        <v>4622</v>
      </c>
      <c r="C147" s="3" t="s">
        <v>1588</v>
      </c>
      <c r="D147" s="3" t="s">
        <v>2364</v>
      </c>
      <c r="E147" s="3" t="s">
        <v>30</v>
      </c>
      <c r="F147" s="3" t="s">
        <v>4623</v>
      </c>
      <c r="G147" s="3" t="s">
        <v>4624</v>
      </c>
      <c r="H147" s="3" t="s">
        <v>1589</v>
      </c>
      <c r="I147" s="3" t="s">
        <v>2464</v>
      </c>
      <c r="J147" s="3" t="s">
        <v>2465</v>
      </c>
      <c r="K147" s="3" t="s">
        <v>3433</v>
      </c>
      <c r="L147" s="3" t="s">
        <v>3434</v>
      </c>
      <c r="M147" s="3" t="s">
        <v>2908</v>
      </c>
      <c r="N147" s="3">
        <v>2009.0</v>
      </c>
      <c r="O147" s="3" t="s">
        <v>1590</v>
      </c>
      <c r="P147" s="25" t="str">
        <f>HYPERLINK("http://dx.doi.org/10.1111/j.1523-1739.2009.01336.x","http://dx.doi.org/10.1111/j.1523-1739.2009.01336.x")</f>
        <v>http://dx.doi.org/10.1111/j.1523-1739.2009.01336.x</v>
      </c>
      <c r="Q147" s="3" t="s">
        <v>255</v>
      </c>
      <c r="R147" s="3" t="s">
        <v>2577</v>
      </c>
      <c r="S147" s="3" t="s">
        <v>2383</v>
      </c>
      <c r="T147" s="3" t="s">
        <v>4634</v>
      </c>
      <c r="U147" s="3" t="s">
        <v>1326</v>
      </c>
      <c r="V147" s="3" t="s">
        <v>1327</v>
      </c>
      <c r="W147" s="3" t="s">
        <v>1328</v>
      </c>
      <c r="X147" s="3" t="s">
        <v>1328</v>
      </c>
      <c r="Y147" s="3" t="s">
        <v>1328</v>
      </c>
      <c r="Z147" s="3" t="s">
        <v>1328</v>
      </c>
      <c r="AA147" s="3" t="s">
        <v>1328</v>
      </c>
      <c r="AB147" s="3" t="s">
        <v>1328</v>
      </c>
      <c r="AC147" s="3" t="s">
        <v>1327</v>
      </c>
      <c r="AD147" s="3" t="s">
        <v>1328</v>
      </c>
      <c r="AE147" s="3" t="s">
        <v>1329</v>
      </c>
      <c r="AF147" s="3" t="s">
        <v>1330</v>
      </c>
      <c r="AG147" s="3" t="s">
        <v>1331</v>
      </c>
      <c r="AH147" s="3" t="s">
        <v>1347</v>
      </c>
      <c r="AI147" s="3" t="s">
        <v>1444</v>
      </c>
      <c r="AJ147" s="3" t="s">
        <v>1476</v>
      </c>
      <c r="AK147" s="3" t="s">
        <v>1446</v>
      </c>
      <c r="AL147" s="3">
        <v>6.0</v>
      </c>
      <c r="AM147" s="3" t="s">
        <v>1328</v>
      </c>
      <c r="AN147" s="3" t="s">
        <v>1328</v>
      </c>
      <c r="AO147" s="3" t="s">
        <v>1328</v>
      </c>
      <c r="AP147" s="3" t="s">
        <v>1328</v>
      </c>
      <c r="AQ147" s="3" t="s">
        <v>1328</v>
      </c>
      <c r="AR147" s="3" t="s">
        <v>1328</v>
      </c>
      <c r="AS147" s="3" t="s">
        <v>1395</v>
      </c>
      <c r="AT147" s="3" t="s">
        <v>1351</v>
      </c>
      <c r="AU147" s="3" t="s">
        <v>1363</v>
      </c>
      <c r="AV147" s="3" t="s">
        <v>1374</v>
      </c>
      <c r="AW147" s="3" t="s">
        <v>1328</v>
      </c>
      <c r="AX147" s="3" t="s">
        <v>5028</v>
      </c>
    </row>
    <row r="148" ht="12.75" customHeight="1">
      <c r="A148" s="3" t="s">
        <v>26</v>
      </c>
      <c r="B148" s="3" t="s">
        <v>4472</v>
      </c>
      <c r="C148" s="3" t="s">
        <v>1720</v>
      </c>
      <c r="D148" s="3" t="s">
        <v>2364</v>
      </c>
      <c r="E148" s="3" t="s">
        <v>30</v>
      </c>
      <c r="F148" s="3" t="s">
        <v>4473</v>
      </c>
      <c r="G148" s="3" t="s">
        <v>4474</v>
      </c>
      <c r="H148" s="3" t="s">
        <v>1721</v>
      </c>
      <c r="I148" s="3" t="s">
        <v>4373</v>
      </c>
      <c r="J148" s="3" t="s">
        <v>2400</v>
      </c>
      <c r="K148" s="3" t="s">
        <v>4377</v>
      </c>
      <c r="L148" s="3" t="s">
        <v>4378</v>
      </c>
      <c r="M148" s="3" t="s">
        <v>4481</v>
      </c>
      <c r="N148" s="3">
        <v>2010.0</v>
      </c>
      <c r="O148" s="3" t="s">
        <v>1722</v>
      </c>
      <c r="P148" s="25" t="str">
        <f>HYPERLINK("http://dx.doi.org/10.1098/rstb.2010.0273","http://dx.doi.org/10.1098/rstb.2010.0273")</f>
        <v>http://dx.doi.org/10.1098/rstb.2010.0273</v>
      </c>
      <c r="Q148" s="3" t="s">
        <v>188</v>
      </c>
      <c r="R148" s="3" t="s">
        <v>3721</v>
      </c>
      <c r="S148" s="3" t="s">
        <v>2383</v>
      </c>
      <c r="T148" s="3" t="s">
        <v>4483</v>
      </c>
      <c r="U148" s="3" t="s">
        <v>1482</v>
      </c>
      <c r="V148" s="3" t="s">
        <v>1417</v>
      </c>
      <c r="W148" s="3" t="s">
        <v>1328</v>
      </c>
      <c r="X148" s="3" t="s">
        <v>1328</v>
      </c>
      <c r="Y148" s="3" t="s">
        <v>1328</v>
      </c>
      <c r="Z148" s="3" t="s">
        <v>1328</v>
      </c>
      <c r="AA148" s="3" t="s">
        <v>1328</v>
      </c>
      <c r="AB148" s="3" t="s">
        <v>1328</v>
      </c>
      <c r="AC148" s="3" t="s">
        <v>1417</v>
      </c>
      <c r="AD148" s="3" t="s">
        <v>1328</v>
      </c>
      <c r="AE148" s="3" t="s">
        <v>1443</v>
      </c>
      <c r="AF148" s="3" t="s">
        <v>1331</v>
      </c>
      <c r="AG148" s="3" t="s">
        <v>1372</v>
      </c>
      <c r="AH148" s="3" t="s">
        <v>1337</v>
      </c>
      <c r="AI148" s="3" t="s">
        <v>1444</v>
      </c>
      <c r="AJ148" s="3" t="s">
        <v>1476</v>
      </c>
      <c r="AK148" s="3" t="s">
        <v>1362</v>
      </c>
      <c r="AL148" s="3">
        <v>4.0</v>
      </c>
      <c r="AM148" s="3" t="s">
        <v>1328</v>
      </c>
      <c r="AN148" s="3" t="s">
        <v>1328</v>
      </c>
      <c r="AO148" s="3" t="s">
        <v>1328</v>
      </c>
      <c r="AP148" s="3" t="s">
        <v>1328</v>
      </c>
      <c r="AQ148" s="3" t="s">
        <v>1336</v>
      </c>
      <c r="AR148" s="3" t="s">
        <v>1336</v>
      </c>
      <c r="AS148" s="3" t="s">
        <v>1337</v>
      </c>
      <c r="AT148" s="3" t="s">
        <v>1338</v>
      </c>
      <c r="AU148" s="3" t="s">
        <v>1339</v>
      </c>
      <c r="AV148" s="3" t="s">
        <v>1331</v>
      </c>
      <c r="AW148" s="3" t="s">
        <v>1328</v>
      </c>
      <c r="AX148" s="3" t="s">
        <v>5027</v>
      </c>
    </row>
    <row r="149" ht="12.75" customHeight="1">
      <c r="A149" s="3" t="s">
        <v>26</v>
      </c>
      <c r="B149" s="3" t="s">
        <v>4663</v>
      </c>
      <c r="C149" s="3" t="s">
        <v>1819</v>
      </c>
      <c r="D149" s="3" t="s">
        <v>2364</v>
      </c>
      <c r="E149" s="3" t="s">
        <v>30</v>
      </c>
      <c r="F149" s="3" t="s">
        <v>1324</v>
      </c>
      <c r="G149" s="3" t="s">
        <v>4664</v>
      </c>
      <c r="H149" s="3" t="s">
        <v>1820</v>
      </c>
      <c r="I149" s="3" t="s">
        <v>4266</v>
      </c>
      <c r="J149" s="3" t="s">
        <v>2792</v>
      </c>
      <c r="K149" s="3" t="s">
        <v>4270</v>
      </c>
      <c r="L149" s="3" t="s">
        <v>4271</v>
      </c>
      <c r="M149" s="3" t="s">
        <v>4674</v>
      </c>
      <c r="N149" s="3">
        <v>2009.0</v>
      </c>
      <c r="O149" s="3" t="s">
        <v>1821</v>
      </c>
      <c r="P149" s="25" t="str">
        <f>HYPERLINK("http://dx.doi.org/10.1029/2008JG000911","http://dx.doi.org/10.1029/2008JG000911")</f>
        <v>http://dx.doi.org/10.1029/2008JG000911</v>
      </c>
      <c r="Q149" s="3" t="s">
        <v>1266</v>
      </c>
      <c r="R149" s="3" t="s">
        <v>3113</v>
      </c>
      <c r="S149" s="3" t="s">
        <v>2383</v>
      </c>
      <c r="T149" s="3" t="s">
        <v>4677</v>
      </c>
      <c r="U149" s="3" t="s">
        <v>1358</v>
      </c>
      <c r="V149" s="3" t="s">
        <v>1417</v>
      </c>
      <c r="W149" s="3" t="s">
        <v>1328</v>
      </c>
      <c r="X149" s="3" t="s">
        <v>1328</v>
      </c>
      <c r="Y149" s="3" t="s">
        <v>1328</v>
      </c>
      <c r="Z149" s="3" t="s">
        <v>1328</v>
      </c>
      <c r="AA149" s="3" t="s">
        <v>1328</v>
      </c>
      <c r="AB149" s="3" t="s">
        <v>1328</v>
      </c>
      <c r="AC149" s="3" t="s">
        <v>1417</v>
      </c>
      <c r="AD149" s="3" t="s">
        <v>1328</v>
      </c>
      <c r="AE149" s="3" t="s">
        <v>1443</v>
      </c>
      <c r="AF149" s="3" t="s">
        <v>1331</v>
      </c>
      <c r="AG149" s="3" t="s">
        <v>1330</v>
      </c>
      <c r="AH149" s="3" t="s">
        <v>1337</v>
      </c>
      <c r="AI149" s="3" t="s">
        <v>1444</v>
      </c>
      <c r="AJ149" s="3" t="s">
        <v>1445</v>
      </c>
      <c r="AK149" s="3" t="s">
        <v>1362</v>
      </c>
      <c r="AL149" s="3">
        <v>6.0</v>
      </c>
      <c r="AM149" s="3" t="s">
        <v>1328</v>
      </c>
      <c r="AN149" s="3" t="s">
        <v>1328</v>
      </c>
      <c r="AO149" s="3" t="s">
        <v>1328</v>
      </c>
      <c r="AP149" s="3" t="s">
        <v>1328</v>
      </c>
      <c r="AQ149" s="3" t="s">
        <v>1328</v>
      </c>
      <c r="AR149" s="3" t="s">
        <v>1328</v>
      </c>
      <c r="AS149" s="3" t="s">
        <v>1337</v>
      </c>
      <c r="AT149" s="3" t="s">
        <v>1338</v>
      </c>
      <c r="AU149" s="3" t="s">
        <v>1339</v>
      </c>
      <c r="AV149" s="3" t="s">
        <v>1331</v>
      </c>
      <c r="AW149" s="3" t="s">
        <v>1328</v>
      </c>
      <c r="AX149" s="3" t="s">
        <v>5027</v>
      </c>
    </row>
    <row r="150" ht="12.75" customHeight="1">
      <c r="A150" s="3" t="s">
        <v>26</v>
      </c>
      <c r="B150" s="3" t="s">
        <v>1836</v>
      </c>
      <c r="C150" s="3" t="s">
        <v>1838</v>
      </c>
      <c r="D150" s="3" t="s">
        <v>2364</v>
      </c>
      <c r="E150" s="3" t="s">
        <v>30</v>
      </c>
      <c r="F150" s="3" t="s">
        <v>4978</v>
      </c>
      <c r="G150" s="3" t="s">
        <v>4979</v>
      </c>
      <c r="H150" s="3" t="s">
        <v>1839</v>
      </c>
      <c r="I150" s="3" t="s">
        <v>3250</v>
      </c>
      <c r="J150" s="3" t="s">
        <v>3872</v>
      </c>
      <c r="K150" s="3" t="s">
        <v>4985</v>
      </c>
      <c r="L150" s="3" t="s">
        <v>4986</v>
      </c>
      <c r="M150" s="3" t="s">
        <v>3518</v>
      </c>
      <c r="N150" s="3">
        <v>1997.0</v>
      </c>
      <c r="O150" s="3" t="s">
        <v>1840</v>
      </c>
      <c r="P150" s="25" t="str">
        <f>HYPERLINK("http://dx.doi.org/10.1023/A:1007320932349","http://dx.doi.org/10.1023/A:1007320932349")</f>
        <v>http://dx.doi.org/10.1023/A:1007320932349</v>
      </c>
      <c r="Q150" s="3" t="s">
        <v>130</v>
      </c>
      <c r="R150" s="3" t="s">
        <v>2516</v>
      </c>
      <c r="S150" s="3" t="s">
        <v>2383</v>
      </c>
      <c r="T150" s="3" t="s">
        <v>4988</v>
      </c>
      <c r="U150" s="3" t="s">
        <v>1522</v>
      </c>
      <c r="V150" s="3" t="s">
        <v>1417</v>
      </c>
      <c r="W150" s="3" t="s">
        <v>1328</v>
      </c>
      <c r="X150" s="3" t="s">
        <v>1328</v>
      </c>
      <c r="Y150" s="3" t="s">
        <v>1328</v>
      </c>
      <c r="Z150" s="3" t="s">
        <v>1328</v>
      </c>
      <c r="AA150" s="3" t="s">
        <v>1328</v>
      </c>
      <c r="AB150" s="3" t="s">
        <v>1328</v>
      </c>
      <c r="AC150" s="3" t="s">
        <v>1417</v>
      </c>
      <c r="AD150" s="3" t="s">
        <v>1328</v>
      </c>
      <c r="AE150" s="3" t="s">
        <v>1443</v>
      </c>
      <c r="AF150" s="3" t="s">
        <v>1331</v>
      </c>
      <c r="AG150" s="3" t="s">
        <v>1330</v>
      </c>
      <c r="AH150" s="3" t="s">
        <v>1337</v>
      </c>
      <c r="AI150" s="3" t="s">
        <v>1660</v>
      </c>
      <c r="AJ150" s="3" t="s">
        <v>1334</v>
      </c>
      <c r="AK150" s="3" t="s">
        <v>1530</v>
      </c>
      <c r="AL150" s="3">
        <v>5.0</v>
      </c>
      <c r="AM150" s="3" t="s">
        <v>1328</v>
      </c>
      <c r="AN150" s="3" t="s">
        <v>1328</v>
      </c>
      <c r="AO150" s="3" t="s">
        <v>1328</v>
      </c>
      <c r="AP150" s="3" t="s">
        <v>1328</v>
      </c>
      <c r="AQ150" s="3" t="s">
        <v>1328</v>
      </c>
      <c r="AR150" s="3" t="s">
        <v>1336</v>
      </c>
      <c r="AS150" s="3" t="s">
        <v>1337</v>
      </c>
      <c r="AT150" s="3" t="s">
        <v>1338</v>
      </c>
      <c r="AU150" s="3" t="s">
        <v>1339</v>
      </c>
      <c r="AV150" s="3" t="s">
        <v>1331</v>
      </c>
      <c r="AW150" s="3" t="s">
        <v>1328</v>
      </c>
      <c r="AX150" s="3" t="s">
        <v>5027</v>
      </c>
    </row>
    <row r="151" ht="12.75" customHeight="1">
      <c r="A151" s="3" t="s">
        <v>26</v>
      </c>
      <c r="B151" s="3" t="s">
        <v>4687</v>
      </c>
      <c r="C151" s="3" t="s">
        <v>1860</v>
      </c>
      <c r="D151" s="3" t="s">
        <v>2364</v>
      </c>
      <c r="E151" s="3" t="s">
        <v>30</v>
      </c>
      <c r="F151" s="3" t="s">
        <v>4688</v>
      </c>
      <c r="G151" s="3" t="s">
        <v>4689</v>
      </c>
      <c r="H151" s="3" t="s">
        <v>1861</v>
      </c>
      <c r="I151" s="3" t="s">
        <v>4188</v>
      </c>
      <c r="J151" s="3" t="s">
        <v>3872</v>
      </c>
      <c r="K151" s="3" t="s">
        <v>4701</v>
      </c>
      <c r="L151" s="3" t="s">
        <v>4702</v>
      </c>
      <c r="M151" s="3" t="s">
        <v>2818</v>
      </c>
      <c r="N151" s="3">
        <v>2009.0</v>
      </c>
      <c r="O151" s="3" t="s">
        <v>1862</v>
      </c>
      <c r="P151" s="25" t="str">
        <f>HYPERLINK("http://dx.doi.org/10.1017/S0954102009001722","http://dx.doi.org/10.1017/S0954102009001722")</f>
        <v>http://dx.doi.org/10.1017/S0954102009001722</v>
      </c>
      <c r="Q151" s="3" t="s">
        <v>4703</v>
      </c>
      <c r="R151" s="3" t="s">
        <v>4704</v>
      </c>
      <c r="S151" s="3" t="s">
        <v>2383</v>
      </c>
      <c r="T151" s="3" t="s">
        <v>4706</v>
      </c>
      <c r="U151" s="3" t="s">
        <v>1835</v>
      </c>
      <c r="V151" s="3" t="s">
        <v>1327</v>
      </c>
      <c r="W151" s="3" t="s">
        <v>1328</v>
      </c>
      <c r="X151" s="3" t="s">
        <v>1328</v>
      </c>
      <c r="Y151" s="3" t="s">
        <v>1328</v>
      </c>
      <c r="Z151" s="3" t="s">
        <v>1328</v>
      </c>
      <c r="AA151" s="3" t="s">
        <v>1328</v>
      </c>
      <c r="AB151" s="3" t="s">
        <v>1328</v>
      </c>
      <c r="AC151" s="3" t="s">
        <v>1327</v>
      </c>
      <c r="AD151" s="3" t="s">
        <v>1328</v>
      </c>
      <c r="AE151" s="3" t="s">
        <v>1443</v>
      </c>
      <c r="AF151" s="3" t="s">
        <v>1523</v>
      </c>
      <c r="AG151" s="3" t="s">
        <v>1330</v>
      </c>
      <c r="AH151" s="3" t="s">
        <v>1332</v>
      </c>
      <c r="AI151" s="3" t="s">
        <v>1660</v>
      </c>
      <c r="AJ151" s="3" t="s">
        <v>1864</v>
      </c>
      <c r="AK151" s="3" t="s">
        <v>1373</v>
      </c>
      <c r="AL151" s="3">
        <v>5.0</v>
      </c>
      <c r="AM151" s="3" t="s">
        <v>1336</v>
      </c>
      <c r="AN151" s="3" t="s">
        <v>1328</v>
      </c>
      <c r="AO151" s="3" t="s">
        <v>1328</v>
      </c>
      <c r="AP151" s="3" t="s">
        <v>1328</v>
      </c>
      <c r="AQ151" s="3" t="s">
        <v>1328</v>
      </c>
      <c r="AR151" s="3" t="s">
        <v>1328</v>
      </c>
      <c r="AS151" s="3" t="s">
        <v>1337</v>
      </c>
      <c r="AT151" s="3" t="s">
        <v>1338</v>
      </c>
      <c r="AU151" s="3" t="s">
        <v>1339</v>
      </c>
      <c r="AV151" s="3" t="s">
        <v>1331</v>
      </c>
      <c r="AW151" s="3" t="s">
        <v>1328</v>
      </c>
      <c r="AX151" s="3" t="s">
        <v>5027</v>
      </c>
    </row>
    <row r="152" ht="12.75" customHeight="1">
      <c r="A152" s="3" t="s">
        <v>26</v>
      </c>
      <c r="B152" s="3" t="s">
        <v>3976</v>
      </c>
      <c r="C152" s="3" t="s">
        <v>1895</v>
      </c>
      <c r="D152" s="3" t="s">
        <v>2364</v>
      </c>
      <c r="E152" s="3" t="s">
        <v>30</v>
      </c>
      <c r="F152" s="3" t="s">
        <v>3977</v>
      </c>
      <c r="G152" s="3" t="s">
        <v>3978</v>
      </c>
      <c r="H152" s="3" t="s">
        <v>1896</v>
      </c>
      <c r="I152" s="3" t="s">
        <v>3987</v>
      </c>
      <c r="J152" s="3" t="s">
        <v>2400</v>
      </c>
      <c r="K152" s="3" t="s">
        <v>3991</v>
      </c>
      <c r="L152" s="3" t="s">
        <v>3992</v>
      </c>
      <c r="M152" s="3" t="s">
        <v>2471</v>
      </c>
      <c r="N152" s="3">
        <v>2013.0</v>
      </c>
      <c r="O152" s="3" t="s">
        <v>1897</v>
      </c>
      <c r="P152" s="25" t="str">
        <f>HYPERLINK("http://dx.doi.org/10.1016/j.tree.2013.04.005","http://dx.doi.org/10.1016/j.tree.2013.04.005")</f>
        <v>http://dx.doi.org/10.1016/j.tree.2013.04.005</v>
      </c>
      <c r="Q152" s="3" t="s">
        <v>633</v>
      </c>
      <c r="R152" s="3" t="s">
        <v>3993</v>
      </c>
      <c r="S152" s="3" t="s">
        <v>2383</v>
      </c>
      <c r="T152" s="3" t="s">
        <v>3995</v>
      </c>
      <c r="U152" s="3" t="s">
        <v>1482</v>
      </c>
      <c r="V152" s="3" t="s">
        <v>1470</v>
      </c>
      <c r="W152" s="3" t="s">
        <v>1328</v>
      </c>
      <c r="X152" s="3" t="s">
        <v>1328</v>
      </c>
      <c r="Y152" s="3" t="s">
        <v>1328</v>
      </c>
      <c r="Z152" s="3" t="s">
        <v>1328</v>
      </c>
      <c r="AA152" s="3" t="s">
        <v>1328</v>
      </c>
      <c r="AB152" s="3" t="s">
        <v>1328</v>
      </c>
      <c r="AC152" s="3" t="s">
        <v>1470</v>
      </c>
      <c r="AD152" s="3" t="s">
        <v>1328</v>
      </c>
      <c r="AE152" s="3" t="s">
        <v>1443</v>
      </c>
      <c r="AF152" s="3" t="s">
        <v>1330</v>
      </c>
      <c r="AG152" s="3" t="s">
        <v>1331</v>
      </c>
      <c r="AH152" s="3" t="s">
        <v>1331</v>
      </c>
      <c r="AI152" s="3" t="s">
        <v>1360</v>
      </c>
      <c r="AJ152" s="3" t="s">
        <v>1381</v>
      </c>
      <c r="AK152" s="3" t="s">
        <v>1362</v>
      </c>
      <c r="AL152" s="3">
        <v>2.0</v>
      </c>
      <c r="AM152" s="3" t="s">
        <v>1336</v>
      </c>
      <c r="AN152" s="3" t="s">
        <v>1328</v>
      </c>
      <c r="AO152" s="3" t="s">
        <v>1328</v>
      </c>
      <c r="AP152" s="3" t="s">
        <v>1336</v>
      </c>
      <c r="AQ152" s="3" t="s">
        <v>1336</v>
      </c>
      <c r="AR152" s="3" t="s">
        <v>1336</v>
      </c>
      <c r="AS152" s="3" t="s">
        <v>1350</v>
      </c>
      <c r="AT152" s="3" t="s">
        <v>1351</v>
      </c>
      <c r="AU152" s="3" t="s">
        <v>1363</v>
      </c>
      <c r="AV152" s="3" t="s">
        <v>1331</v>
      </c>
      <c r="AW152" s="3" t="s">
        <v>1328</v>
      </c>
      <c r="AX152" s="3" t="s">
        <v>5028</v>
      </c>
    </row>
    <row r="153" ht="12.75" customHeight="1">
      <c r="A153" s="3" t="s">
        <v>26</v>
      </c>
      <c r="B153" s="3" t="s">
        <v>4348</v>
      </c>
      <c r="C153" s="3" t="s">
        <v>1900</v>
      </c>
      <c r="D153" s="3" t="s">
        <v>2364</v>
      </c>
      <c r="E153" s="3" t="s">
        <v>30</v>
      </c>
      <c r="F153" s="3" t="s">
        <v>1324</v>
      </c>
      <c r="G153" s="3" t="s">
        <v>4349</v>
      </c>
      <c r="H153" s="3" t="s">
        <v>1901</v>
      </c>
      <c r="I153" s="3" t="s">
        <v>3987</v>
      </c>
      <c r="J153" s="3" t="s">
        <v>2400</v>
      </c>
      <c r="K153" s="3" t="s">
        <v>3991</v>
      </c>
      <c r="L153" s="3" t="s">
        <v>3992</v>
      </c>
      <c r="M153" s="3" t="s">
        <v>2927</v>
      </c>
      <c r="N153" s="3">
        <v>2011.0</v>
      </c>
      <c r="O153" s="3" t="s">
        <v>1902</v>
      </c>
      <c r="P153" s="25" t="str">
        <f>HYPERLINK("http://dx.doi.org/10.1016/j.tree.2011.07.008","http://dx.doi.org/10.1016/j.tree.2011.07.008")</f>
        <v>http://dx.doi.org/10.1016/j.tree.2011.07.008</v>
      </c>
      <c r="Q153" s="3" t="s">
        <v>633</v>
      </c>
      <c r="R153" s="3" t="s">
        <v>3993</v>
      </c>
      <c r="S153" s="3" t="s">
        <v>2383</v>
      </c>
      <c r="T153" s="3" t="s">
        <v>4360</v>
      </c>
      <c r="U153" s="3" t="s">
        <v>1580</v>
      </c>
      <c r="V153" s="3" t="s">
        <v>1470</v>
      </c>
      <c r="W153" s="3" t="s">
        <v>1328</v>
      </c>
      <c r="X153" s="3" t="s">
        <v>1328</v>
      </c>
      <c r="Y153" s="3" t="s">
        <v>1328</v>
      </c>
      <c r="Z153" s="3" t="s">
        <v>1328</v>
      </c>
      <c r="AA153" s="3" t="s">
        <v>1328</v>
      </c>
      <c r="AB153" s="3" t="s">
        <v>1328</v>
      </c>
      <c r="AC153" s="3" t="s">
        <v>1470</v>
      </c>
      <c r="AD153" s="3" t="s">
        <v>1328</v>
      </c>
      <c r="AE153" s="3" t="s">
        <v>1443</v>
      </c>
      <c r="AF153" s="3" t="s">
        <v>1372</v>
      </c>
      <c r="AG153" s="3" t="s">
        <v>1331</v>
      </c>
      <c r="AH153" s="3" t="s">
        <v>1347</v>
      </c>
      <c r="AI153" s="3" t="s">
        <v>1444</v>
      </c>
      <c r="AJ153" s="3" t="s">
        <v>1445</v>
      </c>
      <c r="AK153" s="3" t="s">
        <v>1349</v>
      </c>
      <c r="AL153" s="3">
        <v>3.0</v>
      </c>
      <c r="AM153" s="3" t="s">
        <v>1336</v>
      </c>
      <c r="AN153" s="3" t="s">
        <v>1328</v>
      </c>
      <c r="AO153" s="3" t="s">
        <v>1328</v>
      </c>
      <c r="AP153" s="3" t="s">
        <v>1336</v>
      </c>
      <c r="AQ153" s="3" t="s">
        <v>1328</v>
      </c>
      <c r="AR153" s="3" t="s">
        <v>1336</v>
      </c>
      <c r="AS153" s="3" t="s">
        <v>1395</v>
      </c>
      <c r="AT153" s="3" t="s">
        <v>1338</v>
      </c>
      <c r="AU153" s="3" t="s">
        <v>1363</v>
      </c>
      <c r="AV153" s="3" t="s">
        <v>1374</v>
      </c>
      <c r="AW153" s="3" t="s">
        <v>1328</v>
      </c>
      <c r="AX153" s="3" t="s">
        <v>5028</v>
      </c>
    </row>
    <row r="154" ht="12.75" customHeight="1">
      <c r="A154" s="3" t="s">
        <v>26</v>
      </c>
      <c r="B154" s="3" t="s">
        <v>4678</v>
      </c>
      <c r="C154" s="3" t="s">
        <v>1905</v>
      </c>
      <c r="D154" s="3" t="s">
        <v>2364</v>
      </c>
      <c r="E154" s="3" t="s">
        <v>30</v>
      </c>
      <c r="F154" s="3" t="s">
        <v>1324</v>
      </c>
      <c r="G154" s="3" t="s">
        <v>4679</v>
      </c>
      <c r="H154" s="3" t="s">
        <v>1906</v>
      </c>
      <c r="I154" s="3" t="s">
        <v>3987</v>
      </c>
      <c r="J154" s="3" t="s">
        <v>2400</v>
      </c>
      <c r="K154" s="3" t="s">
        <v>3991</v>
      </c>
      <c r="L154" s="3" t="s">
        <v>3992</v>
      </c>
      <c r="M154" s="3" t="s">
        <v>2651</v>
      </c>
      <c r="N154" s="3">
        <v>2009.0</v>
      </c>
      <c r="O154" s="3" t="s">
        <v>1907</v>
      </c>
      <c r="P154" s="25" t="str">
        <f>HYPERLINK("http://dx.doi.org/10.1016/j.tree.2008.12.004","http://dx.doi.org/10.1016/j.tree.2008.12.004")</f>
        <v>http://dx.doi.org/10.1016/j.tree.2008.12.004</v>
      </c>
      <c r="Q154" s="3" t="s">
        <v>633</v>
      </c>
      <c r="R154" s="3" t="s">
        <v>3993</v>
      </c>
      <c r="S154" s="3" t="s">
        <v>2383</v>
      </c>
      <c r="T154" s="3" t="s">
        <v>4686</v>
      </c>
      <c r="U154" s="3" t="s">
        <v>1580</v>
      </c>
      <c r="V154" s="3" t="s">
        <v>1371</v>
      </c>
      <c r="W154" s="3" t="s">
        <v>1328</v>
      </c>
      <c r="X154" s="3" t="s">
        <v>1328</v>
      </c>
      <c r="Y154" s="3" t="s">
        <v>1328</v>
      </c>
      <c r="Z154" s="3" t="s">
        <v>1328</v>
      </c>
      <c r="AA154" s="3" t="s">
        <v>1328</v>
      </c>
      <c r="AB154" s="3" t="s">
        <v>1328</v>
      </c>
      <c r="AC154" s="3" t="s">
        <v>1371</v>
      </c>
      <c r="AD154" s="3" t="s">
        <v>1328</v>
      </c>
      <c r="AE154" s="3" t="s">
        <v>1443</v>
      </c>
      <c r="AF154" s="3" t="s">
        <v>1330</v>
      </c>
      <c r="AG154" s="3" t="s">
        <v>1372</v>
      </c>
      <c r="AH154" s="3" t="s">
        <v>1347</v>
      </c>
      <c r="AI154" s="3" t="s">
        <v>1444</v>
      </c>
      <c r="AJ154" s="3" t="s">
        <v>1445</v>
      </c>
      <c r="AK154" s="3" t="s">
        <v>1349</v>
      </c>
      <c r="AL154" s="3">
        <v>2.0</v>
      </c>
      <c r="AM154" s="3" t="s">
        <v>1328</v>
      </c>
      <c r="AN154" s="3" t="s">
        <v>1336</v>
      </c>
      <c r="AO154" s="3" t="s">
        <v>1328</v>
      </c>
      <c r="AP154" s="3" t="s">
        <v>1336</v>
      </c>
      <c r="AQ154" s="3" t="s">
        <v>1336</v>
      </c>
      <c r="AR154" s="3" t="s">
        <v>1336</v>
      </c>
      <c r="AS154" s="3" t="s">
        <v>1350</v>
      </c>
      <c r="AT154" s="3" t="s">
        <v>1338</v>
      </c>
      <c r="AU154" s="3" t="s">
        <v>1339</v>
      </c>
      <c r="AV154" s="3" t="s">
        <v>1331</v>
      </c>
      <c r="AW154" s="3" t="s">
        <v>1328</v>
      </c>
      <c r="AX154" s="3" t="s">
        <v>5028</v>
      </c>
    </row>
    <row r="155" ht="12.75" customHeight="1">
      <c r="A155" s="3" t="s">
        <v>26</v>
      </c>
      <c r="B155" s="3" t="s">
        <v>4598</v>
      </c>
      <c r="C155" s="3" t="s">
        <v>4600</v>
      </c>
      <c r="D155" s="3" t="s">
        <v>2364</v>
      </c>
      <c r="E155" s="3" t="s">
        <v>30</v>
      </c>
      <c r="F155" s="3" t="s">
        <v>4602</v>
      </c>
      <c r="G155" s="3" t="s">
        <v>4603</v>
      </c>
      <c r="H155" s="3" t="s">
        <v>4604</v>
      </c>
      <c r="I155" s="3" t="s">
        <v>2486</v>
      </c>
      <c r="J155" s="3" t="s">
        <v>2487</v>
      </c>
      <c r="K155" s="3" t="s">
        <v>4616</v>
      </c>
      <c r="L155" s="3" t="s">
        <v>4617</v>
      </c>
      <c r="M155" s="3" t="s">
        <v>4145</v>
      </c>
      <c r="N155" s="3">
        <v>2009.0</v>
      </c>
      <c r="O155" s="3" t="s">
        <v>2080</v>
      </c>
      <c r="P155" s="25" t="str">
        <f>HYPERLINK("http://dx.doi.org/10.1016/j.ecolecon.2009.07.001","http://dx.doi.org/10.1016/j.ecolecon.2009.07.001")</f>
        <v>http://dx.doi.org/10.1016/j.ecolecon.2009.07.001</v>
      </c>
      <c r="Q155" s="3" t="s">
        <v>4618</v>
      </c>
      <c r="R155" s="3" t="s">
        <v>4619</v>
      </c>
      <c r="S155" s="3" t="s">
        <v>2383</v>
      </c>
      <c r="T155" s="3" t="s">
        <v>4621</v>
      </c>
      <c r="U155" s="3" t="s">
        <v>1358</v>
      </c>
      <c r="V155" s="3" t="s">
        <v>1371</v>
      </c>
      <c r="W155" s="3" t="s">
        <v>1328</v>
      </c>
      <c r="X155" s="3" t="s">
        <v>1328</v>
      </c>
      <c r="Y155" s="3" t="s">
        <v>1328</v>
      </c>
      <c r="Z155" s="3" t="s">
        <v>1328</v>
      </c>
      <c r="AA155" s="3" t="s">
        <v>1328</v>
      </c>
      <c r="AB155" s="3" t="s">
        <v>1328</v>
      </c>
      <c r="AC155" s="3" t="s">
        <v>1371</v>
      </c>
      <c r="AD155" s="3" t="s">
        <v>1328</v>
      </c>
      <c r="AE155" s="3" t="s">
        <v>1443</v>
      </c>
      <c r="AF155" s="3" t="s">
        <v>1330</v>
      </c>
      <c r="AG155" s="3" t="s">
        <v>1331</v>
      </c>
      <c r="AH155" s="3" t="s">
        <v>1332</v>
      </c>
      <c r="AI155" s="3" t="s">
        <v>1444</v>
      </c>
      <c r="AJ155" s="3" t="s">
        <v>1445</v>
      </c>
      <c r="AK155" s="3" t="s">
        <v>1362</v>
      </c>
      <c r="AL155" s="3">
        <v>2.0</v>
      </c>
      <c r="AM155" s="3" t="s">
        <v>1336</v>
      </c>
      <c r="AN155" s="3" t="s">
        <v>1328</v>
      </c>
      <c r="AO155" s="3" t="s">
        <v>1328</v>
      </c>
      <c r="AP155" s="3" t="s">
        <v>1336</v>
      </c>
      <c r="AQ155" s="3" t="s">
        <v>1336</v>
      </c>
      <c r="AR155" s="3" t="s">
        <v>1336</v>
      </c>
      <c r="AS155" s="3" t="s">
        <v>1350</v>
      </c>
      <c r="AT155" s="3" t="s">
        <v>1351</v>
      </c>
      <c r="AU155" s="3" t="s">
        <v>1363</v>
      </c>
      <c r="AV155" s="3" t="s">
        <v>1374</v>
      </c>
      <c r="AW155" s="3" t="s">
        <v>1328</v>
      </c>
      <c r="AX155" s="3" t="s">
        <v>5028</v>
      </c>
    </row>
    <row r="156" ht="12.75" customHeight="1">
      <c r="A156" s="3" t="s">
        <v>26</v>
      </c>
      <c r="B156" s="3" t="s">
        <v>3302</v>
      </c>
      <c r="C156" s="3" t="s">
        <v>2094</v>
      </c>
      <c r="D156" s="3" t="s">
        <v>2364</v>
      </c>
      <c r="E156" s="3" t="s">
        <v>30</v>
      </c>
      <c r="F156" s="3" t="s">
        <v>3303</v>
      </c>
      <c r="G156" s="3" t="s">
        <v>3304</v>
      </c>
      <c r="H156" s="3" t="s">
        <v>2095</v>
      </c>
      <c r="I156" s="3" t="s">
        <v>2530</v>
      </c>
      <c r="J156" s="3" t="s">
        <v>2509</v>
      </c>
      <c r="K156" s="3" t="s">
        <v>2941</v>
      </c>
      <c r="L156" s="3" t="s">
        <v>2942</v>
      </c>
      <c r="M156" s="3" t="s">
        <v>2471</v>
      </c>
      <c r="N156" s="3">
        <v>2016.0</v>
      </c>
      <c r="O156" s="3" t="s">
        <v>2096</v>
      </c>
      <c r="P156" s="25" t="str">
        <f>HYPERLINK("http://dx.doi.org/10.1016/j.biocon.2016.06.017","http://dx.doi.org/10.1016/j.biocon.2016.06.017")</f>
        <v>http://dx.doi.org/10.1016/j.biocon.2016.06.017</v>
      </c>
      <c r="Q156" s="3" t="s">
        <v>255</v>
      </c>
      <c r="R156" s="3" t="s">
        <v>2577</v>
      </c>
      <c r="S156" s="3" t="s">
        <v>2383</v>
      </c>
      <c r="T156" s="3" t="s">
        <v>3314</v>
      </c>
      <c r="U156" s="3" t="s">
        <v>1326</v>
      </c>
      <c r="V156" s="3" t="s">
        <v>1327</v>
      </c>
      <c r="W156" s="3" t="s">
        <v>1328</v>
      </c>
      <c r="X156" s="3" t="s">
        <v>1328</v>
      </c>
      <c r="Y156" s="3" t="s">
        <v>1328</v>
      </c>
      <c r="Z156" s="3" t="s">
        <v>1328</v>
      </c>
      <c r="AA156" s="3" t="s">
        <v>1328</v>
      </c>
      <c r="AB156" s="3" t="s">
        <v>1328</v>
      </c>
      <c r="AC156" s="3" t="s">
        <v>1327</v>
      </c>
      <c r="AD156" s="3" t="s">
        <v>1328</v>
      </c>
      <c r="AE156" s="3" t="s">
        <v>1443</v>
      </c>
      <c r="AF156" s="3" t="s">
        <v>1330</v>
      </c>
      <c r="AG156" s="3" t="s">
        <v>1331</v>
      </c>
      <c r="AH156" s="3" t="s">
        <v>1332</v>
      </c>
      <c r="AI156" s="3" t="s">
        <v>1444</v>
      </c>
      <c r="AJ156" s="3" t="s">
        <v>1445</v>
      </c>
      <c r="AK156" s="3" t="s">
        <v>1373</v>
      </c>
      <c r="AL156" s="3">
        <v>6.0</v>
      </c>
      <c r="AM156" s="3" t="s">
        <v>1328</v>
      </c>
      <c r="AN156" s="3" t="s">
        <v>1328</v>
      </c>
      <c r="AO156" s="3" t="s">
        <v>1328</v>
      </c>
      <c r="AP156" s="3" t="s">
        <v>1328</v>
      </c>
      <c r="AQ156" s="3" t="s">
        <v>1328</v>
      </c>
      <c r="AR156" s="3" t="s">
        <v>1328</v>
      </c>
      <c r="AS156" s="3" t="s">
        <v>1395</v>
      </c>
      <c r="AT156" s="3" t="s">
        <v>1338</v>
      </c>
      <c r="AU156" s="3" t="s">
        <v>1339</v>
      </c>
      <c r="AV156" s="3" t="s">
        <v>1331</v>
      </c>
      <c r="AW156" s="3" t="s">
        <v>1328</v>
      </c>
      <c r="AX156" s="3" t="s">
        <v>5028</v>
      </c>
    </row>
    <row r="157" ht="12.75" customHeight="1">
      <c r="A157" s="3" t="s">
        <v>26</v>
      </c>
      <c r="B157" s="3" t="s">
        <v>3451</v>
      </c>
      <c r="C157" s="3" t="s">
        <v>2234</v>
      </c>
      <c r="D157" s="3" t="s">
        <v>2364</v>
      </c>
      <c r="E157" s="3" t="s">
        <v>30</v>
      </c>
      <c r="F157" s="3" t="s">
        <v>1324</v>
      </c>
      <c r="G157" s="3" t="s">
        <v>3455</v>
      </c>
      <c r="H157" s="3" t="s">
        <v>2235</v>
      </c>
      <c r="I157" s="3" t="s">
        <v>4056</v>
      </c>
      <c r="J157" s="3" t="s">
        <v>2424</v>
      </c>
      <c r="K157" s="3" t="s">
        <v>4060</v>
      </c>
      <c r="L157" s="3" t="s">
        <v>4061</v>
      </c>
      <c r="M157" s="3" t="s">
        <v>4062</v>
      </c>
      <c r="N157" s="3">
        <v>2013.0</v>
      </c>
      <c r="O157" s="3" t="s">
        <v>2236</v>
      </c>
      <c r="P157" s="25" t="str">
        <f>HYPERLINK("http://dx.doi.org/10.1002/wene.41","http://dx.doi.org/10.1002/wene.41")</f>
        <v>http://dx.doi.org/10.1002/wene.41</v>
      </c>
      <c r="Q157" s="3" t="s">
        <v>4063</v>
      </c>
      <c r="R157" s="3" t="s">
        <v>4063</v>
      </c>
      <c r="S157" s="3" t="s">
        <v>2383</v>
      </c>
      <c r="T157" s="3" t="s">
        <v>4065</v>
      </c>
      <c r="U157" s="3" t="s">
        <v>1358</v>
      </c>
      <c r="V157" s="3" t="s">
        <v>1371</v>
      </c>
      <c r="W157" s="3" t="s">
        <v>1328</v>
      </c>
      <c r="X157" s="3" t="s">
        <v>1328</v>
      </c>
      <c r="Y157" s="3" t="s">
        <v>1328</v>
      </c>
      <c r="Z157" s="3" t="s">
        <v>1328</v>
      </c>
      <c r="AA157" s="3" t="s">
        <v>1328</v>
      </c>
      <c r="AB157" s="3" t="s">
        <v>1328</v>
      </c>
      <c r="AC157" s="3" t="s">
        <v>1371</v>
      </c>
      <c r="AD157" s="3" t="s">
        <v>1328</v>
      </c>
      <c r="AE157" s="3" t="s">
        <v>1443</v>
      </c>
      <c r="AF157" s="3" t="s">
        <v>1330</v>
      </c>
      <c r="AG157" s="3" t="s">
        <v>1330</v>
      </c>
      <c r="AH157" s="3" t="s">
        <v>1347</v>
      </c>
      <c r="AI157" s="3" t="s">
        <v>1444</v>
      </c>
      <c r="AJ157" s="3" t="s">
        <v>1445</v>
      </c>
      <c r="AK157" s="3" t="s">
        <v>1362</v>
      </c>
      <c r="AL157" s="3">
        <v>2.0</v>
      </c>
      <c r="AM157" s="3" t="s">
        <v>1328</v>
      </c>
      <c r="AN157" s="3" t="s">
        <v>1328</v>
      </c>
      <c r="AO157" s="3" t="s">
        <v>1336</v>
      </c>
      <c r="AP157" s="3" t="s">
        <v>1336</v>
      </c>
      <c r="AQ157" s="3" t="s">
        <v>1336</v>
      </c>
      <c r="AR157" s="3" t="s">
        <v>1336</v>
      </c>
      <c r="AS157" s="3" t="s">
        <v>1350</v>
      </c>
      <c r="AT157" s="3" t="s">
        <v>1351</v>
      </c>
      <c r="AU157" s="3" t="s">
        <v>1363</v>
      </c>
      <c r="AV157" s="3" t="s">
        <v>1388</v>
      </c>
      <c r="AW157" s="3" t="s">
        <v>1328</v>
      </c>
      <c r="AX157" s="3" t="s">
        <v>5028</v>
      </c>
    </row>
    <row r="158" ht="12.75" customHeight="1">
      <c r="A158" s="3" t="s">
        <v>26</v>
      </c>
      <c r="B158" s="3" t="s">
        <v>3290</v>
      </c>
      <c r="C158" s="3" t="s">
        <v>2250</v>
      </c>
      <c r="D158" s="3" t="s">
        <v>2364</v>
      </c>
      <c r="E158" s="3" t="s">
        <v>30</v>
      </c>
      <c r="F158" s="3" t="s">
        <v>3291</v>
      </c>
      <c r="G158" s="3" t="s">
        <v>3292</v>
      </c>
      <c r="H158" s="3" t="s">
        <v>3293</v>
      </c>
      <c r="I158" s="3" t="s">
        <v>2464</v>
      </c>
      <c r="J158" s="3" t="s">
        <v>2465</v>
      </c>
      <c r="K158" s="3" t="s">
        <v>2816</v>
      </c>
      <c r="L158" s="3" t="s">
        <v>2817</v>
      </c>
      <c r="M158" s="3" t="s">
        <v>2471</v>
      </c>
      <c r="N158" s="3">
        <v>2016.0</v>
      </c>
      <c r="O158" s="3" t="s">
        <v>2252</v>
      </c>
      <c r="P158" s="25" t="str">
        <f>HYPERLINK("http://dx.doi.org/10.1002/aqc.2710","http://dx.doi.org/10.1002/aqc.2710")</f>
        <v>http://dx.doi.org/10.1002/aqc.2710</v>
      </c>
      <c r="Q158" s="3" t="s">
        <v>2819</v>
      </c>
      <c r="R158" s="3" t="s">
        <v>2820</v>
      </c>
      <c r="S158" s="3" t="s">
        <v>2383</v>
      </c>
      <c r="T158" s="3" t="s">
        <v>3301</v>
      </c>
      <c r="U158" s="3" t="s">
        <v>1326</v>
      </c>
      <c r="V158" s="3" t="s">
        <v>1327</v>
      </c>
      <c r="W158" s="3" t="s">
        <v>1328</v>
      </c>
      <c r="X158" s="3" t="s">
        <v>1328</v>
      </c>
      <c r="Y158" s="3" t="s">
        <v>1328</v>
      </c>
      <c r="Z158" s="3" t="s">
        <v>1328</v>
      </c>
      <c r="AA158" s="3" t="s">
        <v>1328</v>
      </c>
      <c r="AB158" s="3" t="s">
        <v>1328</v>
      </c>
      <c r="AC158" s="3" t="s">
        <v>1327</v>
      </c>
      <c r="AD158" s="3" t="s">
        <v>1328</v>
      </c>
      <c r="AE158" s="3" t="s">
        <v>1443</v>
      </c>
      <c r="AF158" s="3" t="s">
        <v>1330</v>
      </c>
      <c r="AG158" s="3" t="s">
        <v>1331</v>
      </c>
      <c r="AH158" s="3" t="s">
        <v>1347</v>
      </c>
      <c r="AI158" s="3" t="s">
        <v>1444</v>
      </c>
      <c r="AJ158" s="3" t="s">
        <v>1445</v>
      </c>
      <c r="AK158" s="3" t="s">
        <v>1335</v>
      </c>
      <c r="AL158" s="3">
        <v>5.0</v>
      </c>
      <c r="AM158" s="3" t="s">
        <v>1328</v>
      </c>
      <c r="AN158" s="3" t="s">
        <v>1328</v>
      </c>
      <c r="AO158" s="3" t="s">
        <v>1328</v>
      </c>
      <c r="AP158" s="3" t="s">
        <v>1328</v>
      </c>
      <c r="AQ158" s="3" t="s">
        <v>1328</v>
      </c>
      <c r="AR158" s="3" t="s">
        <v>1336</v>
      </c>
      <c r="AS158" s="3" t="s">
        <v>1395</v>
      </c>
      <c r="AT158" s="3" t="s">
        <v>1351</v>
      </c>
      <c r="AU158" s="3" t="s">
        <v>1363</v>
      </c>
      <c r="AV158" s="3" t="s">
        <v>1331</v>
      </c>
      <c r="AW158" s="3" t="s">
        <v>1328</v>
      </c>
      <c r="AX158" s="3" t="s">
        <v>5028</v>
      </c>
      <c r="AZ158" s="3"/>
    </row>
    <row r="159" ht="12.75" customHeight="1">
      <c r="A159" s="3" t="s">
        <v>636</v>
      </c>
      <c r="B159" s="3" t="s">
        <v>4887</v>
      </c>
      <c r="C159" s="3" t="s">
        <v>1885</v>
      </c>
      <c r="D159" s="3" t="s">
        <v>2364</v>
      </c>
      <c r="E159" s="3" t="s">
        <v>640</v>
      </c>
      <c r="F159" s="3" t="s">
        <v>1324</v>
      </c>
      <c r="G159" s="3" t="s">
        <v>4890</v>
      </c>
      <c r="H159" s="3" t="s">
        <v>4891</v>
      </c>
      <c r="I159" s="3" t="s">
        <v>4896</v>
      </c>
      <c r="J159" s="3" t="s">
        <v>2400</v>
      </c>
      <c r="K159" s="3" t="s">
        <v>4901</v>
      </c>
      <c r="L159" s="3" t="s">
        <v>4902</v>
      </c>
      <c r="M159" s="3" t="s">
        <v>1324</v>
      </c>
      <c r="N159" s="3">
        <v>2006.0</v>
      </c>
      <c r="O159" s="3" t="s">
        <v>1887</v>
      </c>
      <c r="P159" s="25" t="str">
        <f>HYPERLINK("http://dx.doi.org/10.1016/S0065-2881(05)50001-4","http://dx.doi.org/10.1016/S0065-2881(05)50001-4")</f>
        <v>http://dx.doi.org/10.1016/S0065-2881(05)50001-4</v>
      </c>
      <c r="Q159" s="3" t="s">
        <v>4903</v>
      </c>
      <c r="R159" s="3" t="s">
        <v>4903</v>
      </c>
      <c r="S159" s="3" t="s">
        <v>2383</v>
      </c>
      <c r="T159" s="3" t="s">
        <v>4906</v>
      </c>
      <c r="U159" s="3" t="s">
        <v>1402</v>
      </c>
      <c r="V159" s="3" t="s">
        <v>1327</v>
      </c>
      <c r="W159" s="3" t="s">
        <v>1328</v>
      </c>
      <c r="X159" s="3" t="s">
        <v>1328</v>
      </c>
      <c r="Y159" s="3" t="s">
        <v>1328</v>
      </c>
      <c r="Z159" s="3" t="s">
        <v>1328</v>
      </c>
      <c r="AA159" s="3" t="s">
        <v>1328</v>
      </c>
      <c r="AB159" s="3" t="s">
        <v>1328</v>
      </c>
      <c r="AC159" s="3" t="s">
        <v>1327</v>
      </c>
      <c r="AD159" s="3" t="s">
        <v>1328</v>
      </c>
      <c r="AE159" s="3" t="s">
        <v>1443</v>
      </c>
      <c r="AF159" s="3" t="s">
        <v>1330</v>
      </c>
      <c r="AG159" s="3" t="s">
        <v>1523</v>
      </c>
      <c r="AH159" s="3" t="s">
        <v>1347</v>
      </c>
      <c r="AI159" s="3" t="s">
        <v>1444</v>
      </c>
      <c r="AJ159" s="3" t="s">
        <v>1445</v>
      </c>
      <c r="AK159" s="3" t="s">
        <v>1349</v>
      </c>
      <c r="AL159" s="3">
        <v>3.0</v>
      </c>
      <c r="AM159" s="3" t="s">
        <v>1328</v>
      </c>
      <c r="AN159" s="3" t="s">
        <v>1336</v>
      </c>
      <c r="AO159" s="3" t="s">
        <v>1336</v>
      </c>
      <c r="AP159" s="3" t="s">
        <v>1328</v>
      </c>
      <c r="AQ159" s="3" t="s">
        <v>1328</v>
      </c>
      <c r="AR159" s="3" t="s">
        <v>1336</v>
      </c>
      <c r="AS159" s="3" t="s">
        <v>1395</v>
      </c>
      <c r="AT159" s="3" t="s">
        <v>1338</v>
      </c>
      <c r="AU159" s="3" t="s">
        <v>1339</v>
      </c>
      <c r="AV159" s="3" t="s">
        <v>1331</v>
      </c>
      <c r="AW159" s="3" t="s">
        <v>1328</v>
      </c>
      <c r="AX159" s="3" t="s">
        <v>5028</v>
      </c>
      <c r="AZ159" s="3"/>
    </row>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Y$159">
    <sortState ref="A1:AY159">
      <sortCondition ref="E1:E159"/>
      <sortCondition descending="1" ref="O1:O159"/>
    </sortState>
  </autoFilter>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18.0"/>
    <col customWidth="1" min="3" max="3" width="8.0"/>
    <col customWidth="1" min="4" max="4" width="9.5"/>
    <col customWidth="1" min="5" max="5" width="13.38"/>
    <col customWidth="1" min="6" max="6" width="10.38"/>
    <col customWidth="1" min="7" max="7" width="11.13"/>
    <col customWidth="1" min="8" max="8" width="40.13"/>
    <col customWidth="1" min="9" max="9" width="11.13"/>
    <col customWidth="1" min="10" max="10" width="13.38"/>
    <col customWidth="1" min="11" max="11" width="12.75"/>
    <col customWidth="1" min="12" max="12" width="12.25"/>
    <col customWidth="1" min="13" max="13" width="14.25"/>
    <col customWidth="1" min="14" max="14" width="12.88"/>
    <col customWidth="1" min="15" max="15" width="13.88"/>
    <col customWidth="1" min="16" max="16" width="12.38"/>
    <col customWidth="1" min="17" max="17" width="12.13"/>
  </cols>
  <sheetData>
    <row r="1" ht="12.75" customHeight="1">
      <c r="A1" s="27" t="s">
        <v>16</v>
      </c>
      <c r="B1" s="27" t="s">
        <v>19</v>
      </c>
      <c r="C1" s="30" t="s">
        <v>20</v>
      </c>
      <c r="D1" s="27" t="s">
        <v>24</v>
      </c>
      <c r="E1" s="27" t="s">
        <v>1289</v>
      </c>
      <c r="F1" s="27" t="s">
        <v>1298</v>
      </c>
      <c r="G1" s="27" t="s">
        <v>1302</v>
      </c>
      <c r="H1" s="31" t="s">
        <v>5029</v>
      </c>
      <c r="I1" s="31" t="s">
        <v>5030</v>
      </c>
      <c r="J1" s="27" t="s">
        <v>5021</v>
      </c>
      <c r="K1" s="27" t="s">
        <v>5022</v>
      </c>
      <c r="L1" s="27" t="s">
        <v>5023</v>
      </c>
      <c r="M1" s="27" t="s">
        <v>5024</v>
      </c>
      <c r="N1" s="27" t="s">
        <v>5025</v>
      </c>
      <c r="O1" s="27" t="s">
        <v>5026</v>
      </c>
      <c r="P1" s="27" t="s">
        <v>1312</v>
      </c>
      <c r="Q1" s="27"/>
    </row>
    <row r="2" ht="12.75" customHeight="1">
      <c r="A2" s="3" t="s">
        <v>1342</v>
      </c>
      <c r="B2" s="3" t="s">
        <v>1343</v>
      </c>
      <c r="C2" s="3" t="s">
        <v>1344</v>
      </c>
      <c r="D2" s="3" t="s">
        <v>2737</v>
      </c>
      <c r="E2" s="3" t="s">
        <v>1346</v>
      </c>
      <c r="F2" s="3" t="s">
        <v>1329</v>
      </c>
      <c r="G2" s="3" t="s">
        <v>1333</v>
      </c>
      <c r="H2" s="3" t="s">
        <v>1348</v>
      </c>
      <c r="I2" s="3" t="s">
        <v>1349</v>
      </c>
      <c r="J2" s="3" t="s">
        <v>1328</v>
      </c>
      <c r="K2" s="3" t="s">
        <v>1336</v>
      </c>
      <c r="L2" s="3" t="s">
        <v>1328</v>
      </c>
      <c r="M2" s="3" t="s">
        <v>1336</v>
      </c>
      <c r="N2" s="3" t="s">
        <v>1328</v>
      </c>
      <c r="O2" s="3" t="s">
        <v>1336</v>
      </c>
      <c r="P2" s="3" t="s">
        <v>1350</v>
      </c>
    </row>
    <row r="3" ht="12.75" customHeight="1">
      <c r="A3" s="3" t="s">
        <v>1354</v>
      </c>
      <c r="B3" s="3" t="s">
        <v>1355</v>
      </c>
      <c r="C3" s="3" t="s">
        <v>1356</v>
      </c>
      <c r="D3" s="3" t="s">
        <v>3115</v>
      </c>
      <c r="E3" s="3" t="s">
        <v>1358</v>
      </c>
      <c r="F3" s="3" t="s">
        <v>1329</v>
      </c>
      <c r="G3" s="3" t="s">
        <v>1360</v>
      </c>
      <c r="H3" s="3" t="s">
        <v>1361</v>
      </c>
      <c r="I3" s="3" t="s">
        <v>1362</v>
      </c>
      <c r="J3" s="3" t="s">
        <v>1336</v>
      </c>
      <c r="K3" s="3" t="s">
        <v>1328</v>
      </c>
      <c r="L3" s="3" t="s">
        <v>1328</v>
      </c>
      <c r="M3" s="3" t="s">
        <v>1336</v>
      </c>
      <c r="N3" s="3" t="s">
        <v>1336</v>
      </c>
      <c r="O3" s="3" t="s">
        <v>1328</v>
      </c>
      <c r="P3" s="3" t="s">
        <v>1350</v>
      </c>
    </row>
    <row r="4" ht="12.75" customHeight="1">
      <c r="A4" s="3" t="s">
        <v>1377</v>
      </c>
      <c r="B4" s="3" t="s">
        <v>1378</v>
      </c>
      <c r="C4" s="3" t="s">
        <v>1379</v>
      </c>
      <c r="D4" s="3" t="s">
        <v>3072</v>
      </c>
      <c r="E4" s="3" t="s">
        <v>1358</v>
      </c>
      <c r="F4" s="3" t="s">
        <v>1329</v>
      </c>
      <c r="G4" s="3" t="s">
        <v>1333</v>
      </c>
      <c r="H4" s="3" t="s">
        <v>1381</v>
      </c>
      <c r="I4" s="3" t="s">
        <v>1362</v>
      </c>
      <c r="J4" s="3" t="s">
        <v>1328</v>
      </c>
      <c r="K4" s="3" t="s">
        <v>1328</v>
      </c>
      <c r="L4" s="3" t="s">
        <v>1336</v>
      </c>
      <c r="M4" s="3" t="s">
        <v>1336</v>
      </c>
      <c r="N4" s="3" t="s">
        <v>1336</v>
      </c>
      <c r="O4" s="3" t="s">
        <v>1336</v>
      </c>
      <c r="P4" s="3" t="s">
        <v>1350</v>
      </c>
    </row>
    <row r="5" ht="12.75" customHeight="1">
      <c r="A5" s="3" t="s">
        <v>1383</v>
      </c>
      <c r="B5" s="3" t="s">
        <v>1384</v>
      </c>
      <c r="C5" s="3" t="s">
        <v>1385</v>
      </c>
      <c r="D5" s="3" t="s">
        <v>4008</v>
      </c>
      <c r="E5" s="3" t="s">
        <v>1358</v>
      </c>
      <c r="F5" s="3" t="s">
        <v>1329</v>
      </c>
      <c r="G5" s="3" t="s">
        <v>1333</v>
      </c>
      <c r="H5" s="3" t="s">
        <v>1381</v>
      </c>
      <c r="I5" s="3" t="s">
        <v>1362</v>
      </c>
      <c r="J5" s="3" t="s">
        <v>1328</v>
      </c>
      <c r="K5" s="3" t="s">
        <v>1328</v>
      </c>
      <c r="L5" s="3" t="s">
        <v>1336</v>
      </c>
      <c r="M5" s="3" t="s">
        <v>1336</v>
      </c>
      <c r="N5" s="3" t="s">
        <v>1336</v>
      </c>
      <c r="O5" s="3" t="s">
        <v>1336</v>
      </c>
      <c r="P5" s="3" t="s">
        <v>1350</v>
      </c>
    </row>
    <row r="6" ht="12.75" customHeight="1">
      <c r="A6" s="3" t="s">
        <v>1391</v>
      </c>
      <c r="B6" s="3" t="s">
        <v>1392</v>
      </c>
      <c r="C6" s="3" t="s">
        <v>1393</v>
      </c>
      <c r="D6" s="3" t="s">
        <v>3239</v>
      </c>
      <c r="E6" s="3" t="s">
        <v>1370</v>
      </c>
      <c r="F6" s="3" t="s">
        <v>1329</v>
      </c>
      <c r="G6" s="3" t="s">
        <v>1333</v>
      </c>
      <c r="H6" s="3" t="s">
        <v>1381</v>
      </c>
      <c r="I6" s="3" t="s">
        <v>1335</v>
      </c>
      <c r="J6" s="3" t="s">
        <v>1328</v>
      </c>
      <c r="K6" s="3" t="s">
        <v>1328</v>
      </c>
      <c r="L6" s="3" t="s">
        <v>1328</v>
      </c>
      <c r="M6" s="3" t="s">
        <v>1336</v>
      </c>
      <c r="N6" s="3" t="s">
        <v>1328</v>
      </c>
      <c r="O6" s="3" t="s">
        <v>1336</v>
      </c>
      <c r="P6" s="3" t="s">
        <v>1395</v>
      </c>
    </row>
    <row r="7" ht="12.75" customHeight="1">
      <c r="A7" s="3" t="s">
        <v>1398</v>
      </c>
      <c r="B7" s="3" t="s">
        <v>1399</v>
      </c>
      <c r="C7" s="3" t="s">
        <v>1400</v>
      </c>
      <c r="D7" s="3" t="s">
        <v>2778</v>
      </c>
      <c r="E7" s="3" t="s">
        <v>1402</v>
      </c>
      <c r="F7" s="3" t="s">
        <v>1329</v>
      </c>
      <c r="G7" s="3" t="s">
        <v>1360</v>
      </c>
      <c r="H7" s="3" t="s">
        <v>1348</v>
      </c>
      <c r="I7" s="3" t="s">
        <v>1349</v>
      </c>
      <c r="J7" s="3" t="s">
        <v>1328</v>
      </c>
      <c r="K7" s="3" t="s">
        <v>1336</v>
      </c>
      <c r="L7" s="3" t="s">
        <v>1328</v>
      </c>
      <c r="M7" s="3" t="s">
        <v>1336</v>
      </c>
      <c r="N7" s="3" t="s">
        <v>1336</v>
      </c>
      <c r="O7" s="3" t="s">
        <v>1336</v>
      </c>
      <c r="P7" s="3" t="s">
        <v>1404</v>
      </c>
    </row>
    <row r="8" ht="12.75" customHeight="1">
      <c r="A8" s="3" t="s">
        <v>1406</v>
      </c>
      <c r="B8" s="3" t="s">
        <v>1407</v>
      </c>
      <c r="C8" s="3" t="s">
        <v>1408</v>
      </c>
      <c r="D8" s="3" t="s">
        <v>3012</v>
      </c>
      <c r="E8" s="3" t="s">
        <v>1410</v>
      </c>
      <c r="F8" s="3" t="s">
        <v>1329</v>
      </c>
      <c r="G8" s="3" t="s">
        <v>1333</v>
      </c>
      <c r="H8" s="3" t="s">
        <v>1381</v>
      </c>
      <c r="I8" s="3" t="s">
        <v>1349</v>
      </c>
      <c r="J8" s="3" t="s">
        <v>1328</v>
      </c>
      <c r="K8" s="3" t="s">
        <v>1328</v>
      </c>
      <c r="L8" s="3" t="s">
        <v>1328</v>
      </c>
      <c r="M8" s="3" t="s">
        <v>1336</v>
      </c>
      <c r="N8" s="3" t="s">
        <v>1328</v>
      </c>
      <c r="O8" s="3" t="s">
        <v>1336</v>
      </c>
      <c r="P8" s="3" t="s">
        <v>1350</v>
      </c>
    </row>
    <row r="9" ht="12.75" customHeight="1">
      <c r="A9" s="3" t="s">
        <v>1412</v>
      </c>
      <c r="B9" s="3" t="s">
        <v>1413</v>
      </c>
      <c r="C9" s="3" t="s">
        <v>1414</v>
      </c>
      <c r="D9" s="3" t="s">
        <v>4580</v>
      </c>
      <c r="E9" s="3" t="s">
        <v>1416</v>
      </c>
      <c r="F9" s="3" t="s">
        <v>1329</v>
      </c>
      <c r="G9" s="3" t="s">
        <v>1360</v>
      </c>
      <c r="H9" s="3" t="s">
        <v>1361</v>
      </c>
      <c r="I9" s="3" t="s">
        <v>1349</v>
      </c>
      <c r="J9" s="3" t="s">
        <v>1328</v>
      </c>
      <c r="K9" s="3" t="s">
        <v>1336</v>
      </c>
      <c r="L9" s="3" t="s">
        <v>1328</v>
      </c>
      <c r="M9" s="3" t="s">
        <v>1336</v>
      </c>
      <c r="N9" s="3" t="s">
        <v>1336</v>
      </c>
      <c r="O9" s="3" t="s">
        <v>1336</v>
      </c>
      <c r="P9" s="3" t="s">
        <v>1350</v>
      </c>
    </row>
    <row r="10" ht="12.75" customHeight="1">
      <c r="A10" s="3" t="s">
        <v>1420</v>
      </c>
      <c r="B10" s="3" t="s">
        <v>1421</v>
      </c>
      <c r="C10" s="3" t="s">
        <v>1422</v>
      </c>
      <c r="D10" s="3" t="s">
        <v>4718</v>
      </c>
      <c r="E10" s="3" t="s">
        <v>1410</v>
      </c>
      <c r="F10" s="3" t="s">
        <v>1329</v>
      </c>
      <c r="G10" s="3" t="s">
        <v>1333</v>
      </c>
      <c r="H10" s="3" t="s">
        <v>1348</v>
      </c>
      <c r="I10" s="3" t="s">
        <v>1349</v>
      </c>
      <c r="J10" s="3" t="s">
        <v>1328</v>
      </c>
      <c r="K10" s="3" t="s">
        <v>1336</v>
      </c>
      <c r="L10" s="3" t="s">
        <v>1328</v>
      </c>
      <c r="M10" s="3" t="s">
        <v>1336</v>
      </c>
      <c r="N10" s="3" t="s">
        <v>1336</v>
      </c>
      <c r="O10" s="3" t="s">
        <v>1328</v>
      </c>
      <c r="P10" s="3" t="s">
        <v>1350</v>
      </c>
    </row>
    <row r="11" ht="12.75" customHeight="1">
      <c r="A11" s="3" t="s">
        <v>1432</v>
      </c>
      <c r="B11" s="3" t="s">
        <v>1433</v>
      </c>
      <c r="C11" s="3" t="s">
        <v>1434</v>
      </c>
      <c r="D11" s="3" t="s">
        <v>3724</v>
      </c>
      <c r="E11" s="3" t="s">
        <v>1402</v>
      </c>
      <c r="F11" s="3" t="s">
        <v>1329</v>
      </c>
      <c r="G11" s="3" t="s">
        <v>1333</v>
      </c>
      <c r="H11" s="3" t="s">
        <v>1348</v>
      </c>
      <c r="I11" s="3" t="s">
        <v>1349</v>
      </c>
      <c r="J11" s="3" t="s">
        <v>1328</v>
      </c>
      <c r="K11" s="3" t="s">
        <v>1328</v>
      </c>
      <c r="L11" s="3" t="s">
        <v>1336</v>
      </c>
      <c r="M11" s="3" t="s">
        <v>1328</v>
      </c>
      <c r="N11" s="3" t="s">
        <v>1336</v>
      </c>
      <c r="O11" s="3" t="s">
        <v>1336</v>
      </c>
      <c r="P11" s="3" t="s">
        <v>1350</v>
      </c>
    </row>
    <row r="12" ht="12.75" customHeight="1">
      <c r="A12" s="3" t="s">
        <v>1438</v>
      </c>
      <c r="B12" s="3" t="s">
        <v>1439</v>
      </c>
      <c r="C12" s="3" t="s">
        <v>1440</v>
      </c>
      <c r="D12" s="3" t="s">
        <v>3549</v>
      </c>
      <c r="E12" s="3" t="s">
        <v>1442</v>
      </c>
      <c r="F12" s="3" t="s">
        <v>1443</v>
      </c>
      <c r="G12" s="3" t="s">
        <v>1444</v>
      </c>
      <c r="H12" s="3" t="s">
        <v>1445</v>
      </c>
      <c r="I12" s="3" t="s">
        <v>1446</v>
      </c>
      <c r="J12" s="3" t="s">
        <v>1328</v>
      </c>
      <c r="K12" s="3" t="s">
        <v>1328</v>
      </c>
      <c r="L12" s="3" t="s">
        <v>1328</v>
      </c>
      <c r="M12" s="3" t="s">
        <v>1328</v>
      </c>
      <c r="N12" s="3" t="s">
        <v>1328</v>
      </c>
      <c r="O12" s="3" t="s">
        <v>1328</v>
      </c>
      <c r="P12" s="3" t="s">
        <v>1395</v>
      </c>
    </row>
    <row r="13" ht="12.75" customHeight="1">
      <c r="A13" s="3" t="s">
        <v>1448</v>
      </c>
      <c r="B13" s="3" t="s">
        <v>1449</v>
      </c>
      <c r="C13" s="3" t="s">
        <v>1450</v>
      </c>
      <c r="D13" s="3" t="s">
        <v>3591</v>
      </c>
      <c r="E13" s="3" t="s">
        <v>1326</v>
      </c>
      <c r="F13" s="3" t="s">
        <v>1443</v>
      </c>
      <c r="G13" s="3" t="s">
        <v>1444</v>
      </c>
      <c r="H13" s="3" t="s">
        <v>1445</v>
      </c>
      <c r="I13" s="3" t="s">
        <v>1335</v>
      </c>
      <c r="J13" s="3" t="s">
        <v>1328</v>
      </c>
      <c r="K13" s="3" t="s">
        <v>1328</v>
      </c>
      <c r="L13" s="3" t="s">
        <v>1328</v>
      </c>
      <c r="M13" s="3" t="s">
        <v>1328</v>
      </c>
      <c r="N13" s="3" t="s">
        <v>1328</v>
      </c>
      <c r="O13" s="3" t="s">
        <v>1336</v>
      </c>
      <c r="P13" s="3" t="s">
        <v>1395</v>
      </c>
    </row>
    <row r="14" ht="12.75" customHeight="1">
      <c r="A14" s="3" t="s">
        <v>1453</v>
      </c>
      <c r="B14" s="3" t="s">
        <v>1454</v>
      </c>
      <c r="C14" s="3" t="s">
        <v>1455</v>
      </c>
      <c r="D14" s="3" t="s">
        <v>3686</v>
      </c>
      <c r="E14" s="3" t="s">
        <v>1442</v>
      </c>
      <c r="F14" s="3" t="s">
        <v>1443</v>
      </c>
      <c r="G14" s="3" t="s">
        <v>1444</v>
      </c>
      <c r="H14" s="3" t="s">
        <v>1445</v>
      </c>
      <c r="I14" s="3" t="s">
        <v>1446</v>
      </c>
      <c r="J14" s="3" t="s">
        <v>1328</v>
      </c>
      <c r="K14" s="3" t="s">
        <v>1328</v>
      </c>
      <c r="L14" s="3" t="s">
        <v>1328</v>
      </c>
      <c r="M14" s="3" t="s">
        <v>1328</v>
      </c>
      <c r="N14" s="3" t="s">
        <v>1328</v>
      </c>
      <c r="O14" s="3" t="s">
        <v>1328</v>
      </c>
      <c r="P14" s="3" t="s">
        <v>1395</v>
      </c>
    </row>
    <row r="15" ht="12.75" customHeight="1">
      <c r="A15" s="3" t="s">
        <v>1458</v>
      </c>
      <c r="B15" s="3" t="s">
        <v>1459</v>
      </c>
      <c r="C15" s="3" t="s">
        <v>1460</v>
      </c>
      <c r="D15" s="3" t="s">
        <v>3948</v>
      </c>
      <c r="E15" s="3" t="s">
        <v>1462</v>
      </c>
      <c r="F15" s="3" t="s">
        <v>1463</v>
      </c>
      <c r="G15" s="3" t="s">
        <v>1444</v>
      </c>
      <c r="H15" s="3" t="s">
        <v>1445</v>
      </c>
      <c r="I15" s="3" t="s">
        <v>1464</v>
      </c>
      <c r="J15" s="3" t="s">
        <v>1328</v>
      </c>
      <c r="K15" s="3" t="s">
        <v>1328</v>
      </c>
      <c r="L15" s="3" t="s">
        <v>1328</v>
      </c>
      <c r="M15" s="3" t="s">
        <v>1336</v>
      </c>
      <c r="N15" s="3" t="s">
        <v>1336</v>
      </c>
      <c r="O15" s="3" t="s">
        <v>1328</v>
      </c>
      <c r="P15" s="3" t="s">
        <v>1350</v>
      </c>
    </row>
    <row r="16" ht="12.75" customHeight="1">
      <c r="A16" s="3" t="s">
        <v>1466</v>
      </c>
      <c r="B16" s="3" t="s">
        <v>1467</v>
      </c>
      <c r="C16" s="3" t="s">
        <v>1468</v>
      </c>
      <c r="D16" s="3" t="s">
        <v>4119</v>
      </c>
      <c r="E16" s="3" t="s">
        <v>1402</v>
      </c>
      <c r="F16" s="3" t="s">
        <v>1443</v>
      </c>
      <c r="G16" s="3" t="s">
        <v>1360</v>
      </c>
      <c r="H16" s="3" t="s">
        <v>1381</v>
      </c>
      <c r="I16" s="3" t="s">
        <v>1349</v>
      </c>
      <c r="J16" s="3" t="s">
        <v>1328</v>
      </c>
      <c r="K16" s="3" t="s">
        <v>1328</v>
      </c>
      <c r="L16" s="3" t="s">
        <v>1328</v>
      </c>
      <c r="M16" s="3" t="s">
        <v>1336</v>
      </c>
      <c r="N16" s="3" t="s">
        <v>1328</v>
      </c>
      <c r="O16" s="3" t="s">
        <v>1328</v>
      </c>
      <c r="P16" s="3" t="s">
        <v>1350</v>
      </c>
    </row>
    <row r="17" ht="12.75" customHeight="1">
      <c r="A17" s="3" t="s">
        <v>1472</v>
      </c>
      <c r="B17" s="3" t="s">
        <v>1473</v>
      </c>
      <c r="C17" s="3" t="s">
        <v>1474</v>
      </c>
      <c r="D17" s="3" t="s">
        <v>4209</v>
      </c>
      <c r="E17" s="3" t="s">
        <v>1402</v>
      </c>
      <c r="F17" s="3" t="s">
        <v>1329</v>
      </c>
      <c r="G17" s="3" t="s">
        <v>1444</v>
      </c>
      <c r="H17" s="3" t="s">
        <v>1476</v>
      </c>
      <c r="I17" s="3" t="s">
        <v>1349</v>
      </c>
      <c r="J17" s="3" t="s">
        <v>1328</v>
      </c>
      <c r="K17" s="3" t="s">
        <v>1328</v>
      </c>
      <c r="L17" s="3" t="s">
        <v>1328</v>
      </c>
      <c r="M17" s="3" t="s">
        <v>1336</v>
      </c>
      <c r="N17" s="3" t="s">
        <v>1328</v>
      </c>
      <c r="O17" s="3" t="s">
        <v>1336</v>
      </c>
      <c r="P17" s="3" t="s">
        <v>1395</v>
      </c>
    </row>
    <row r="18" ht="12.75" customHeight="1">
      <c r="A18" s="3" t="s">
        <v>1478</v>
      </c>
      <c r="B18" s="3" t="s">
        <v>1479</v>
      </c>
      <c r="C18" s="3" t="s">
        <v>1480</v>
      </c>
      <c r="D18" s="3" t="s">
        <v>2432</v>
      </c>
      <c r="E18" s="3" t="s">
        <v>1482</v>
      </c>
      <c r="F18" s="3" t="s">
        <v>1329</v>
      </c>
      <c r="G18" s="3" t="s">
        <v>1333</v>
      </c>
      <c r="H18" s="3" t="s">
        <v>1334</v>
      </c>
      <c r="I18" s="3" t="s">
        <v>1362</v>
      </c>
      <c r="J18" s="3" t="s">
        <v>1336</v>
      </c>
      <c r="K18" s="3" t="s">
        <v>1328</v>
      </c>
      <c r="L18" s="3" t="s">
        <v>1328</v>
      </c>
      <c r="M18" s="3" t="s">
        <v>1336</v>
      </c>
      <c r="N18" s="3" t="s">
        <v>1336</v>
      </c>
      <c r="O18" s="3" t="s">
        <v>1336</v>
      </c>
      <c r="P18" s="3" t="s">
        <v>1350</v>
      </c>
    </row>
    <row r="19" ht="12.75" customHeight="1">
      <c r="A19" s="3" t="s">
        <v>1484</v>
      </c>
      <c r="B19" s="3" t="s">
        <v>1485</v>
      </c>
      <c r="C19" s="3" t="s">
        <v>1486</v>
      </c>
      <c r="D19" s="3" t="s">
        <v>4570</v>
      </c>
      <c r="E19" s="3" t="s">
        <v>1442</v>
      </c>
      <c r="F19" s="3" t="s">
        <v>1443</v>
      </c>
      <c r="G19" s="3" t="s">
        <v>1444</v>
      </c>
      <c r="H19" s="3" t="s">
        <v>1488</v>
      </c>
      <c r="I19" s="3" t="s">
        <v>1349</v>
      </c>
      <c r="J19" s="3" t="s">
        <v>1328</v>
      </c>
      <c r="K19" s="3" t="s">
        <v>1328</v>
      </c>
      <c r="L19" s="3" t="s">
        <v>1328</v>
      </c>
      <c r="M19" s="3" t="s">
        <v>1336</v>
      </c>
      <c r="N19" s="3" t="s">
        <v>1336</v>
      </c>
      <c r="O19" s="3" t="s">
        <v>1336</v>
      </c>
      <c r="P19" s="3" t="s">
        <v>1395</v>
      </c>
    </row>
    <row r="20" ht="12.75" customHeight="1">
      <c r="A20" s="3" t="s">
        <v>1491</v>
      </c>
      <c r="B20" s="3" t="s">
        <v>1492</v>
      </c>
      <c r="C20" s="3" t="s">
        <v>1493</v>
      </c>
      <c r="D20" s="3" t="s">
        <v>4748</v>
      </c>
      <c r="E20" s="3" t="s">
        <v>1495</v>
      </c>
      <c r="F20" s="3" t="s">
        <v>1329</v>
      </c>
      <c r="G20" s="3" t="s">
        <v>1360</v>
      </c>
      <c r="H20" s="3" t="s">
        <v>1496</v>
      </c>
      <c r="I20" s="3" t="s">
        <v>1349</v>
      </c>
      <c r="J20" s="3" t="s">
        <v>1328</v>
      </c>
      <c r="K20" s="3" t="s">
        <v>1328</v>
      </c>
      <c r="L20" s="3" t="s">
        <v>1336</v>
      </c>
      <c r="M20" s="3" t="s">
        <v>1336</v>
      </c>
      <c r="N20" s="3" t="s">
        <v>1336</v>
      </c>
      <c r="O20" s="3" t="s">
        <v>1336</v>
      </c>
      <c r="P20" s="3" t="s">
        <v>1350</v>
      </c>
    </row>
    <row r="21" ht="12.75" customHeight="1">
      <c r="A21" s="3" t="s">
        <v>1506</v>
      </c>
      <c r="B21" s="3" t="s">
        <v>2677</v>
      </c>
      <c r="C21" s="3" t="s">
        <v>1508</v>
      </c>
      <c r="D21" s="3" t="s">
        <v>2693</v>
      </c>
      <c r="E21" s="3" t="s">
        <v>1326</v>
      </c>
      <c r="F21" s="3" t="s">
        <v>1443</v>
      </c>
      <c r="G21" s="3" t="s">
        <v>1360</v>
      </c>
      <c r="H21" s="3" t="s">
        <v>1381</v>
      </c>
      <c r="I21" s="3" t="s">
        <v>1335</v>
      </c>
      <c r="J21" s="3" t="s">
        <v>1336</v>
      </c>
      <c r="K21" s="3" t="s">
        <v>1328</v>
      </c>
      <c r="L21" s="3" t="s">
        <v>1328</v>
      </c>
      <c r="M21" s="3" t="s">
        <v>1336</v>
      </c>
      <c r="N21" s="3" t="s">
        <v>1328</v>
      </c>
      <c r="O21" s="3" t="s">
        <v>1328</v>
      </c>
      <c r="P21" s="3" t="s">
        <v>1395</v>
      </c>
    </row>
    <row r="22" ht="12.75" customHeight="1">
      <c r="A22" s="3" t="s">
        <v>2387</v>
      </c>
      <c r="B22" s="3" t="s">
        <v>2291</v>
      </c>
      <c r="C22" s="3" t="s">
        <v>2405</v>
      </c>
      <c r="D22" s="3" t="s">
        <v>2411</v>
      </c>
      <c r="E22" s="3" t="s">
        <v>1370</v>
      </c>
      <c r="F22" s="3" t="s">
        <v>1329</v>
      </c>
      <c r="G22" s="3" t="s">
        <v>1333</v>
      </c>
      <c r="H22" s="3" t="s">
        <v>1381</v>
      </c>
      <c r="I22" s="3" t="s">
        <v>1373</v>
      </c>
      <c r="J22" s="3" t="s">
        <v>1336</v>
      </c>
      <c r="K22" s="3" t="s">
        <v>1328</v>
      </c>
      <c r="L22" s="3" t="s">
        <v>1328</v>
      </c>
      <c r="M22" s="3" t="s">
        <v>1336</v>
      </c>
      <c r="N22" s="3" t="s">
        <v>1328</v>
      </c>
      <c r="O22" s="3" t="s">
        <v>1336</v>
      </c>
      <c r="P22" s="3" t="s">
        <v>1395</v>
      </c>
      <c r="Q22" s="3"/>
    </row>
    <row r="23" ht="12.75" customHeight="1">
      <c r="A23" s="3" t="s">
        <v>1512</v>
      </c>
      <c r="B23" s="3" t="s">
        <v>1513</v>
      </c>
      <c r="C23" s="3" t="s">
        <v>1514</v>
      </c>
      <c r="D23" s="3" t="s">
        <v>2716</v>
      </c>
      <c r="E23" s="3" t="s">
        <v>1482</v>
      </c>
      <c r="F23" s="3" t="s">
        <v>1329</v>
      </c>
      <c r="G23" s="3" t="s">
        <v>1333</v>
      </c>
      <c r="H23" s="3" t="s">
        <v>1381</v>
      </c>
      <c r="I23" s="3" t="s">
        <v>1362</v>
      </c>
      <c r="J23" s="3" t="s">
        <v>1336</v>
      </c>
      <c r="K23" s="3" t="s">
        <v>1328</v>
      </c>
      <c r="L23" s="3" t="s">
        <v>1336</v>
      </c>
      <c r="M23" s="3" t="s">
        <v>1336</v>
      </c>
      <c r="N23" s="3" t="s">
        <v>1336</v>
      </c>
      <c r="O23" s="3" t="s">
        <v>1328</v>
      </c>
      <c r="P23" s="3" t="s">
        <v>1350</v>
      </c>
    </row>
    <row r="24" ht="12.75" customHeight="1">
      <c r="A24" s="3" t="s">
        <v>1518</v>
      </c>
      <c r="B24" s="3" t="s">
        <v>1519</v>
      </c>
      <c r="C24" s="3" t="s">
        <v>1520</v>
      </c>
      <c r="D24" s="3" t="s">
        <v>3632</v>
      </c>
      <c r="E24" s="3" t="s">
        <v>1522</v>
      </c>
      <c r="F24" s="3" t="s">
        <v>1443</v>
      </c>
      <c r="G24" s="3" t="s">
        <v>1444</v>
      </c>
      <c r="H24" s="3" t="s">
        <v>1445</v>
      </c>
      <c r="I24" s="3" t="s">
        <v>1349</v>
      </c>
      <c r="J24" s="3" t="s">
        <v>1328</v>
      </c>
      <c r="K24" s="3" t="s">
        <v>1328</v>
      </c>
      <c r="L24" s="3" t="s">
        <v>1328</v>
      </c>
      <c r="M24" s="3" t="s">
        <v>1336</v>
      </c>
      <c r="N24" s="3" t="s">
        <v>1328</v>
      </c>
      <c r="O24" s="3" t="s">
        <v>1336</v>
      </c>
      <c r="P24" s="3" t="s">
        <v>1337</v>
      </c>
    </row>
    <row r="25" ht="12.75" customHeight="1">
      <c r="A25" s="3" t="s">
        <v>1526</v>
      </c>
      <c r="B25" s="3" t="s">
        <v>1527</v>
      </c>
      <c r="C25" s="3" t="s">
        <v>1528</v>
      </c>
      <c r="D25" s="3" t="s">
        <v>4920</v>
      </c>
      <c r="E25" s="3" t="s">
        <v>1410</v>
      </c>
      <c r="F25" s="3" t="s">
        <v>1329</v>
      </c>
      <c r="G25" s="3" t="s">
        <v>1333</v>
      </c>
      <c r="H25" s="3" t="s">
        <v>1348</v>
      </c>
      <c r="I25" s="3" t="s">
        <v>1530</v>
      </c>
      <c r="J25" s="3" t="s">
        <v>1336</v>
      </c>
      <c r="K25" s="3" t="s">
        <v>1328</v>
      </c>
      <c r="L25" s="3" t="s">
        <v>1328</v>
      </c>
      <c r="M25" s="3" t="s">
        <v>1328</v>
      </c>
      <c r="N25" s="3" t="s">
        <v>1328</v>
      </c>
      <c r="O25" s="3" t="s">
        <v>1336</v>
      </c>
      <c r="P25" s="3" t="s">
        <v>1350</v>
      </c>
    </row>
    <row r="26" ht="12.75" customHeight="1">
      <c r="A26" s="3" t="s">
        <v>1533</v>
      </c>
      <c r="B26" s="3" t="s">
        <v>1534</v>
      </c>
      <c r="C26" s="3" t="s">
        <v>1535</v>
      </c>
      <c r="D26" s="3" t="s">
        <v>3093</v>
      </c>
      <c r="E26" s="3" t="s">
        <v>1482</v>
      </c>
      <c r="F26" s="3" t="s">
        <v>1443</v>
      </c>
      <c r="G26" s="3" t="s">
        <v>1360</v>
      </c>
      <c r="H26" s="3" t="s">
        <v>1538</v>
      </c>
      <c r="I26" s="3" t="s">
        <v>1446</v>
      </c>
      <c r="J26" s="3" t="s">
        <v>1328</v>
      </c>
      <c r="K26" s="3" t="s">
        <v>1328</v>
      </c>
      <c r="L26" s="3" t="s">
        <v>1336</v>
      </c>
      <c r="M26" s="3" t="s">
        <v>1328</v>
      </c>
      <c r="N26" s="3" t="s">
        <v>1328</v>
      </c>
      <c r="O26" s="3" t="s">
        <v>1328</v>
      </c>
      <c r="P26" s="3" t="s">
        <v>1395</v>
      </c>
    </row>
    <row r="27" ht="12.75" customHeight="1">
      <c r="A27" s="3" t="s">
        <v>1541</v>
      </c>
      <c r="B27" s="3" t="s">
        <v>2949</v>
      </c>
      <c r="C27" s="3" t="s">
        <v>1543</v>
      </c>
      <c r="D27" s="3" t="s">
        <v>2966</v>
      </c>
      <c r="E27" s="3" t="s">
        <v>1545</v>
      </c>
      <c r="F27" s="3" t="s">
        <v>1329</v>
      </c>
      <c r="G27" s="3" t="s">
        <v>1333</v>
      </c>
      <c r="H27" s="3" t="s">
        <v>1361</v>
      </c>
      <c r="I27" s="3" t="s">
        <v>1362</v>
      </c>
      <c r="J27" s="3" t="s">
        <v>1328</v>
      </c>
      <c r="K27" s="3" t="s">
        <v>1328</v>
      </c>
      <c r="L27" s="3" t="s">
        <v>1336</v>
      </c>
      <c r="M27" s="3" t="s">
        <v>1336</v>
      </c>
      <c r="N27" s="3" t="s">
        <v>1328</v>
      </c>
      <c r="O27" s="3" t="s">
        <v>1336</v>
      </c>
      <c r="P27" s="3" t="s">
        <v>1404</v>
      </c>
    </row>
    <row r="28" ht="12.75" customHeight="1">
      <c r="A28" s="3" t="s">
        <v>1547</v>
      </c>
      <c r="B28" s="3" t="s">
        <v>3281</v>
      </c>
      <c r="C28" s="3" t="s">
        <v>1549</v>
      </c>
      <c r="D28" s="3" t="s">
        <v>3289</v>
      </c>
      <c r="E28" s="3" t="s">
        <v>1346</v>
      </c>
      <c r="F28" s="3" t="s">
        <v>1329</v>
      </c>
      <c r="G28" s="3" t="s">
        <v>1333</v>
      </c>
      <c r="H28" s="3" t="s">
        <v>1381</v>
      </c>
      <c r="I28" s="3" t="s">
        <v>1362</v>
      </c>
      <c r="J28" s="3" t="s">
        <v>1328</v>
      </c>
      <c r="K28" s="3" t="s">
        <v>1328</v>
      </c>
      <c r="L28" s="3" t="s">
        <v>1336</v>
      </c>
      <c r="M28" s="3" t="s">
        <v>1336</v>
      </c>
      <c r="N28" s="3" t="s">
        <v>1336</v>
      </c>
      <c r="O28" s="3" t="s">
        <v>1336</v>
      </c>
      <c r="P28" s="3" t="s">
        <v>1350</v>
      </c>
    </row>
    <row r="29" ht="12.75" customHeight="1">
      <c r="A29" s="3" t="s">
        <v>1553</v>
      </c>
      <c r="B29" s="3" t="s">
        <v>1554</v>
      </c>
      <c r="C29" s="3" t="s">
        <v>1555</v>
      </c>
      <c r="D29" s="3" t="s">
        <v>2997</v>
      </c>
      <c r="E29" s="3" t="s">
        <v>1482</v>
      </c>
      <c r="F29" s="3" t="s">
        <v>1329</v>
      </c>
      <c r="G29" s="3" t="s">
        <v>1333</v>
      </c>
      <c r="H29" s="3" t="s">
        <v>1348</v>
      </c>
      <c r="I29" s="3" t="s">
        <v>1362</v>
      </c>
      <c r="J29" s="3" t="s">
        <v>1328</v>
      </c>
      <c r="K29" s="3" t="s">
        <v>1328</v>
      </c>
      <c r="L29" s="3" t="s">
        <v>1336</v>
      </c>
      <c r="M29" s="3" t="s">
        <v>1336</v>
      </c>
      <c r="N29" s="3" t="s">
        <v>1336</v>
      </c>
      <c r="O29" s="3" t="s">
        <v>1336</v>
      </c>
      <c r="P29" s="3" t="s">
        <v>1395</v>
      </c>
    </row>
    <row r="30" ht="12.75" customHeight="1">
      <c r="A30" s="3" t="s">
        <v>1559</v>
      </c>
      <c r="B30" s="3" t="s">
        <v>3194</v>
      </c>
      <c r="C30" s="3" t="s">
        <v>1561</v>
      </c>
      <c r="D30" s="3" t="s">
        <v>3210</v>
      </c>
      <c r="E30" s="3" t="s">
        <v>1495</v>
      </c>
      <c r="F30" s="3" t="s">
        <v>1329</v>
      </c>
      <c r="G30" s="3" t="s">
        <v>1444</v>
      </c>
      <c r="H30" s="3" t="s">
        <v>1445</v>
      </c>
      <c r="I30" s="3" t="s">
        <v>1464</v>
      </c>
      <c r="J30" s="3" t="s">
        <v>1328</v>
      </c>
      <c r="K30" s="3" t="s">
        <v>1336</v>
      </c>
      <c r="L30" s="3" t="s">
        <v>1336</v>
      </c>
      <c r="M30" s="3" t="s">
        <v>1328</v>
      </c>
      <c r="N30" s="3" t="s">
        <v>1336</v>
      </c>
      <c r="O30" s="3" t="s">
        <v>1336</v>
      </c>
      <c r="P30" s="3" t="s">
        <v>1350</v>
      </c>
    </row>
    <row r="31" ht="12.75" customHeight="1">
      <c r="A31" s="3" t="s">
        <v>1564</v>
      </c>
      <c r="B31" s="3" t="s">
        <v>1565</v>
      </c>
      <c r="C31" s="3" t="s">
        <v>1566</v>
      </c>
      <c r="D31" s="3" t="s">
        <v>4022</v>
      </c>
      <c r="E31" s="3" t="s">
        <v>1346</v>
      </c>
      <c r="F31" s="3" t="s">
        <v>1329</v>
      </c>
      <c r="G31" s="3" t="s">
        <v>1333</v>
      </c>
      <c r="H31" s="3" t="s">
        <v>1361</v>
      </c>
      <c r="I31" s="3" t="s">
        <v>1362</v>
      </c>
      <c r="J31" s="3" t="s">
        <v>1328</v>
      </c>
      <c r="K31" s="3" t="s">
        <v>1336</v>
      </c>
      <c r="L31" s="3" t="s">
        <v>1328</v>
      </c>
      <c r="M31" s="3" t="s">
        <v>1336</v>
      </c>
      <c r="N31" s="3" t="s">
        <v>1336</v>
      </c>
      <c r="O31" s="3" t="s">
        <v>1336</v>
      </c>
      <c r="P31" s="3" t="s">
        <v>1350</v>
      </c>
    </row>
    <row r="32" ht="12.75" customHeight="1">
      <c r="A32" s="3" t="s">
        <v>1570</v>
      </c>
      <c r="B32" s="3" t="s">
        <v>1571</v>
      </c>
      <c r="C32" s="3" t="s">
        <v>1572</v>
      </c>
      <c r="D32" s="3" t="s">
        <v>4135</v>
      </c>
      <c r="E32" s="3" t="s">
        <v>1482</v>
      </c>
      <c r="F32" s="3" t="s">
        <v>1443</v>
      </c>
      <c r="G32" s="3" t="s">
        <v>1360</v>
      </c>
      <c r="H32" s="3" t="s">
        <v>1361</v>
      </c>
      <c r="I32" s="3" t="s">
        <v>1362</v>
      </c>
      <c r="J32" s="3" t="s">
        <v>1328</v>
      </c>
      <c r="K32" s="3" t="s">
        <v>1328</v>
      </c>
      <c r="L32" s="3" t="s">
        <v>1328</v>
      </c>
      <c r="M32" s="3" t="s">
        <v>1328</v>
      </c>
      <c r="N32" s="3" t="s">
        <v>1328</v>
      </c>
      <c r="O32" s="3" t="s">
        <v>1336</v>
      </c>
      <c r="P32" s="3" t="s">
        <v>1337</v>
      </c>
    </row>
    <row r="33" ht="12.75" customHeight="1">
      <c r="A33" s="3" t="s">
        <v>1576</v>
      </c>
      <c r="B33" s="3" t="s">
        <v>1577</v>
      </c>
      <c r="C33" s="3" t="s">
        <v>1578</v>
      </c>
      <c r="D33" s="3" t="s">
        <v>4077</v>
      </c>
      <c r="E33" s="3" t="s">
        <v>1580</v>
      </c>
      <c r="F33" s="3" t="s">
        <v>1329</v>
      </c>
      <c r="G33" s="3" t="s">
        <v>1333</v>
      </c>
      <c r="H33" s="3" t="s">
        <v>1348</v>
      </c>
      <c r="I33" s="3" t="s">
        <v>1530</v>
      </c>
      <c r="J33" s="3" t="s">
        <v>1336</v>
      </c>
      <c r="K33" s="3" t="s">
        <v>1328</v>
      </c>
      <c r="L33" s="3" t="s">
        <v>1336</v>
      </c>
      <c r="M33" s="3" t="s">
        <v>1328</v>
      </c>
      <c r="N33" s="3" t="s">
        <v>1328</v>
      </c>
      <c r="O33" s="3" t="s">
        <v>1328</v>
      </c>
      <c r="P33" s="3" t="s">
        <v>1350</v>
      </c>
    </row>
    <row r="34" ht="12.75" customHeight="1">
      <c r="A34" s="3" t="s">
        <v>1582</v>
      </c>
      <c r="B34" s="3" t="s">
        <v>1583</v>
      </c>
      <c r="C34" s="3" t="s">
        <v>1584</v>
      </c>
      <c r="D34" s="3" t="s">
        <v>4051</v>
      </c>
      <c r="E34" s="3" t="s">
        <v>1416</v>
      </c>
      <c r="F34" s="3" t="s">
        <v>1329</v>
      </c>
      <c r="G34" s="3" t="s">
        <v>1333</v>
      </c>
      <c r="H34" s="3" t="s">
        <v>1361</v>
      </c>
      <c r="I34" s="3" t="s">
        <v>1530</v>
      </c>
      <c r="J34" s="3" t="s">
        <v>1328</v>
      </c>
      <c r="K34" s="3" t="s">
        <v>1336</v>
      </c>
      <c r="L34" s="3" t="s">
        <v>1336</v>
      </c>
      <c r="M34" s="3" t="s">
        <v>1336</v>
      </c>
      <c r="N34" s="3" t="s">
        <v>1328</v>
      </c>
      <c r="O34" s="3" t="s">
        <v>1336</v>
      </c>
      <c r="P34" s="3" t="s">
        <v>1350</v>
      </c>
    </row>
    <row r="35" ht="12.75" customHeight="1">
      <c r="A35" s="3" t="s">
        <v>1588</v>
      </c>
      <c r="B35" s="3" t="s">
        <v>1589</v>
      </c>
      <c r="C35" s="3" t="s">
        <v>1590</v>
      </c>
      <c r="D35" s="3" t="s">
        <v>4634</v>
      </c>
      <c r="E35" s="3" t="s">
        <v>1326</v>
      </c>
      <c r="F35" s="3" t="s">
        <v>1329</v>
      </c>
      <c r="G35" s="3" t="s">
        <v>1444</v>
      </c>
      <c r="H35" s="3" t="s">
        <v>1476</v>
      </c>
      <c r="I35" s="3" t="s">
        <v>1446</v>
      </c>
      <c r="J35" s="3" t="s">
        <v>1328</v>
      </c>
      <c r="K35" s="3" t="s">
        <v>1328</v>
      </c>
      <c r="L35" s="3" t="s">
        <v>1328</v>
      </c>
      <c r="M35" s="3" t="s">
        <v>1328</v>
      </c>
      <c r="N35" s="3" t="s">
        <v>1328</v>
      </c>
      <c r="O35" s="3" t="s">
        <v>1328</v>
      </c>
      <c r="P35" s="3" t="s">
        <v>1395</v>
      </c>
    </row>
    <row r="36" ht="12.75" customHeight="1">
      <c r="A36" s="3" t="s">
        <v>1594</v>
      </c>
      <c r="B36" s="3" t="s">
        <v>4584</v>
      </c>
      <c r="C36" s="3" t="s">
        <v>1596</v>
      </c>
      <c r="D36" s="3" t="s">
        <v>4597</v>
      </c>
      <c r="E36" s="3" t="s">
        <v>1442</v>
      </c>
      <c r="F36" s="3" t="s">
        <v>1443</v>
      </c>
      <c r="G36" s="3" t="s">
        <v>1444</v>
      </c>
      <c r="H36" s="3" t="s">
        <v>1445</v>
      </c>
      <c r="I36" s="3" t="s">
        <v>1446</v>
      </c>
      <c r="J36" s="3" t="s">
        <v>1328</v>
      </c>
      <c r="K36" s="3" t="s">
        <v>1328</v>
      </c>
      <c r="L36" s="3" t="s">
        <v>1328</v>
      </c>
      <c r="M36" s="3" t="s">
        <v>1328</v>
      </c>
      <c r="N36" s="3" t="s">
        <v>1328</v>
      </c>
      <c r="O36" s="3" t="s">
        <v>1328</v>
      </c>
      <c r="P36" s="3" t="s">
        <v>1395</v>
      </c>
    </row>
    <row r="37" ht="12.75" customHeight="1">
      <c r="A37" s="3" t="s">
        <v>1599</v>
      </c>
      <c r="B37" s="3" t="s">
        <v>1600</v>
      </c>
      <c r="C37" s="3" t="s">
        <v>1601</v>
      </c>
      <c r="D37" s="3" t="s">
        <v>4501</v>
      </c>
      <c r="E37" s="3" t="s">
        <v>1482</v>
      </c>
      <c r="F37" s="3" t="s">
        <v>1329</v>
      </c>
      <c r="G37" s="3" t="s">
        <v>1333</v>
      </c>
      <c r="H37" s="3" t="s">
        <v>1334</v>
      </c>
      <c r="I37" s="3" t="s">
        <v>1362</v>
      </c>
      <c r="J37" s="3" t="s">
        <v>1336</v>
      </c>
      <c r="K37" s="3" t="s">
        <v>1328</v>
      </c>
      <c r="L37" s="3" t="s">
        <v>1336</v>
      </c>
      <c r="M37" s="3" t="s">
        <v>1336</v>
      </c>
      <c r="N37" s="3" t="s">
        <v>1336</v>
      </c>
      <c r="O37" s="3" t="s">
        <v>1328</v>
      </c>
      <c r="P37" s="3" t="s">
        <v>1350</v>
      </c>
    </row>
    <row r="38" ht="12.75" customHeight="1">
      <c r="A38" s="3" t="s">
        <v>1604</v>
      </c>
      <c r="B38" s="3" t="s">
        <v>4441</v>
      </c>
      <c r="C38" s="3" t="s">
        <v>1606</v>
      </c>
      <c r="D38" s="3" t="s">
        <v>4450</v>
      </c>
      <c r="E38" s="3" t="s">
        <v>1346</v>
      </c>
      <c r="F38" s="3" t="s">
        <v>1329</v>
      </c>
      <c r="G38" s="3" t="s">
        <v>1360</v>
      </c>
      <c r="H38" s="3" t="s">
        <v>1381</v>
      </c>
      <c r="I38" s="3" t="s">
        <v>1349</v>
      </c>
      <c r="J38" s="3" t="s">
        <v>1328</v>
      </c>
      <c r="K38" s="3" t="s">
        <v>1328</v>
      </c>
      <c r="L38" s="3" t="s">
        <v>1328</v>
      </c>
      <c r="M38" s="3" t="s">
        <v>1336</v>
      </c>
      <c r="N38" s="3" t="s">
        <v>1336</v>
      </c>
      <c r="O38" s="3" t="s">
        <v>1336</v>
      </c>
      <c r="P38" s="3" t="s">
        <v>1350</v>
      </c>
    </row>
    <row r="39" ht="12.75" customHeight="1">
      <c r="A39" s="3" t="s">
        <v>1610</v>
      </c>
      <c r="B39" s="3" t="s">
        <v>1611</v>
      </c>
      <c r="C39" s="3" t="s">
        <v>1612</v>
      </c>
      <c r="D39" s="3" t="s">
        <v>4662</v>
      </c>
      <c r="E39" s="3" t="s">
        <v>1614</v>
      </c>
      <c r="F39" s="3" t="s">
        <v>1329</v>
      </c>
      <c r="G39" s="3" t="s">
        <v>1333</v>
      </c>
      <c r="H39" s="3" t="s">
        <v>1381</v>
      </c>
      <c r="I39" s="3" t="s">
        <v>1362</v>
      </c>
      <c r="J39" s="3" t="s">
        <v>1336</v>
      </c>
      <c r="K39" s="3" t="s">
        <v>1328</v>
      </c>
      <c r="L39" s="3" t="s">
        <v>1328</v>
      </c>
      <c r="M39" s="3" t="s">
        <v>1336</v>
      </c>
      <c r="N39" s="3" t="s">
        <v>1336</v>
      </c>
      <c r="O39" s="3" t="s">
        <v>1336</v>
      </c>
      <c r="P39" s="3" t="s">
        <v>1404</v>
      </c>
    </row>
    <row r="40" ht="12.75" customHeight="1">
      <c r="A40" s="3" t="s">
        <v>1617</v>
      </c>
      <c r="B40" s="3" t="s">
        <v>4858</v>
      </c>
      <c r="C40" s="3" t="s">
        <v>1619</v>
      </c>
      <c r="D40" s="3" t="s">
        <v>4870</v>
      </c>
      <c r="E40" s="3" t="s">
        <v>1495</v>
      </c>
      <c r="F40" s="3" t="s">
        <v>1329</v>
      </c>
      <c r="G40" s="3" t="s">
        <v>1333</v>
      </c>
      <c r="H40" s="3" t="s">
        <v>1381</v>
      </c>
      <c r="I40" s="3" t="s">
        <v>1464</v>
      </c>
      <c r="J40" s="3" t="s">
        <v>1328</v>
      </c>
      <c r="K40" s="3" t="s">
        <v>1328</v>
      </c>
      <c r="L40" s="3" t="s">
        <v>1328</v>
      </c>
      <c r="M40" s="3" t="s">
        <v>1336</v>
      </c>
      <c r="N40" s="3" t="s">
        <v>1336</v>
      </c>
      <c r="O40" s="3" t="s">
        <v>1336</v>
      </c>
      <c r="P40" s="3" t="s">
        <v>1350</v>
      </c>
    </row>
    <row r="41" ht="12.75" customHeight="1">
      <c r="A41" s="3" t="s">
        <v>1622</v>
      </c>
      <c r="B41" s="3" t="s">
        <v>1623</v>
      </c>
      <c r="C41" s="3" t="s">
        <v>1624</v>
      </c>
      <c r="D41" s="3" t="s">
        <v>4254</v>
      </c>
      <c r="E41" s="3" t="s">
        <v>1495</v>
      </c>
      <c r="F41" s="3" t="s">
        <v>1329</v>
      </c>
      <c r="G41" s="3" t="s">
        <v>1333</v>
      </c>
      <c r="H41" s="3" t="s">
        <v>1361</v>
      </c>
      <c r="I41" s="3" t="s">
        <v>1530</v>
      </c>
      <c r="J41" s="3" t="s">
        <v>1336</v>
      </c>
      <c r="K41" s="3" t="s">
        <v>1328</v>
      </c>
      <c r="L41" s="3" t="s">
        <v>1336</v>
      </c>
      <c r="M41" s="3" t="s">
        <v>1336</v>
      </c>
      <c r="N41" s="3" t="s">
        <v>1328</v>
      </c>
      <c r="O41" s="3" t="s">
        <v>1328</v>
      </c>
      <c r="P41" s="3" t="s">
        <v>1350</v>
      </c>
    </row>
    <row r="42" ht="12.75" customHeight="1">
      <c r="A42" s="3" t="s">
        <v>1627</v>
      </c>
      <c r="B42" s="3" t="s">
        <v>1628</v>
      </c>
      <c r="C42" s="3" t="s">
        <v>1629</v>
      </c>
      <c r="D42" s="3" t="s">
        <v>4320</v>
      </c>
      <c r="E42" s="3" t="s">
        <v>1580</v>
      </c>
      <c r="F42" s="3" t="s">
        <v>1631</v>
      </c>
      <c r="G42" s="3" t="s">
        <v>1333</v>
      </c>
      <c r="H42" s="3" t="s">
        <v>1348</v>
      </c>
      <c r="I42" s="3" t="s">
        <v>1530</v>
      </c>
      <c r="J42" s="3" t="s">
        <v>1328</v>
      </c>
      <c r="K42" s="3" t="s">
        <v>1336</v>
      </c>
      <c r="L42" s="3" t="s">
        <v>1328</v>
      </c>
      <c r="M42" s="3" t="s">
        <v>1336</v>
      </c>
      <c r="N42" s="3" t="s">
        <v>1328</v>
      </c>
      <c r="O42" s="3" t="s">
        <v>1336</v>
      </c>
      <c r="P42" s="3" t="s">
        <v>1350</v>
      </c>
    </row>
    <row r="43" ht="12.75" customHeight="1">
      <c r="A43" s="3" t="s">
        <v>1635</v>
      </c>
      <c r="B43" s="3" t="s">
        <v>1636</v>
      </c>
      <c r="C43" s="3" t="s">
        <v>1637</v>
      </c>
      <c r="D43" s="3" t="s">
        <v>3671</v>
      </c>
      <c r="E43" s="3" t="s">
        <v>1358</v>
      </c>
      <c r="F43" s="3" t="s">
        <v>1631</v>
      </c>
      <c r="G43" s="3" t="s">
        <v>1333</v>
      </c>
      <c r="H43" s="3" t="s">
        <v>1381</v>
      </c>
      <c r="I43" s="3" t="s">
        <v>1362</v>
      </c>
      <c r="J43" s="3" t="s">
        <v>1328</v>
      </c>
      <c r="K43" s="3" t="s">
        <v>1328</v>
      </c>
      <c r="L43" s="3" t="s">
        <v>1336</v>
      </c>
      <c r="M43" s="3" t="s">
        <v>1336</v>
      </c>
      <c r="N43" s="3" t="s">
        <v>1336</v>
      </c>
      <c r="O43" s="3" t="s">
        <v>1336</v>
      </c>
      <c r="P43" s="3" t="s">
        <v>1350</v>
      </c>
    </row>
    <row r="44" ht="12.75" customHeight="1">
      <c r="A44" s="3" t="s">
        <v>1641</v>
      </c>
      <c r="B44" s="3" t="s">
        <v>2826</v>
      </c>
      <c r="C44" s="3" t="s">
        <v>1643</v>
      </c>
      <c r="D44" s="3" t="s">
        <v>2842</v>
      </c>
      <c r="E44" s="3" t="s">
        <v>1346</v>
      </c>
      <c r="F44" s="3" t="s">
        <v>1329</v>
      </c>
      <c r="G44" s="3" t="s">
        <v>1360</v>
      </c>
      <c r="H44" s="3" t="s">
        <v>1361</v>
      </c>
      <c r="I44" s="3" t="s">
        <v>1530</v>
      </c>
      <c r="J44" s="3" t="s">
        <v>1328</v>
      </c>
      <c r="K44" s="3" t="s">
        <v>1328</v>
      </c>
      <c r="L44" s="3" t="s">
        <v>1336</v>
      </c>
      <c r="M44" s="3" t="s">
        <v>1328</v>
      </c>
      <c r="N44" s="3" t="s">
        <v>1336</v>
      </c>
      <c r="O44" s="3" t="s">
        <v>1336</v>
      </c>
      <c r="P44" s="3" t="s">
        <v>1350</v>
      </c>
    </row>
    <row r="45" ht="12.75" customHeight="1">
      <c r="A45" s="3" t="s">
        <v>1646</v>
      </c>
      <c r="B45" s="3" t="s">
        <v>1647</v>
      </c>
      <c r="C45" s="3" t="s">
        <v>1648</v>
      </c>
      <c r="D45" s="3" t="s">
        <v>2929</v>
      </c>
      <c r="E45" s="3" t="s">
        <v>1346</v>
      </c>
      <c r="F45" s="3" t="s">
        <v>1463</v>
      </c>
      <c r="G45" s="3" t="s">
        <v>1444</v>
      </c>
      <c r="H45" s="3" t="s">
        <v>1445</v>
      </c>
      <c r="I45" s="3" t="s">
        <v>1362</v>
      </c>
      <c r="J45" s="3" t="s">
        <v>1336</v>
      </c>
      <c r="K45" s="3" t="s">
        <v>1328</v>
      </c>
      <c r="L45" s="3" t="s">
        <v>1336</v>
      </c>
      <c r="M45" s="3" t="s">
        <v>1336</v>
      </c>
      <c r="N45" s="3" t="s">
        <v>1328</v>
      </c>
      <c r="O45" s="3" t="s">
        <v>1328</v>
      </c>
      <c r="P45" s="3" t="s">
        <v>1350</v>
      </c>
    </row>
    <row r="46" ht="12.75" customHeight="1">
      <c r="A46" s="3" t="s">
        <v>1651</v>
      </c>
      <c r="B46" s="3" t="s">
        <v>1652</v>
      </c>
      <c r="C46" s="3" t="s">
        <v>1653</v>
      </c>
      <c r="D46" s="3" t="s">
        <v>3503</v>
      </c>
      <c r="E46" s="3" t="s">
        <v>1482</v>
      </c>
      <c r="F46" s="3" t="s">
        <v>1329</v>
      </c>
      <c r="G46" s="3" t="s">
        <v>1333</v>
      </c>
      <c r="H46" s="3" t="s">
        <v>1361</v>
      </c>
      <c r="I46" s="3" t="s">
        <v>1362</v>
      </c>
      <c r="J46" s="3" t="s">
        <v>1336</v>
      </c>
      <c r="K46" s="3" t="s">
        <v>1328</v>
      </c>
      <c r="L46" s="3" t="s">
        <v>1336</v>
      </c>
      <c r="M46" s="3" t="s">
        <v>1328</v>
      </c>
      <c r="N46" s="3" t="s">
        <v>1336</v>
      </c>
      <c r="O46" s="3" t="s">
        <v>1336</v>
      </c>
      <c r="P46" s="3" t="s">
        <v>1404</v>
      </c>
    </row>
    <row r="47" ht="12.75" customHeight="1">
      <c r="A47" s="3" t="s">
        <v>1656</v>
      </c>
      <c r="B47" s="3" t="s">
        <v>1657</v>
      </c>
      <c r="C47" s="3" t="s">
        <v>1658</v>
      </c>
      <c r="D47" s="3" t="s">
        <v>3534</v>
      </c>
      <c r="E47" s="3" t="s">
        <v>1495</v>
      </c>
      <c r="F47" s="3" t="s">
        <v>1463</v>
      </c>
      <c r="G47" s="3" t="s">
        <v>1660</v>
      </c>
      <c r="H47" s="3" t="s">
        <v>1361</v>
      </c>
      <c r="I47" s="3" t="s">
        <v>1362</v>
      </c>
      <c r="J47" s="3" t="s">
        <v>1328</v>
      </c>
      <c r="K47" s="3" t="s">
        <v>1336</v>
      </c>
      <c r="L47" s="3" t="s">
        <v>1328</v>
      </c>
      <c r="M47" s="3" t="s">
        <v>1336</v>
      </c>
      <c r="N47" s="3" t="s">
        <v>1328</v>
      </c>
      <c r="O47" s="3" t="s">
        <v>1336</v>
      </c>
      <c r="P47" s="3" t="s">
        <v>1350</v>
      </c>
    </row>
    <row r="48" ht="12.75" customHeight="1">
      <c r="A48" s="3" t="s">
        <v>1662</v>
      </c>
      <c r="B48" s="3" t="s">
        <v>1663</v>
      </c>
      <c r="C48" s="3" t="s">
        <v>1664</v>
      </c>
      <c r="D48" s="3" t="s">
        <v>3577</v>
      </c>
      <c r="E48" s="3" t="s">
        <v>1666</v>
      </c>
      <c r="F48" s="3" t="s">
        <v>1329</v>
      </c>
      <c r="G48" s="3" t="s">
        <v>1360</v>
      </c>
      <c r="H48" s="3" t="s">
        <v>1381</v>
      </c>
      <c r="I48" s="3" t="s">
        <v>1362</v>
      </c>
      <c r="J48" s="3" t="s">
        <v>1328</v>
      </c>
      <c r="K48" s="3" t="s">
        <v>1328</v>
      </c>
      <c r="L48" s="3" t="s">
        <v>1336</v>
      </c>
      <c r="M48" s="3" t="s">
        <v>1336</v>
      </c>
      <c r="N48" s="3" t="s">
        <v>1328</v>
      </c>
      <c r="O48" s="3" t="s">
        <v>1336</v>
      </c>
      <c r="P48" s="3" t="s">
        <v>1350</v>
      </c>
    </row>
    <row r="49" ht="12.75" customHeight="1">
      <c r="A49" s="3" t="s">
        <v>1668</v>
      </c>
      <c r="B49" s="3" t="s">
        <v>1669</v>
      </c>
      <c r="C49" s="3" t="s">
        <v>1670</v>
      </c>
      <c r="D49" s="3" t="s">
        <v>3773</v>
      </c>
      <c r="E49" s="3" t="s">
        <v>1358</v>
      </c>
      <c r="F49" s="3" t="s">
        <v>1329</v>
      </c>
      <c r="G49" s="3" t="s">
        <v>1333</v>
      </c>
      <c r="H49" s="3" t="s">
        <v>1381</v>
      </c>
      <c r="I49" s="3" t="s">
        <v>1362</v>
      </c>
      <c r="J49" s="3" t="s">
        <v>1328</v>
      </c>
      <c r="K49" s="3" t="s">
        <v>1328</v>
      </c>
      <c r="L49" s="3" t="s">
        <v>1336</v>
      </c>
      <c r="M49" s="3" t="s">
        <v>1336</v>
      </c>
      <c r="N49" s="3" t="s">
        <v>1336</v>
      </c>
      <c r="O49" s="3" t="s">
        <v>1336</v>
      </c>
      <c r="P49" s="3" t="s">
        <v>1350</v>
      </c>
    </row>
    <row r="50" ht="12.75" customHeight="1">
      <c r="A50" s="3" t="s">
        <v>1673</v>
      </c>
      <c r="B50" s="3" t="s">
        <v>1674</v>
      </c>
      <c r="C50" s="3" t="s">
        <v>1675</v>
      </c>
      <c r="D50" s="3" t="s">
        <v>3030</v>
      </c>
      <c r="E50" s="3" t="s">
        <v>1416</v>
      </c>
      <c r="F50" s="3" t="s">
        <v>1329</v>
      </c>
      <c r="G50" s="3" t="s">
        <v>1360</v>
      </c>
      <c r="H50" s="3" t="s">
        <v>1361</v>
      </c>
      <c r="I50" s="3" t="s">
        <v>1530</v>
      </c>
      <c r="J50" s="3" t="s">
        <v>1328</v>
      </c>
      <c r="K50" s="3" t="s">
        <v>1336</v>
      </c>
      <c r="L50" s="3" t="s">
        <v>1328</v>
      </c>
      <c r="M50" s="3" t="s">
        <v>1336</v>
      </c>
      <c r="N50" s="3" t="s">
        <v>1336</v>
      </c>
      <c r="O50" s="3" t="s">
        <v>1336</v>
      </c>
      <c r="P50" s="3" t="s">
        <v>1350</v>
      </c>
    </row>
    <row r="51" ht="12.75" customHeight="1">
      <c r="A51" s="3" t="s">
        <v>1678</v>
      </c>
      <c r="B51" s="3" t="s">
        <v>3750</v>
      </c>
      <c r="C51" s="3" t="s">
        <v>1680</v>
      </c>
      <c r="D51" s="3" t="s">
        <v>3761</v>
      </c>
      <c r="E51" s="3" t="s">
        <v>1545</v>
      </c>
      <c r="F51" s="3" t="s">
        <v>1329</v>
      </c>
      <c r="G51" s="3" t="s">
        <v>1333</v>
      </c>
      <c r="H51" s="3" t="s">
        <v>1361</v>
      </c>
      <c r="I51" s="3" t="s">
        <v>1530</v>
      </c>
      <c r="J51" s="3" t="s">
        <v>1328</v>
      </c>
      <c r="K51" s="3" t="s">
        <v>1336</v>
      </c>
      <c r="L51" s="3" t="s">
        <v>1328</v>
      </c>
      <c r="M51" s="3" t="s">
        <v>1336</v>
      </c>
      <c r="N51" s="3" t="s">
        <v>1328</v>
      </c>
      <c r="O51" s="3" t="s">
        <v>1336</v>
      </c>
      <c r="P51" s="3" t="s">
        <v>1350</v>
      </c>
    </row>
    <row r="52" ht="12.75" customHeight="1">
      <c r="A52" s="3" t="s">
        <v>1683</v>
      </c>
      <c r="B52" s="3" t="s">
        <v>1684</v>
      </c>
      <c r="C52" s="3" t="s">
        <v>1685</v>
      </c>
      <c r="D52" s="3" t="s">
        <v>3784</v>
      </c>
      <c r="E52" s="3" t="s">
        <v>1580</v>
      </c>
      <c r="F52" s="3" t="s">
        <v>1329</v>
      </c>
      <c r="G52" s="3" t="s">
        <v>1333</v>
      </c>
      <c r="H52" s="3" t="s">
        <v>1348</v>
      </c>
      <c r="I52" s="3" t="s">
        <v>1464</v>
      </c>
      <c r="J52" s="3" t="s">
        <v>1336</v>
      </c>
      <c r="K52" s="3" t="s">
        <v>1328</v>
      </c>
      <c r="L52" s="3" t="s">
        <v>1336</v>
      </c>
      <c r="M52" s="3" t="s">
        <v>1336</v>
      </c>
      <c r="N52" s="3" t="s">
        <v>1328</v>
      </c>
      <c r="O52" s="3" t="s">
        <v>1336</v>
      </c>
      <c r="P52" s="3" t="s">
        <v>1350</v>
      </c>
    </row>
    <row r="53" ht="12.75" customHeight="1">
      <c r="A53" s="3" t="s">
        <v>1689</v>
      </c>
      <c r="B53" s="3" t="s">
        <v>1690</v>
      </c>
      <c r="C53" s="3" t="s">
        <v>1691</v>
      </c>
      <c r="D53" s="3" t="s">
        <v>2673</v>
      </c>
      <c r="E53" s="3" t="s">
        <v>1580</v>
      </c>
      <c r="F53" s="3" t="s">
        <v>1329</v>
      </c>
      <c r="G53" s="3" t="s">
        <v>1360</v>
      </c>
      <c r="H53" s="3" t="s">
        <v>1361</v>
      </c>
      <c r="I53" s="3" t="s">
        <v>1349</v>
      </c>
      <c r="J53" s="3" t="s">
        <v>1328</v>
      </c>
      <c r="K53" s="3" t="s">
        <v>1336</v>
      </c>
      <c r="L53" s="3" t="s">
        <v>1328</v>
      </c>
      <c r="M53" s="3" t="s">
        <v>1336</v>
      </c>
      <c r="N53" s="3" t="s">
        <v>1336</v>
      </c>
      <c r="O53" s="3" t="s">
        <v>1336</v>
      </c>
      <c r="P53" s="3" t="s">
        <v>1350</v>
      </c>
    </row>
    <row r="54" ht="12.75" customHeight="1">
      <c r="A54" s="3" t="s">
        <v>1694</v>
      </c>
      <c r="B54" s="3" t="s">
        <v>2741</v>
      </c>
      <c r="C54" s="3" t="s">
        <v>1696</v>
      </c>
      <c r="D54" s="3" t="s">
        <v>2756</v>
      </c>
      <c r="E54" s="3" t="s">
        <v>1666</v>
      </c>
      <c r="F54" s="3" t="s">
        <v>1329</v>
      </c>
      <c r="G54" s="3" t="s">
        <v>1333</v>
      </c>
      <c r="H54" s="3" t="s">
        <v>1348</v>
      </c>
      <c r="I54" s="3" t="s">
        <v>1362</v>
      </c>
      <c r="J54" s="3" t="s">
        <v>1328</v>
      </c>
      <c r="K54" s="3" t="s">
        <v>1336</v>
      </c>
      <c r="L54" s="3" t="s">
        <v>1336</v>
      </c>
      <c r="M54" s="3" t="s">
        <v>1328</v>
      </c>
      <c r="N54" s="3" t="s">
        <v>1336</v>
      </c>
      <c r="O54" s="3" t="s">
        <v>1328</v>
      </c>
      <c r="P54" s="3" t="s">
        <v>1350</v>
      </c>
    </row>
    <row r="55" ht="12.75" customHeight="1">
      <c r="A55" s="3" t="s">
        <v>1700</v>
      </c>
      <c r="B55" s="3" t="s">
        <v>1701</v>
      </c>
      <c r="C55" s="3" t="s">
        <v>1702</v>
      </c>
      <c r="D55" s="3" t="s">
        <v>3151</v>
      </c>
      <c r="E55" s="3" t="s">
        <v>1326</v>
      </c>
      <c r="F55" s="3" t="s">
        <v>1443</v>
      </c>
      <c r="G55" s="3" t="s">
        <v>1444</v>
      </c>
      <c r="H55" s="3" t="s">
        <v>1445</v>
      </c>
      <c r="I55" s="3" t="s">
        <v>1446</v>
      </c>
      <c r="J55" s="3" t="s">
        <v>1328</v>
      </c>
      <c r="K55" s="3" t="s">
        <v>1328</v>
      </c>
      <c r="L55" s="3" t="s">
        <v>1328</v>
      </c>
      <c r="M55" s="3" t="s">
        <v>1328</v>
      </c>
      <c r="N55" s="3" t="s">
        <v>1328</v>
      </c>
      <c r="O55" s="3" t="s">
        <v>1336</v>
      </c>
      <c r="P55" s="3" t="s">
        <v>1395</v>
      </c>
    </row>
    <row r="56" ht="12.75" customHeight="1">
      <c r="A56" s="3" t="s">
        <v>1705</v>
      </c>
      <c r="B56" s="3" t="s">
        <v>1706</v>
      </c>
      <c r="C56" s="3" t="s">
        <v>1707</v>
      </c>
      <c r="D56" s="3" t="s">
        <v>3436</v>
      </c>
      <c r="E56" s="3" t="s">
        <v>1402</v>
      </c>
      <c r="F56" s="3" t="s">
        <v>1329</v>
      </c>
      <c r="G56" s="3" t="s">
        <v>1333</v>
      </c>
      <c r="H56" s="3" t="s">
        <v>1381</v>
      </c>
      <c r="I56" s="3" t="s">
        <v>1349</v>
      </c>
      <c r="J56" s="3" t="s">
        <v>1336</v>
      </c>
      <c r="K56" s="3" t="s">
        <v>1336</v>
      </c>
      <c r="L56" s="3" t="s">
        <v>1328</v>
      </c>
      <c r="M56" s="3" t="s">
        <v>1336</v>
      </c>
      <c r="N56" s="3" t="s">
        <v>1328</v>
      </c>
      <c r="O56" s="3" t="s">
        <v>1336</v>
      </c>
      <c r="P56" s="3" t="s">
        <v>1350</v>
      </c>
    </row>
    <row r="57" ht="12.75" customHeight="1">
      <c r="A57" s="3" t="s">
        <v>1710</v>
      </c>
      <c r="B57" s="3" t="s">
        <v>2563</v>
      </c>
      <c r="C57" s="3" t="s">
        <v>1712</v>
      </c>
      <c r="D57" s="3" t="s">
        <v>2580</v>
      </c>
      <c r="E57" s="3" t="s">
        <v>1482</v>
      </c>
      <c r="F57" s="3" t="s">
        <v>1329</v>
      </c>
      <c r="G57" s="3" t="s">
        <v>1333</v>
      </c>
      <c r="H57" s="3" t="s">
        <v>1381</v>
      </c>
      <c r="I57" s="3" t="s">
        <v>1362</v>
      </c>
      <c r="J57" s="3" t="s">
        <v>1336</v>
      </c>
      <c r="K57" s="3" t="s">
        <v>1336</v>
      </c>
      <c r="L57" s="3" t="s">
        <v>1328</v>
      </c>
      <c r="M57" s="3" t="s">
        <v>1336</v>
      </c>
      <c r="N57" s="3" t="s">
        <v>1336</v>
      </c>
      <c r="O57" s="3" t="s">
        <v>1328</v>
      </c>
      <c r="P57" s="3" t="s">
        <v>1350</v>
      </c>
    </row>
    <row r="58" ht="12.75" customHeight="1">
      <c r="A58" s="3" t="s">
        <v>1715</v>
      </c>
      <c r="B58" s="3" t="s">
        <v>1716</v>
      </c>
      <c r="C58" s="3" t="s">
        <v>1717</v>
      </c>
      <c r="D58" s="3" t="s">
        <v>4381</v>
      </c>
      <c r="E58" s="3" t="s">
        <v>1442</v>
      </c>
      <c r="F58" s="3" t="s">
        <v>1443</v>
      </c>
      <c r="G58" s="3" t="s">
        <v>1444</v>
      </c>
      <c r="H58" s="3" t="s">
        <v>1445</v>
      </c>
      <c r="I58" s="3" t="s">
        <v>1446</v>
      </c>
      <c r="J58" s="3" t="s">
        <v>1328</v>
      </c>
      <c r="K58" s="3" t="s">
        <v>1328</v>
      </c>
      <c r="L58" s="3" t="s">
        <v>1328</v>
      </c>
      <c r="M58" s="3" t="s">
        <v>1328</v>
      </c>
      <c r="N58" s="3" t="s">
        <v>1328</v>
      </c>
      <c r="O58" s="3" t="s">
        <v>1328</v>
      </c>
      <c r="P58" s="3" t="s">
        <v>1395</v>
      </c>
    </row>
    <row r="59" ht="12.75" customHeight="1">
      <c r="A59" s="3" t="s">
        <v>1720</v>
      </c>
      <c r="B59" s="3" t="s">
        <v>1721</v>
      </c>
      <c r="C59" s="3" t="s">
        <v>1722</v>
      </c>
      <c r="D59" s="3" t="s">
        <v>4483</v>
      </c>
      <c r="E59" s="3" t="s">
        <v>1482</v>
      </c>
      <c r="F59" s="3" t="s">
        <v>1443</v>
      </c>
      <c r="G59" s="3" t="s">
        <v>1444</v>
      </c>
      <c r="H59" s="3" t="s">
        <v>1476</v>
      </c>
      <c r="I59" s="3" t="s">
        <v>1362</v>
      </c>
      <c r="J59" s="3" t="s">
        <v>1328</v>
      </c>
      <c r="K59" s="3" t="s">
        <v>1328</v>
      </c>
      <c r="L59" s="3" t="s">
        <v>1328</v>
      </c>
      <c r="M59" s="3" t="s">
        <v>1328</v>
      </c>
      <c r="N59" s="3" t="s">
        <v>1336</v>
      </c>
      <c r="O59" s="3" t="s">
        <v>1336</v>
      </c>
      <c r="P59" s="3" t="s">
        <v>1337</v>
      </c>
    </row>
    <row r="60" ht="12.75" customHeight="1">
      <c r="A60" s="3" t="s">
        <v>1726</v>
      </c>
      <c r="B60" s="3" t="s">
        <v>1727</v>
      </c>
      <c r="C60" s="3" t="s">
        <v>1728</v>
      </c>
      <c r="D60" s="3" t="s">
        <v>4541</v>
      </c>
      <c r="E60" s="3" t="s">
        <v>1410</v>
      </c>
      <c r="F60" s="3" t="s">
        <v>1329</v>
      </c>
      <c r="G60" s="3" t="s">
        <v>1333</v>
      </c>
      <c r="H60" s="3" t="s">
        <v>1361</v>
      </c>
      <c r="I60" s="3" t="s">
        <v>1349</v>
      </c>
      <c r="J60" s="3" t="s">
        <v>1328</v>
      </c>
      <c r="K60" s="3" t="s">
        <v>1336</v>
      </c>
      <c r="L60" s="3" t="s">
        <v>1328</v>
      </c>
      <c r="M60" s="3" t="s">
        <v>1336</v>
      </c>
      <c r="N60" s="3" t="s">
        <v>1336</v>
      </c>
      <c r="O60" s="3" t="s">
        <v>1336</v>
      </c>
      <c r="P60" s="3" t="s">
        <v>1350</v>
      </c>
    </row>
    <row r="61" ht="12.75" customHeight="1">
      <c r="A61" s="3" t="s">
        <v>1732</v>
      </c>
      <c r="B61" s="3" t="s">
        <v>1733</v>
      </c>
      <c r="C61" s="3" t="s">
        <v>1734</v>
      </c>
      <c r="D61" s="3" t="s">
        <v>3746</v>
      </c>
      <c r="E61" s="3" t="s">
        <v>1346</v>
      </c>
      <c r="F61" s="3" t="s">
        <v>1329</v>
      </c>
      <c r="G61" s="3" t="s">
        <v>1333</v>
      </c>
      <c r="H61" s="3" t="s">
        <v>1361</v>
      </c>
      <c r="I61" s="3" t="s">
        <v>1349</v>
      </c>
      <c r="J61" s="3" t="s">
        <v>1328</v>
      </c>
      <c r="K61" s="3" t="s">
        <v>1336</v>
      </c>
      <c r="L61" s="3" t="s">
        <v>1328</v>
      </c>
      <c r="M61" s="3" t="s">
        <v>1336</v>
      </c>
      <c r="N61" s="3" t="s">
        <v>1328</v>
      </c>
      <c r="O61" s="3" t="s">
        <v>1336</v>
      </c>
      <c r="P61" s="3" t="s">
        <v>1350</v>
      </c>
    </row>
    <row r="62" ht="12.75" customHeight="1">
      <c r="A62" s="3" t="s">
        <v>1737</v>
      </c>
      <c r="B62" s="3" t="s">
        <v>1738</v>
      </c>
      <c r="C62" s="3" t="s">
        <v>1739</v>
      </c>
      <c r="D62" s="3" t="s">
        <v>4240</v>
      </c>
      <c r="E62" s="3" t="s">
        <v>1545</v>
      </c>
      <c r="F62" s="3" t="s">
        <v>1329</v>
      </c>
      <c r="G62" s="3" t="s">
        <v>1360</v>
      </c>
      <c r="H62" s="3" t="s">
        <v>1361</v>
      </c>
      <c r="I62" s="3" t="s">
        <v>1349</v>
      </c>
      <c r="J62" s="3" t="s">
        <v>1328</v>
      </c>
      <c r="K62" s="3" t="s">
        <v>1336</v>
      </c>
      <c r="L62" s="3" t="s">
        <v>1336</v>
      </c>
      <c r="M62" s="3" t="s">
        <v>1336</v>
      </c>
      <c r="N62" s="3" t="s">
        <v>1328</v>
      </c>
      <c r="O62" s="3" t="s">
        <v>1336</v>
      </c>
      <c r="P62" s="3" t="s">
        <v>1350</v>
      </c>
    </row>
    <row r="63" ht="12.75" customHeight="1">
      <c r="A63" s="3" t="s">
        <v>1743</v>
      </c>
      <c r="B63" s="3" t="s">
        <v>1744</v>
      </c>
      <c r="C63" s="3" t="s">
        <v>1745</v>
      </c>
      <c r="D63" s="3" t="s">
        <v>4521</v>
      </c>
      <c r="E63" s="3" t="s">
        <v>1402</v>
      </c>
      <c r="F63" s="3" t="s">
        <v>1443</v>
      </c>
      <c r="G63" s="3" t="s">
        <v>1360</v>
      </c>
      <c r="H63" s="3" t="s">
        <v>1348</v>
      </c>
      <c r="I63" s="3" t="s">
        <v>1349</v>
      </c>
      <c r="J63" s="3" t="s">
        <v>1328</v>
      </c>
      <c r="K63" s="3" t="s">
        <v>1328</v>
      </c>
      <c r="L63" s="3" t="s">
        <v>1328</v>
      </c>
      <c r="M63" s="3" t="s">
        <v>1336</v>
      </c>
      <c r="N63" s="3" t="s">
        <v>1336</v>
      </c>
      <c r="O63" s="3" t="s">
        <v>1336</v>
      </c>
      <c r="P63" s="3" t="s">
        <v>1395</v>
      </c>
    </row>
    <row r="64" ht="12.75" customHeight="1">
      <c r="A64" s="3" t="s">
        <v>1748</v>
      </c>
      <c r="B64" s="3" t="s">
        <v>1749</v>
      </c>
      <c r="C64" s="3" t="s">
        <v>1750</v>
      </c>
      <c r="D64" s="3" t="s">
        <v>2599</v>
      </c>
      <c r="E64" s="3" t="s">
        <v>1614</v>
      </c>
      <c r="F64" s="3" t="s">
        <v>1329</v>
      </c>
      <c r="G64" s="3" t="s">
        <v>1444</v>
      </c>
      <c r="H64" s="3" t="s">
        <v>1476</v>
      </c>
      <c r="I64" s="3" t="s">
        <v>1362</v>
      </c>
      <c r="J64" s="3" t="s">
        <v>1336</v>
      </c>
      <c r="K64" s="3" t="s">
        <v>1328</v>
      </c>
      <c r="L64" s="3" t="s">
        <v>1328</v>
      </c>
      <c r="M64" s="3" t="s">
        <v>1336</v>
      </c>
      <c r="N64" s="3" t="s">
        <v>1336</v>
      </c>
      <c r="O64" s="3" t="s">
        <v>1336</v>
      </c>
      <c r="P64" s="3" t="s">
        <v>1350</v>
      </c>
    </row>
    <row r="65" ht="12.75" customHeight="1">
      <c r="A65" s="3" t="s">
        <v>1753</v>
      </c>
      <c r="B65" s="3" t="s">
        <v>1754</v>
      </c>
      <c r="C65" s="3" t="s">
        <v>1755</v>
      </c>
      <c r="D65" s="3" t="s">
        <v>2634</v>
      </c>
      <c r="E65" s="3" t="s">
        <v>1614</v>
      </c>
      <c r="F65" s="3" t="s">
        <v>1329</v>
      </c>
      <c r="G65" s="3" t="s">
        <v>1360</v>
      </c>
      <c r="H65" s="3" t="s">
        <v>1348</v>
      </c>
      <c r="I65" s="3" t="s">
        <v>1464</v>
      </c>
      <c r="J65" s="3" t="s">
        <v>1336</v>
      </c>
      <c r="K65" s="3" t="s">
        <v>1336</v>
      </c>
      <c r="L65" s="3" t="s">
        <v>1328</v>
      </c>
      <c r="M65" s="3" t="s">
        <v>1336</v>
      </c>
      <c r="N65" s="3" t="s">
        <v>1336</v>
      </c>
      <c r="O65" s="3" t="s">
        <v>1328</v>
      </c>
      <c r="P65" s="3" t="s">
        <v>1395</v>
      </c>
    </row>
    <row r="66" ht="12.75" customHeight="1">
      <c r="A66" s="3" t="s">
        <v>1758</v>
      </c>
      <c r="B66" s="3" t="s">
        <v>1759</v>
      </c>
      <c r="C66" s="3" t="s">
        <v>1760</v>
      </c>
      <c r="D66" s="3" t="s">
        <v>4089</v>
      </c>
      <c r="E66" s="3" t="s">
        <v>1614</v>
      </c>
      <c r="F66" s="3" t="s">
        <v>1329</v>
      </c>
      <c r="G66" s="3" t="s">
        <v>1333</v>
      </c>
      <c r="H66" s="3" t="s">
        <v>1334</v>
      </c>
      <c r="I66" s="3" t="s">
        <v>1362</v>
      </c>
      <c r="J66" s="3" t="s">
        <v>1336</v>
      </c>
      <c r="K66" s="3" t="s">
        <v>1328</v>
      </c>
      <c r="L66" s="3" t="s">
        <v>1328</v>
      </c>
      <c r="M66" s="3" t="s">
        <v>1328</v>
      </c>
      <c r="N66" s="3" t="s">
        <v>1336</v>
      </c>
      <c r="O66" s="3" t="s">
        <v>1336</v>
      </c>
      <c r="P66" s="3" t="s">
        <v>1350</v>
      </c>
    </row>
    <row r="67" ht="12.75" customHeight="1">
      <c r="A67" s="3" t="s">
        <v>1764</v>
      </c>
      <c r="B67" s="3" t="s">
        <v>1765</v>
      </c>
      <c r="C67" s="3" t="s">
        <v>1766</v>
      </c>
      <c r="D67" s="3" t="s">
        <v>4820</v>
      </c>
      <c r="E67" s="3" t="s">
        <v>1522</v>
      </c>
      <c r="F67" s="3" t="s">
        <v>1443</v>
      </c>
      <c r="G67" s="3" t="s">
        <v>1360</v>
      </c>
      <c r="H67" s="3" t="s">
        <v>1348</v>
      </c>
      <c r="I67" s="3" t="s">
        <v>1530</v>
      </c>
      <c r="J67" s="3" t="s">
        <v>1336</v>
      </c>
      <c r="K67" s="3" t="s">
        <v>1328</v>
      </c>
      <c r="L67" s="3" t="s">
        <v>1328</v>
      </c>
      <c r="M67" s="3" t="s">
        <v>1328</v>
      </c>
      <c r="N67" s="3" t="s">
        <v>1328</v>
      </c>
      <c r="O67" s="3" t="s">
        <v>1336</v>
      </c>
      <c r="P67" s="3" t="s">
        <v>1395</v>
      </c>
    </row>
    <row r="68" ht="12.75" customHeight="1">
      <c r="A68" s="3" t="s">
        <v>1770</v>
      </c>
      <c r="B68" s="3" t="s">
        <v>1771</v>
      </c>
      <c r="C68" s="3" t="s">
        <v>1772</v>
      </c>
      <c r="D68" s="3" t="s">
        <v>3190</v>
      </c>
      <c r="E68" s="3" t="s">
        <v>1580</v>
      </c>
      <c r="F68" s="3" t="s">
        <v>1329</v>
      </c>
      <c r="G68" s="3" t="s">
        <v>1333</v>
      </c>
      <c r="H68" s="3" t="s">
        <v>1348</v>
      </c>
      <c r="I68" s="3" t="s">
        <v>1530</v>
      </c>
      <c r="J68" s="3" t="s">
        <v>1336</v>
      </c>
      <c r="K68" s="3" t="s">
        <v>1336</v>
      </c>
      <c r="L68" s="3" t="s">
        <v>1328</v>
      </c>
      <c r="M68" s="3" t="s">
        <v>1336</v>
      </c>
      <c r="N68" s="3" t="s">
        <v>1328</v>
      </c>
      <c r="O68" s="3" t="s">
        <v>1336</v>
      </c>
      <c r="P68" s="3" t="s">
        <v>1350</v>
      </c>
    </row>
    <row r="69" ht="12.75" customHeight="1">
      <c r="A69" s="3" t="s">
        <v>1775</v>
      </c>
      <c r="B69" s="3" t="s">
        <v>1776</v>
      </c>
      <c r="C69" s="3" t="s">
        <v>1777</v>
      </c>
      <c r="D69" s="3" t="s">
        <v>2800</v>
      </c>
      <c r="E69" s="3" t="s">
        <v>1580</v>
      </c>
      <c r="F69" s="3" t="s">
        <v>1329</v>
      </c>
      <c r="G69" s="3" t="s">
        <v>1360</v>
      </c>
      <c r="H69" s="3" t="s">
        <v>1348</v>
      </c>
      <c r="I69" s="3" t="s">
        <v>1349</v>
      </c>
      <c r="J69" s="3" t="s">
        <v>1328</v>
      </c>
      <c r="K69" s="3" t="s">
        <v>1336</v>
      </c>
      <c r="L69" s="3" t="s">
        <v>1328</v>
      </c>
      <c r="M69" s="3" t="s">
        <v>1336</v>
      </c>
      <c r="N69" s="3" t="s">
        <v>1336</v>
      </c>
      <c r="O69" s="3" t="s">
        <v>1328</v>
      </c>
      <c r="P69" s="3" t="s">
        <v>1350</v>
      </c>
    </row>
    <row r="70" ht="12.75" customHeight="1">
      <c r="A70" s="3" t="s">
        <v>1781</v>
      </c>
      <c r="B70" s="3" t="s">
        <v>1782</v>
      </c>
      <c r="C70" s="3" t="s">
        <v>1783</v>
      </c>
      <c r="D70" s="3" t="s">
        <v>4471</v>
      </c>
      <c r="E70" s="3" t="s">
        <v>1482</v>
      </c>
      <c r="F70" s="3" t="s">
        <v>1329</v>
      </c>
      <c r="G70" s="3" t="s">
        <v>1333</v>
      </c>
      <c r="H70" s="3" t="s">
        <v>1381</v>
      </c>
      <c r="I70" s="3" t="s">
        <v>1362</v>
      </c>
      <c r="J70" s="3" t="s">
        <v>1328</v>
      </c>
      <c r="K70" s="3" t="s">
        <v>1328</v>
      </c>
      <c r="L70" s="3" t="s">
        <v>1336</v>
      </c>
      <c r="M70" s="3" t="s">
        <v>1336</v>
      </c>
      <c r="N70" s="3" t="s">
        <v>1336</v>
      </c>
      <c r="O70" s="3" t="s">
        <v>1328</v>
      </c>
      <c r="P70" s="3" t="s">
        <v>1350</v>
      </c>
    </row>
    <row r="71" ht="12.75" customHeight="1">
      <c r="A71" s="3" t="s">
        <v>1786</v>
      </c>
      <c r="B71" s="3" t="s">
        <v>4955</v>
      </c>
      <c r="C71" s="3" t="s">
        <v>1788</v>
      </c>
      <c r="D71" s="3" t="s">
        <v>4963</v>
      </c>
      <c r="E71" s="3" t="s">
        <v>1614</v>
      </c>
      <c r="F71" s="3" t="s">
        <v>1329</v>
      </c>
      <c r="G71" s="3" t="s">
        <v>1360</v>
      </c>
      <c r="H71" s="3" t="s">
        <v>1348</v>
      </c>
      <c r="I71" s="3" t="s">
        <v>1362</v>
      </c>
      <c r="J71" s="3" t="s">
        <v>1336</v>
      </c>
      <c r="K71" s="3" t="s">
        <v>1328</v>
      </c>
      <c r="L71" s="3" t="s">
        <v>1328</v>
      </c>
      <c r="M71" s="3" t="s">
        <v>1336</v>
      </c>
      <c r="N71" s="3" t="s">
        <v>1328</v>
      </c>
      <c r="O71" s="3" t="s">
        <v>1336</v>
      </c>
      <c r="P71" s="3" t="s">
        <v>1350</v>
      </c>
    </row>
    <row r="72" ht="12.75" customHeight="1">
      <c r="A72" s="3" t="s">
        <v>1791</v>
      </c>
      <c r="B72" s="3" t="s">
        <v>1792</v>
      </c>
      <c r="C72" s="3" t="s">
        <v>1793</v>
      </c>
      <c r="D72" s="3" t="s">
        <v>2898</v>
      </c>
      <c r="E72" s="3" t="s">
        <v>1614</v>
      </c>
      <c r="F72" s="3" t="s">
        <v>1329</v>
      </c>
      <c r="G72" s="3" t="s">
        <v>1360</v>
      </c>
      <c r="H72" s="3" t="s">
        <v>1381</v>
      </c>
      <c r="I72" s="3" t="s">
        <v>1362</v>
      </c>
      <c r="J72" s="3" t="s">
        <v>1328</v>
      </c>
      <c r="K72" s="3" t="s">
        <v>1328</v>
      </c>
      <c r="L72" s="3" t="s">
        <v>1328</v>
      </c>
      <c r="M72" s="3" t="s">
        <v>1336</v>
      </c>
      <c r="N72" s="3" t="s">
        <v>1336</v>
      </c>
      <c r="O72" s="3" t="s">
        <v>1336</v>
      </c>
      <c r="P72" s="3" t="s">
        <v>1350</v>
      </c>
    </row>
    <row r="73" ht="12.75" customHeight="1">
      <c r="A73" s="3" t="s">
        <v>1796</v>
      </c>
      <c r="B73" s="3" t="s">
        <v>1797</v>
      </c>
      <c r="C73" s="3" t="s">
        <v>1798</v>
      </c>
      <c r="D73" s="3" t="s">
        <v>2880</v>
      </c>
      <c r="E73" s="3" t="s">
        <v>1346</v>
      </c>
      <c r="F73" s="3" t="s">
        <v>1329</v>
      </c>
      <c r="G73" s="3" t="s">
        <v>1444</v>
      </c>
      <c r="H73" s="3" t="s">
        <v>1445</v>
      </c>
      <c r="I73" s="3" t="s">
        <v>1530</v>
      </c>
      <c r="J73" s="3" t="s">
        <v>1328</v>
      </c>
      <c r="K73" s="3" t="s">
        <v>1328</v>
      </c>
      <c r="L73" s="3" t="s">
        <v>1336</v>
      </c>
      <c r="M73" s="3" t="s">
        <v>1336</v>
      </c>
      <c r="N73" s="3" t="s">
        <v>1336</v>
      </c>
      <c r="O73" s="3" t="s">
        <v>1328</v>
      </c>
      <c r="P73" s="3" t="s">
        <v>1350</v>
      </c>
    </row>
    <row r="74" ht="12.75" customHeight="1">
      <c r="A74" s="3" t="s">
        <v>1802</v>
      </c>
      <c r="B74" s="3" t="s">
        <v>1803</v>
      </c>
      <c r="C74" s="3" t="s">
        <v>1804</v>
      </c>
      <c r="D74" s="3" t="s">
        <v>5000</v>
      </c>
      <c r="E74" s="3" t="s">
        <v>1666</v>
      </c>
      <c r="F74" s="3" t="s">
        <v>1329</v>
      </c>
      <c r="G74" s="3" t="s">
        <v>1444</v>
      </c>
      <c r="H74" s="3" t="s">
        <v>1445</v>
      </c>
      <c r="I74" s="3" t="s">
        <v>1362</v>
      </c>
      <c r="J74" s="3" t="s">
        <v>1328</v>
      </c>
      <c r="K74" s="3" t="s">
        <v>1328</v>
      </c>
      <c r="L74" s="3" t="s">
        <v>1336</v>
      </c>
      <c r="M74" s="3" t="s">
        <v>1336</v>
      </c>
      <c r="N74" s="3" t="s">
        <v>1336</v>
      </c>
      <c r="O74" s="3" t="s">
        <v>1336</v>
      </c>
      <c r="P74" s="3" t="s">
        <v>1350</v>
      </c>
    </row>
    <row r="75" ht="12.75" customHeight="1">
      <c r="A75" s="3" t="s">
        <v>1808</v>
      </c>
      <c r="B75" s="3" t="s">
        <v>1809</v>
      </c>
      <c r="C75" s="3" t="s">
        <v>1810</v>
      </c>
      <c r="D75" s="3" t="s">
        <v>4275</v>
      </c>
      <c r="E75" s="3" t="s">
        <v>1358</v>
      </c>
      <c r="F75" s="3" t="s">
        <v>1329</v>
      </c>
      <c r="G75" s="3" t="s">
        <v>1660</v>
      </c>
      <c r="H75" s="3" t="s">
        <v>1348</v>
      </c>
      <c r="I75" s="3" t="s">
        <v>1362</v>
      </c>
      <c r="J75" s="3" t="s">
        <v>1328</v>
      </c>
      <c r="K75" s="3" t="s">
        <v>1328</v>
      </c>
      <c r="L75" s="3" t="s">
        <v>1336</v>
      </c>
      <c r="M75" s="3" t="s">
        <v>1328</v>
      </c>
      <c r="N75" s="3" t="s">
        <v>1328</v>
      </c>
      <c r="O75" s="3" t="s">
        <v>1336</v>
      </c>
      <c r="P75" s="3" t="s">
        <v>1350</v>
      </c>
    </row>
    <row r="76" ht="12.75" customHeight="1">
      <c r="A76" s="3" t="s">
        <v>1814</v>
      </c>
      <c r="B76" s="3" t="s">
        <v>1815</v>
      </c>
      <c r="C76" s="3" t="s">
        <v>1816</v>
      </c>
      <c r="D76" s="3" t="s">
        <v>4418</v>
      </c>
      <c r="E76" s="3" t="s">
        <v>1358</v>
      </c>
      <c r="F76" s="3" t="s">
        <v>1329</v>
      </c>
      <c r="G76" s="3" t="s">
        <v>1333</v>
      </c>
      <c r="H76" s="3" t="s">
        <v>1381</v>
      </c>
      <c r="I76" s="3" t="s">
        <v>1362</v>
      </c>
      <c r="J76" s="3" t="s">
        <v>1328</v>
      </c>
      <c r="K76" s="3" t="s">
        <v>1328</v>
      </c>
      <c r="L76" s="3" t="s">
        <v>1336</v>
      </c>
      <c r="M76" s="3" t="s">
        <v>1336</v>
      </c>
      <c r="N76" s="3" t="s">
        <v>1328</v>
      </c>
      <c r="O76" s="3" t="s">
        <v>1336</v>
      </c>
      <c r="P76" s="3" t="s">
        <v>1350</v>
      </c>
    </row>
    <row r="77" ht="12.75" customHeight="1">
      <c r="A77" s="3" t="s">
        <v>1819</v>
      </c>
      <c r="B77" s="3" t="s">
        <v>1820</v>
      </c>
      <c r="C77" s="3" t="s">
        <v>1821</v>
      </c>
      <c r="D77" s="3" t="s">
        <v>4677</v>
      </c>
      <c r="E77" s="3" t="s">
        <v>1358</v>
      </c>
      <c r="F77" s="3" t="s">
        <v>1443</v>
      </c>
      <c r="G77" s="3" t="s">
        <v>1444</v>
      </c>
      <c r="H77" s="3" t="s">
        <v>1445</v>
      </c>
      <c r="I77" s="3" t="s">
        <v>1362</v>
      </c>
      <c r="J77" s="3" t="s">
        <v>1328</v>
      </c>
      <c r="K77" s="3" t="s">
        <v>1328</v>
      </c>
      <c r="L77" s="3" t="s">
        <v>1328</v>
      </c>
      <c r="M77" s="3" t="s">
        <v>1328</v>
      </c>
      <c r="N77" s="3" t="s">
        <v>1328</v>
      </c>
      <c r="O77" s="3" t="s">
        <v>1328</v>
      </c>
      <c r="P77" s="3" t="s">
        <v>1337</v>
      </c>
    </row>
    <row r="78" ht="12.75" customHeight="1">
      <c r="A78" s="3" t="s">
        <v>1825</v>
      </c>
      <c r="B78" s="3" t="s">
        <v>1826</v>
      </c>
      <c r="C78" s="3" t="s">
        <v>1827</v>
      </c>
      <c r="D78" s="3" t="s">
        <v>4952</v>
      </c>
      <c r="E78" s="3" t="s">
        <v>1614</v>
      </c>
      <c r="F78" s="3" t="s">
        <v>1329</v>
      </c>
      <c r="G78" s="3" t="s">
        <v>1333</v>
      </c>
      <c r="H78" s="3" t="s">
        <v>1348</v>
      </c>
      <c r="I78" s="3" t="s">
        <v>1362</v>
      </c>
      <c r="J78" s="3" t="s">
        <v>1336</v>
      </c>
      <c r="K78" s="3" t="s">
        <v>1336</v>
      </c>
      <c r="L78" s="3" t="s">
        <v>1328</v>
      </c>
      <c r="M78" s="3" t="s">
        <v>1336</v>
      </c>
      <c r="N78" s="3" t="s">
        <v>1336</v>
      </c>
      <c r="O78" s="3" t="s">
        <v>1328</v>
      </c>
      <c r="P78" s="3" t="s">
        <v>1350</v>
      </c>
    </row>
    <row r="79" ht="12.75" customHeight="1">
      <c r="A79" s="3" t="s">
        <v>1831</v>
      </c>
      <c r="B79" s="3" t="s">
        <v>1832</v>
      </c>
      <c r="C79" s="3" t="s">
        <v>1833</v>
      </c>
      <c r="D79" s="3" t="s">
        <v>4977</v>
      </c>
      <c r="E79" s="3" t="s">
        <v>1835</v>
      </c>
      <c r="F79" s="3" t="s">
        <v>1329</v>
      </c>
      <c r="G79" s="3" t="s">
        <v>1333</v>
      </c>
      <c r="H79" s="3" t="s">
        <v>1348</v>
      </c>
      <c r="I79" s="3" t="s">
        <v>1362</v>
      </c>
      <c r="J79" s="3" t="s">
        <v>1336</v>
      </c>
      <c r="K79" s="3" t="s">
        <v>1328</v>
      </c>
      <c r="L79" s="3" t="s">
        <v>1328</v>
      </c>
      <c r="M79" s="3" t="s">
        <v>1336</v>
      </c>
      <c r="N79" s="3" t="s">
        <v>1336</v>
      </c>
      <c r="O79" s="3" t="s">
        <v>1336</v>
      </c>
      <c r="P79" s="3" t="s">
        <v>1350</v>
      </c>
    </row>
    <row r="80" ht="12.75" customHeight="1">
      <c r="A80" s="3" t="s">
        <v>1838</v>
      </c>
      <c r="B80" s="3" t="s">
        <v>1839</v>
      </c>
      <c r="C80" s="3" t="s">
        <v>1840</v>
      </c>
      <c r="D80" s="3" t="s">
        <v>4988</v>
      </c>
      <c r="E80" s="3" t="s">
        <v>1522</v>
      </c>
      <c r="F80" s="3" t="s">
        <v>1443</v>
      </c>
      <c r="G80" s="3" t="s">
        <v>1660</v>
      </c>
      <c r="H80" s="3" t="s">
        <v>1334</v>
      </c>
      <c r="I80" s="3" t="s">
        <v>1530</v>
      </c>
      <c r="J80" s="3" t="s">
        <v>1328</v>
      </c>
      <c r="K80" s="3" t="s">
        <v>1328</v>
      </c>
      <c r="L80" s="3" t="s">
        <v>1328</v>
      </c>
      <c r="M80" s="3" t="s">
        <v>1328</v>
      </c>
      <c r="N80" s="3" t="s">
        <v>1328</v>
      </c>
      <c r="O80" s="3" t="s">
        <v>1336</v>
      </c>
      <c r="P80" s="3" t="s">
        <v>1337</v>
      </c>
    </row>
    <row r="81" ht="12.75" customHeight="1">
      <c r="A81" s="3" t="s">
        <v>1843</v>
      </c>
      <c r="B81" s="3" t="s">
        <v>1844</v>
      </c>
      <c r="C81" s="3" t="s">
        <v>1845</v>
      </c>
      <c r="D81" s="3" t="s">
        <v>3133</v>
      </c>
      <c r="E81" s="3" t="s">
        <v>1462</v>
      </c>
      <c r="F81" s="3" t="s">
        <v>1329</v>
      </c>
      <c r="G81" s="3" t="s">
        <v>1444</v>
      </c>
      <c r="H81" s="3" t="s">
        <v>1445</v>
      </c>
      <c r="I81" s="3" t="s">
        <v>1362</v>
      </c>
      <c r="J81" s="3" t="s">
        <v>1328</v>
      </c>
      <c r="K81" s="3" t="s">
        <v>1328</v>
      </c>
      <c r="L81" s="3" t="s">
        <v>1336</v>
      </c>
      <c r="M81" s="3" t="s">
        <v>1336</v>
      </c>
      <c r="N81" s="3" t="s">
        <v>1336</v>
      </c>
      <c r="O81" s="3" t="s">
        <v>1336</v>
      </c>
      <c r="P81" s="3" t="s">
        <v>1350</v>
      </c>
    </row>
    <row r="82" ht="12.75" customHeight="1">
      <c r="A82" s="3" t="s">
        <v>1849</v>
      </c>
      <c r="B82" s="3" t="s">
        <v>1850</v>
      </c>
      <c r="C82" s="3" t="s">
        <v>1851</v>
      </c>
      <c r="D82" s="3" t="s">
        <v>4306</v>
      </c>
      <c r="E82" s="3" t="s">
        <v>1326</v>
      </c>
      <c r="F82" s="3" t="s">
        <v>1329</v>
      </c>
      <c r="G82" s="3" t="s">
        <v>1444</v>
      </c>
      <c r="H82" s="3" t="s">
        <v>1445</v>
      </c>
      <c r="I82" s="3" t="s">
        <v>1349</v>
      </c>
      <c r="J82" s="3" t="s">
        <v>1328</v>
      </c>
      <c r="K82" s="3" t="s">
        <v>1328</v>
      </c>
      <c r="L82" s="3" t="s">
        <v>1328</v>
      </c>
      <c r="M82" s="3" t="s">
        <v>1328</v>
      </c>
      <c r="N82" s="3" t="s">
        <v>1328</v>
      </c>
      <c r="O82" s="3" t="s">
        <v>1328</v>
      </c>
      <c r="P82" s="3" t="s">
        <v>1395</v>
      </c>
    </row>
    <row r="83" ht="12.75" customHeight="1">
      <c r="A83" s="3" t="s">
        <v>1854</v>
      </c>
      <c r="B83" s="3" t="s">
        <v>1855</v>
      </c>
      <c r="C83" s="3" t="s">
        <v>1856</v>
      </c>
      <c r="D83" s="3" t="s">
        <v>4733</v>
      </c>
      <c r="E83" s="3" t="s">
        <v>1442</v>
      </c>
      <c r="F83" s="3" t="s">
        <v>1443</v>
      </c>
      <c r="G83" s="3" t="s">
        <v>1444</v>
      </c>
      <c r="H83" s="3" t="s">
        <v>1445</v>
      </c>
      <c r="I83" s="3" t="s">
        <v>1446</v>
      </c>
      <c r="J83" s="3" t="s">
        <v>1328</v>
      </c>
      <c r="K83" s="3" t="s">
        <v>1328</v>
      </c>
      <c r="L83" s="3" t="s">
        <v>1328</v>
      </c>
      <c r="M83" s="3" t="s">
        <v>1328</v>
      </c>
      <c r="N83" s="3" t="s">
        <v>1328</v>
      </c>
      <c r="O83" s="3" t="s">
        <v>1328</v>
      </c>
      <c r="P83" s="3" t="s">
        <v>1395</v>
      </c>
    </row>
    <row r="84" ht="12.75" customHeight="1">
      <c r="A84" s="3" t="s">
        <v>1860</v>
      </c>
      <c r="B84" s="3" t="s">
        <v>1861</v>
      </c>
      <c r="C84" s="3" t="s">
        <v>1862</v>
      </c>
      <c r="D84" s="3" t="s">
        <v>4706</v>
      </c>
      <c r="E84" s="3" t="s">
        <v>1835</v>
      </c>
      <c r="F84" s="3" t="s">
        <v>1443</v>
      </c>
      <c r="G84" s="3" t="s">
        <v>1660</v>
      </c>
      <c r="H84" s="3" t="s">
        <v>1864</v>
      </c>
      <c r="I84" s="3" t="s">
        <v>1373</v>
      </c>
      <c r="J84" s="3" t="s">
        <v>1336</v>
      </c>
      <c r="K84" s="3" t="s">
        <v>1328</v>
      </c>
      <c r="L84" s="3" t="s">
        <v>1328</v>
      </c>
      <c r="M84" s="3" t="s">
        <v>1328</v>
      </c>
      <c r="N84" s="3" t="s">
        <v>1328</v>
      </c>
      <c r="O84" s="3" t="s">
        <v>1328</v>
      </c>
      <c r="P84" s="3" t="s">
        <v>1337</v>
      </c>
    </row>
    <row r="85" ht="12.75" customHeight="1">
      <c r="A85" s="3" t="s">
        <v>4921</v>
      </c>
      <c r="B85" s="3" t="s">
        <v>1869</v>
      </c>
      <c r="C85" s="3" t="s">
        <v>1870</v>
      </c>
      <c r="D85" s="3" t="s">
        <v>4933</v>
      </c>
      <c r="E85" s="3" t="s">
        <v>1614</v>
      </c>
      <c r="F85" s="3" t="s">
        <v>1329</v>
      </c>
      <c r="G85" s="3" t="s">
        <v>1333</v>
      </c>
      <c r="H85" s="3" t="s">
        <v>1348</v>
      </c>
      <c r="I85" s="3" t="s">
        <v>1362</v>
      </c>
      <c r="J85" s="3" t="s">
        <v>1336</v>
      </c>
      <c r="K85" s="3" t="s">
        <v>1328</v>
      </c>
      <c r="L85" s="3" t="s">
        <v>1328</v>
      </c>
      <c r="M85" s="3" t="s">
        <v>1336</v>
      </c>
      <c r="N85" s="3" t="s">
        <v>1336</v>
      </c>
      <c r="O85" s="3" t="s">
        <v>1336</v>
      </c>
      <c r="P85" s="3" t="s">
        <v>1350</v>
      </c>
    </row>
    <row r="86" ht="12.75" customHeight="1">
      <c r="A86" s="3" t="s">
        <v>1874</v>
      </c>
      <c r="B86" s="3" t="s">
        <v>1875</v>
      </c>
      <c r="C86" s="3" t="s">
        <v>1876</v>
      </c>
      <c r="D86" s="3" t="s">
        <v>4195</v>
      </c>
      <c r="E86" s="3" t="s">
        <v>1482</v>
      </c>
      <c r="F86" s="3" t="s">
        <v>1329</v>
      </c>
      <c r="G86" s="3" t="s">
        <v>1333</v>
      </c>
      <c r="H86" s="3" t="s">
        <v>1381</v>
      </c>
      <c r="I86" s="3" t="s">
        <v>1530</v>
      </c>
      <c r="J86" s="3" t="s">
        <v>1336</v>
      </c>
      <c r="K86" s="3" t="s">
        <v>1328</v>
      </c>
      <c r="L86" s="3" t="s">
        <v>1328</v>
      </c>
      <c r="M86" s="3" t="s">
        <v>1328</v>
      </c>
      <c r="N86" s="3" t="s">
        <v>1328</v>
      </c>
      <c r="O86" s="3" t="s">
        <v>1328</v>
      </c>
      <c r="P86" s="3" t="s">
        <v>1395</v>
      </c>
    </row>
    <row r="87" ht="12.75" customHeight="1">
      <c r="A87" s="3" t="s">
        <v>4795</v>
      </c>
      <c r="B87" s="3" t="s">
        <v>1880</v>
      </c>
      <c r="C87" s="3" t="s">
        <v>1881</v>
      </c>
      <c r="D87" s="3" t="s">
        <v>4804</v>
      </c>
      <c r="E87" s="3" t="s">
        <v>1614</v>
      </c>
      <c r="F87" s="3" t="s">
        <v>1329</v>
      </c>
      <c r="G87" s="3" t="s">
        <v>1333</v>
      </c>
      <c r="H87" s="3" t="s">
        <v>1334</v>
      </c>
      <c r="I87" s="3" t="s">
        <v>1362</v>
      </c>
      <c r="J87" s="3" t="s">
        <v>1336</v>
      </c>
      <c r="K87" s="3" t="s">
        <v>1336</v>
      </c>
      <c r="L87" s="3" t="s">
        <v>1328</v>
      </c>
      <c r="M87" s="3" t="s">
        <v>1336</v>
      </c>
      <c r="N87" s="3" t="s">
        <v>1336</v>
      </c>
      <c r="O87" s="3" t="s">
        <v>1328</v>
      </c>
      <c r="P87" s="3" t="s">
        <v>1395</v>
      </c>
    </row>
    <row r="88" ht="12.75" customHeight="1">
      <c r="A88" s="3" t="s">
        <v>1885</v>
      </c>
      <c r="B88" s="3" t="s">
        <v>4891</v>
      </c>
      <c r="C88" s="3" t="s">
        <v>1887</v>
      </c>
      <c r="D88" s="3" t="s">
        <v>4906</v>
      </c>
      <c r="E88" s="3" t="s">
        <v>1402</v>
      </c>
      <c r="F88" s="3" t="s">
        <v>1443</v>
      </c>
      <c r="G88" s="3" t="s">
        <v>1444</v>
      </c>
      <c r="H88" s="3" t="s">
        <v>1445</v>
      </c>
      <c r="I88" s="3" t="s">
        <v>1349</v>
      </c>
      <c r="J88" s="3" t="s">
        <v>1328</v>
      </c>
      <c r="K88" s="3" t="s">
        <v>1336</v>
      </c>
      <c r="L88" s="3" t="s">
        <v>1336</v>
      </c>
      <c r="M88" s="3" t="s">
        <v>1328</v>
      </c>
      <c r="N88" s="3" t="s">
        <v>1328</v>
      </c>
      <c r="O88" s="3" t="s">
        <v>1336</v>
      </c>
      <c r="P88" s="3" t="s">
        <v>1395</v>
      </c>
    </row>
    <row r="89" ht="12.75" customHeight="1">
      <c r="A89" s="3" t="s">
        <v>1890</v>
      </c>
      <c r="B89" s="3" t="s">
        <v>1891</v>
      </c>
      <c r="C89" s="3" t="s">
        <v>1892</v>
      </c>
      <c r="D89" s="3" t="s">
        <v>4943</v>
      </c>
      <c r="E89" s="3" t="s">
        <v>1580</v>
      </c>
      <c r="F89" s="3" t="s">
        <v>1329</v>
      </c>
      <c r="G89" s="3" t="s">
        <v>1333</v>
      </c>
      <c r="H89" s="3" t="s">
        <v>1361</v>
      </c>
      <c r="I89" s="3" t="s">
        <v>1464</v>
      </c>
      <c r="J89" s="3" t="s">
        <v>1336</v>
      </c>
      <c r="K89" s="3" t="s">
        <v>1328</v>
      </c>
      <c r="L89" s="3" t="s">
        <v>1336</v>
      </c>
      <c r="M89" s="3" t="s">
        <v>1328</v>
      </c>
      <c r="N89" s="3" t="s">
        <v>1336</v>
      </c>
      <c r="O89" s="3" t="s">
        <v>1336</v>
      </c>
      <c r="P89" s="3" t="s">
        <v>1350</v>
      </c>
    </row>
    <row r="90" ht="12.75" customHeight="1">
      <c r="A90" s="3" t="s">
        <v>1895</v>
      </c>
      <c r="B90" s="3" t="s">
        <v>1896</v>
      </c>
      <c r="C90" s="3" t="s">
        <v>1897</v>
      </c>
      <c r="D90" s="3" t="s">
        <v>3995</v>
      </c>
      <c r="E90" s="3" t="s">
        <v>1482</v>
      </c>
      <c r="F90" s="3" t="s">
        <v>1443</v>
      </c>
      <c r="G90" s="3" t="s">
        <v>1360</v>
      </c>
      <c r="H90" s="3" t="s">
        <v>1381</v>
      </c>
      <c r="I90" s="3" t="s">
        <v>1362</v>
      </c>
      <c r="J90" s="3" t="s">
        <v>1336</v>
      </c>
      <c r="K90" s="3" t="s">
        <v>1328</v>
      </c>
      <c r="L90" s="3" t="s">
        <v>1328</v>
      </c>
      <c r="M90" s="3" t="s">
        <v>1336</v>
      </c>
      <c r="N90" s="3" t="s">
        <v>1336</v>
      </c>
      <c r="O90" s="3" t="s">
        <v>1336</v>
      </c>
      <c r="P90" s="3" t="s">
        <v>1350</v>
      </c>
    </row>
    <row r="91" ht="12.75" customHeight="1">
      <c r="A91" s="3" t="s">
        <v>1900</v>
      </c>
      <c r="B91" s="3" t="s">
        <v>1901</v>
      </c>
      <c r="C91" s="3" t="s">
        <v>1902</v>
      </c>
      <c r="D91" s="3" t="s">
        <v>4360</v>
      </c>
      <c r="E91" s="3" t="s">
        <v>1580</v>
      </c>
      <c r="F91" s="3" t="s">
        <v>1443</v>
      </c>
      <c r="G91" s="3" t="s">
        <v>1444</v>
      </c>
      <c r="H91" s="3" t="s">
        <v>1445</v>
      </c>
      <c r="I91" s="3" t="s">
        <v>1349</v>
      </c>
      <c r="J91" s="3" t="s">
        <v>1336</v>
      </c>
      <c r="K91" s="3" t="s">
        <v>1328</v>
      </c>
      <c r="L91" s="3" t="s">
        <v>1328</v>
      </c>
      <c r="M91" s="3" t="s">
        <v>1336</v>
      </c>
      <c r="N91" s="3" t="s">
        <v>1328</v>
      </c>
      <c r="O91" s="3" t="s">
        <v>1336</v>
      </c>
      <c r="P91" s="3" t="s">
        <v>1395</v>
      </c>
    </row>
    <row r="92" ht="12.75" customHeight="1">
      <c r="A92" s="3" t="s">
        <v>1905</v>
      </c>
      <c r="B92" s="3" t="s">
        <v>1906</v>
      </c>
      <c r="C92" s="3" t="s">
        <v>1907</v>
      </c>
      <c r="D92" s="3" t="s">
        <v>4686</v>
      </c>
      <c r="E92" s="3" t="s">
        <v>1580</v>
      </c>
      <c r="F92" s="3" t="s">
        <v>1443</v>
      </c>
      <c r="G92" s="3" t="s">
        <v>1444</v>
      </c>
      <c r="H92" s="3" t="s">
        <v>1445</v>
      </c>
      <c r="I92" s="3" t="s">
        <v>1349</v>
      </c>
      <c r="J92" s="3" t="s">
        <v>1328</v>
      </c>
      <c r="K92" s="3" t="s">
        <v>1336</v>
      </c>
      <c r="L92" s="3" t="s">
        <v>1328</v>
      </c>
      <c r="M92" s="3" t="s">
        <v>1336</v>
      </c>
      <c r="N92" s="3" t="s">
        <v>1336</v>
      </c>
      <c r="O92" s="3" t="s">
        <v>1336</v>
      </c>
      <c r="P92" s="3" t="s">
        <v>1350</v>
      </c>
    </row>
    <row r="93" ht="12.75" customHeight="1">
      <c r="A93" s="3" t="s">
        <v>1910</v>
      </c>
      <c r="B93" s="3" t="s">
        <v>1911</v>
      </c>
      <c r="C93" s="3" t="s">
        <v>1912</v>
      </c>
      <c r="D93" s="3" t="s">
        <v>3051</v>
      </c>
      <c r="E93" s="3" t="s">
        <v>1666</v>
      </c>
      <c r="F93" s="3" t="s">
        <v>1329</v>
      </c>
      <c r="G93" s="3" t="s">
        <v>1333</v>
      </c>
      <c r="H93" s="3" t="s">
        <v>1381</v>
      </c>
      <c r="I93" s="3" t="s">
        <v>1464</v>
      </c>
      <c r="J93" s="3" t="s">
        <v>1328</v>
      </c>
      <c r="K93" s="3" t="s">
        <v>1328</v>
      </c>
      <c r="L93" s="3" t="s">
        <v>1336</v>
      </c>
      <c r="M93" s="3" t="s">
        <v>1336</v>
      </c>
      <c r="N93" s="3" t="s">
        <v>1336</v>
      </c>
      <c r="O93" s="3" t="s">
        <v>1336</v>
      </c>
      <c r="P93" s="3" t="s">
        <v>1350</v>
      </c>
    </row>
    <row r="94" ht="12.75" customHeight="1">
      <c r="A94" s="3" t="s">
        <v>1915</v>
      </c>
      <c r="B94" s="3" t="s">
        <v>1916</v>
      </c>
      <c r="C94" s="3" t="s">
        <v>1917</v>
      </c>
      <c r="D94" s="3" t="s">
        <v>3226</v>
      </c>
      <c r="E94" s="3" t="s">
        <v>1835</v>
      </c>
      <c r="F94" s="3" t="s">
        <v>1329</v>
      </c>
      <c r="G94" s="3" t="s">
        <v>1333</v>
      </c>
      <c r="H94" s="3" t="s">
        <v>1361</v>
      </c>
      <c r="I94" s="3" t="s">
        <v>1362</v>
      </c>
      <c r="J94" s="3" t="s">
        <v>1336</v>
      </c>
      <c r="K94" s="3" t="s">
        <v>1328</v>
      </c>
      <c r="L94" s="3" t="s">
        <v>1336</v>
      </c>
      <c r="M94" s="3" t="s">
        <v>1336</v>
      </c>
      <c r="N94" s="3" t="s">
        <v>1328</v>
      </c>
      <c r="O94" s="3" t="s">
        <v>1336</v>
      </c>
      <c r="P94" s="3" t="s">
        <v>1350</v>
      </c>
    </row>
    <row r="95" ht="12.75" customHeight="1">
      <c r="A95" s="3" t="s">
        <v>1920</v>
      </c>
      <c r="B95" s="3" t="s">
        <v>1921</v>
      </c>
      <c r="C95" s="3" t="s">
        <v>1922</v>
      </c>
      <c r="D95" s="3" t="s">
        <v>3841</v>
      </c>
      <c r="E95" s="3" t="s">
        <v>1358</v>
      </c>
      <c r="F95" s="3" t="s">
        <v>1329</v>
      </c>
      <c r="G95" s="3" t="s">
        <v>1333</v>
      </c>
      <c r="H95" s="3" t="s">
        <v>1381</v>
      </c>
      <c r="I95" s="3" t="s">
        <v>1362</v>
      </c>
      <c r="J95" s="3" t="s">
        <v>1328</v>
      </c>
      <c r="K95" s="3" t="s">
        <v>1328</v>
      </c>
      <c r="L95" s="3" t="s">
        <v>1336</v>
      </c>
      <c r="M95" s="3" t="s">
        <v>1336</v>
      </c>
      <c r="N95" s="3" t="s">
        <v>1336</v>
      </c>
      <c r="O95" s="3" t="s">
        <v>1336</v>
      </c>
      <c r="P95" s="3" t="s">
        <v>1404</v>
      </c>
    </row>
    <row r="96" ht="12.75" customHeight="1">
      <c r="A96" s="3" t="s">
        <v>1926</v>
      </c>
      <c r="B96" s="3" t="s">
        <v>1927</v>
      </c>
      <c r="C96" s="3" t="s">
        <v>1928</v>
      </c>
      <c r="D96" s="3" t="s">
        <v>3277</v>
      </c>
      <c r="E96" s="3" t="s">
        <v>1326</v>
      </c>
      <c r="F96" s="3" t="s">
        <v>1443</v>
      </c>
      <c r="G96" s="3" t="s">
        <v>1360</v>
      </c>
      <c r="H96" s="3" t="s">
        <v>1381</v>
      </c>
      <c r="I96" s="3" t="s">
        <v>1349</v>
      </c>
      <c r="J96" s="3" t="s">
        <v>1328</v>
      </c>
      <c r="K96" s="3" t="s">
        <v>1328</v>
      </c>
      <c r="L96" s="3" t="s">
        <v>1328</v>
      </c>
      <c r="M96" s="3" t="s">
        <v>1328</v>
      </c>
      <c r="N96" s="3" t="s">
        <v>1328</v>
      </c>
      <c r="O96" s="3" t="s">
        <v>1336</v>
      </c>
      <c r="P96" s="3" t="s">
        <v>1395</v>
      </c>
    </row>
    <row r="97" ht="12.75" customHeight="1">
      <c r="A97" s="3" t="s">
        <v>1931</v>
      </c>
      <c r="B97" s="3" t="s">
        <v>1932</v>
      </c>
      <c r="C97" s="3" t="s">
        <v>1933</v>
      </c>
      <c r="D97" s="3" t="s">
        <v>3450</v>
      </c>
      <c r="E97" s="3" t="s">
        <v>1346</v>
      </c>
      <c r="F97" s="3" t="s">
        <v>1329</v>
      </c>
      <c r="G97" s="3" t="s">
        <v>1333</v>
      </c>
      <c r="H97" s="3" t="s">
        <v>1348</v>
      </c>
      <c r="I97" s="3" t="s">
        <v>1349</v>
      </c>
      <c r="J97" s="3" t="s">
        <v>1328</v>
      </c>
      <c r="K97" s="3" t="s">
        <v>1336</v>
      </c>
      <c r="L97" s="3" t="s">
        <v>1336</v>
      </c>
      <c r="M97" s="3" t="s">
        <v>1336</v>
      </c>
      <c r="N97" s="3" t="s">
        <v>1328</v>
      </c>
      <c r="O97" s="3" t="s">
        <v>1328</v>
      </c>
      <c r="P97" s="3" t="s">
        <v>1350</v>
      </c>
    </row>
    <row r="98" ht="12.75" customHeight="1">
      <c r="A98" s="3" t="s">
        <v>1937</v>
      </c>
      <c r="B98" s="3" t="s">
        <v>1938</v>
      </c>
      <c r="C98" s="3" t="s">
        <v>1939</v>
      </c>
      <c r="D98" s="3" t="s">
        <v>2559</v>
      </c>
      <c r="E98" s="3" t="s">
        <v>1482</v>
      </c>
      <c r="F98" s="3" t="s">
        <v>1329</v>
      </c>
      <c r="G98" s="3" t="s">
        <v>1333</v>
      </c>
      <c r="H98" s="3" t="s">
        <v>1348</v>
      </c>
      <c r="I98" s="3" t="s">
        <v>1362</v>
      </c>
      <c r="J98" s="3" t="s">
        <v>1336</v>
      </c>
      <c r="K98" s="3" t="s">
        <v>1328</v>
      </c>
      <c r="L98" s="3" t="s">
        <v>1328</v>
      </c>
      <c r="M98" s="3" t="s">
        <v>1336</v>
      </c>
      <c r="N98" s="3" t="s">
        <v>1336</v>
      </c>
      <c r="O98" s="3" t="s">
        <v>1336</v>
      </c>
      <c r="P98" s="3" t="s">
        <v>1350</v>
      </c>
    </row>
    <row r="99" ht="12.75" customHeight="1">
      <c r="A99" s="3" t="s">
        <v>1943</v>
      </c>
      <c r="B99" s="3" t="s">
        <v>1944</v>
      </c>
      <c r="C99" s="3" t="s">
        <v>1945</v>
      </c>
      <c r="D99" s="3" t="s">
        <v>4437</v>
      </c>
      <c r="E99" s="3" t="s">
        <v>1947</v>
      </c>
      <c r="F99" s="3" t="s">
        <v>1329</v>
      </c>
      <c r="G99" s="3" t="s">
        <v>1333</v>
      </c>
      <c r="H99" s="3" t="s">
        <v>1381</v>
      </c>
      <c r="I99" s="3" t="s">
        <v>1464</v>
      </c>
      <c r="J99" s="3" t="s">
        <v>1336</v>
      </c>
      <c r="K99" s="3" t="s">
        <v>1328</v>
      </c>
      <c r="L99" s="3" t="s">
        <v>1328</v>
      </c>
      <c r="M99" s="3" t="s">
        <v>1336</v>
      </c>
      <c r="N99" s="3" t="s">
        <v>1336</v>
      </c>
      <c r="O99" s="3" t="s">
        <v>1328</v>
      </c>
      <c r="P99" s="3" t="s">
        <v>1350</v>
      </c>
    </row>
    <row r="100" ht="12.75" customHeight="1">
      <c r="A100" s="3" t="s">
        <v>1950</v>
      </c>
      <c r="B100" s="3" t="s">
        <v>1951</v>
      </c>
      <c r="C100" s="3" t="s">
        <v>1952</v>
      </c>
      <c r="D100" s="3" t="s">
        <v>3333</v>
      </c>
      <c r="E100" s="3" t="s">
        <v>1370</v>
      </c>
      <c r="F100" s="3" t="s">
        <v>1329</v>
      </c>
      <c r="G100" s="3" t="s">
        <v>1333</v>
      </c>
      <c r="H100" s="3" t="s">
        <v>1381</v>
      </c>
      <c r="I100" s="3" t="s">
        <v>1373</v>
      </c>
      <c r="J100" s="3" t="s">
        <v>1328</v>
      </c>
      <c r="K100" s="3" t="s">
        <v>1328</v>
      </c>
      <c r="L100" s="3" t="s">
        <v>1336</v>
      </c>
      <c r="M100" s="3" t="s">
        <v>1336</v>
      </c>
      <c r="N100" s="3" t="s">
        <v>1336</v>
      </c>
      <c r="O100" s="3" t="s">
        <v>1336</v>
      </c>
      <c r="P100" s="3" t="s">
        <v>1350</v>
      </c>
    </row>
    <row r="101" ht="12.75" customHeight="1">
      <c r="A101" s="3" t="s">
        <v>1955</v>
      </c>
      <c r="B101" s="3" t="s">
        <v>1956</v>
      </c>
      <c r="C101" s="3" t="s">
        <v>1957</v>
      </c>
      <c r="D101" s="3" t="s">
        <v>2518</v>
      </c>
      <c r="E101" s="3" t="s">
        <v>1402</v>
      </c>
      <c r="F101" s="3" t="s">
        <v>1329</v>
      </c>
      <c r="G101" s="3" t="s">
        <v>1333</v>
      </c>
      <c r="H101" s="3" t="s">
        <v>1381</v>
      </c>
      <c r="I101" s="3" t="s">
        <v>1349</v>
      </c>
      <c r="J101" s="3" t="s">
        <v>1328</v>
      </c>
      <c r="K101" s="3" t="s">
        <v>1328</v>
      </c>
      <c r="L101" s="3" t="s">
        <v>1328</v>
      </c>
      <c r="M101" s="3" t="s">
        <v>1336</v>
      </c>
      <c r="N101" s="3" t="s">
        <v>1328</v>
      </c>
      <c r="O101" s="3" t="s">
        <v>1336</v>
      </c>
      <c r="P101" s="3" t="s">
        <v>1350</v>
      </c>
    </row>
    <row r="102" ht="12.75" customHeight="1">
      <c r="A102" s="3" t="s">
        <v>1960</v>
      </c>
      <c r="B102" s="3" t="s">
        <v>1961</v>
      </c>
      <c r="C102" s="3" t="s">
        <v>1962</v>
      </c>
      <c r="D102" s="3" t="s">
        <v>2982</v>
      </c>
      <c r="E102" s="3" t="s">
        <v>1402</v>
      </c>
      <c r="F102" s="3" t="s">
        <v>1443</v>
      </c>
      <c r="G102" s="3" t="s">
        <v>1333</v>
      </c>
      <c r="H102" s="3" t="s">
        <v>1381</v>
      </c>
      <c r="I102" s="3" t="s">
        <v>1349</v>
      </c>
      <c r="J102" s="3" t="s">
        <v>1336</v>
      </c>
      <c r="K102" s="3" t="s">
        <v>1328</v>
      </c>
      <c r="L102" s="3" t="s">
        <v>1336</v>
      </c>
      <c r="M102" s="3" t="s">
        <v>1336</v>
      </c>
      <c r="N102" s="3" t="s">
        <v>1328</v>
      </c>
      <c r="O102" s="3" t="s">
        <v>1336</v>
      </c>
      <c r="P102" s="3" t="s">
        <v>1350</v>
      </c>
    </row>
    <row r="103" ht="12.75" customHeight="1">
      <c r="A103" s="3" t="s">
        <v>1966</v>
      </c>
      <c r="B103" s="3" t="s">
        <v>1967</v>
      </c>
      <c r="C103" s="3" t="s">
        <v>1968</v>
      </c>
      <c r="D103" s="3" t="s">
        <v>2540</v>
      </c>
      <c r="E103" s="3" t="s">
        <v>1402</v>
      </c>
      <c r="F103" s="3" t="s">
        <v>1329</v>
      </c>
      <c r="G103" s="3" t="s">
        <v>1333</v>
      </c>
      <c r="H103" s="3" t="s">
        <v>1348</v>
      </c>
      <c r="I103" s="3" t="s">
        <v>1349</v>
      </c>
      <c r="J103" s="3" t="s">
        <v>1336</v>
      </c>
      <c r="K103" s="3" t="s">
        <v>1336</v>
      </c>
      <c r="L103" s="3" t="s">
        <v>1328</v>
      </c>
      <c r="M103" s="3" t="s">
        <v>1336</v>
      </c>
      <c r="N103" s="3" t="s">
        <v>1328</v>
      </c>
      <c r="O103" s="3" t="s">
        <v>1328</v>
      </c>
      <c r="P103" s="3" t="s">
        <v>1350</v>
      </c>
    </row>
    <row r="104" ht="12.75" customHeight="1">
      <c r="A104" s="3" t="s">
        <v>1971</v>
      </c>
      <c r="B104" s="3" t="s">
        <v>1972</v>
      </c>
      <c r="C104" s="3" t="s">
        <v>1973</v>
      </c>
      <c r="D104" s="3" t="s">
        <v>2910</v>
      </c>
      <c r="E104" s="3" t="s">
        <v>1482</v>
      </c>
      <c r="F104" s="3" t="s">
        <v>1443</v>
      </c>
      <c r="G104" s="3" t="s">
        <v>1660</v>
      </c>
      <c r="H104" s="3" t="s">
        <v>1361</v>
      </c>
      <c r="I104" s="3" t="s">
        <v>1446</v>
      </c>
      <c r="J104" s="3" t="s">
        <v>1336</v>
      </c>
      <c r="K104" s="3" t="s">
        <v>1328</v>
      </c>
      <c r="L104" s="3" t="s">
        <v>1328</v>
      </c>
      <c r="M104" s="3" t="s">
        <v>1336</v>
      </c>
      <c r="N104" s="3" t="s">
        <v>1336</v>
      </c>
      <c r="O104" s="3" t="s">
        <v>1336</v>
      </c>
      <c r="P104" s="3" t="s">
        <v>1395</v>
      </c>
    </row>
    <row r="105" ht="12.75" customHeight="1">
      <c r="A105" s="3" t="s">
        <v>1977</v>
      </c>
      <c r="B105" s="3" t="s">
        <v>1978</v>
      </c>
      <c r="C105" s="3" t="s">
        <v>1979</v>
      </c>
      <c r="D105" s="3" t="s">
        <v>3407</v>
      </c>
      <c r="E105" s="3" t="s">
        <v>1346</v>
      </c>
      <c r="F105" s="3" t="s">
        <v>1329</v>
      </c>
      <c r="G105" s="3" t="s">
        <v>1333</v>
      </c>
      <c r="H105" s="3" t="s">
        <v>1361</v>
      </c>
      <c r="I105" s="3" t="s">
        <v>1530</v>
      </c>
      <c r="J105" s="3" t="s">
        <v>1328</v>
      </c>
      <c r="K105" s="3" t="s">
        <v>1336</v>
      </c>
      <c r="L105" s="3" t="s">
        <v>1336</v>
      </c>
      <c r="M105" s="3" t="s">
        <v>1336</v>
      </c>
      <c r="N105" s="3" t="s">
        <v>1328</v>
      </c>
      <c r="O105" s="3" t="s">
        <v>1336</v>
      </c>
      <c r="P105" s="3" t="s">
        <v>1404</v>
      </c>
    </row>
    <row r="106" ht="12.75" customHeight="1">
      <c r="A106" s="3" t="s">
        <v>1982</v>
      </c>
      <c r="B106" s="3" t="s">
        <v>1983</v>
      </c>
      <c r="C106" s="3" t="s">
        <v>1984</v>
      </c>
      <c r="D106" s="3" t="s">
        <v>4159</v>
      </c>
      <c r="E106" s="3" t="s">
        <v>1522</v>
      </c>
      <c r="F106" s="3" t="s">
        <v>1329</v>
      </c>
      <c r="G106" s="3" t="s">
        <v>1333</v>
      </c>
      <c r="H106" s="3" t="s">
        <v>1334</v>
      </c>
      <c r="I106" s="3" t="s">
        <v>1530</v>
      </c>
      <c r="J106" s="3" t="s">
        <v>1328</v>
      </c>
      <c r="K106" s="3" t="s">
        <v>1336</v>
      </c>
      <c r="L106" s="3" t="s">
        <v>1328</v>
      </c>
      <c r="M106" s="3" t="s">
        <v>1336</v>
      </c>
      <c r="N106" s="3" t="s">
        <v>1336</v>
      </c>
      <c r="O106" s="3" t="s">
        <v>1336</v>
      </c>
      <c r="P106" s="3" t="s">
        <v>1350</v>
      </c>
    </row>
    <row r="107" ht="12.75" customHeight="1">
      <c r="A107" s="3" t="s">
        <v>1988</v>
      </c>
      <c r="B107" s="3" t="s">
        <v>3595</v>
      </c>
      <c r="C107" s="3" t="s">
        <v>1990</v>
      </c>
      <c r="D107" s="3" t="s">
        <v>3610</v>
      </c>
      <c r="E107" s="3" t="s">
        <v>1370</v>
      </c>
      <c r="F107" s="3" t="s">
        <v>1329</v>
      </c>
      <c r="G107" s="3" t="s">
        <v>1360</v>
      </c>
      <c r="H107" s="3" t="s">
        <v>1381</v>
      </c>
      <c r="I107" s="3" t="s">
        <v>1335</v>
      </c>
      <c r="J107" s="3" t="s">
        <v>1336</v>
      </c>
      <c r="K107" s="3" t="s">
        <v>1328</v>
      </c>
      <c r="L107" s="3" t="s">
        <v>1328</v>
      </c>
      <c r="M107" s="3" t="s">
        <v>1336</v>
      </c>
      <c r="N107" s="3" t="s">
        <v>1328</v>
      </c>
      <c r="O107" s="3" t="s">
        <v>1336</v>
      </c>
      <c r="P107" s="3" t="s">
        <v>1350</v>
      </c>
    </row>
    <row r="108" ht="12.75" customHeight="1">
      <c r="A108" s="3" t="s">
        <v>1993</v>
      </c>
      <c r="B108" s="3" t="s">
        <v>1994</v>
      </c>
      <c r="C108" s="3" t="s">
        <v>1995</v>
      </c>
      <c r="D108" s="3" t="s">
        <v>4178</v>
      </c>
      <c r="E108" s="3" t="s">
        <v>1462</v>
      </c>
      <c r="F108" s="3" t="s">
        <v>1329</v>
      </c>
      <c r="G108" s="3" t="s">
        <v>1444</v>
      </c>
      <c r="H108" s="3" t="s">
        <v>1864</v>
      </c>
      <c r="I108" s="3" t="s">
        <v>1446</v>
      </c>
      <c r="J108" s="3" t="s">
        <v>1328</v>
      </c>
      <c r="K108" s="3" t="s">
        <v>1328</v>
      </c>
      <c r="L108" s="3" t="s">
        <v>1328</v>
      </c>
      <c r="M108" s="3" t="s">
        <v>1336</v>
      </c>
      <c r="N108" s="3" t="s">
        <v>1336</v>
      </c>
      <c r="O108" s="3" t="s">
        <v>1336</v>
      </c>
      <c r="P108" s="3" t="s">
        <v>1404</v>
      </c>
    </row>
    <row r="109" ht="12.75" customHeight="1">
      <c r="A109" s="3" t="s">
        <v>1998</v>
      </c>
      <c r="B109" s="3" t="s">
        <v>1999</v>
      </c>
      <c r="C109" s="3" t="s">
        <v>2000</v>
      </c>
      <c r="D109" s="3" t="s">
        <v>3704</v>
      </c>
      <c r="E109" s="3" t="s">
        <v>1358</v>
      </c>
      <c r="F109" s="3" t="s">
        <v>1329</v>
      </c>
      <c r="G109" s="3" t="s">
        <v>1333</v>
      </c>
      <c r="H109" s="3" t="s">
        <v>1381</v>
      </c>
      <c r="I109" s="3" t="s">
        <v>1362</v>
      </c>
      <c r="J109" s="3" t="s">
        <v>1328</v>
      </c>
      <c r="K109" s="3" t="s">
        <v>1328</v>
      </c>
      <c r="L109" s="3" t="s">
        <v>1336</v>
      </c>
      <c r="M109" s="3" t="s">
        <v>1336</v>
      </c>
      <c r="N109" s="3" t="s">
        <v>1336</v>
      </c>
      <c r="O109" s="3" t="s">
        <v>1336</v>
      </c>
      <c r="P109" s="3" t="s">
        <v>1350</v>
      </c>
    </row>
    <row r="110" ht="12.75" customHeight="1">
      <c r="A110" s="3" t="s">
        <v>2003</v>
      </c>
      <c r="B110" s="3" t="s">
        <v>2004</v>
      </c>
      <c r="C110" s="3" t="s">
        <v>2005</v>
      </c>
      <c r="D110" s="3" t="s">
        <v>3975</v>
      </c>
      <c r="E110" s="3" t="s">
        <v>1358</v>
      </c>
      <c r="F110" s="3" t="s">
        <v>1631</v>
      </c>
      <c r="G110" s="3" t="s">
        <v>1333</v>
      </c>
      <c r="H110" s="3" t="s">
        <v>1381</v>
      </c>
      <c r="I110" s="3" t="s">
        <v>1362</v>
      </c>
      <c r="J110" s="3" t="s">
        <v>1328</v>
      </c>
      <c r="K110" s="3" t="s">
        <v>1328</v>
      </c>
      <c r="L110" s="3" t="s">
        <v>1336</v>
      </c>
      <c r="M110" s="3" t="s">
        <v>1336</v>
      </c>
      <c r="N110" s="3" t="s">
        <v>1336</v>
      </c>
      <c r="O110" s="3" t="s">
        <v>1336</v>
      </c>
      <c r="P110" s="3" t="s">
        <v>1350</v>
      </c>
    </row>
    <row r="111" ht="12.75" customHeight="1">
      <c r="A111" s="3" t="s">
        <v>2009</v>
      </c>
      <c r="B111" s="3" t="s">
        <v>2010</v>
      </c>
      <c r="C111" s="3" t="s">
        <v>2011</v>
      </c>
      <c r="D111" s="3" t="s">
        <v>2497</v>
      </c>
      <c r="E111" s="3" t="s">
        <v>1835</v>
      </c>
      <c r="F111" s="3" t="s">
        <v>1329</v>
      </c>
      <c r="G111" s="3" t="s">
        <v>1360</v>
      </c>
      <c r="H111" s="3" t="s">
        <v>1348</v>
      </c>
      <c r="I111" s="3" t="s">
        <v>1362</v>
      </c>
      <c r="J111" s="3" t="s">
        <v>1328</v>
      </c>
      <c r="K111" s="3" t="s">
        <v>1328</v>
      </c>
      <c r="L111" s="3" t="s">
        <v>1328</v>
      </c>
      <c r="M111" s="3" t="s">
        <v>1336</v>
      </c>
      <c r="N111" s="3" t="s">
        <v>1336</v>
      </c>
      <c r="O111" s="3" t="s">
        <v>1328</v>
      </c>
      <c r="P111" s="3" t="s">
        <v>1404</v>
      </c>
    </row>
    <row r="112" ht="12.75" customHeight="1">
      <c r="A112" s="3" t="s">
        <v>2014</v>
      </c>
      <c r="B112" s="3" t="s">
        <v>2015</v>
      </c>
      <c r="C112" s="3" t="s">
        <v>2016</v>
      </c>
      <c r="D112" s="3" t="s">
        <v>3896</v>
      </c>
      <c r="E112" s="3" t="s">
        <v>1835</v>
      </c>
      <c r="F112" s="3" t="s">
        <v>1329</v>
      </c>
      <c r="G112" s="3" t="s">
        <v>1333</v>
      </c>
      <c r="H112" s="3" t="s">
        <v>1348</v>
      </c>
      <c r="I112" s="3" t="s">
        <v>1362</v>
      </c>
      <c r="J112" s="3" t="s">
        <v>1328</v>
      </c>
      <c r="K112" s="3" t="s">
        <v>1328</v>
      </c>
      <c r="L112" s="3" t="s">
        <v>1328</v>
      </c>
      <c r="M112" s="3" t="s">
        <v>1336</v>
      </c>
      <c r="N112" s="3" t="s">
        <v>1336</v>
      </c>
      <c r="O112" s="3" t="s">
        <v>1328</v>
      </c>
      <c r="P112" s="3" t="s">
        <v>1350</v>
      </c>
    </row>
    <row r="113" ht="12.75" customHeight="1">
      <c r="A113" s="3" t="s">
        <v>2019</v>
      </c>
      <c r="B113" s="3" t="s">
        <v>2020</v>
      </c>
      <c r="C113" s="3" t="s">
        <v>2021</v>
      </c>
      <c r="D113" s="3" t="s">
        <v>4645</v>
      </c>
      <c r="E113" s="3" t="s">
        <v>1947</v>
      </c>
      <c r="F113" s="3" t="s">
        <v>1329</v>
      </c>
      <c r="G113" s="3" t="s">
        <v>1333</v>
      </c>
      <c r="H113" s="3" t="s">
        <v>1348</v>
      </c>
      <c r="I113" s="3" t="s">
        <v>1362</v>
      </c>
      <c r="J113" s="3" t="s">
        <v>1336</v>
      </c>
      <c r="K113" s="3" t="s">
        <v>1328</v>
      </c>
      <c r="L113" s="3" t="s">
        <v>1336</v>
      </c>
      <c r="M113" s="3" t="s">
        <v>1328</v>
      </c>
      <c r="N113" s="3" t="s">
        <v>1336</v>
      </c>
      <c r="O113" s="3" t="s">
        <v>1328</v>
      </c>
      <c r="P113" s="3" t="s">
        <v>1350</v>
      </c>
    </row>
    <row r="114" ht="12.75" customHeight="1">
      <c r="A114" s="3" t="s">
        <v>2025</v>
      </c>
      <c r="B114" s="3" t="s">
        <v>3636</v>
      </c>
      <c r="C114" s="3" t="s">
        <v>2027</v>
      </c>
      <c r="D114" s="3" t="s">
        <v>3651</v>
      </c>
      <c r="E114" s="3" t="s">
        <v>1495</v>
      </c>
      <c r="F114" s="3" t="s">
        <v>1329</v>
      </c>
      <c r="G114" s="3" t="s">
        <v>1360</v>
      </c>
      <c r="H114" s="3" t="s">
        <v>1361</v>
      </c>
      <c r="I114" s="3" t="s">
        <v>1362</v>
      </c>
      <c r="J114" s="3" t="s">
        <v>1328</v>
      </c>
      <c r="K114" s="3" t="s">
        <v>1328</v>
      </c>
      <c r="L114" s="3" t="s">
        <v>1336</v>
      </c>
      <c r="M114" s="3" t="s">
        <v>1336</v>
      </c>
      <c r="N114" s="3" t="s">
        <v>1328</v>
      </c>
      <c r="O114" s="3" t="s">
        <v>1336</v>
      </c>
      <c r="P114" s="3" t="s">
        <v>1395</v>
      </c>
    </row>
    <row r="115" ht="12.75" customHeight="1">
      <c r="A115" s="3" t="s">
        <v>2031</v>
      </c>
      <c r="B115" s="3" t="s">
        <v>2032</v>
      </c>
      <c r="C115" s="3" t="s">
        <v>2033</v>
      </c>
      <c r="D115" s="3" t="s">
        <v>2861</v>
      </c>
      <c r="E115" s="3" t="s">
        <v>1346</v>
      </c>
      <c r="F115" s="3" t="s">
        <v>1329</v>
      </c>
      <c r="G115" s="3" t="s">
        <v>1360</v>
      </c>
      <c r="H115" s="3" t="s">
        <v>1361</v>
      </c>
      <c r="I115" s="3" t="s">
        <v>1335</v>
      </c>
      <c r="J115" s="3" t="s">
        <v>1328</v>
      </c>
      <c r="K115" s="3" t="s">
        <v>1336</v>
      </c>
      <c r="L115" s="3" t="s">
        <v>1328</v>
      </c>
      <c r="M115" s="3" t="s">
        <v>1336</v>
      </c>
      <c r="N115" s="3" t="s">
        <v>1336</v>
      </c>
      <c r="O115" s="3" t="s">
        <v>1336</v>
      </c>
      <c r="P115" s="3" t="s">
        <v>1350</v>
      </c>
    </row>
    <row r="116" ht="12.75" customHeight="1">
      <c r="A116" s="3" t="s">
        <v>2037</v>
      </c>
      <c r="B116" s="3" t="s">
        <v>2038</v>
      </c>
      <c r="C116" s="3" t="s">
        <v>2039</v>
      </c>
      <c r="D116" s="3" t="s">
        <v>3389</v>
      </c>
      <c r="E116" s="3" t="s">
        <v>1416</v>
      </c>
      <c r="F116" s="3" t="s">
        <v>1329</v>
      </c>
      <c r="G116" s="3" t="s">
        <v>1333</v>
      </c>
      <c r="H116" s="3" t="s">
        <v>1361</v>
      </c>
      <c r="I116" s="3" t="s">
        <v>1349</v>
      </c>
      <c r="J116" s="3" t="s">
        <v>1328</v>
      </c>
      <c r="K116" s="3" t="s">
        <v>1336</v>
      </c>
      <c r="L116" s="3" t="s">
        <v>1328</v>
      </c>
      <c r="M116" s="3" t="s">
        <v>1336</v>
      </c>
      <c r="N116" s="3" t="s">
        <v>1336</v>
      </c>
      <c r="O116" s="3" t="s">
        <v>1336</v>
      </c>
      <c r="P116" s="3" t="s">
        <v>1350</v>
      </c>
    </row>
    <row r="117" ht="12.75" customHeight="1">
      <c r="A117" s="3" t="s">
        <v>2042</v>
      </c>
      <c r="B117" s="3" t="s">
        <v>2043</v>
      </c>
      <c r="C117" s="3" t="s">
        <v>2044</v>
      </c>
      <c r="D117" s="3" t="s">
        <v>3563</v>
      </c>
      <c r="E117" s="3" t="s">
        <v>1410</v>
      </c>
      <c r="F117" s="3" t="s">
        <v>1329</v>
      </c>
      <c r="G117" s="3" t="s">
        <v>1333</v>
      </c>
      <c r="H117" s="3" t="s">
        <v>1361</v>
      </c>
      <c r="I117" s="3" t="s">
        <v>2046</v>
      </c>
      <c r="J117" s="3" t="s">
        <v>1328</v>
      </c>
      <c r="K117" s="3" t="s">
        <v>1336</v>
      </c>
      <c r="L117" s="3" t="s">
        <v>1328</v>
      </c>
      <c r="M117" s="3" t="s">
        <v>1336</v>
      </c>
      <c r="N117" s="3" t="s">
        <v>1336</v>
      </c>
      <c r="O117" s="3" t="s">
        <v>1336</v>
      </c>
      <c r="P117" s="3" t="s">
        <v>1350</v>
      </c>
    </row>
    <row r="118" ht="12.75" customHeight="1">
      <c r="A118" s="3" t="s">
        <v>2049</v>
      </c>
      <c r="B118" s="3" t="s">
        <v>2050</v>
      </c>
      <c r="C118" s="3" t="s">
        <v>2051</v>
      </c>
      <c r="D118" s="3" t="s">
        <v>3492</v>
      </c>
      <c r="E118" s="3" t="s">
        <v>1666</v>
      </c>
      <c r="F118" s="3" t="s">
        <v>1329</v>
      </c>
      <c r="G118" s="3" t="s">
        <v>1333</v>
      </c>
      <c r="H118" s="3" t="s">
        <v>1381</v>
      </c>
      <c r="I118" s="3" t="s">
        <v>1362</v>
      </c>
      <c r="J118" s="3" t="s">
        <v>1328</v>
      </c>
      <c r="K118" s="3" t="s">
        <v>1328</v>
      </c>
      <c r="L118" s="3" t="s">
        <v>1336</v>
      </c>
      <c r="M118" s="3" t="s">
        <v>1336</v>
      </c>
      <c r="N118" s="3" t="s">
        <v>1336</v>
      </c>
      <c r="O118" s="3" t="s">
        <v>1336</v>
      </c>
      <c r="P118" s="3" t="s">
        <v>1350</v>
      </c>
    </row>
    <row r="119" ht="12.75" customHeight="1">
      <c r="A119" s="3" t="s">
        <v>4838</v>
      </c>
      <c r="B119" s="3" t="s">
        <v>4841</v>
      </c>
      <c r="C119" s="3" t="s">
        <v>2056</v>
      </c>
      <c r="D119" s="3" t="s">
        <v>4854</v>
      </c>
      <c r="E119" s="3" t="s">
        <v>1346</v>
      </c>
      <c r="F119" s="3" t="s">
        <v>1329</v>
      </c>
      <c r="G119" s="3" t="s">
        <v>1333</v>
      </c>
      <c r="H119" s="3" t="s">
        <v>1361</v>
      </c>
      <c r="I119" s="3" t="s">
        <v>1335</v>
      </c>
      <c r="J119" s="3" t="s">
        <v>1328</v>
      </c>
      <c r="K119" s="3" t="s">
        <v>1336</v>
      </c>
      <c r="L119" s="3" t="s">
        <v>1336</v>
      </c>
      <c r="M119" s="3" t="s">
        <v>1336</v>
      </c>
      <c r="N119" s="3" t="s">
        <v>1328</v>
      </c>
      <c r="O119" s="3" t="s">
        <v>1336</v>
      </c>
      <c r="P119" s="3" t="s">
        <v>1350</v>
      </c>
    </row>
    <row r="120" ht="12.75" customHeight="1">
      <c r="A120" s="3" t="s">
        <v>2060</v>
      </c>
      <c r="B120" s="3" t="s">
        <v>2061</v>
      </c>
      <c r="C120" s="3" t="s">
        <v>2062</v>
      </c>
      <c r="D120" s="3" t="s">
        <v>3859</v>
      </c>
      <c r="E120" s="3" t="s">
        <v>1522</v>
      </c>
      <c r="F120" s="3" t="s">
        <v>1329</v>
      </c>
      <c r="G120" s="3" t="s">
        <v>1333</v>
      </c>
      <c r="H120" s="3" t="s">
        <v>1334</v>
      </c>
      <c r="I120" s="3" t="s">
        <v>1349</v>
      </c>
      <c r="J120" s="3" t="s">
        <v>1336</v>
      </c>
      <c r="K120" s="3" t="s">
        <v>1336</v>
      </c>
      <c r="L120" s="3" t="s">
        <v>1328</v>
      </c>
      <c r="M120" s="3" t="s">
        <v>1328</v>
      </c>
      <c r="N120" s="3" t="s">
        <v>1336</v>
      </c>
      <c r="O120" s="3" t="s">
        <v>1336</v>
      </c>
      <c r="P120" s="3" t="s">
        <v>1350</v>
      </c>
    </row>
    <row r="121" ht="12.75" customHeight="1">
      <c r="A121" s="3" t="s">
        <v>2065</v>
      </c>
      <c r="B121" s="3" t="s">
        <v>4389</v>
      </c>
      <c r="C121" s="3" t="s">
        <v>2067</v>
      </c>
      <c r="D121" s="3" t="s">
        <v>4399</v>
      </c>
      <c r="E121" s="3" t="s">
        <v>1358</v>
      </c>
      <c r="F121" s="3" t="s">
        <v>1329</v>
      </c>
      <c r="G121" s="3" t="s">
        <v>1360</v>
      </c>
      <c r="H121" s="3" t="s">
        <v>1348</v>
      </c>
      <c r="I121" s="3" t="s">
        <v>2069</v>
      </c>
      <c r="J121" s="3" t="s">
        <v>1336</v>
      </c>
      <c r="K121" s="3" t="s">
        <v>1328</v>
      </c>
      <c r="L121" s="3" t="s">
        <v>1328</v>
      </c>
      <c r="M121" s="3" t="s">
        <v>1336</v>
      </c>
      <c r="N121" s="3" t="s">
        <v>1336</v>
      </c>
      <c r="O121" s="3" t="s">
        <v>1328</v>
      </c>
      <c r="P121" s="3" t="s">
        <v>1350</v>
      </c>
    </row>
    <row r="122" ht="12.75" customHeight="1">
      <c r="A122" s="3" t="s">
        <v>2602</v>
      </c>
      <c r="B122" s="3" t="s">
        <v>2605</v>
      </c>
      <c r="C122" s="3" t="s">
        <v>2074</v>
      </c>
      <c r="D122" s="3" t="s">
        <v>2619</v>
      </c>
      <c r="E122" s="3" t="s">
        <v>1495</v>
      </c>
      <c r="F122" s="3" t="s">
        <v>1329</v>
      </c>
      <c r="G122" s="3" t="s">
        <v>1333</v>
      </c>
      <c r="H122" s="3" t="s">
        <v>1381</v>
      </c>
      <c r="I122" s="3" t="s">
        <v>1530</v>
      </c>
      <c r="J122" s="3" t="s">
        <v>1336</v>
      </c>
      <c r="K122" s="3" t="s">
        <v>1336</v>
      </c>
      <c r="L122" s="3" t="s">
        <v>1336</v>
      </c>
      <c r="M122" s="3" t="s">
        <v>1328</v>
      </c>
      <c r="N122" s="3" t="s">
        <v>1336</v>
      </c>
      <c r="O122" s="3" t="s">
        <v>1328</v>
      </c>
      <c r="P122" s="3" t="s">
        <v>1350</v>
      </c>
    </row>
    <row r="123" ht="12.75" customHeight="1">
      <c r="A123" s="3" t="s">
        <v>4600</v>
      </c>
      <c r="B123" s="3" t="s">
        <v>4604</v>
      </c>
      <c r="C123" s="3" t="s">
        <v>2080</v>
      </c>
      <c r="D123" s="3" t="s">
        <v>4621</v>
      </c>
      <c r="E123" s="3" t="s">
        <v>1358</v>
      </c>
      <c r="F123" s="3" t="s">
        <v>1443</v>
      </c>
      <c r="G123" s="3" t="s">
        <v>1444</v>
      </c>
      <c r="H123" s="3" t="s">
        <v>1445</v>
      </c>
      <c r="I123" s="3" t="s">
        <v>1362</v>
      </c>
      <c r="J123" s="3" t="s">
        <v>1336</v>
      </c>
      <c r="K123" s="3" t="s">
        <v>1328</v>
      </c>
      <c r="L123" s="3" t="s">
        <v>1328</v>
      </c>
      <c r="M123" s="3" t="s">
        <v>1336</v>
      </c>
      <c r="N123" s="3" t="s">
        <v>1336</v>
      </c>
      <c r="O123" s="3" t="s">
        <v>1336</v>
      </c>
      <c r="P123" s="3" t="s">
        <v>1350</v>
      </c>
    </row>
    <row r="124" ht="12.75" customHeight="1">
      <c r="A124" s="3" t="s">
        <v>2084</v>
      </c>
      <c r="B124" s="3" t="s">
        <v>3155</v>
      </c>
      <c r="C124" s="3" t="s">
        <v>2086</v>
      </c>
      <c r="D124" s="3" t="s">
        <v>3172</v>
      </c>
      <c r="E124" s="3" t="s">
        <v>1358</v>
      </c>
      <c r="F124" s="3" t="s">
        <v>1631</v>
      </c>
      <c r="G124" s="3" t="s">
        <v>1333</v>
      </c>
      <c r="H124" s="3" t="s">
        <v>1361</v>
      </c>
      <c r="I124" s="3" t="s">
        <v>1362</v>
      </c>
      <c r="J124" s="3" t="s">
        <v>1328</v>
      </c>
      <c r="K124" s="3" t="s">
        <v>1328</v>
      </c>
      <c r="L124" s="3" t="s">
        <v>1336</v>
      </c>
      <c r="M124" s="3" t="s">
        <v>1336</v>
      </c>
      <c r="N124" s="3" t="s">
        <v>1336</v>
      </c>
      <c r="O124" s="3" t="s">
        <v>1336</v>
      </c>
      <c r="P124" s="3" t="s">
        <v>1350</v>
      </c>
    </row>
    <row r="125" ht="12.75" customHeight="1">
      <c r="A125" s="3" t="s">
        <v>2089</v>
      </c>
      <c r="B125" s="3" t="s">
        <v>2090</v>
      </c>
      <c r="C125" s="3" t="s">
        <v>2091</v>
      </c>
      <c r="D125" s="3" t="s">
        <v>2945</v>
      </c>
      <c r="E125" s="3" t="s">
        <v>1835</v>
      </c>
      <c r="F125" s="3" t="s">
        <v>1443</v>
      </c>
      <c r="G125" s="3" t="s">
        <v>1360</v>
      </c>
      <c r="H125" s="3" t="s">
        <v>1381</v>
      </c>
      <c r="I125" s="3" t="s">
        <v>1362</v>
      </c>
      <c r="J125" s="3" t="s">
        <v>1328</v>
      </c>
      <c r="K125" s="3" t="s">
        <v>1328</v>
      </c>
      <c r="L125" s="3" t="s">
        <v>1328</v>
      </c>
      <c r="M125" s="3" t="s">
        <v>1336</v>
      </c>
      <c r="N125" s="3" t="s">
        <v>1336</v>
      </c>
      <c r="O125" s="3" t="s">
        <v>1328</v>
      </c>
      <c r="P125" s="3" t="s">
        <v>1395</v>
      </c>
    </row>
    <row r="126" ht="12.75" customHeight="1">
      <c r="A126" s="3" t="s">
        <v>2094</v>
      </c>
      <c r="B126" s="3" t="s">
        <v>2095</v>
      </c>
      <c r="C126" s="3" t="s">
        <v>2096</v>
      </c>
      <c r="D126" s="3" t="s">
        <v>3314</v>
      </c>
      <c r="E126" s="3" t="s">
        <v>1326</v>
      </c>
      <c r="F126" s="3" t="s">
        <v>1443</v>
      </c>
      <c r="G126" s="3" t="s">
        <v>1444</v>
      </c>
      <c r="H126" s="3" t="s">
        <v>1445</v>
      </c>
      <c r="I126" s="3" t="s">
        <v>1373</v>
      </c>
      <c r="J126" s="3" t="s">
        <v>1328</v>
      </c>
      <c r="K126" s="3" t="s">
        <v>1328</v>
      </c>
      <c r="L126" s="3" t="s">
        <v>1328</v>
      </c>
      <c r="M126" s="3" t="s">
        <v>1328</v>
      </c>
      <c r="N126" s="3" t="s">
        <v>1328</v>
      </c>
      <c r="O126" s="3" t="s">
        <v>1328</v>
      </c>
      <c r="P126" s="3" t="s">
        <v>1395</v>
      </c>
    </row>
    <row r="127" ht="12.75" customHeight="1">
      <c r="A127" s="3" t="s">
        <v>2099</v>
      </c>
      <c r="B127" s="3" t="s">
        <v>3337</v>
      </c>
      <c r="C127" s="3" t="s">
        <v>2101</v>
      </c>
      <c r="D127" s="3" t="s">
        <v>3347</v>
      </c>
      <c r="E127" s="3" t="s">
        <v>2103</v>
      </c>
      <c r="F127" s="3" t="s">
        <v>1329</v>
      </c>
      <c r="G127" s="3" t="s">
        <v>1333</v>
      </c>
      <c r="H127" s="3" t="s">
        <v>1361</v>
      </c>
      <c r="I127" s="3" t="s">
        <v>1464</v>
      </c>
      <c r="J127" s="3" t="s">
        <v>1336</v>
      </c>
      <c r="K127" s="3" t="s">
        <v>1328</v>
      </c>
      <c r="L127" s="3" t="s">
        <v>1336</v>
      </c>
      <c r="M127" s="3" t="s">
        <v>1336</v>
      </c>
      <c r="N127" s="3" t="s">
        <v>1328</v>
      </c>
      <c r="O127" s="3" t="s">
        <v>1336</v>
      </c>
      <c r="P127" s="3" t="s">
        <v>1404</v>
      </c>
    </row>
    <row r="128" ht="12.75" customHeight="1">
      <c r="A128" s="3" t="s">
        <v>2105</v>
      </c>
      <c r="B128" s="3" t="s">
        <v>2106</v>
      </c>
      <c r="C128" s="3" t="s">
        <v>2107</v>
      </c>
      <c r="D128" s="3" t="s">
        <v>3360</v>
      </c>
      <c r="E128" s="3" t="s">
        <v>1614</v>
      </c>
      <c r="F128" s="3" t="s">
        <v>1329</v>
      </c>
      <c r="G128" s="3" t="s">
        <v>1333</v>
      </c>
      <c r="H128" s="3" t="s">
        <v>1334</v>
      </c>
      <c r="I128" s="3" t="s">
        <v>1362</v>
      </c>
      <c r="J128" s="3" t="s">
        <v>1336</v>
      </c>
      <c r="K128" s="3" t="s">
        <v>1328</v>
      </c>
      <c r="L128" s="3" t="s">
        <v>1328</v>
      </c>
      <c r="M128" s="3" t="s">
        <v>1336</v>
      </c>
      <c r="N128" s="3" t="s">
        <v>1336</v>
      </c>
      <c r="O128" s="3" t="s">
        <v>1336</v>
      </c>
      <c r="P128" s="3" t="s">
        <v>1395</v>
      </c>
    </row>
    <row r="129" ht="12.75" customHeight="1">
      <c r="A129" s="3" t="s">
        <v>2110</v>
      </c>
      <c r="B129" s="3" t="s">
        <v>3952</v>
      </c>
      <c r="C129" s="3" t="s">
        <v>2112</v>
      </c>
      <c r="D129" s="3" t="s">
        <v>3963</v>
      </c>
      <c r="E129" s="3" t="s">
        <v>1442</v>
      </c>
      <c r="F129" s="3" t="s">
        <v>1443</v>
      </c>
      <c r="G129" s="3" t="s">
        <v>1333</v>
      </c>
      <c r="H129" s="3" t="s">
        <v>1381</v>
      </c>
      <c r="I129" s="3" t="s">
        <v>1446</v>
      </c>
      <c r="J129" s="3" t="s">
        <v>1336</v>
      </c>
      <c r="K129" s="3" t="s">
        <v>1328</v>
      </c>
      <c r="L129" s="3" t="s">
        <v>1328</v>
      </c>
      <c r="M129" s="3" t="s">
        <v>1336</v>
      </c>
      <c r="N129" s="3" t="s">
        <v>1336</v>
      </c>
      <c r="O129" s="3" t="s">
        <v>1336</v>
      </c>
      <c r="P129" s="3" t="s">
        <v>1395</v>
      </c>
    </row>
    <row r="130" ht="12.75" customHeight="1">
      <c r="A130" s="3" t="s">
        <v>2115</v>
      </c>
      <c r="B130" s="3" t="s">
        <v>2116</v>
      </c>
      <c r="C130" s="3" t="s">
        <v>2117</v>
      </c>
      <c r="D130" s="3" t="s">
        <v>4289</v>
      </c>
      <c r="E130" s="3" t="s">
        <v>1442</v>
      </c>
      <c r="F130" s="3" t="s">
        <v>1443</v>
      </c>
      <c r="G130" s="3" t="s">
        <v>1660</v>
      </c>
      <c r="H130" s="3" t="s">
        <v>1381</v>
      </c>
      <c r="I130" s="3" t="s">
        <v>1446</v>
      </c>
      <c r="J130" s="3" t="s">
        <v>1328</v>
      </c>
      <c r="K130" s="3" t="s">
        <v>1328</v>
      </c>
      <c r="L130" s="3" t="s">
        <v>1328</v>
      </c>
      <c r="M130" s="3" t="s">
        <v>1328</v>
      </c>
      <c r="N130" s="3" t="s">
        <v>1328</v>
      </c>
      <c r="O130" s="3" t="s">
        <v>1328</v>
      </c>
      <c r="P130" s="3" t="s">
        <v>1395</v>
      </c>
    </row>
    <row r="131" ht="12.75" customHeight="1">
      <c r="A131" s="3" t="s">
        <v>2121</v>
      </c>
      <c r="B131" s="3" t="s">
        <v>2122</v>
      </c>
      <c r="C131" s="3" t="s">
        <v>2123</v>
      </c>
      <c r="D131" s="3" t="s">
        <v>4761</v>
      </c>
      <c r="E131" s="3" t="s">
        <v>1614</v>
      </c>
      <c r="F131" s="3" t="s">
        <v>1329</v>
      </c>
      <c r="G131" s="3" t="s">
        <v>1333</v>
      </c>
      <c r="H131" s="3" t="s">
        <v>1348</v>
      </c>
      <c r="I131" s="3" t="s">
        <v>1362</v>
      </c>
      <c r="J131" s="3" t="s">
        <v>1336</v>
      </c>
      <c r="K131" s="3" t="s">
        <v>1328</v>
      </c>
      <c r="L131" s="3" t="s">
        <v>1328</v>
      </c>
      <c r="M131" s="3" t="s">
        <v>1336</v>
      </c>
      <c r="N131" s="3" t="s">
        <v>1336</v>
      </c>
      <c r="O131" s="3" t="s">
        <v>1336</v>
      </c>
      <c r="P131" s="3" t="s">
        <v>1350</v>
      </c>
    </row>
    <row r="132" ht="12.75" customHeight="1">
      <c r="A132" s="3" t="s">
        <v>2126</v>
      </c>
      <c r="B132" s="3" t="s">
        <v>2127</v>
      </c>
      <c r="C132" s="3" t="s">
        <v>2128</v>
      </c>
      <c r="D132" s="3" t="s">
        <v>2654</v>
      </c>
      <c r="E132" s="3" t="s">
        <v>1370</v>
      </c>
      <c r="F132" s="3" t="s">
        <v>1329</v>
      </c>
      <c r="G132" s="3" t="s">
        <v>1333</v>
      </c>
      <c r="H132" s="3" t="s">
        <v>1381</v>
      </c>
      <c r="I132" s="3" t="s">
        <v>1530</v>
      </c>
      <c r="J132" s="3" t="s">
        <v>1336</v>
      </c>
      <c r="K132" s="3" t="s">
        <v>1328</v>
      </c>
      <c r="L132" s="3" t="s">
        <v>1336</v>
      </c>
      <c r="M132" s="3" t="s">
        <v>1336</v>
      </c>
      <c r="N132" s="3" t="s">
        <v>1328</v>
      </c>
      <c r="O132" s="3" t="s">
        <v>1328</v>
      </c>
      <c r="P132" s="3" t="s">
        <v>1350</v>
      </c>
    </row>
    <row r="133" ht="12.75" customHeight="1">
      <c r="A133" s="3" t="s">
        <v>2132</v>
      </c>
      <c r="B133" s="3" t="s">
        <v>2133</v>
      </c>
      <c r="C133" s="3" t="s">
        <v>2134</v>
      </c>
      <c r="D133" s="3" t="s">
        <v>3805</v>
      </c>
      <c r="E133" s="3" t="s">
        <v>1358</v>
      </c>
      <c r="F133" s="3" t="s">
        <v>1631</v>
      </c>
      <c r="G133" s="3" t="s">
        <v>1333</v>
      </c>
      <c r="H133" s="3" t="s">
        <v>1361</v>
      </c>
      <c r="I133" s="3" t="s">
        <v>1362</v>
      </c>
      <c r="J133" s="3" t="s">
        <v>1328</v>
      </c>
      <c r="K133" s="3" t="s">
        <v>1328</v>
      </c>
      <c r="L133" s="3" t="s">
        <v>1336</v>
      </c>
      <c r="M133" s="3" t="s">
        <v>1336</v>
      </c>
      <c r="N133" s="3" t="s">
        <v>1336</v>
      </c>
      <c r="O133" s="3" t="s">
        <v>1336</v>
      </c>
      <c r="P133" s="3" t="s">
        <v>1350</v>
      </c>
    </row>
    <row r="134" ht="12.75" customHeight="1">
      <c r="A134" s="3" t="s">
        <v>2137</v>
      </c>
      <c r="B134" s="3" t="s">
        <v>2138</v>
      </c>
      <c r="C134" s="3" t="s">
        <v>2139</v>
      </c>
      <c r="D134" s="3" t="s">
        <v>4147</v>
      </c>
      <c r="E134" s="3" t="s">
        <v>1666</v>
      </c>
      <c r="F134" s="3" t="s">
        <v>1329</v>
      </c>
      <c r="G134" s="3" t="s">
        <v>1333</v>
      </c>
      <c r="H134" s="3" t="s">
        <v>1348</v>
      </c>
      <c r="I134" s="3" t="s">
        <v>1362</v>
      </c>
      <c r="J134" s="3" t="s">
        <v>1336</v>
      </c>
      <c r="K134" s="3" t="s">
        <v>1336</v>
      </c>
      <c r="L134" s="3" t="s">
        <v>1336</v>
      </c>
      <c r="M134" s="3" t="s">
        <v>1328</v>
      </c>
      <c r="N134" s="3" t="s">
        <v>1336</v>
      </c>
      <c r="O134" s="3" t="s">
        <v>1328</v>
      </c>
      <c r="P134" s="3" t="s">
        <v>1350</v>
      </c>
    </row>
    <row r="135" ht="12.75" customHeight="1">
      <c r="A135" s="3" t="s">
        <v>2143</v>
      </c>
      <c r="B135" s="3" t="s">
        <v>2144</v>
      </c>
      <c r="C135" s="3" t="s">
        <v>2145</v>
      </c>
      <c r="D135" s="3" t="s">
        <v>4886</v>
      </c>
      <c r="E135" s="3" t="s">
        <v>1947</v>
      </c>
      <c r="F135" s="3" t="s">
        <v>1329</v>
      </c>
      <c r="G135" s="3" t="s">
        <v>1333</v>
      </c>
      <c r="H135" s="3" t="s">
        <v>1334</v>
      </c>
      <c r="I135" s="3" t="s">
        <v>1362</v>
      </c>
      <c r="J135" s="3" t="s">
        <v>1336</v>
      </c>
      <c r="K135" s="3" t="s">
        <v>1328</v>
      </c>
      <c r="L135" s="3" t="s">
        <v>1328</v>
      </c>
      <c r="M135" s="3" t="s">
        <v>1336</v>
      </c>
      <c r="N135" s="3" t="s">
        <v>1336</v>
      </c>
      <c r="O135" s="3" t="s">
        <v>1336</v>
      </c>
      <c r="P135" s="3" t="s">
        <v>1350</v>
      </c>
    </row>
    <row r="136" ht="12.75" customHeight="1">
      <c r="A136" s="3" t="s">
        <v>2149</v>
      </c>
      <c r="B136" s="3" t="s">
        <v>2150</v>
      </c>
      <c r="C136" s="3" t="s">
        <v>2151</v>
      </c>
      <c r="D136" s="3" t="s">
        <v>3912</v>
      </c>
      <c r="E136" s="3" t="s">
        <v>1358</v>
      </c>
      <c r="F136" s="3" t="s">
        <v>1631</v>
      </c>
      <c r="G136" s="3" t="s">
        <v>1333</v>
      </c>
      <c r="H136" s="3" t="s">
        <v>1381</v>
      </c>
      <c r="I136" s="3" t="s">
        <v>1362</v>
      </c>
      <c r="J136" s="3" t="s">
        <v>1328</v>
      </c>
      <c r="K136" s="3" t="s">
        <v>1328</v>
      </c>
      <c r="L136" s="3" t="s">
        <v>1336</v>
      </c>
      <c r="M136" s="3" t="s">
        <v>1336</v>
      </c>
      <c r="N136" s="3" t="s">
        <v>1336</v>
      </c>
      <c r="O136" s="3" t="s">
        <v>1336</v>
      </c>
      <c r="P136" s="3" t="s">
        <v>1350</v>
      </c>
    </row>
    <row r="137" ht="12.75" customHeight="1">
      <c r="A137" s="3" t="s">
        <v>2155</v>
      </c>
      <c r="B137" s="3" t="s">
        <v>4780</v>
      </c>
      <c r="C137" s="3" t="s">
        <v>2157</v>
      </c>
      <c r="D137" s="3" t="s">
        <v>4793</v>
      </c>
      <c r="E137" s="3" t="s">
        <v>1495</v>
      </c>
      <c r="F137" s="3" t="s">
        <v>1443</v>
      </c>
      <c r="G137" s="3" t="s">
        <v>1444</v>
      </c>
      <c r="H137" s="3" t="s">
        <v>1476</v>
      </c>
      <c r="I137" s="3" t="s">
        <v>1530</v>
      </c>
      <c r="J137" s="3" t="s">
        <v>1336</v>
      </c>
      <c r="K137" s="3" t="s">
        <v>1328</v>
      </c>
      <c r="L137" s="3" t="s">
        <v>1328</v>
      </c>
      <c r="M137" s="3" t="s">
        <v>1328</v>
      </c>
      <c r="N137" s="3" t="s">
        <v>1328</v>
      </c>
      <c r="O137" s="3" t="s">
        <v>1328</v>
      </c>
      <c r="P137" s="3" t="s">
        <v>1350</v>
      </c>
    </row>
    <row r="138" ht="12.75" customHeight="1">
      <c r="A138" s="3" t="s">
        <v>2161</v>
      </c>
      <c r="B138" s="3" t="s">
        <v>4325</v>
      </c>
      <c r="C138" s="3" t="s">
        <v>2163</v>
      </c>
      <c r="D138" s="3" t="s">
        <v>4335</v>
      </c>
      <c r="E138" s="3" t="s">
        <v>1402</v>
      </c>
      <c r="F138" s="3" t="s">
        <v>1463</v>
      </c>
      <c r="G138" s="3" t="s">
        <v>1444</v>
      </c>
      <c r="H138" s="3" t="s">
        <v>1445</v>
      </c>
      <c r="I138" s="3" t="s">
        <v>1349</v>
      </c>
      <c r="J138" s="3" t="s">
        <v>1328</v>
      </c>
      <c r="K138" s="3" t="s">
        <v>1328</v>
      </c>
      <c r="L138" s="3" t="s">
        <v>1328</v>
      </c>
      <c r="M138" s="3" t="s">
        <v>1328</v>
      </c>
      <c r="N138" s="3" t="s">
        <v>1328</v>
      </c>
      <c r="O138" s="3" t="s">
        <v>1328</v>
      </c>
      <c r="P138" s="3" t="s">
        <v>1395</v>
      </c>
    </row>
    <row r="139" ht="12.75" customHeight="1">
      <c r="A139" s="3" t="s">
        <v>2167</v>
      </c>
      <c r="B139" s="3" t="s">
        <v>2168</v>
      </c>
      <c r="C139" s="3" t="s">
        <v>2169</v>
      </c>
      <c r="D139" s="3" t="s">
        <v>3932</v>
      </c>
      <c r="E139" s="3" t="s">
        <v>1358</v>
      </c>
      <c r="F139" s="3" t="s">
        <v>1631</v>
      </c>
      <c r="G139" s="3" t="s">
        <v>1333</v>
      </c>
      <c r="H139" s="3" t="s">
        <v>1381</v>
      </c>
      <c r="I139" s="3" t="s">
        <v>1362</v>
      </c>
      <c r="J139" s="3" t="s">
        <v>1328</v>
      </c>
      <c r="K139" s="3" t="s">
        <v>1328</v>
      </c>
      <c r="L139" s="3" t="s">
        <v>1336</v>
      </c>
      <c r="M139" s="3" t="s">
        <v>1336</v>
      </c>
      <c r="N139" s="3" t="s">
        <v>1336</v>
      </c>
      <c r="O139" s="3" t="s">
        <v>1336</v>
      </c>
      <c r="P139" s="3" t="s">
        <v>1350</v>
      </c>
    </row>
    <row r="140" ht="12.75" customHeight="1">
      <c r="A140" s="3" t="s">
        <v>2173</v>
      </c>
      <c r="B140" s="3" t="s">
        <v>2174</v>
      </c>
      <c r="C140" s="3" t="s">
        <v>2175</v>
      </c>
      <c r="D140" s="3" t="s">
        <v>3881</v>
      </c>
      <c r="E140" s="3" t="s">
        <v>1666</v>
      </c>
      <c r="F140" s="3" t="s">
        <v>1329</v>
      </c>
      <c r="G140" s="3" t="s">
        <v>1333</v>
      </c>
      <c r="H140" s="3" t="s">
        <v>1381</v>
      </c>
      <c r="I140" s="3" t="s">
        <v>1362</v>
      </c>
      <c r="J140" s="3" t="s">
        <v>1328</v>
      </c>
      <c r="K140" s="3" t="s">
        <v>1328</v>
      </c>
      <c r="L140" s="3" t="s">
        <v>1336</v>
      </c>
      <c r="M140" s="3" t="s">
        <v>1336</v>
      </c>
      <c r="N140" s="3" t="s">
        <v>1336</v>
      </c>
      <c r="O140" s="3" t="s">
        <v>1336</v>
      </c>
      <c r="P140" s="3" t="s">
        <v>1350</v>
      </c>
    </row>
    <row r="141" ht="12.75" customHeight="1">
      <c r="A141" s="3" t="s">
        <v>2178</v>
      </c>
      <c r="B141" s="3" t="s">
        <v>2179</v>
      </c>
      <c r="C141" s="3" t="s">
        <v>2180</v>
      </c>
      <c r="D141" s="3" t="s">
        <v>4347</v>
      </c>
      <c r="E141" s="3" t="s">
        <v>1358</v>
      </c>
      <c r="F141" s="3" t="s">
        <v>1329</v>
      </c>
      <c r="G141" s="3" t="s">
        <v>1333</v>
      </c>
      <c r="H141" s="3" t="s">
        <v>1381</v>
      </c>
      <c r="I141" s="3" t="s">
        <v>1362</v>
      </c>
      <c r="J141" s="3" t="s">
        <v>1328</v>
      </c>
      <c r="K141" s="3" t="s">
        <v>1328</v>
      </c>
      <c r="L141" s="3" t="s">
        <v>1336</v>
      </c>
      <c r="M141" s="3" t="s">
        <v>1336</v>
      </c>
      <c r="N141" s="3" t="s">
        <v>1336</v>
      </c>
      <c r="O141" s="3" t="s">
        <v>1336</v>
      </c>
      <c r="P141" s="3" t="s">
        <v>1350</v>
      </c>
    </row>
    <row r="142" ht="12.75" customHeight="1">
      <c r="A142" s="3" t="s">
        <v>2184</v>
      </c>
      <c r="B142" s="3" t="s">
        <v>2185</v>
      </c>
      <c r="C142" s="3" t="s">
        <v>2186</v>
      </c>
      <c r="D142" s="3" t="s">
        <v>4227</v>
      </c>
      <c r="E142" s="3" t="s">
        <v>1346</v>
      </c>
      <c r="F142" s="3" t="s">
        <v>1329</v>
      </c>
      <c r="G142" s="3" t="s">
        <v>1333</v>
      </c>
      <c r="H142" s="3" t="s">
        <v>1361</v>
      </c>
      <c r="I142" s="3" t="s">
        <v>1530</v>
      </c>
      <c r="J142" s="3" t="s">
        <v>1328</v>
      </c>
      <c r="K142" s="3" t="s">
        <v>1328</v>
      </c>
      <c r="L142" s="3" t="s">
        <v>1336</v>
      </c>
      <c r="M142" s="3" t="s">
        <v>1336</v>
      </c>
      <c r="N142" s="3" t="s">
        <v>1336</v>
      </c>
      <c r="O142" s="3" t="s">
        <v>1328</v>
      </c>
      <c r="P142" s="3" t="s">
        <v>1350</v>
      </c>
    </row>
    <row r="143" ht="12.75" customHeight="1">
      <c r="A143" s="3" t="s">
        <v>2190</v>
      </c>
      <c r="B143" s="3" t="s">
        <v>2191</v>
      </c>
      <c r="C143" s="3" t="s">
        <v>2192</v>
      </c>
      <c r="D143" s="3" t="s">
        <v>4107</v>
      </c>
      <c r="E143" s="3" t="s">
        <v>1358</v>
      </c>
      <c r="F143" s="3" t="s">
        <v>1329</v>
      </c>
      <c r="G143" s="3" t="s">
        <v>1360</v>
      </c>
      <c r="H143" s="3" t="s">
        <v>1381</v>
      </c>
      <c r="I143" s="3" t="s">
        <v>1362</v>
      </c>
      <c r="J143" s="3" t="s">
        <v>1328</v>
      </c>
      <c r="K143" s="3" t="s">
        <v>1328</v>
      </c>
      <c r="L143" s="3" t="s">
        <v>1336</v>
      </c>
      <c r="M143" s="3" t="s">
        <v>1336</v>
      </c>
      <c r="N143" s="3" t="s">
        <v>1336</v>
      </c>
      <c r="O143" s="3" t="s">
        <v>1336</v>
      </c>
      <c r="P143" s="3" t="s">
        <v>1350</v>
      </c>
    </row>
    <row r="144" ht="12.75" customHeight="1">
      <c r="A144" s="3" t="s">
        <v>2195</v>
      </c>
      <c r="B144" s="3" t="s">
        <v>2196</v>
      </c>
      <c r="C144" s="3" t="s">
        <v>2197</v>
      </c>
      <c r="D144" s="3" t="s">
        <v>3827</v>
      </c>
      <c r="E144" s="3" t="s">
        <v>1358</v>
      </c>
      <c r="F144" s="3" t="s">
        <v>1329</v>
      </c>
      <c r="G144" s="3" t="s">
        <v>1333</v>
      </c>
      <c r="H144" s="3" t="s">
        <v>1348</v>
      </c>
      <c r="I144" s="3" t="s">
        <v>1362</v>
      </c>
      <c r="J144" s="3" t="s">
        <v>1336</v>
      </c>
      <c r="K144" s="3" t="s">
        <v>1328</v>
      </c>
      <c r="L144" s="3" t="s">
        <v>1328</v>
      </c>
      <c r="M144" s="3" t="s">
        <v>1336</v>
      </c>
      <c r="N144" s="3" t="s">
        <v>1336</v>
      </c>
      <c r="O144" s="3" t="s">
        <v>1336</v>
      </c>
      <c r="P144" s="3" t="s">
        <v>1395</v>
      </c>
    </row>
    <row r="145" ht="12.75" customHeight="1">
      <c r="A145" s="3" t="s">
        <v>2201</v>
      </c>
      <c r="B145" s="3" t="s">
        <v>2202</v>
      </c>
      <c r="C145" s="3" t="s">
        <v>2203</v>
      </c>
      <c r="D145" s="3" t="s">
        <v>3520</v>
      </c>
      <c r="E145" s="3" t="s">
        <v>1358</v>
      </c>
      <c r="F145" s="3" t="s">
        <v>1329</v>
      </c>
      <c r="G145" s="3" t="s">
        <v>1333</v>
      </c>
      <c r="H145" s="3" t="s">
        <v>1381</v>
      </c>
      <c r="I145" s="3" t="s">
        <v>1362</v>
      </c>
      <c r="J145" s="3" t="s">
        <v>1328</v>
      </c>
      <c r="K145" s="3" t="s">
        <v>1328</v>
      </c>
      <c r="L145" s="3" t="s">
        <v>1336</v>
      </c>
      <c r="M145" s="3" t="s">
        <v>1336</v>
      </c>
      <c r="N145" s="3" t="s">
        <v>1328</v>
      </c>
      <c r="O145" s="3" t="s">
        <v>1336</v>
      </c>
      <c r="P145" s="3" t="s">
        <v>1350</v>
      </c>
    </row>
    <row r="146" ht="12.75" customHeight="1">
      <c r="A146" s="3" t="s">
        <v>2206</v>
      </c>
      <c r="B146" s="3" t="s">
        <v>3243</v>
      </c>
      <c r="C146" s="3" t="s">
        <v>2208</v>
      </c>
      <c r="D146" s="3" t="s">
        <v>3259</v>
      </c>
      <c r="E146" s="3" t="s">
        <v>1482</v>
      </c>
      <c r="F146" s="3" t="s">
        <v>1443</v>
      </c>
      <c r="G146" s="3" t="s">
        <v>1360</v>
      </c>
      <c r="H146" s="3" t="s">
        <v>1361</v>
      </c>
      <c r="I146" s="3" t="s">
        <v>1362</v>
      </c>
      <c r="J146" s="3" t="s">
        <v>1328</v>
      </c>
      <c r="K146" s="3" t="s">
        <v>1328</v>
      </c>
      <c r="L146" s="3" t="s">
        <v>1328</v>
      </c>
      <c r="M146" s="3" t="s">
        <v>1336</v>
      </c>
      <c r="N146" s="3" t="s">
        <v>1336</v>
      </c>
      <c r="O146" s="3" t="s">
        <v>1336</v>
      </c>
      <c r="P146" s="3" t="s">
        <v>1395</v>
      </c>
    </row>
    <row r="147" ht="12.75" customHeight="1">
      <c r="A147" s="3" t="s">
        <v>2211</v>
      </c>
      <c r="B147" s="3" t="s">
        <v>2212</v>
      </c>
      <c r="C147" s="3" t="s">
        <v>2213</v>
      </c>
      <c r="D147" s="3" t="s">
        <v>3374</v>
      </c>
      <c r="E147" s="3" t="s">
        <v>1346</v>
      </c>
      <c r="F147" s="3" t="s">
        <v>1329</v>
      </c>
      <c r="G147" s="3" t="s">
        <v>1660</v>
      </c>
      <c r="H147" s="3" t="s">
        <v>1361</v>
      </c>
      <c r="I147" s="3" t="s">
        <v>1349</v>
      </c>
      <c r="J147" s="3" t="s">
        <v>1328</v>
      </c>
      <c r="K147" s="3" t="s">
        <v>1328</v>
      </c>
      <c r="L147" s="3" t="s">
        <v>1328</v>
      </c>
      <c r="M147" s="3" t="s">
        <v>1328</v>
      </c>
      <c r="N147" s="3" t="s">
        <v>1328</v>
      </c>
      <c r="O147" s="3" t="s">
        <v>1328</v>
      </c>
      <c r="P147" s="3" t="s">
        <v>1395</v>
      </c>
    </row>
    <row r="148" ht="12.75" customHeight="1">
      <c r="A148" s="3" t="s">
        <v>2216</v>
      </c>
      <c r="B148" s="3" t="s">
        <v>2217</v>
      </c>
      <c r="C148" s="3" t="s">
        <v>2218</v>
      </c>
      <c r="D148" s="3" t="s">
        <v>3418</v>
      </c>
      <c r="E148" s="3" t="s">
        <v>1442</v>
      </c>
      <c r="F148" s="3" t="s">
        <v>1443</v>
      </c>
      <c r="G148" s="3" t="s">
        <v>1444</v>
      </c>
      <c r="H148" s="3" t="s">
        <v>1445</v>
      </c>
      <c r="I148" s="3" t="s">
        <v>1446</v>
      </c>
      <c r="J148" s="3" t="s">
        <v>1328</v>
      </c>
      <c r="K148" s="3" t="s">
        <v>1328</v>
      </c>
      <c r="L148" s="3" t="s">
        <v>1328</v>
      </c>
      <c r="M148" s="3" t="s">
        <v>1328</v>
      </c>
      <c r="N148" s="3" t="s">
        <v>1328</v>
      </c>
      <c r="O148" s="3" t="s">
        <v>1328</v>
      </c>
      <c r="P148" s="3" t="s">
        <v>1395</v>
      </c>
    </row>
    <row r="149" ht="12.75" customHeight="1">
      <c r="A149" s="3" t="s">
        <v>2222</v>
      </c>
      <c r="B149" s="3" t="s">
        <v>2223</v>
      </c>
      <c r="C149" s="3" t="s">
        <v>2224</v>
      </c>
      <c r="D149" s="3" t="s">
        <v>4775</v>
      </c>
      <c r="E149" s="3" t="s">
        <v>1482</v>
      </c>
      <c r="F149" s="3" t="s">
        <v>1329</v>
      </c>
      <c r="G149" s="3" t="s">
        <v>1444</v>
      </c>
      <c r="H149" s="3" t="s">
        <v>1445</v>
      </c>
      <c r="I149" s="3" t="s">
        <v>1446</v>
      </c>
      <c r="J149" s="3" t="s">
        <v>1336</v>
      </c>
      <c r="K149" s="3" t="s">
        <v>1328</v>
      </c>
      <c r="L149" s="3" t="s">
        <v>1336</v>
      </c>
      <c r="M149" s="3" t="s">
        <v>1328</v>
      </c>
      <c r="N149" s="3" t="s">
        <v>1336</v>
      </c>
      <c r="O149" s="3" t="s">
        <v>1336</v>
      </c>
      <c r="P149" s="3" t="s">
        <v>1350</v>
      </c>
    </row>
    <row r="150" ht="12.75" customHeight="1">
      <c r="A150" s="3" t="s">
        <v>2228</v>
      </c>
      <c r="B150" s="3" t="s">
        <v>4824</v>
      </c>
      <c r="C150" s="3" t="s">
        <v>2230</v>
      </c>
      <c r="D150" s="3" t="s">
        <v>4836</v>
      </c>
      <c r="E150" s="3" t="s">
        <v>1495</v>
      </c>
      <c r="F150" s="3" t="s">
        <v>1329</v>
      </c>
      <c r="G150" s="3" t="s">
        <v>1333</v>
      </c>
      <c r="H150" s="3" t="s">
        <v>1361</v>
      </c>
      <c r="I150" s="3" t="s">
        <v>1530</v>
      </c>
      <c r="J150" s="3" t="s">
        <v>1328</v>
      </c>
      <c r="K150" s="3" t="s">
        <v>1336</v>
      </c>
      <c r="L150" s="3" t="s">
        <v>1336</v>
      </c>
      <c r="M150" s="3" t="s">
        <v>1336</v>
      </c>
      <c r="N150" s="3" t="s">
        <v>1328</v>
      </c>
      <c r="O150" s="3" t="s">
        <v>1336</v>
      </c>
      <c r="P150" s="3" t="s">
        <v>1350</v>
      </c>
    </row>
    <row r="151" ht="12.75" customHeight="1">
      <c r="A151" s="3" t="s">
        <v>3453</v>
      </c>
      <c r="B151" s="3" t="s">
        <v>1324</v>
      </c>
      <c r="C151" s="3" t="s">
        <v>2236</v>
      </c>
      <c r="D151" s="3" t="s">
        <v>3469</v>
      </c>
      <c r="E151" s="3" t="s">
        <v>1358</v>
      </c>
      <c r="F151" s="3" t="s">
        <v>1443</v>
      </c>
      <c r="G151" s="3" t="s">
        <v>1444</v>
      </c>
      <c r="H151" s="3" t="s">
        <v>1445</v>
      </c>
      <c r="I151" s="3" t="s">
        <v>1362</v>
      </c>
      <c r="J151" s="3" t="s">
        <v>1328</v>
      </c>
      <c r="K151" s="3" t="s">
        <v>1328</v>
      </c>
      <c r="L151" s="3" t="s">
        <v>1336</v>
      </c>
      <c r="M151" s="3" t="s">
        <v>1336</v>
      </c>
      <c r="N151" s="3" t="s">
        <v>1336</v>
      </c>
      <c r="O151" s="3" t="s">
        <v>1336</v>
      </c>
      <c r="P151" s="3" t="s">
        <v>1350</v>
      </c>
    </row>
    <row r="152" ht="12.75" customHeight="1">
      <c r="A152" s="3" t="s">
        <v>2234</v>
      </c>
      <c r="B152" s="3" t="s">
        <v>2235</v>
      </c>
      <c r="C152" s="3" t="s">
        <v>2236</v>
      </c>
      <c r="D152" s="3" t="s">
        <v>4065</v>
      </c>
      <c r="E152" s="3" t="s">
        <v>1358</v>
      </c>
      <c r="F152" s="3" t="s">
        <v>1443</v>
      </c>
      <c r="G152" s="3" t="s">
        <v>1444</v>
      </c>
      <c r="H152" s="3" t="s">
        <v>1445</v>
      </c>
      <c r="I152" s="3" t="s">
        <v>1362</v>
      </c>
      <c r="J152" s="3" t="s">
        <v>1328</v>
      </c>
      <c r="K152" s="3" t="s">
        <v>1328</v>
      </c>
      <c r="L152" s="3" t="s">
        <v>1336</v>
      </c>
      <c r="M152" s="3" t="s">
        <v>1336</v>
      </c>
      <c r="N152" s="3" t="s">
        <v>1336</v>
      </c>
      <c r="O152" s="3" t="s">
        <v>1336</v>
      </c>
      <c r="P152" s="3" t="s">
        <v>1350</v>
      </c>
    </row>
    <row r="153" ht="12.75" customHeight="1">
      <c r="A153" s="3" t="s">
        <v>2239</v>
      </c>
      <c r="B153" s="3" t="s">
        <v>2240</v>
      </c>
      <c r="C153" s="3" t="s">
        <v>2241</v>
      </c>
      <c r="D153" s="3" t="s">
        <v>2475</v>
      </c>
      <c r="E153" s="3" t="s">
        <v>1358</v>
      </c>
      <c r="F153" s="3" t="s">
        <v>1329</v>
      </c>
      <c r="G153" s="3" t="s">
        <v>1360</v>
      </c>
      <c r="H153" s="3" t="s">
        <v>1348</v>
      </c>
      <c r="I153" s="3" t="s">
        <v>1362</v>
      </c>
      <c r="J153" s="3" t="s">
        <v>1328</v>
      </c>
      <c r="K153" s="3" t="s">
        <v>1328</v>
      </c>
      <c r="L153" s="3" t="s">
        <v>1336</v>
      </c>
      <c r="M153" s="3" t="s">
        <v>1336</v>
      </c>
      <c r="N153" s="3" t="s">
        <v>1328</v>
      </c>
      <c r="O153" s="3" t="s">
        <v>1328</v>
      </c>
      <c r="P153" s="3" t="s">
        <v>1350</v>
      </c>
    </row>
    <row r="154" ht="12.75" customHeight="1">
      <c r="A154" s="3" t="s">
        <v>2245</v>
      </c>
      <c r="B154" s="3" t="s">
        <v>2804</v>
      </c>
      <c r="C154" s="3" t="s">
        <v>2247</v>
      </c>
      <c r="D154" s="3" t="s">
        <v>2822</v>
      </c>
      <c r="E154" s="3" t="s">
        <v>1326</v>
      </c>
      <c r="F154" s="3" t="s">
        <v>1443</v>
      </c>
      <c r="G154" s="3" t="s">
        <v>1333</v>
      </c>
      <c r="H154" s="3" t="s">
        <v>1334</v>
      </c>
      <c r="I154" s="3" t="s">
        <v>1530</v>
      </c>
      <c r="J154" s="3" t="s">
        <v>1328</v>
      </c>
      <c r="K154" s="3" t="s">
        <v>1328</v>
      </c>
      <c r="L154" s="3" t="s">
        <v>1328</v>
      </c>
      <c r="M154" s="3" t="s">
        <v>1328</v>
      </c>
      <c r="N154" s="3" t="s">
        <v>1328</v>
      </c>
      <c r="O154" s="3" t="s">
        <v>1328</v>
      </c>
      <c r="P154" s="3" t="s">
        <v>1395</v>
      </c>
    </row>
    <row r="155" ht="12.75" customHeight="1">
      <c r="A155" s="3" t="s">
        <v>2250</v>
      </c>
      <c r="B155" s="3" t="s">
        <v>3293</v>
      </c>
      <c r="C155" s="3" t="s">
        <v>2252</v>
      </c>
      <c r="D155" s="3" t="s">
        <v>3301</v>
      </c>
      <c r="E155" s="3" t="s">
        <v>1326</v>
      </c>
      <c r="F155" s="3" t="s">
        <v>1443</v>
      </c>
      <c r="G155" s="3" t="s">
        <v>1444</v>
      </c>
      <c r="H155" s="3" t="s">
        <v>1445</v>
      </c>
      <c r="I155" s="3" t="s">
        <v>1335</v>
      </c>
      <c r="J155" s="3" t="s">
        <v>1328</v>
      </c>
      <c r="K155" s="3" t="s">
        <v>1328</v>
      </c>
      <c r="L155" s="3" t="s">
        <v>1328</v>
      </c>
      <c r="M155" s="3" t="s">
        <v>1328</v>
      </c>
      <c r="N155" s="3" t="s">
        <v>1328</v>
      </c>
      <c r="O155" s="3" t="s">
        <v>1336</v>
      </c>
      <c r="P155" s="3" t="s">
        <v>1395</v>
      </c>
    </row>
    <row r="156" ht="12.75" customHeight="1">
      <c r="A156" s="3" t="s">
        <v>2255</v>
      </c>
      <c r="B156" s="3" t="s">
        <v>2256</v>
      </c>
      <c r="C156" s="3" t="s">
        <v>2257</v>
      </c>
      <c r="D156" s="3" t="s">
        <v>4035</v>
      </c>
      <c r="E156" s="3" t="s">
        <v>1346</v>
      </c>
      <c r="F156" s="3" t="s">
        <v>1329</v>
      </c>
      <c r="G156" s="3" t="s">
        <v>1333</v>
      </c>
      <c r="H156" s="3" t="s">
        <v>1361</v>
      </c>
      <c r="I156" s="3" t="s">
        <v>1530</v>
      </c>
      <c r="J156" s="3" t="s">
        <v>1336</v>
      </c>
      <c r="K156" s="3" t="s">
        <v>1336</v>
      </c>
      <c r="L156" s="3" t="s">
        <v>1336</v>
      </c>
      <c r="M156" s="3" t="s">
        <v>1328</v>
      </c>
      <c r="N156" s="3" t="s">
        <v>1328</v>
      </c>
      <c r="O156" s="3" t="s">
        <v>1336</v>
      </c>
      <c r="P156" s="3" t="s">
        <v>1350</v>
      </c>
    </row>
    <row r="157" ht="12.75" customHeight="1">
      <c r="A157" s="3" t="s">
        <v>2260</v>
      </c>
      <c r="B157" s="3" t="s">
        <v>4545</v>
      </c>
      <c r="C157" s="3" t="s">
        <v>2262</v>
      </c>
      <c r="D157" s="3" t="s">
        <v>4556</v>
      </c>
      <c r="E157" s="3" t="s">
        <v>1835</v>
      </c>
      <c r="F157" s="3" t="s">
        <v>1443</v>
      </c>
      <c r="G157" s="3" t="s">
        <v>1333</v>
      </c>
      <c r="H157" s="3" t="s">
        <v>1381</v>
      </c>
      <c r="I157" s="3" t="s">
        <v>1349</v>
      </c>
      <c r="J157" s="3" t="s">
        <v>1328</v>
      </c>
      <c r="K157" s="3" t="s">
        <v>1328</v>
      </c>
      <c r="L157" s="3" t="s">
        <v>1328</v>
      </c>
      <c r="M157" s="3" t="s">
        <v>1328</v>
      </c>
      <c r="N157" s="3" t="s">
        <v>1328</v>
      </c>
      <c r="O157" s="3" t="s">
        <v>1328</v>
      </c>
      <c r="P157" s="3" t="s">
        <v>1395</v>
      </c>
    </row>
    <row r="158" ht="12.75" customHeight="1">
      <c r="A158" s="3" t="s">
        <v>2295</v>
      </c>
      <c r="B158" s="3" t="s">
        <v>2296</v>
      </c>
      <c r="C158" s="3" t="s">
        <v>1324</v>
      </c>
      <c r="D158" s="3" t="s">
        <v>2384</v>
      </c>
      <c r="E158" s="3" t="s">
        <v>1326</v>
      </c>
      <c r="F158" s="3" t="s">
        <v>1329</v>
      </c>
      <c r="G158" s="3" t="s">
        <v>1333</v>
      </c>
      <c r="H158" s="3" t="s">
        <v>1334</v>
      </c>
      <c r="I158" s="3" t="s">
        <v>1362</v>
      </c>
      <c r="J158" s="3" t="s">
        <v>1328</v>
      </c>
      <c r="K158" s="3" t="s">
        <v>1328</v>
      </c>
      <c r="L158" s="3" t="s">
        <v>1328</v>
      </c>
      <c r="M158" s="3" t="s">
        <v>1328</v>
      </c>
      <c r="N158" s="3" t="s">
        <v>1328</v>
      </c>
      <c r="O158" s="3" t="s">
        <v>1336</v>
      </c>
      <c r="P158" s="3" t="s">
        <v>1395</v>
      </c>
      <c r="Q158" s="3"/>
    </row>
    <row r="159" ht="12.75" customHeight="1">
      <c r="A159" s="3" t="s">
        <v>2266</v>
      </c>
      <c r="B159" s="3" t="s">
        <v>1324</v>
      </c>
      <c r="C159" s="3" t="s">
        <v>1324</v>
      </c>
      <c r="D159" s="3" t="s">
        <v>2451</v>
      </c>
      <c r="E159" s="3" t="s">
        <v>1522</v>
      </c>
      <c r="F159" s="3" t="s">
        <v>1329</v>
      </c>
      <c r="G159" s="3" t="s">
        <v>1444</v>
      </c>
      <c r="H159" s="3" t="s">
        <v>1445</v>
      </c>
      <c r="I159" s="3" t="s">
        <v>1335</v>
      </c>
      <c r="J159" s="3" t="s">
        <v>1328</v>
      </c>
      <c r="K159" s="3" t="s">
        <v>1328</v>
      </c>
      <c r="L159" s="3" t="s">
        <v>1328</v>
      </c>
      <c r="M159" s="3" t="s">
        <v>1336</v>
      </c>
      <c r="N159" s="3" t="s">
        <v>1336</v>
      </c>
      <c r="O159" s="3" t="s">
        <v>1336</v>
      </c>
      <c r="P159" s="3" t="s">
        <v>1350</v>
      </c>
      <c r="Q159" s="3"/>
    </row>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159">
    <sortState ref="A1:P159">
      <sortCondition descending="1" ref="C1:C159"/>
    </sortState>
  </autoFilter>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0" width="8.0"/>
    <col customWidth="1" min="71" max="71" width="21.88"/>
    <col customWidth="1" min="72" max="73" width="8.0"/>
    <col customWidth="1" min="74" max="74" width="21.88"/>
    <col customWidth="1" min="75" max="75" width="31.38"/>
    <col customWidth="1" min="76" max="76" width="33.38"/>
    <col customWidth="1" min="77" max="81" width="8.0"/>
    <col customWidth="1" min="82" max="82" width="27.25"/>
    <col customWidth="1" min="83" max="83" width="16.88"/>
    <col customWidth="1" min="84" max="84" width="8.0"/>
  </cols>
  <sheetData>
    <row r="1" ht="42.0" customHeight="1">
      <c r="A1" s="32" t="s">
        <v>14</v>
      </c>
      <c r="B1" s="32" t="s">
        <v>15</v>
      </c>
      <c r="C1" s="32" t="s">
        <v>2303</v>
      </c>
      <c r="D1" s="32" t="s">
        <v>2304</v>
      </c>
      <c r="E1" s="32" t="s">
        <v>2305</v>
      </c>
      <c r="F1" s="32" t="s">
        <v>2306</v>
      </c>
      <c r="G1" s="32" t="s">
        <v>2307</v>
      </c>
      <c r="H1" s="32" t="s">
        <v>2308</v>
      </c>
      <c r="I1" s="32" t="s">
        <v>16</v>
      </c>
      <c r="J1" s="32" t="s">
        <v>17</v>
      </c>
      <c r="K1" s="32" t="s">
        <v>2309</v>
      </c>
      <c r="L1" s="32" t="s">
        <v>2310</v>
      </c>
      <c r="M1" s="32" t="s">
        <v>2311</v>
      </c>
      <c r="N1" s="32" t="s">
        <v>18</v>
      </c>
      <c r="O1" s="32" t="s">
        <v>2312</v>
      </c>
      <c r="P1" s="32" t="s">
        <v>2313</v>
      </c>
      <c r="Q1" s="32" t="s">
        <v>2314</v>
      </c>
      <c r="R1" s="32" t="s">
        <v>2315</v>
      </c>
      <c r="S1" s="32" t="s">
        <v>2316</v>
      </c>
      <c r="T1" s="32" t="s">
        <v>2317</v>
      </c>
      <c r="U1" s="32" t="s">
        <v>2318</v>
      </c>
      <c r="V1" s="32" t="s">
        <v>19</v>
      </c>
      <c r="W1" s="32" t="s">
        <v>2319</v>
      </c>
      <c r="X1" s="32" t="s">
        <v>2320</v>
      </c>
      <c r="Y1" s="32" t="s">
        <v>2321</v>
      </c>
      <c r="Z1" s="32" t="s">
        <v>2322</v>
      </c>
      <c r="AA1" s="32" t="s">
        <v>2323</v>
      </c>
      <c r="AB1" s="32" t="s">
        <v>2324</v>
      </c>
      <c r="AC1" s="32" t="s">
        <v>2325</v>
      </c>
      <c r="AD1" s="32" t="s">
        <v>2326</v>
      </c>
      <c r="AE1" s="32" t="s">
        <v>2327</v>
      </c>
      <c r="AF1" s="32" t="s">
        <v>2328</v>
      </c>
      <c r="AG1" s="32" t="s">
        <v>2329</v>
      </c>
      <c r="AH1" s="32" t="s">
        <v>2330</v>
      </c>
      <c r="AI1" s="32" t="s">
        <v>2331</v>
      </c>
      <c r="AJ1" s="32" t="s">
        <v>2332</v>
      </c>
      <c r="AK1" s="32" t="s">
        <v>2333</v>
      </c>
      <c r="AL1" s="32" t="s">
        <v>2334</v>
      </c>
      <c r="AM1" s="32" t="s">
        <v>2335</v>
      </c>
      <c r="AN1" s="32" t="s">
        <v>2336</v>
      </c>
      <c r="AO1" s="32" t="s">
        <v>2337</v>
      </c>
      <c r="AP1" s="32" t="s">
        <v>2338</v>
      </c>
      <c r="AQ1" s="32" t="s">
        <v>2339</v>
      </c>
      <c r="AR1" s="32" t="s">
        <v>2340</v>
      </c>
      <c r="AS1" s="32" t="s">
        <v>2341</v>
      </c>
      <c r="AT1" s="32" t="s">
        <v>2342</v>
      </c>
      <c r="AU1" s="32" t="s">
        <v>2343</v>
      </c>
      <c r="AV1" s="32" t="s">
        <v>2344</v>
      </c>
      <c r="AW1" s="32" t="s">
        <v>2345</v>
      </c>
      <c r="AX1" s="32" t="s">
        <v>2346</v>
      </c>
      <c r="AY1" s="32" t="s">
        <v>2347</v>
      </c>
      <c r="AZ1" s="32" t="s">
        <v>2348</v>
      </c>
      <c r="BA1" s="32" t="s">
        <v>2349</v>
      </c>
      <c r="BB1" s="32" t="s">
        <v>2350</v>
      </c>
      <c r="BC1" s="32" t="s">
        <v>2351</v>
      </c>
      <c r="BD1" s="32" t="s">
        <v>2352</v>
      </c>
      <c r="BE1" s="32" t="s">
        <v>20</v>
      </c>
      <c r="BF1" s="32" t="s">
        <v>21</v>
      </c>
      <c r="BG1" s="32" t="s">
        <v>2353</v>
      </c>
      <c r="BH1" s="32" t="s">
        <v>2354</v>
      </c>
      <c r="BI1" s="32" t="s">
        <v>2355</v>
      </c>
      <c r="BJ1" s="32" t="s">
        <v>22</v>
      </c>
      <c r="BK1" s="32" t="s">
        <v>2356</v>
      </c>
      <c r="BL1" s="32" t="s">
        <v>2357</v>
      </c>
      <c r="BM1" s="32" t="s">
        <v>2358</v>
      </c>
      <c r="BN1" s="32" t="s">
        <v>2359</v>
      </c>
      <c r="BO1" s="32" t="s">
        <v>2360</v>
      </c>
      <c r="BP1" s="32" t="s">
        <v>2361</v>
      </c>
      <c r="BQ1" s="32" t="s">
        <v>2362</v>
      </c>
      <c r="BR1" s="32" t="s">
        <v>23</v>
      </c>
      <c r="BS1" s="32" t="s">
        <v>24</v>
      </c>
      <c r="BT1" s="33" t="s">
        <v>1298</v>
      </c>
      <c r="BU1" s="33" t="s">
        <v>1302</v>
      </c>
      <c r="BV1" s="34" t="s">
        <v>5031</v>
      </c>
      <c r="BW1" s="35" t="s">
        <v>5032</v>
      </c>
      <c r="BX1" s="36" t="s">
        <v>5033</v>
      </c>
      <c r="BY1" s="37" t="s">
        <v>5034</v>
      </c>
      <c r="BZ1" s="37" t="s">
        <v>5035</v>
      </c>
      <c r="CA1" s="37" t="s">
        <v>5036</v>
      </c>
      <c r="CB1" s="37" t="s">
        <v>5037</v>
      </c>
      <c r="CC1" s="37" t="s">
        <v>5038</v>
      </c>
      <c r="CD1" s="36" t="s">
        <v>5039</v>
      </c>
      <c r="CE1" s="33" t="s">
        <v>1312</v>
      </c>
      <c r="CF1" s="32" t="s">
        <v>25</v>
      </c>
    </row>
    <row r="2" ht="12.75" customHeight="1">
      <c r="A2" s="32" t="s">
        <v>26</v>
      </c>
      <c r="B2" s="32" t="s">
        <v>2141</v>
      </c>
      <c r="C2" s="32" t="s">
        <v>1324</v>
      </c>
      <c r="D2" s="32" t="s">
        <v>1324</v>
      </c>
      <c r="E2" s="32" t="s">
        <v>1324</v>
      </c>
      <c r="F2" s="32" t="s">
        <v>2141</v>
      </c>
      <c r="G2" s="32" t="s">
        <v>1324</v>
      </c>
      <c r="H2" s="32" t="s">
        <v>1324</v>
      </c>
      <c r="I2" s="32" t="s">
        <v>2143</v>
      </c>
      <c r="J2" s="32" t="s">
        <v>2142</v>
      </c>
      <c r="K2" s="32" t="s">
        <v>1324</v>
      </c>
      <c r="L2" s="32" t="s">
        <v>1324</v>
      </c>
      <c r="M2" s="32" t="s">
        <v>2364</v>
      </c>
      <c r="N2" s="32" t="s">
        <v>38</v>
      </c>
      <c r="O2" s="32" t="s">
        <v>1324</v>
      </c>
      <c r="P2" s="32" t="s">
        <v>1324</v>
      </c>
      <c r="Q2" s="32" t="s">
        <v>1324</v>
      </c>
      <c r="R2" s="32" t="s">
        <v>1324</v>
      </c>
      <c r="S2" s="32" t="s">
        <v>1324</v>
      </c>
      <c r="T2" s="32" t="s">
        <v>4871</v>
      </c>
      <c r="U2" s="32" t="s">
        <v>4872</v>
      </c>
      <c r="V2" s="32" t="s">
        <v>2144</v>
      </c>
      <c r="W2" s="32" t="s">
        <v>4873</v>
      </c>
      <c r="X2" s="32" t="s">
        <v>4874</v>
      </c>
      <c r="Y2" s="32" t="s">
        <v>4875</v>
      </c>
      <c r="Z2" s="32" t="s">
        <v>4876</v>
      </c>
      <c r="AA2" s="32" t="s">
        <v>5040</v>
      </c>
      <c r="AB2" s="32" t="s">
        <v>5041</v>
      </c>
      <c r="AC2" s="32" t="s">
        <v>1324</v>
      </c>
      <c r="AD2" s="32" t="s">
        <v>1324</v>
      </c>
      <c r="AE2" s="32" t="s">
        <v>1324</v>
      </c>
      <c r="AF2" s="32" t="s">
        <v>1324</v>
      </c>
      <c r="AG2" s="32">
        <v>24.0</v>
      </c>
      <c r="AH2" s="32">
        <v>172.0</v>
      </c>
      <c r="AI2" s="32">
        <v>202.0</v>
      </c>
      <c r="AJ2" s="32">
        <v>0.0</v>
      </c>
      <c r="AK2" s="32">
        <v>30.0</v>
      </c>
      <c r="AL2" s="32" t="s">
        <v>3043</v>
      </c>
      <c r="AM2" s="32" t="s">
        <v>2487</v>
      </c>
      <c r="AN2" s="32" t="s">
        <v>3044</v>
      </c>
      <c r="AO2" s="32" t="s">
        <v>4879</v>
      </c>
      <c r="AP2" s="32" t="s">
        <v>1324</v>
      </c>
      <c r="AQ2" s="32" t="s">
        <v>1324</v>
      </c>
      <c r="AR2" s="32" t="s">
        <v>4880</v>
      </c>
      <c r="AS2" s="32" t="s">
        <v>4881</v>
      </c>
      <c r="AT2" s="32" t="s">
        <v>2734</v>
      </c>
      <c r="AU2" s="32">
        <v>2006.0</v>
      </c>
      <c r="AV2" s="32">
        <v>113.0</v>
      </c>
      <c r="AW2" s="32" t="s">
        <v>4882</v>
      </c>
      <c r="AX2" s="32" t="s">
        <v>1324</v>
      </c>
      <c r="AY2" s="32" t="s">
        <v>1324</v>
      </c>
      <c r="AZ2" s="32" t="s">
        <v>1324</v>
      </c>
      <c r="BA2" s="32" t="s">
        <v>1324</v>
      </c>
      <c r="BB2" s="32">
        <v>254.0</v>
      </c>
      <c r="BC2" s="32">
        <v>263.0</v>
      </c>
      <c r="BD2" s="32" t="s">
        <v>1324</v>
      </c>
      <c r="BE2" s="32" t="s">
        <v>2145</v>
      </c>
      <c r="BF2" s="38" t="str">
        <f>HYPERLINK("http://dx.doi.org/10.1016/j.agee.2005.10.019","http://dx.doi.org/10.1016/j.agee.2005.10.019")</f>
        <v>http://dx.doi.org/10.1016/j.agee.2005.10.019</v>
      </c>
      <c r="BG2" s="32" t="s">
        <v>1324</v>
      </c>
      <c r="BH2" s="32" t="s">
        <v>1324</v>
      </c>
      <c r="BI2" s="32">
        <v>10.0</v>
      </c>
      <c r="BJ2" s="32" t="s">
        <v>4883</v>
      </c>
      <c r="BK2" s="32" t="s">
        <v>2407</v>
      </c>
      <c r="BL2" s="32" t="s">
        <v>4884</v>
      </c>
      <c r="BM2" s="32" t="s">
        <v>4885</v>
      </c>
      <c r="BN2" s="32" t="s">
        <v>1324</v>
      </c>
      <c r="BO2" s="32" t="s">
        <v>1324</v>
      </c>
      <c r="BP2" s="32" t="s">
        <v>1324</v>
      </c>
      <c r="BQ2" s="32" t="s">
        <v>1324</v>
      </c>
      <c r="BR2" s="32" t="s">
        <v>5042</v>
      </c>
      <c r="BS2" s="32" t="s">
        <v>4886</v>
      </c>
      <c r="BT2" s="32" t="s">
        <v>1329</v>
      </c>
      <c r="BU2" s="32" t="s">
        <v>1333</v>
      </c>
      <c r="BV2" s="32" t="s">
        <v>5043</v>
      </c>
      <c r="BW2" s="32" t="s">
        <v>1362</v>
      </c>
      <c r="BX2" s="32" t="s">
        <v>5044</v>
      </c>
      <c r="BY2" s="32" t="s">
        <v>1336</v>
      </c>
      <c r="BZ2" s="32" t="s">
        <v>1328</v>
      </c>
      <c r="CA2" s="32" t="s">
        <v>1328</v>
      </c>
      <c r="CB2" s="32" t="s">
        <v>1336</v>
      </c>
      <c r="CC2" s="32" t="s">
        <v>1336</v>
      </c>
      <c r="CD2" s="39" t="s">
        <v>5045</v>
      </c>
      <c r="CE2" s="32" t="s">
        <v>1350</v>
      </c>
      <c r="CF2" s="32" t="str">
        <f>HYPERLINK("https%3A%2F%2Fwww.webofscience.com%2Fwos%2Fwoscc%2Ffull-record%2FWOS:000235765100023","View Full Record in Web of Science")</f>
        <v>View Full Record in Web of Science</v>
      </c>
    </row>
    <row r="3" ht="12.75" customHeight="1">
      <c r="A3" s="32" t="s">
        <v>26</v>
      </c>
      <c r="B3" s="32" t="s">
        <v>3933</v>
      </c>
      <c r="C3" s="32" t="s">
        <v>1324</v>
      </c>
      <c r="D3" s="32" t="s">
        <v>1324</v>
      </c>
      <c r="E3" s="32" t="s">
        <v>1324</v>
      </c>
      <c r="F3" s="32" t="s">
        <v>1457</v>
      </c>
      <c r="G3" s="32" t="s">
        <v>1324</v>
      </c>
      <c r="H3" s="32" t="s">
        <v>1324</v>
      </c>
      <c r="I3" s="32" t="s">
        <v>1458</v>
      </c>
      <c r="J3" s="32" t="s">
        <v>365</v>
      </c>
      <c r="K3" s="32" t="s">
        <v>1324</v>
      </c>
      <c r="L3" s="32" t="s">
        <v>1324</v>
      </c>
      <c r="M3" s="32" t="s">
        <v>2364</v>
      </c>
      <c r="N3" s="32" t="s">
        <v>38</v>
      </c>
      <c r="O3" s="32" t="s">
        <v>1324</v>
      </c>
      <c r="P3" s="32" t="s">
        <v>1324</v>
      </c>
      <c r="Q3" s="32" t="s">
        <v>1324</v>
      </c>
      <c r="R3" s="32" t="s">
        <v>1324</v>
      </c>
      <c r="S3" s="32" t="s">
        <v>1324</v>
      </c>
      <c r="T3" s="32" t="s">
        <v>1324</v>
      </c>
      <c r="U3" s="32" t="s">
        <v>3934</v>
      </c>
      <c r="V3" s="32" t="s">
        <v>1459</v>
      </c>
      <c r="W3" s="32" t="s">
        <v>3935</v>
      </c>
      <c r="X3" s="32" t="s">
        <v>3936</v>
      </c>
      <c r="Y3" s="32" t="s">
        <v>3937</v>
      </c>
      <c r="Z3" s="32" t="s">
        <v>3938</v>
      </c>
      <c r="AA3" s="32" t="s">
        <v>5046</v>
      </c>
      <c r="AB3" s="32" t="s">
        <v>5047</v>
      </c>
      <c r="AC3" s="32" t="s">
        <v>3941</v>
      </c>
      <c r="AD3" s="32" t="s">
        <v>3942</v>
      </c>
      <c r="AE3" s="32" t="s">
        <v>3943</v>
      </c>
      <c r="AF3" s="32" t="s">
        <v>1324</v>
      </c>
      <c r="AG3" s="32">
        <v>57.0</v>
      </c>
      <c r="AH3" s="32">
        <v>262.0</v>
      </c>
      <c r="AI3" s="32">
        <v>298.0</v>
      </c>
      <c r="AJ3" s="32">
        <v>8.0</v>
      </c>
      <c r="AK3" s="32">
        <v>183.0</v>
      </c>
      <c r="AL3" s="32" t="s">
        <v>2423</v>
      </c>
      <c r="AM3" s="32" t="s">
        <v>2424</v>
      </c>
      <c r="AN3" s="32" t="s">
        <v>2425</v>
      </c>
      <c r="AO3" s="32" t="s">
        <v>2426</v>
      </c>
      <c r="AP3" s="32" t="s">
        <v>1324</v>
      </c>
      <c r="AQ3" s="32" t="s">
        <v>1324</v>
      </c>
      <c r="AR3" s="32" t="s">
        <v>365</v>
      </c>
      <c r="AS3" s="32" t="s">
        <v>2427</v>
      </c>
      <c r="AT3" s="32" t="s">
        <v>3944</v>
      </c>
      <c r="AU3" s="32">
        <v>2013.0</v>
      </c>
      <c r="AV3" s="32">
        <v>8.0</v>
      </c>
      <c r="AW3" s="32">
        <v>11.0</v>
      </c>
      <c r="AX3" s="32" t="s">
        <v>1324</v>
      </c>
      <c r="AY3" s="32" t="s">
        <v>1324</v>
      </c>
      <c r="AZ3" s="32" t="s">
        <v>1324</v>
      </c>
      <c r="BA3" s="32" t="s">
        <v>1324</v>
      </c>
      <c r="BB3" s="32" t="s">
        <v>1324</v>
      </c>
      <c r="BC3" s="32" t="s">
        <v>1324</v>
      </c>
      <c r="BD3" s="32" t="s">
        <v>3945</v>
      </c>
      <c r="BE3" s="32" t="s">
        <v>1460</v>
      </c>
      <c r="BF3" s="38" t="str">
        <f>HYPERLINK("http://dx.doi.org/10.1371/journal.pone.0081292","http://dx.doi.org/10.1371/journal.pone.0081292")</f>
        <v>http://dx.doi.org/10.1371/journal.pone.0081292</v>
      </c>
      <c r="BG3" s="32" t="s">
        <v>1324</v>
      </c>
      <c r="BH3" s="32" t="s">
        <v>1324</v>
      </c>
      <c r="BI3" s="32">
        <v>13.0</v>
      </c>
      <c r="BJ3" s="32" t="s">
        <v>42</v>
      </c>
      <c r="BK3" s="32" t="s">
        <v>2407</v>
      </c>
      <c r="BL3" s="32" t="s">
        <v>2430</v>
      </c>
      <c r="BM3" s="32" t="s">
        <v>3946</v>
      </c>
      <c r="BN3" s="32">
        <v>2.428258E7</v>
      </c>
      <c r="BO3" s="32" t="s">
        <v>3947</v>
      </c>
      <c r="BP3" s="32" t="s">
        <v>1324</v>
      </c>
      <c r="BQ3" s="32" t="s">
        <v>1324</v>
      </c>
      <c r="BR3" s="32" t="s">
        <v>5042</v>
      </c>
      <c r="BS3" s="32" t="s">
        <v>3948</v>
      </c>
      <c r="BT3" s="32" t="s">
        <v>1463</v>
      </c>
      <c r="BU3" s="32" t="s">
        <v>1444</v>
      </c>
      <c r="BV3" s="32" t="s">
        <v>5048</v>
      </c>
      <c r="BW3" s="32" t="s">
        <v>1464</v>
      </c>
      <c r="BX3" s="32" t="s">
        <v>5049</v>
      </c>
      <c r="BY3" s="32" t="s">
        <v>1328</v>
      </c>
      <c r="BZ3" s="32" t="s">
        <v>1328</v>
      </c>
      <c r="CA3" s="32" t="s">
        <v>1328</v>
      </c>
      <c r="CB3" s="32" t="s">
        <v>1336</v>
      </c>
      <c r="CC3" s="32" t="s">
        <v>1336</v>
      </c>
      <c r="CD3" s="39" t="s">
        <v>5050</v>
      </c>
      <c r="CE3" s="32" t="s">
        <v>1350</v>
      </c>
      <c r="CF3" s="32" t="str">
        <f>HYPERLINK("https%3A%2F%2Fwww.webofscience.com%2Fwos%2Fwoscc%2Ffull-record%2FWOS:000327543500082","View Full Record in Web of Science")</f>
        <v>View Full Record in Web of Science</v>
      </c>
    </row>
    <row r="4" ht="12.75" customHeight="1">
      <c r="A4" s="32" t="s">
        <v>26</v>
      </c>
      <c r="B4" s="32" t="s">
        <v>1829</v>
      </c>
      <c r="C4" s="32" t="s">
        <v>1324</v>
      </c>
      <c r="D4" s="32" t="s">
        <v>1324</v>
      </c>
      <c r="E4" s="32" t="s">
        <v>1324</v>
      </c>
      <c r="F4" s="32" t="s">
        <v>1829</v>
      </c>
      <c r="G4" s="32" t="s">
        <v>1324</v>
      </c>
      <c r="H4" s="32" t="s">
        <v>1324</v>
      </c>
      <c r="I4" s="32" t="s">
        <v>1831</v>
      </c>
      <c r="J4" s="32" t="s">
        <v>1830</v>
      </c>
      <c r="K4" s="32" t="s">
        <v>1324</v>
      </c>
      <c r="L4" s="32" t="s">
        <v>1324</v>
      </c>
      <c r="M4" s="32" t="s">
        <v>2364</v>
      </c>
      <c r="N4" s="32" t="s">
        <v>38</v>
      </c>
      <c r="O4" s="32" t="s">
        <v>1324</v>
      </c>
      <c r="P4" s="32" t="s">
        <v>1324</v>
      </c>
      <c r="Q4" s="32" t="s">
        <v>1324</v>
      </c>
      <c r="R4" s="32" t="s">
        <v>1324</v>
      </c>
      <c r="S4" s="32" t="s">
        <v>1324</v>
      </c>
      <c r="T4" s="32" t="s">
        <v>4964</v>
      </c>
      <c r="U4" s="32" t="s">
        <v>4965</v>
      </c>
      <c r="V4" s="32" t="s">
        <v>1832</v>
      </c>
      <c r="W4" s="32" t="s">
        <v>4966</v>
      </c>
      <c r="X4" s="32" t="s">
        <v>4967</v>
      </c>
      <c r="Y4" s="32" t="s">
        <v>4968</v>
      </c>
      <c r="Z4" s="32" t="s">
        <v>4969</v>
      </c>
      <c r="AA4" s="32" t="s">
        <v>4970</v>
      </c>
      <c r="AB4" s="32" t="s">
        <v>4971</v>
      </c>
      <c r="AC4" s="32" t="s">
        <v>1324</v>
      </c>
      <c r="AD4" s="32" t="s">
        <v>1324</v>
      </c>
      <c r="AE4" s="32" t="s">
        <v>1324</v>
      </c>
      <c r="AF4" s="32" t="s">
        <v>1324</v>
      </c>
      <c r="AG4" s="32">
        <v>93.0</v>
      </c>
      <c r="AH4" s="32">
        <v>101.0</v>
      </c>
      <c r="AI4" s="32">
        <v>136.0</v>
      </c>
      <c r="AJ4" s="32">
        <v>0.0</v>
      </c>
      <c r="AK4" s="32">
        <v>66.0</v>
      </c>
      <c r="AL4" s="32" t="s">
        <v>3250</v>
      </c>
      <c r="AM4" s="32" t="s">
        <v>3251</v>
      </c>
      <c r="AN4" s="32" t="s">
        <v>3252</v>
      </c>
      <c r="AO4" s="32" t="s">
        <v>4972</v>
      </c>
      <c r="AP4" s="32" t="s">
        <v>1324</v>
      </c>
      <c r="AQ4" s="32" t="s">
        <v>1324</v>
      </c>
      <c r="AR4" s="32" t="s">
        <v>4973</v>
      </c>
      <c r="AS4" s="32" t="s">
        <v>4974</v>
      </c>
      <c r="AT4" s="32" t="s">
        <v>2651</v>
      </c>
      <c r="AU4" s="32">
        <v>2001.0</v>
      </c>
      <c r="AV4" s="32">
        <v>16.0</v>
      </c>
      <c r="AW4" s="32">
        <v>4.0</v>
      </c>
      <c r="AX4" s="32" t="s">
        <v>1324</v>
      </c>
      <c r="AY4" s="32" t="s">
        <v>1324</v>
      </c>
      <c r="AZ4" s="32" t="s">
        <v>1324</v>
      </c>
      <c r="BA4" s="32" t="s">
        <v>1324</v>
      </c>
      <c r="BB4" s="32">
        <v>327.0</v>
      </c>
      <c r="BC4" s="32">
        <v>349.0</v>
      </c>
      <c r="BD4" s="32" t="s">
        <v>1324</v>
      </c>
      <c r="BE4" s="32" t="s">
        <v>1833</v>
      </c>
      <c r="BF4" s="38" t="str">
        <f>HYPERLINK("http://dx.doi.org/10.1023/A:1011185409347","http://dx.doi.org/10.1023/A:1011185409347")</f>
        <v>http://dx.doi.org/10.1023/A:1011185409347</v>
      </c>
      <c r="BG4" s="32" t="s">
        <v>1324</v>
      </c>
      <c r="BH4" s="32" t="s">
        <v>1324</v>
      </c>
      <c r="BI4" s="32">
        <v>23.0</v>
      </c>
      <c r="BJ4" s="32" t="s">
        <v>4975</v>
      </c>
      <c r="BK4" s="32" t="s">
        <v>2407</v>
      </c>
      <c r="BL4" s="32" t="s">
        <v>4704</v>
      </c>
      <c r="BM4" s="32" t="s">
        <v>4976</v>
      </c>
      <c r="BN4" s="32" t="s">
        <v>1324</v>
      </c>
      <c r="BO4" s="32" t="s">
        <v>1324</v>
      </c>
      <c r="BP4" s="32" t="s">
        <v>1324</v>
      </c>
      <c r="BQ4" s="32" t="s">
        <v>1324</v>
      </c>
      <c r="BR4" s="32" t="s">
        <v>5042</v>
      </c>
      <c r="BS4" s="32" t="s">
        <v>4977</v>
      </c>
      <c r="BT4" s="32" t="s">
        <v>1329</v>
      </c>
      <c r="BU4" s="32" t="s">
        <v>1333</v>
      </c>
      <c r="BV4" s="32" t="s">
        <v>5051</v>
      </c>
      <c r="BW4" s="32" t="s">
        <v>1362</v>
      </c>
      <c r="BX4" s="32" t="s">
        <v>5044</v>
      </c>
      <c r="BY4" s="32" t="s">
        <v>1336</v>
      </c>
      <c r="BZ4" s="32" t="s">
        <v>1328</v>
      </c>
      <c r="CA4" s="32" t="s">
        <v>1328</v>
      </c>
      <c r="CB4" s="32" t="s">
        <v>1336</v>
      </c>
      <c r="CC4" s="32" t="s">
        <v>1336</v>
      </c>
      <c r="CD4" s="39" t="s">
        <v>5045</v>
      </c>
      <c r="CE4" s="32" t="s">
        <v>1350</v>
      </c>
      <c r="CF4" s="32" t="str">
        <f>HYPERLINK("https%3A%2F%2Fwww.webofscience.com%2Fwos%2Fwoscc%2Ffull-record%2FWOS:000169516300004","View Full Record in Web of Science")</f>
        <v>View Full Record in Web of Science</v>
      </c>
    </row>
    <row r="5" ht="12.75" customHeight="1">
      <c r="A5" s="32" t="s">
        <v>26</v>
      </c>
      <c r="B5" s="32" t="s">
        <v>3687</v>
      </c>
      <c r="C5" s="32" t="s">
        <v>1324</v>
      </c>
      <c r="D5" s="32" t="s">
        <v>1324</v>
      </c>
      <c r="E5" s="32" t="s">
        <v>1324</v>
      </c>
      <c r="F5" s="32" t="s">
        <v>1997</v>
      </c>
      <c r="G5" s="32" t="s">
        <v>1324</v>
      </c>
      <c r="H5" s="32" t="s">
        <v>1324</v>
      </c>
      <c r="I5" s="32" t="s">
        <v>1998</v>
      </c>
      <c r="J5" s="32" t="s">
        <v>1055</v>
      </c>
      <c r="K5" s="32" t="s">
        <v>1324</v>
      </c>
      <c r="L5" s="32" t="s">
        <v>1324</v>
      </c>
      <c r="M5" s="32" t="s">
        <v>2364</v>
      </c>
      <c r="N5" s="32" t="s">
        <v>38</v>
      </c>
      <c r="O5" s="32" t="s">
        <v>1324</v>
      </c>
      <c r="P5" s="32" t="s">
        <v>1324</v>
      </c>
      <c r="Q5" s="32" t="s">
        <v>1324</v>
      </c>
      <c r="R5" s="32" t="s">
        <v>1324</v>
      </c>
      <c r="S5" s="32" t="s">
        <v>1324</v>
      </c>
      <c r="T5" s="32" t="s">
        <v>3688</v>
      </c>
      <c r="U5" s="32" t="s">
        <v>3689</v>
      </c>
      <c r="V5" s="32" t="s">
        <v>1999</v>
      </c>
      <c r="W5" s="32" t="s">
        <v>3690</v>
      </c>
      <c r="X5" s="32" t="s">
        <v>3691</v>
      </c>
      <c r="Y5" s="32" t="s">
        <v>3692</v>
      </c>
      <c r="Z5" s="32" t="s">
        <v>3693</v>
      </c>
      <c r="AA5" s="32" t="s">
        <v>5052</v>
      </c>
      <c r="AB5" s="32" t="s">
        <v>5053</v>
      </c>
      <c r="AC5" s="32" t="s">
        <v>3696</v>
      </c>
      <c r="AD5" s="32" t="s">
        <v>3696</v>
      </c>
      <c r="AE5" s="32" t="s">
        <v>3697</v>
      </c>
      <c r="AF5" s="32" t="s">
        <v>1324</v>
      </c>
      <c r="AG5" s="32">
        <v>85.0</v>
      </c>
      <c r="AH5" s="32">
        <v>25.0</v>
      </c>
      <c r="AI5" s="32">
        <v>27.0</v>
      </c>
      <c r="AJ5" s="32">
        <v>0.0</v>
      </c>
      <c r="AK5" s="32">
        <v>34.0</v>
      </c>
      <c r="AL5" s="32" t="s">
        <v>3043</v>
      </c>
      <c r="AM5" s="32" t="s">
        <v>2487</v>
      </c>
      <c r="AN5" s="32" t="s">
        <v>3044</v>
      </c>
      <c r="AO5" s="32" t="s">
        <v>3698</v>
      </c>
      <c r="AP5" s="32" t="s">
        <v>3699</v>
      </c>
      <c r="AQ5" s="32" t="s">
        <v>1324</v>
      </c>
      <c r="AR5" s="32" t="s">
        <v>3700</v>
      </c>
      <c r="AS5" s="32" t="s">
        <v>3701</v>
      </c>
      <c r="AT5" s="32" t="s">
        <v>3518</v>
      </c>
      <c r="AU5" s="32">
        <v>2014.0</v>
      </c>
      <c r="AV5" s="32">
        <v>121.0</v>
      </c>
      <c r="AW5" s="32" t="s">
        <v>1324</v>
      </c>
      <c r="AX5" s="32" t="s">
        <v>1324</v>
      </c>
      <c r="AY5" s="32" t="s">
        <v>1324</v>
      </c>
      <c r="AZ5" s="32" t="s">
        <v>1324</v>
      </c>
      <c r="BA5" s="32" t="s">
        <v>1324</v>
      </c>
      <c r="BB5" s="32">
        <v>64.0</v>
      </c>
      <c r="BC5" s="32">
        <v>77.0</v>
      </c>
      <c r="BD5" s="32" t="s">
        <v>1324</v>
      </c>
      <c r="BE5" s="32" t="s">
        <v>2000</v>
      </c>
      <c r="BF5" s="38" t="str">
        <f>HYPERLINK("http://dx.doi.org/10.1016/j.gloplacha.2014.07.007","http://dx.doi.org/10.1016/j.gloplacha.2014.07.007")</f>
        <v>http://dx.doi.org/10.1016/j.gloplacha.2014.07.007</v>
      </c>
      <c r="BG5" s="32" t="s">
        <v>1324</v>
      </c>
      <c r="BH5" s="32" t="s">
        <v>1324</v>
      </c>
      <c r="BI5" s="32">
        <v>14.0</v>
      </c>
      <c r="BJ5" s="32" t="s">
        <v>1059</v>
      </c>
      <c r="BK5" s="32" t="s">
        <v>2878</v>
      </c>
      <c r="BL5" s="32" t="s">
        <v>3702</v>
      </c>
      <c r="BM5" s="32" t="s">
        <v>3703</v>
      </c>
      <c r="BN5" s="32" t="s">
        <v>1324</v>
      </c>
      <c r="BO5" s="32" t="s">
        <v>1324</v>
      </c>
      <c r="BP5" s="32" t="s">
        <v>1324</v>
      </c>
      <c r="BQ5" s="32" t="s">
        <v>1324</v>
      </c>
      <c r="BR5" s="32" t="s">
        <v>5042</v>
      </c>
      <c r="BS5" s="32" t="s">
        <v>3704</v>
      </c>
      <c r="BT5" s="32" t="s">
        <v>1329</v>
      </c>
      <c r="BU5" s="32" t="s">
        <v>1333</v>
      </c>
      <c r="BV5" s="32" t="s">
        <v>5054</v>
      </c>
      <c r="BW5" s="32" t="s">
        <v>1362</v>
      </c>
      <c r="BX5" s="32" t="s">
        <v>5044</v>
      </c>
      <c r="BY5" s="32" t="s">
        <v>1328</v>
      </c>
      <c r="BZ5" s="32" t="s">
        <v>1328</v>
      </c>
      <c r="CA5" s="32" t="s">
        <v>1336</v>
      </c>
      <c r="CB5" s="32" t="s">
        <v>1336</v>
      </c>
      <c r="CC5" s="32" t="s">
        <v>1336</v>
      </c>
      <c r="CD5" s="39" t="s">
        <v>5055</v>
      </c>
      <c r="CE5" s="32" t="s">
        <v>1350</v>
      </c>
      <c r="CF5" s="32" t="str">
        <f>HYPERLINK("https%3A%2F%2Fwww.webofscience.com%2Fwos%2Fwoscc%2Ffull-record%2FWOS:000341558700007","View Full Record in Web of Science")</f>
        <v>View Full Record in Web of Science</v>
      </c>
    </row>
    <row r="6" ht="12.75" customHeight="1">
      <c r="A6" s="32" t="s">
        <v>26</v>
      </c>
      <c r="B6" s="32" t="s">
        <v>4336</v>
      </c>
      <c r="C6" s="32" t="s">
        <v>1324</v>
      </c>
      <c r="D6" s="32" t="s">
        <v>1324</v>
      </c>
      <c r="E6" s="32" t="s">
        <v>1324</v>
      </c>
      <c r="F6" s="32" t="s">
        <v>2177</v>
      </c>
      <c r="G6" s="32" t="s">
        <v>1324</v>
      </c>
      <c r="H6" s="32" t="s">
        <v>1324</v>
      </c>
      <c r="I6" s="32" t="s">
        <v>2178</v>
      </c>
      <c r="J6" s="32" t="s">
        <v>2172</v>
      </c>
      <c r="K6" s="32" t="s">
        <v>1324</v>
      </c>
      <c r="L6" s="32" t="s">
        <v>1324</v>
      </c>
      <c r="M6" s="32" t="s">
        <v>2364</v>
      </c>
      <c r="N6" s="32" t="s">
        <v>38</v>
      </c>
      <c r="O6" s="32" t="s">
        <v>1324</v>
      </c>
      <c r="P6" s="32" t="s">
        <v>1324</v>
      </c>
      <c r="Q6" s="32" t="s">
        <v>1324</v>
      </c>
      <c r="R6" s="32" t="s">
        <v>1324</v>
      </c>
      <c r="S6" s="32" t="s">
        <v>1324</v>
      </c>
      <c r="T6" s="32" t="s">
        <v>4337</v>
      </c>
      <c r="U6" s="32" t="s">
        <v>4338</v>
      </c>
      <c r="V6" s="32" t="s">
        <v>2179</v>
      </c>
      <c r="W6" s="32" t="s">
        <v>4339</v>
      </c>
      <c r="X6" s="32" t="s">
        <v>4340</v>
      </c>
      <c r="Y6" s="32" t="s">
        <v>4341</v>
      </c>
      <c r="Z6" s="32" t="s">
        <v>4342</v>
      </c>
      <c r="AA6" s="32" t="s">
        <v>1324</v>
      </c>
      <c r="AB6" s="32" t="s">
        <v>1324</v>
      </c>
      <c r="AC6" s="32" t="s">
        <v>4343</v>
      </c>
      <c r="AD6" s="32" t="s">
        <v>4344</v>
      </c>
      <c r="AE6" s="32" t="s">
        <v>4345</v>
      </c>
      <c r="AF6" s="32" t="s">
        <v>1324</v>
      </c>
      <c r="AG6" s="32">
        <v>60.0</v>
      </c>
      <c r="AH6" s="32">
        <v>53.0</v>
      </c>
      <c r="AI6" s="32">
        <v>58.0</v>
      </c>
      <c r="AJ6" s="32">
        <v>4.0</v>
      </c>
      <c r="AK6" s="32">
        <v>131.0</v>
      </c>
      <c r="AL6" s="32" t="s">
        <v>3250</v>
      </c>
      <c r="AM6" s="32" t="s">
        <v>3872</v>
      </c>
      <c r="AN6" s="32" t="s">
        <v>3873</v>
      </c>
      <c r="AO6" s="32" t="s">
        <v>3874</v>
      </c>
      <c r="AP6" s="32" t="s">
        <v>3875</v>
      </c>
      <c r="AQ6" s="32" t="s">
        <v>1324</v>
      </c>
      <c r="AR6" s="32" t="s">
        <v>3876</v>
      </c>
      <c r="AS6" s="32" t="s">
        <v>3877</v>
      </c>
      <c r="AT6" s="32" t="s">
        <v>2908</v>
      </c>
      <c r="AU6" s="32">
        <v>2011.0</v>
      </c>
      <c r="AV6" s="32">
        <v>64.0</v>
      </c>
      <c r="AW6" s="32">
        <v>8.0</v>
      </c>
      <c r="AX6" s="32" t="s">
        <v>1324</v>
      </c>
      <c r="AY6" s="32" t="s">
        <v>1324</v>
      </c>
      <c r="AZ6" s="32" t="s">
        <v>1324</v>
      </c>
      <c r="BA6" s="32" t="s">
        <v>1324</v>
      </c>
      <c r="BB6" s="32">
        <v>2183.0</v>
      </c>
      <c r="BC6" s="32">
        <v>2193.0</v>
      </c>
      <c r="BD6" s="32" t="s">
        <v>1324</v>
      </c>
      <c r="BE6" s="32" t="s">
        <v>2180</v>
      </c>
      <c r="BF6" s="38" t="str">
        <f>HYPERLINK("http://dx.doi.org/10.1007/s12665-011-1046-4","http://dx.doi.org/10.1007/s12665-011-1046-4")</f>
        <v>http://dx.doi.org/10.1007/s12665-011-1046-4</v>
      </c>
      <c r="BG6" s="32" t="s">
        <v>1324</v>
      </c>
      <c r="BH6" s="32" t="s">
        <v>1324</v>
      </c>
      <c r="BI6" s="32">
        <v>11.0</v>
      </c>
      <c r="BJ6" s="32" t="s">
        <v>3878</v>
      </c>
      <c r="BK6" s="32" t="s">
        <v>2407</v>
      </c>
      <c r="BL6" s="32" t="s">
        <v>3879</v>
      </c>
      <c r="BM6" s="32" t="s">
        <v>4346</v>
      </c>
      <c r="BN6" s="32" t="s">
        <v>1324</v>
      </c>
      <c r="BO6" s="32" t="s">
        <v>1324</v>
      </c>
      <c r="BP6" s="32" t="s">
        <v>1324</v>
      </c>
      <c r="BQ6" s="32" t="s">
        <v>1324</v>
      </c>
      <c r="BR6" s="32" t="s">
        <v>5042</v>
      </c>
      <c r="BS6" s="32" t="s">
        <v>4347</v>
      </c>
      <c r="BT6" s="32" t="s">
        <v>1329</v>
      </c>
      <c r="BU6" s="32" t="s">
        <v>1333</v>
      </c>
      <c r="BV6" s="32" t="s">
        <v>5054</v>
      </c>
      <c r="BW6" s="32" t="s">
        <v>1362</v>
      </c>
      <c r="BX6" s="32" t="s">
        <v>5044</v>
      </c>
      <c r="BY6" s="32" t="s">
        <v>1328</v>
      </c>
      <c r="BZ6" s="32" t="s">
        <v>1328</v>
      </c>
      <c r="CA6" s="32" t="s">
        <v>1336</v>
      </c>
      <c r="CB6" s="32" t="s">
        <v>1336</v>
      </c>
      <c r="CC6" s="32" t="s">
        <v>1336</v>
      </c>
      <c r="CD6" s="39" t="s">
        <v>5055</v>
      </c>
      <c r="CE6" s="32" t="s">
        <v>1350</v>
      </c>
      <c r="CF6" s="32" t="str">
        <f>HYPERLINK("https%3A%2F%2Fwww.webofscience.com%2Fwos%2Fwoscc%2Ffull-record%2FWOS:000297165900017","View Full Record in Web of Science")</f>
        <v>View Full Record in Web of Science</v>
      </c>
    </row>
    <row r="7" ht="12.75" customHeight="1">
      <c r="A7" s="32" t="s">
        <v>26</v>
      </c>
      <c r="B7" s="32" t="s">
        <v>3652</v>
      </c>
      <c r="C7" s="32" t="s">
        <v>1324</v>
      </c>
      <c r="D7" s="32" t="s">
        <v>1324</v>
      </c>
      <c r="E7" s="32" t="s">
        <v>1324</v>
      </c>
      <c r="F7" s="32" t="s">
        <v>1633</v>
      </c>
      <c r="G7" s="32" t="s">
        <v>1324</v>
      </c>
      <c r="H7" s="32" t="s">
        <v>1324</v>
      </c>
      <c r="I7" s="32" t="s">
        <v>1635</v>
      </c>
      <c r="J7" s="32" t="s">
        <v>1634</v>
      </c>
      <c r="K7" s="32" t="s">
        <v>1324</v>
      </c>
      <c r="L7" s="32" t="s">
        <v>1324</v>
      </c>
      <c r="M7" s="32" t="s">
        <v>2364</v>
      </c>
      <c r="N7" s="32" t="s">
        <v>38</v>
      </c>
      <c r="O7" s="32" t="s">
        <v>1324</v>
      </c>
      <c r="P7" s="32" t="s">
        <v>1324</v>
      </c>
      <c r="Q7" s="32" t="s">
        <v>1324</v>
      </c>
      <c r="R7" s="32" t="s">
        <v>1324</v>
      </c>
      <c r="S7" s="32" t="s">
        <v>1324</v>
      </c>
      <c r="T7" s="32" t="s">
        <v>3653</v>
      </c>
      <c r="U7" s="32" t="s">
        <v>3654</v>
      </c>
      <c r="V7" s="32" t="s">
        <v>1636</v>
      </c>
      <c r="W7" s="32" t="s">
        <v>3655</v>
      </c>
      <c r="X7" s="32" t="s">
        <v>3656</v>
      </c>
      <c r="Y7" s="32" t="s">
        <v>3657</v>
      </c>
      <c r="Z7" s="32" t="s">
        <v>3658</v>
      </c>
      <c r="AA7" s="32" t="s">
        <v>3659</v>
      </c>
      <c r="AB7" s="32" t="s">
        <v>3660</v>
      </c>
      <c r="AC7" s="32" t="s">
        <v>3661</v>
      </c>
      <c r="AD7" s="32" t="s">
        <v>3662</v>
      </c>
      <c r="AE7" s="32" t="s">
        <v>3663</v>
      </c>
      <c r="AF7" s="32" t="s">
        <v>1324</v>
      </c>
      <c r="AG7" s="32">
        <v>64.0</v>
      </c>
      <c r="AH7" s="32">
        <v>21.0</v>
      </c>
      <c r="AI7" s="32">
        <v>26.0</v>
      </c>
      <c r="AJ7" s="32">
        <v>2.0</v>
      </c>
      <c r="AK7" s="32">
        <v>158.0</v>
      </c>
      <c r="AL7" s="32" t="s">
        <v>2464</v>
      </c>
      <c r="AM7" s="32" t="s">
        <v>2465</v>
      </c>
      <c r="AN7" s="32" t="s">
        <v>2466</v>
      </c>
      <c r="AO7" s="32" t="s">
        <v>3664</v>
      </c>
      <c r="AP7" s="32" t="s">
        <v>3665</v>
      </c>
      <c r="AQ7" s="32" t="s">
        <v>1324</v>
      </c>
      <c r="AR7" s="32" t="s">
        <v>3666</v>
      </c>
      <c r="AS7" s="32" t="s">
        <v>3667</v>
      </c>
      <c r="AT7" s="32" t="s">
        <v>2908</v>
      </c>
      <c r="AU7" s="32">
        <v>2014.0</v>
      </c>
      <c r="AV7" s="32">
        <v>69.0</v>
      </c>
      <c r="AW7" s="32">
        <v>4.0</v>
      </c>
      <c r="AX7" s="32" t="s">
        <v>1324</v>
      </c>
      <c r="AY7" s="32" t="s">
        <v>1324</v>
      </c>
      <c r="AZ7" s="32" t="s">
        <v>1324</v>
      </c>
      <c r="BA7" s="32" t="s">
        <v>1324</v>
      </c>
      <c r="BB7" s="32">
        <v>596.0</v>
      </c>
      <c r="BC7" s="32">
        <v>610.0</v>
      </c>
      <c r="BD7" s="32" t="s">
        <v>1324</v>
      </c>
      <c r="BE7" s="32" t="s">
        <v>1637</v>
      </c>
      <c r="BF7" s="38" t="str">
        <f>HYPERLINK("http://dx.doi.org/10.1111/gfs.12073","http://dx.doi.org/10.1111/gfs.12073")</f>
        <v>http://dx.doi.org/10.1111/gfs.12073</v>
      </c>
      <c r="BG7" s="32" t="s">
        <v>1324</v>
      </c>
      <c r="BH7" s="32" t="s">
        <v>1324</v>
      </c>
      <c r="BI7" s="32">
        <v>15.0</v>
      </c>
      <c r="BJ7" s="32" t="s">
        <v>3668</v>
      </c>
      <c r="BK7" s="32" t="s">
        <v>2407</v>
      </c>
      <c r="BL7" s="32" t="s">
        <v>3669</v>
      </c>
      <c r="BM7" s="32" t="s">
        <v>3670</v>
      </c>
      <c r="BN7" s="32" t="s">
        <v>1324</v>
      </c>
      <c r="BO7" s="32" t="s">
        <v>1324</v>
      </c>
      <c r="BP7" s="32" t="s">
        <v>1324</v>
      </c>
      <c r="BQ7" s="32" t="s">
        <v>1324</v>
      </c>
      <c r="BR7" s="32" t="s">
        <v>5042</v>
      </c>
      <c r="BS7" s="32" t="s">
        <v>3671</v>
      </c>
      <c r="BT7" s="32" t="s">
        <v>1631</v>
      </c>
      <c r="BU7" s="32" t="s">
        <v>1333</v>
      </c>
      <c r="BV7" s="32" t="s">
        <v>5054</v>
      </c>
      <c r="BW7" s="32" t="s">
        <v>1362</v>
      </c>
      <c r="BX7" s="32" t="s">
        <v>5044</v>
      </c>
      <c r="BY7" s="32" t="s">
        <v>1328</v>
      </c>
      <c r="BZ7" s="32" t="s">
        <v>1328</v>
      </c>
      <c r="CA7" s="32" t="s">
        <v>1336</v>
      </c>
      <c r="CB7" s="32" t="s">
        <v>1336</v>
      </c>
      <c r="CC7" s="32" t="s">
        <v>1336</v>
      </c>
      <c r="CD7" s="39" t="s">
        <v>5055</v>
      </c>
      <c r="CE7" s="32" t="s">
        <v>1350</v>
      </c>
      <c r="CF7" s="32" t="str">
        <f>HYPERLINK("https%3A%2F%2Fwww.webofscience.com%2Fwos%2Fwoscc%2Ffull-record%2FWOS:000343754300004","View Full Record in Web of Science")</f>
        <v>View Full Record in Web of Science</v>
      </c>
    </row>
    <row r="8" ht="12.75" customHeight="1">
      <c r="A8" s="32" t="s">
        <v>26</v>
      </c>
      <c r="B8" s="32" t="s">
        <v>4382</v>
      </c>
      <c r="C8" s="32" t="s">
        <v>1324</v>
      </c>
      <c r="D8" s="32" t="s">
        <v>1324</v>
      </c>
      <c r="E8" s="32" t="s">
        <v>1324</v>
      </c>
      <c r="F8" s="32" t="s">
        <v>2064</v>
      </c>
      <c r="G8" s="32" t="s">
        <v>1324</v>
      </c>
      <c r="H8" s="32" t="s">
        <v>1324</v>
      </c>
      <c r="I8" s="32" t="s">
        <v>2065</v>
      </c>
      <c r="J8" s="32" t="s">
        <v>2059</v>
      </c>
      <c r="K8" s="32" t="s">
        <v>1324</v>
      </c>
      <c r="L8" s="32" t="s">
        <v>1324</v>
      </c>
      <c r="M8" s="32" t="s">
        <v>2364</v>
      </c>
      <c r="N8" s="32" t="s">
        <v>269</v>
      </c>
      <c r="O8" s="32" t="s">
        <v>4383</v>
      </c>
      <c r="P8" s="32" t="s">
        <v>4384</v>
      </c>
      <c r="Q8" s="32" t="s">
        <v>4385</v>
      </c>
      <c r="R8" s="32" t="s">
        <v>4386</v>
      </c>
      <c r="S8" s="32" t="s">
        <v>1324</v>
      </c>
      <c r="T8" s="32" t="s">
        <v>4387</v>
      </c>
      <c r="U8" s="32" t="s">
        <v>4388</v>
      </c>
      <c r="V8" s="32" t="s">
        <v>4389</v>
      </c>
      <c r="W8" s="32" t="s">
        <v>4390</v>
      </c>
      <c r="X8" s="32" t="s">
        <v>4391</v>
      </c>
      <c r="Y8" s="32" t="s">
        <v>4392</v>
      </c>
      <c r="Z8" s="32" t="s">
        <v>4393</v>
      </c>
      <c r="AA8" s="32" t="s">
        <v>5056</v>
      </c>
      <c r="AB8" s="32" t="s">
        <v>5057</v>
      </c>
      <c r="AC8" s="32" t="s">
        <v>1324</v>
      </c>
      <c r="AD8" s="32" t="s">
        <v>1324</v>
      </c>
      <c r="AE8" s="32" t="s">
        <v>1324</v>
      </c>
      <c r="AF8" s="32" t="s">
        <v>1324</v>
      </c>
      <c r="AG8" s="32">
        <v>33.0</v>
      </c>
      <c r="AH8" s="32">
        <v>30.0</v>
      </c>
      <c r="AI8" s="32">
        <v>38.0</v>
      </c>
      <c r="AJ8" s="32">
        <v>2.0</v>
      </c>
      <c r="AK8" s="32">
        <v>76.0</v>
      </c>
      <c r="AL8" s="32" t="s">
        <v>2486</v>
      </c>
      <c r="AM8" s="32" t="s">
        <v>2487</v>
      </c>
      <c r="AN8" s="32" t="s">
        <v>2488</v>
      </c>
      <c r="AO8" s="32" t="s">
        <v>3853</v>
      </c>
      <c r="AP8" s="32" t="s">
        <v>3854</v>
      </c>
      <c r="AQ8" s="32" t="s">
        <v>1324</v>
      </c>
      <c r="AR8" s="32" t="s">
        <v>3855</v>
      </c>
      <c r="AS8" s="32" t="s">
        <v>3856</v>
      </c>
      <c r="AT8" s="32" t="s">
        <v>4396</v>
      </c>
      <c r="AU8" s="32">
        <v>2011.0</v>
      </c>
      <c r="AV8" s="32">
        <v>222.0</v>
      </c>
      <c r="AW8" s="32">
        <v>14.0</v>
      </c>
      <c r="AX8" s="32" t="s">
        <v>1324</v>
      </c>
      <c r="AY8" s="32" t="s">
        <v>1324</v>
      </c>
      <c r="AZ8" s="32" t="s">
        <v>3257</v>
      </c>
      <c r="BA8" s="32" t="s">
        <v>1324</v>
      </c>
      <c r="BB8" s="32">
        <v>2333.0</v>
      </c>
      <c r="BC8" s="32">
        <v>2341.0</v>
      </c>
      <c r="BD8" s="32" t="s">
        <v>1324</v>
      </c>
      <c r="BE8" s="32" t="s">
        <v>2067</v>
      </c>
      <c r="BF8" s="38" t="str">
        <f>HYPERLINK("http://dx.doi.org/10.1016/j.ecolmodel.2011.03.042","http://dx.doi.org/10.1016/j.ecolmodel.2011.03.042")</f>
        <v>http://dx.doi.org/10.1016/j.ecolmodel.2011.03.042</v>
      </c>
      <c r="BG8" s="32" t="s">
        <v>1324</v>
      </c>
      <c r="BH8" s="32" t="s">
        <v>1324</v>
      </c>
      <c r="BI8" s="32">
        <v>9.0</v>
      </c>
      <c r="BJ8" s="32" t="s">
        <v>817</v>
      </c>
      <c r="BK8" s="32" t="s">
        <v>4397</v>
      </c>
      <c r="BL8" s="32" t="s">
        <v>2472</v>
      </c>
      <c r="BM8" s="32" t="s">
        <v>4398</v>
      </c>
      <c r="BN8" s="32" t="s">
        <v>1324</v>
      </c>
      <c r="BO8" s="32" t="s">
        <v>1324</v>
      </c>
      <c r="BP8" s="32" t="s">
        <v>1324</v>
      </c>
      <c r="BQ8" s="32" t="s">
        <v>1324</v>
      </c>
      <c r="BR8" s="32" t="s">
        <v>5042</v>
      </c>
      <c r="BS8" s="32" t="s">
        <v>4399</v>
      </c>
      <c r="BT8" s="32" t="s">
        <v>1329</v>
      </c>
      <c r="BU8" s="32" t="s">
        <v>1360</v>
      </c>
      <c r="BV8" s="32" t="s">
        <v>5051</v>
      </c>
      <c r="BW8" s="32" t="s">
        <v>2069</v>
      </c>
      <c r="BX8" s="32" t="s">
        <v>5044</v>
      </c>
      <c r="BY8" s="32" t="s">
        <v>1336</v>
      </c>
      <c r="BZ8" s="32" t="s">
        <v>1328</v>
      </c>
      <c r="CA8" s="32" t="s">
        <v>1328</v>
      </c>
      <c r="CB8" s="32" t="s">
        <v>1336</v>
      </c>
      <c r="CC8" s="32" t="s">
        <v>1336</v>
      </c>
      <c r="CD8" s="39" t="s">
        <v>5045</v>
      </c>
      <c r="CE8" s="32" t="s">
        <v>1350</v>
      </c>
      <c r="CF8" s="32" t="str">
        <f>HYPERLINK("https%3A%2F%2Fwww.webofscience.com%2Fwos%2Fwoscc%2Ffull-record%2FWOS:000293038700014","View Full Record in Web of Science")</f>
        <v>View Full Record in Web of Science</v>
      </c>
    </row>
    <row r="9" ht="12.75" customHeight="1">
      <c r="A9" s="32" t="s">
        <v>26</v>
      </c>
      <c r="B9" s="32" t="s">
        <v>3964</v>
      </c>
      <c r="C9" s="32" t="s">
        <v>1324</v>
      </c>
      <c r="D9" s="32" t="s">
        <v>1324</v>
      </c>
      <c r="E9" s="32" t="s">
        <v>1324</v>
      </c>
      <c r="F9" s="32" t="s">
        <v>2002</v>
      </c>
      <c r="G9" s="32" t="s">
        <v>1324</v>
      </c>
      <c r="H9" s="32" t="s">
        <v>1324</v>
      </c>
      <c r="I9" s="32" t="s">
        <v>2003</v>
      </c>
      <c r="J9" s="32" t="s">
        <v>1055</v>
      </c>
      <c r="K9" s="32" t="s">
        <v>1324</v>
      </c>
      <c r="L9" s="32" t="s">
        <v>1324</v>
      </c>
      <c r="M9" s="32" t="s">
        <v>2364</v>
      </c>
      <c r="N9" s="32" t="s">
        <v>38</v>
      </c>
      <c r="O9" s="32" t="s">
        <v>1324</v>
      </c>
      <c r="P9" s="32" t="s">
        <v>1324</v>
      </c>
      <c r="Q9" s="32" t="s">
        <v>1324</v>
      </c>
      <c r="R9" s="32" t="s">
        <v>1324</v>
      </c>
      <c r="S9" s="32" t="s">
        <v>1324</v>
      </c>
      <c r="T9" s="32" t="s">
        <v>3965</v>
      </c>
      <c r="U9" s="32" t="s">
        <v>3966</v>
      </c>
      <c r="V9" s="32" t="s">
        <v>2004</v>
      </c>
      <c r="W9" s="32" t="s">
        <v>3967</v>
      </c>
      <c r="X9" s="32" t="s">
        <v>3968</v>
      </c>
      <c r="Y9" s="32" t="s">
        <v>3657</v>
      </c>
      <c r="Z9" s="32" t="s">
        <v>3658</v>
      </c>
      <c r="AA9" s="32" t="s">
        <v>3969</v>
      </c>
      <c r="AB9" s="32" t="s">
        <v>3970</v>
      </c>
      <c r="AC9" s="32" t="s">
        <v>3971</v>
      </c>
      <c r="AD9" s="32" t="s">
        <v>3972</v>
      </c>
      <c r="AE9" s="32" t="s">
        <v>3973</v>
      </c>
      <c r="AF9" s="32" t="s">
        <v>1324</v>
      </c>
      <c r="AG9" s="32">
        <v>59.0</v>
      </c>
      <c r="AH9" s="32">
        <v>168.0</v>
      </c>
      <c r="AI9" s="32">
        <v>208.0</v>
      </c>
      <c r="AJ9" s="32">
        <v>4.0</v>
      </c>
      <c r="AK9" s="32">
        <v>288.0</v>
      </c>
      <c r="AL9" s="32" t="s">
        <v>2486</v>
      </c>
      <c r="AM9" s="32" t="s">
        <v>2487</v>
      </c>
      <c r="AN9" s="32" t="s">
        <v>2488</v>
      </c>
      <c r="AO9" s="32" t="s">
        <v>3698</v>
      </c>
      <c r="AP9" s="32" t="s">
        <v>3699</v>
      </c>
      <c r="AQ9" s="32" t="s">
        <v>1324</v>
      </c>
      <c r="AR9" s="32" t="s">
        <v>3700</v>
      </c>
      <c r="AS9" s="32" t="s">
        <v>3701</v>
      </c>
      <c r="AT9" s="32" t="s">
        <v>2471</v>
      </c>
      <c r="AU9" s="32">
        <v>2013.0</v>
      </c>
      <c r="AV9" s="32">
        <v>108.0</v>
      </c>
      <c r="AW9" s="32" t="s">
        <v>1324</v>
      </c>
      <c r="AX9" s="32" t="s">
        <v>1324</v>
      </c>
      <c r="AY9" s="32" t="s">
        <v>1324</v>
      </c>
      <c r="AZ9" s="32" t="s">
        <v>1324</v>
      </c>
      <c r="BA9" s="32" t="s">
        <v>1324</v>
      </c>
      <c r="BB9" s="32">
        <v>29.0</v>
      </c>
      <c r="BC9" s="32">
        <v>41.0</v>
      </c>
      <c r="BD9" s="32" t="s">
        <v>1324</v>
      </c>
      <c r="BE9" s="32" t="s">
        <v>2005</v>
      </c>
      <c r="BF9" s="38" t="str">
        <f>HYPERLINK("http://dx.doi.org/10.1016/j.gloplacha.2013.06.007","http://dx.doi.org/10.1016/j.gloplacha.2013.06.007")</f>
        <v>http://dx.doi.org/10.1016/j.gloplacha.2013.06.007</v>
      </c>
      <c r="BG9" s="32" t="s">
        <v>1324</v>
      </c>
      <c r="BH9" s="32" t="s">
        <v>1324</v>
      </c>
      <c r="BI9" s="32">
        <v>13.0</v>
      </c>
      <c r="BJ9" s="32" t="s">
        <v>1059</v>
      </c>
      <c r="BK9" s="32" t="s">
        <v>2878</v>
      </c>
      <c r="BL9" s="32" t="s">
        <v>3702</v>
      </c>
      <c r="BM9" s="32" t="s">
        <v>3974</v>
      </c>
      <c r="BN9" s="32" t="s">
        <v>1324</v>
      </c>
      <c r="BO9" s="32" t="s">
        <v>1324</v>
      </c>
      <c r="BP9" s="32" t="s">
        <v>1324</v>
      </c>
      <c r="BQ9" s="32" t="s">
        <v>1324</v>
      </c>
      <c r="BR9" s="32" t="s">
        <v>5042</v>
      </c>
      <c r="BS9" s="32" t="s">
        <v>3975</v>
      </c>
      <c r="BT9" s="32" t="s">
        <v>1631</v>
      </c>
      <c r="BU9" s="32" t="s">
        <v>1333</v>
      </c>
      <c r="BV9" s="32" t="s">
        <v>5054</v>
      </c>
      <c r="BW9" s="32" t="s">
        <v>1362</v>
      </c>
      <c r="BX9" s="32" t="s">
        <v>5044</v>
      </c>
      <c r="BY9" s="32" t="s">
        <v>1328</v>
      </c>
      <c r="BZ9" s="32" t="s">
        <v>1328</v>
      </c>
      <c r="CA9" s="32" t="s">
        <v>1336</v>
      </c>
      <c r="CB9" s="32" t="s">
        <v>1336</v>
      </c>
      <c r="CC9" s="32" t="s">
        <v>1336</v>
      </c>
      <c r="CD9" s="39" t="s">
        <v>5055</v>
      </c>
      <c r="CE9" s="32" t="s">
        <v>1350</v>
      </c>
      <c r="CF9" s="32" t="str">
        <f>HYPERLINK("https%3A%2F%2Fwww.webofscience.com%2Fwos%2Fwoscc%2Ffull-record%2FWOS:000323470800003","View Full Record in Web of Science")</f>
        <v>View Full Record in Web of Science</v>
      </c>
    </row>
    <row r="10" ht="12.75" customHeight="1">
      <c r="A10" s="32" t="s">
        <v>26</v>
      </c>
      <c r="B10" s="32" t="s">
        <v>3913</v>
      </c>
      <c r="C10" s="32" t="s">
        <v>1324</v>
      </c>
      <c r="D10" s="32" t="s">
        <v>1324</v>
      </c>
      <c r="E10" s="32" t="s">
        <v>1324</v>
      </c>
      <c r="F10" s="32" t="s">
        <v>2165</v>
      </c>
      <c r="G10" s="32" t="s">
        <v>1324</v>
      </c>
      <c r="H10" s="32" t="s">
        <v>1324</v>
      </c>
      <c r="I10" s="32" t="s">
        <v>2167</v>
      </c>
      <c r="J10" s="32" t="s">
        <v>2166</v>
      </c>
      <c r="K10" s="32" t="s">
        <v>1324</v>
      </c>
      <c r="L10" s="32" t="s">
        <v>1324</v>
      </c>
      <c r="M10" s="32" t="s">
        <v>2364</v>
      </c>
      <c r="N10" s="32" t="s">
        <v>38</v>
      </c>
      <c r="O10" s="32" t="s">
        <v>1324</v>
      </c>
      <c r="P10" s="32" t="s">
        <v>1324</v>
      </c>
      <c r="Q10" s="32" t="s">
        <v>1324</v>
      </c>
      <c r="R10" s="32" t="s">
        <v>1324</v>
      </c>
      <c r="S10" s="32" t="s">
        <v>1324</v>
      </c>
      <c r="T10" s="32" t="s">
        <v>3914</v>
      </c>
      <c r="U10" s="32" t="s">
        <v>3915</v>
      </c>
      <c r="V10" s="32" t="s">
        <v>2168</v>
      </c>
      <c r="W10" s="32" t="s">
        <v>3916</v>
      </c>
      <c r="X10" s="32" t="s">
        <v>3656</v>
      </c>
      <c r="Y10" s="32" t="s">
        <v>3917</v>
      </c>
      <c r="Z10" s="32" t="s">
        <v>3918</v>
      </c>
      <c r="AA10" s="32" t="s">
        <v>3919</v>
      </c>
      <c r="AB10" s="32" t="s">
        <v>3920</v>
      </c>
      <c r="AC10" s="32" t="s">
        <v>5058</v>
      </c>
      <c r="AD10" s="32" t="s">
        <v>5059</v>
      </c>
      <c r="AE10" s="32" t="s">
        <v>3923</v>
      </c>
      <c r="AF10" s="32" t="s">
        <v>1324</v>
      </c>
      <c r="AG10" s="32">
        <v>50.0</v>
      </c>
      <c r="AH10" s="32">
        <v>45.0</v>
      </c>
      <c r="AI10" s="32">
        <v>61.0</v>
      </c>
      <c r="AJ10" s="32">
        <v>3.0</v>
      </c>
      <c r="AK10" s="32">
        <v>387.0</v>
      </c>
      <c r="AL10" s="32" t="s">
        <v>3924</v>
      </c>
      <c r="AM10" s="32" t="s">
        <v>3925</v>
      </c>
      <c r="AN10" s="32" t="s">
        <v>3926</v>
      </c>
      <c r="AO10" s="32" t="s">
        <v>3927</v>
      </c>
      <c r="AP10" s="32" t="s">
        <v>3928</v>
      </c>
      <c r="AQ10" s="32" t="s">
        <v>1324</v>
      </c>
      <c r="AR10" s="32" t="s">
        <v>3929</v>
      </c>
      <c r="AS10" s="32" t="s">
        <v>3930</v>
      </c>
      <c r="AT10" s="32" t="s">
        <v>2908</v>
      </c>
      <c r="AU10" s="32">
        <v>2013.0</v>
      </c>
      <c r="AV10" s="32">
        <v>5.0</v>
      </c>
      <c r="AW10" s="32">
        <v>4.0</v>
      </c>
      <c r="AX10" s="32" t="s">
        <v>1324</v>
      </c>
      <c r="AY10" s="32" t="s">
        <v>1324</v>
      </c>
      <c r="AZ10" s="32" t="s">
        <v>1324</v>
      </c>
      <c r="BA10" s="32" t="s">
        <v>1324</v>
      </c>
      <c r="BB10" s="32">
        <v>465.0</v>
      </c>
      <c r="BC10" s="32">
        <v>479.0</v>
      </c>
      <c r="BD10" s="32" t="s">
        <v>1324</v>
      </c>
      <c r="BE10" s="32" t="s">
        <v>2169</v>
      </c>
      <c r="BF10" s="38" t="str">
        <f>HYPERLINK("http://dx.doi.org/10.1007/s40333-013-0181-z","http://dx.doi.org/10.1007/s40333-013-0181-z")</f>
        <v>http://dx.doi.org/10.1007/s40333-013-0181-z</v>
      </c>
      <c r="BG10" s="32" t="s">
        <v>1324</v>
      </c>
      <c r="BH10" s="32" t="s">
        <v>1324</v>
      </c>
      <c r="BI10" s="32">
        <v>15.0</v>
      </c>
      <c r="BJ10" s="32" t="s">
        <v>68</v>
      </c>
      <c r="BK10" s="32" t="s">
        <v>2407</v>
      </c>
      <c r="BL10" s="32" t="s">
        <v>2472</v>
      </c>
      <c r="BM10" s="32" t="s">
        <v>3931</v>
      </c>
      <c r="BN10" s="32" t="s">
        <v>1324</v>
      </c>
      <c r="BO10" s="32" t="s">
        <v>1324</v>
      </c>
      <c r="BP10" s="32" t="s">
        <v>1324</v>
      </c>
      <c r="BQ10" s="32" t="s">
        <v>1324</v>
      </c>
      <c r="BR10" s="32" t="s">
        <v>5042</v>
      </c>
      <c r="BS10" s="32" t="s">
        <v>3932</v>
      </c>
      <c r="BT10" s="32" t="s">
        <v>1631</v>
      </c>
      <c r="BU10" s="32" t="s">
        <v>1333</v>
      </c>
      <c r="BV10" s="32" t="s">
        <v>5054</v>
      </c>
      <c r="BW10" s="32" t="s">
        <v>1362</v>
      </c>
      <c r="BX10" s="32" t="s">
        <v>5044</v>
      </c>
      <c r="BY10" s="32" t="s">
        <v>1328</v>
      </c>
      <c r="BZ10" s="32" t="s">
        <v>1328</v>
      </c>
      <c r="CA10" s="32" t="s">
        <v>1336</v>
      </c>
      <c r="CB10" s="32" t="s">
        <v>1336</v>
      </c>
      <c r="CC10" s="32" t="s">
        <v>1336</v>
      </c>
      <c r="CD10" s="39" t="s">
        <v>5055</v>
      </c>
      <c r="CE10" s="32" t="s">
        <v>1350</v>
      </c>
      <c r="CF10" s="32" t="str">
        <f>HYPERLINK("https%3A%2F%2Fwww.webofscience.com%2Fwos%2Fwoscc%2Ffull-record%2FWOS:000321558700006","View Full Record in Web of Science")</f>
        <v>View Full Record in Web of Science</v>
      </c>
    </row>
    <row r="11" ht="12.75" customHeight="1">
      <c r="A11" s="32" t="s">
        <v>26</v>
      </c>
      <c r="B11" s="32" t="s">
        <v>2998</v>
      </c>
      <c r="C11" s="32" t="s">
        <v>1324</v>
      </c>
      <c r="D11" s="32" t="s">
        <v>1324</v>
      </c>
      <c r="E11" s="32" t="s">
        <v>1324</v>
      </c>
      <c r="F11" s="32" t="s">
        <v>1405</v>
      </c>
      <c r="G11" s="32" t="s">
        <v>1324</v>
      </c>
      <c r="H11" s="32" t="s">
        <v>1324</v>
      </c>
      <c r="I11" s="32" t="s">
        <v>1406</v>
      </c>
      <c r="J11" s="32" t="s">
        <v>1397</v>
      </c>
      <c r="K11" s="32" t="s">
        <v>1324</v>
      </c>
      <c r="L11" s="32" t="s">
        <v>1324</v>
      </c>
      <c r="M11" s="32" t="s">
        <v>2364</v>
      </c>
      <c r="N11" s="32" t="s">
        <v>38</v>
      </c>
      <c r="O11" s="32" t="s">
        <v>1324</v>
      </c>
      <c r="P11" s="32" t="s">
        <v>1324</v>
      </c>
      <c r="Q11" s="32" t="s">
        <v>1324</v>
      </c>
      <c r="R11" s="32" t="s">
        <v>1324</v>
      </c>
      <c r="S11" s="32" t="s">
        <v>1324</v>
      </c>
      <c r="T11" s="32" t="s">
        <v>2999</v>
      </c>
      <c r="U11" s="32" t="s">
        <v>3000</v>
      </c>
      <c r="V11" s="32" t="s">
        <v>1407</v>
      </c>
      <c r="W11" s="32" t="s">
        <v>3001</v>
      </c>
      <c r="X11" s="32" t="s">
        <v>3002</v>
      </c>
      <c r="Y11" s="32" t="s">
        <v>3003</v>
      </c>
      <c r="Z11" s="32" t="s">
        <v>3004</v>
      </c>
      <c r="AA11" s="32" t="s">
        <v>5060</v>
      </c>
      <c r="AB11" s="32" t="s">
        <v>5061</v>
      </c>
      <c r="AC11" s="32" t="s">
        <v>3007</v>
      </c>
      <c r="AD11" s="32" t="s">
        <v>3008</v>
      </c>
      <c r="AE11" s="32" t="s">
        <v>3009</v>
      </c>
      <c r="AF11" s="32" t="s">
        <v>1324</v>
      </c>
      <c r="AG11" s="32">
        <v>77.0</v>
      </c>
      <c r="AH11" s="32">
        <v>30.0</v>
      </c>
      <c r="AI11" s="32">
        <v>32.0</v>
      </c>
      <c r="AJ11" s="32">
        <v>0.0</v>
      </c>
      <c r="AK11" s="32">
        <v>64.0</v>
      </c>
      <c r="AL11" s="32" t="s">
        <v>2769</v>
      </c>
      <c r="AM11" s="32" t="s">
        <v>2770</v>
      </c>
      <c r="AN11" s="32" t="s">
        <v>2771</v>
      </c>
      <c r="AO11" s="32" t="s">
        <v>2772</v>
      </c>
      <c r="AP11" s="32" t="s">
        <v>2773</v>
      </c>
      <c r="AQ11" s="32" t="s">
        <v>1324</v>
      </c>
      <c r="AR11" s="32" t="s">
        <v>2774</v>
      </c>
      <c r="AS11" s="32" t="s">
        <v>2775</v>
      </c>
      <c r="AT11" s="32" t="s">
        <v>3010</v>
      </c>
      <c r="AU11" s="32">
        <v>2017.0</v>
      </c>
      <c r="AV11" s="32">
        <v>576.0</v>
      </c>
      <c r="AW11" s="32" t="s">
        <v>1324</v>
      </c>
      <c r="AX11" s="32" t="s">
        <v>1324</v>
      </c>
      <c r="AY11" s="32" t="s">
        <v>1324</v>
      </c>
      <c r="AZ11" s="32" t="s">
        <v>1324</v>
      </c>
      <c r="BA11" s="32" t="s">
        <v>1324</v>
      </c>
      <c r="BB11" s="32">
        <v>55.0</v>
      </c>
      <c r="BC11" s="32">
        <v>68.0</v>
      </c>
      <c r="BD11" s="32" t="s">
        <v>1324</v>
      </c>
      <c r="BE11" s="32" t="s">
        <v>1408</v>
      </c>
      <c r="BF11" s="38" t="str">
        <f>HYPERLINK("http://dx.doi.org/10.3354/meps12221","http://dx.doi.org/10.3354/meps12221")</f>
        <v>http://dx.doi.org/10.3354/meps12221</v>
      </c>
      <c r="BG11" s="32" t="s">
        <v>1324</v>
      </c>
      <c r="BH11" s="32" t="s">
        <v>1324</v>
      </c>
      <c r="BI11" s="32">
        <v>14.0</v>
      </c>
      <c r="BJ11" s="32" t="s">
        <v>2447</v>
      </c>
      <c r="BK11" s="32" t="s">
        <v>2878</v>
      </c>
      <c r="BL11" s="32" t="s">
        <v>2449</v>
      </c>
      <c r="BM11" s="32" t="s">
        <v>3011</v>
      </c>
      <c r="BN11" s="32" t="s">
        <v>1324</v>
      </c>
      <c r="BO11" s="32" t="s">
        <v>1324</v>
      </c>
      <c r="BP11" s="32" t="s">
        <v>1324</v>
      </c>
      <c r="BQ11" s="32" t="s">
        <v>1324</v>
      </c>
      <c r="BR11" s="32" t="s">
        <v>5042</v>
      </c>
      <c r="BS11" s="32" t="s">
        <v>3012</v>
      </c>
      <c r="BT11" s="32" t="s">
        <v>1329</v>
      </c>
      <c r="BU11" s="32" t="s">
        <v>1333</v>
      </c>
      <c r="BV11" s="32" t="s">
        <v>5054</v>
      </c>
      <c r="BW11" s="32" t="s">
        <v>1349</v>
      </c>
      <c r="BX11" s="32" t="s">
        <v>5062</v>
      </c>
      <c r="BY11" s="32" t="s">
        <v>1328</v>
      </c>
      <c r="BZ11" s="32" t="s">
        <v>1328</v>
      </c>
      <c r="CA11" s="32" t="s">
        <v>1328</v>
      </c>
      <c r="CB11" s="32" t="s">
        <v>1336</v>
      </c>
      <c r="CC11" s="32" t="s">
        <v>1328</v>
      </c>
      <c r="CD11" s="39" t="s">
        <v>5063</v>
      </c>
      <c r="CE11" s="32" t="s">
        <v>1350</v>
      </c>
      <c r="CF11" s="32" t="str">
        <f>HYPERLINK("https%3A%2F%2Fwww.webofscience.com%2Fwos%2Fwoscc%2Ffull-record%2FWOS:000407443900005","View Full Record in Web of Science")</f>
        <v>View Full Record in Web of Science</v>
      </c>
    </row>
    <row r="12" ht="12.75" customHeight="1">
      <c r="A12" s="32" t="s">
        <v>26</v>
      </c>
      <c r="B12" s="32" t="s">
        <v>3785</v>
      </c>
      <c r="C12" s="32" t="s">
        <v>1324</v>
      </c>
      <c r="D12" s="32" t="s">
        <v>1324</v>
      </c>
      <c r="E12" s="32" t="s">
        <v>1324</v>
      </c>
      <c r="F12" s="32" t="s">
        <v>2130</v>
      </c>
      <c r="G12" s="32" t="s">
        <v>1324</v>
      </c>
      <c r="H12" s="32" t="s">
        <v>1324</v>
      </c>
      <c r="I12" s="32" t="s">
        <v>2132</v>
      </c>
      <c r="J12" s="32" t="s">
        <v>2131</v>
      </c>
      <c r="K12" s="32" t="s">
        <v>1324</v>
      </c>
      <c r="L12" s="32" t="s">
        <v>1324</v>
      </c>
      <c r="M12" s="32" t="s">
        <v>2364</v>
      </c>
      <c r="N12" s="32" t="s">
        <v>38</v>
      </c>
      <c r="O12" s="32" t="s">
        <v>1324</v>
      </c>
      <c r="P12" s="32" t="s">
        <v>1324</v>
      </c>
      <c r="Q12" s="32" t="s">
        <v>1324</v>
      </c>
      <c r="R12" s="32" t="s">
        <v>1324</v>
      </c>
      <c r="S12" s="32" t="s">
        <v>1324</v>
      </c>
      <c r="T12" s="32" t="s">
        <v>3786</v>
      </c>
      <c r="U12" s="32" t="s">
        <v>3787</v>
      </c>
      <c r="V12" s="32" t="s">
        <v>2133</v>
      </c>
      <c r="W12" s="32" t="s">
        <v>3788</v>
      </c>
      <c r="X12" s="32" t="s">
        <v>3789</v>
      </c>
      <c r="Y12" s="32" t="s">
        <v>3790</v>
      </c>
      <c r="Z12" s="32" t="s">
        <v>3791</v>
      </c>
      <c r="AA12" s="32" t="s">
        <v>5064</v>
      </c>
      <c r="AB12" s="32" t="s">
        <v>5065</v>
      </c>
      <c r="AC12" s="32" t="s">
        <v>3794</v>
      </c>
      <c r="AD12" s="32" t="s">
        <v>3795</v>
      </c>
      <c r="AE12" s="32" t="s">
        <v>3796</v>
      </c>
      <c r="AF12" s="32" t="s">
        <v>1324</v>
      </c>
      <c r="AG12" s="32">
        <v>64.0</v>
      </c>
      <c r="AH12" s="32">
        <v>566.0</v>
      </c>
      <c r="AI12" s="32">
        <v>712.0</v>
      </c>
      <c r="AJ12" s="32">
        <v>30.0</v>
      </c>
      <c r="AK12" s="32">
        <v>1282.0</v>
      </c>
      <c r="AL12" s="32" t="s">
        <v>3043</v>
      </c>
      <c r="AM12" s="32" t="s">
        <v>2487</v>
      </c>
      <c r="AN12" s="32" t="s">
        <v>3044</v>
      </c>
      <c r="AO12" s="32" t="s">
        <v>3797</v>
      </c>
      <c r="AP12" s="32" t="s">
        <v>3798</v>
      </c>
      <c r="AQ12" s="32" t="s">
        <v>1324</v>
      </c>
      <c r="AR12" s="32" t="s">
        <v>3799</v>
      </c>
      <c r="AS12" s="32" t="s">
        <v>3800</v>
      </c>
      <c r="AT12" s="32" t="s">
        <v>3801</v>
      </c>
      <c r="AU12" s="32">
        <v>2014.0</v>
      </c>
      <c r="AV12" s="32">
        <v>189.0</v>
      </c>
      <c r="AW12" s="32" t="s">
        <v>1324</v>
      </c>
      <c r="AX12" s="32" t="s">
        <v>1324</v>
      </c>
      <c r="AY12" s="32" t="s">
        <v>1324</v>
      </c>
      <c r="AZ12" s="32" t="s">
        <v>1324</v>
      </c>
      <c r="BA12" s="32" t="s">
        <v>1324</v>
      </c>
      <c r="BB12" s="32">
        <v>11.0</v>
      </c>
      <c r="BC12" s="32">
        <v>18.0</v>
      </c>
      <c r="BD12" s="32" t="s">
        <v>1324</v>
      </c>
      <c r="BE12" s="32" t="s">
        <v>2134</v>
      </c>
      <c r="BF12" s="38" t="str">
        <f>HYPERLINK("http://dx.doi.org/10.1016/j.agrformet.2014.01.002","http://dx.doi.org/10.1016/j.agrformet.2014.01.002")</f>
        <v>http://dx.doi.org/10.1016/j.agrformet.2014.01.002</v>
      </c>
      <c r="BG12" s="32" t="s">
        <v>1324</v>
      </c>
      <c r="BH12" s="32" t="s">
        <v>1324</v>
      </c>
      <c r="BI12" s="32">
        <v>8.0</v>
      </c>
      <c r="BJ12" s="32" t="s">
        <v>3802</v>
      </c>
      <c r="BK12" s="32" t="s">
        <v>2407</v>
      </c>
      <c r="BL12" s="32" t="s">
        <v>3803</v>
      </c>
      <c r="BM12" s="32" t="s">
        <v>3804</v>
      </c>
      <c r="BN12" s="32" t="s">
        <v>1324</v>
      </c>
      <c r="BO12" s="32" t="s">
        <v>1324</v>
      </c>
      <c r="BP12" s="32" t="s">
        <v>1324</v>
      </c>
      <c r="BQ12" s="32" t="s">
        <v>1324</v>
      </c>
      <c r="BR12" s="32" t="s">
        <v>5042</v>
      </c>
      <c r="BS12" s="32" t="s">
        <v>3805</v>
      </c>
      <c r="BT12" s="32" t="s">
        <v>1631</v>
      </c>
      <c r="BU12" s="32" t="s">
        <v>1333</v>
      </c>
      <c r="BV12" s="32" t="s">
        <v>5066</v>
      </c>
      <c r="BW12" s="32" t="s">
        <v>1362</v>
      </c>
      <c r="BX12" s="32" t="s">
        <v>5044</v>
      </c>
      <c r="BY12" s="32" t="s">
        <v>1328</v>
      </c>
      <c r="BZ12" s="32" t="s">
        <v>1328</v>
      </c>
      <c r="CA12" s="32" t="s">
        <v>1336</v>
      </c>
      <c r="CB12" s="32" t="s">
        <v>1336</v>
      </c>
      <c r="CC12" s="32" t="s">
        <v>1336</v>
      </c>
      <c r="CD12" s="39" t="s">
        <v>5055</v>
      </c>
      <c r="CE12" s="32" t="s">
        <v>1350</v>
      </c>
      <c r="CF12" s="32" t="str">
        <f>HYPERLINK("https%3A%2F%2Fwww.webofscience.com%2Fwos%2Fwoscc%2Ffull-record%2FWOS:000333852900003","View Full Record in Web of Science")</f>
        <v>View Full Record in Web of Science</v>
      </c>
    </row>
    <row r="13" ht="12.75" customHeight="1">
      <c r="A13" s="32" t="s">
        <v>26</v>
      </c>
      <c r="B13" s="32" t="s">
        <v>4522</v>
      </c>
      <c r="C13" s="32" t="s">
        <v>1324</v>
      </c>
      <c r="D13" s="32" t="s">
        <v>1324</v>
      </c>
      <c r="E13" s="32" t="s">
        <v>1324</v>
      </c>
      <c r="F13" s="32" t="s">
        <v>1724</v>
      </c>
      <c r="G13" s="32" t="s">
        <v>1324</v>
      </c>
      <c r="H13" s="32" t="s">
        <v>1324</v>
      </c>
      <c r="I13" s="32" t="s">
        <v>1726</v>
      </c>
      <c r="J13" s="32" t="s">
        <v>1725</v>
      </c>
      <c r="K13" s="32" t="s">
        <v>1324</v>
      </c>
      <c r="L13" s="32" t="s">
        <v>1324</v>
      </c>
      <c r="M13" s="32" t="s">
        <v>2364</v>
      </c>
      <c r="N13" s="32" t="s">
        <v>38</v>
      </c>
      <c r="O13" s="32" t="s">
        <v>1324</v>
      </c>
      <c r="P13" s="32" t="s">
        <v>1324</v>
      </c>
      <c r="Q13" s="32" t="s">
        <v>1324</v>
      </c>
      <c r="R13" s="32" t="s">
        <v>1324</v>
      </c>
      <c r="S13" s="32" t="s">
        <v>1324</v>
      </c>
      <c r="T13" s="32" t="s">
        <v>4523</v>
      </c>
      <c r="U13" s="32" t="s">
        <v>4524</v>
      </c>
      <c r="V13" s="32" t="s">
        <v>1727</v>
      </c>
      <c r="W13" s="32" t="s">
        <v>4525</v>
      </c>
      <c r="X13" s="32" t="s">
        <v>5067</v>
      </c>
      <c r="Y13" s="32" t="s">
        <v>4527</v>
      </c>
      <c r="Z13" s="32" t="s">
        <v>4528</v>
      </c>
      <c r="AA13" s="32" t="s">
        <v>5068</v>
      </c>
      <c r="AB13" s="32" t="s">
        <v>5069</v>
      </c>
      <c r="AC13" s="32" t="s">
        <v>4531</v>
      </c>
      <c r="AD13" s="32" t="s">
        <v>4532</v>
      </c>
      <c r="AE13" s="32" t="s">
        <v>4533</v>
      </c>
      <c r="AF13" s="32" t="s">
        <v>1324</v>
      </c>
      <c r="AG13" s="32">
        <v>40.0</v>
      </c>
      <c r="AH13" s="32">
        <v>165.0</v>
      </c>
      <c r="AI13" s="32">
        <v>186.0</v>
      </c>
      <c r="AJ13" s="32">
        <v>0.0</v>
      </c>
      <c r="AK13" s="32">
        <v>145.0</v>
      </c>
      <c r="AL13" s="32" t="s">
        <v>4373</v>
      </c>
      <c r="AM13" s="32" t="s">
        <v>2400</v>
      </c>
      <c r="AN13" s="32" t="s">
        <v>4374</v>
      </c>
      <c r="AO13" s="32" t="s">
        <v>4534</v>
      </c>
      <c r="AP13" s="32" t="s">
        <v>4535</v>
      </c>
      <c r="AQ13" s="32" t="s">
        <v>1324</v>
      </c>
      <c r="AR13" s="32" t="s">
        <v>4536</v>
      </c>
      <c r="AS13" s="32" t="s">
        <v>4537</v>
      </c>
      <c r="AT13" s="32" t="s">
        <v>4538</v>
      </c>
      <c r="AU13" s="32">
        <v>2010.0</v>
      </c>
      <c r="AV13" s="32">
        <v>277.0</v>
      </c>
      <c r="AW13" s="32">
        <v>1686.0</v>
      </c>
      <c r="AX13" s="32" t="s">
        <v>1324</v>
      </c>
      <c r="AY13" s="32" t="s">
        <v>1324</v>
      </c>
      <c r="AZ13" s="32" t="s">
        <v>1324</v>
      </c>
      <c r="BA13" s="32" t="s">
        <v>1324</v>
      </c>
      <c r="BB13" s="32">
        <v>1353.0</v>
      </c>
      <c r="BC13" s="32">
        <v>1360.0</v>
      </c>
      <c r="BD13" s="32" t="s">
        <v>1324</v>
      </c>
      <c r="BE13" s="32" t="s">
        <v>1728</v>
      </c>
      <c r="BF13" s="38" t="str">
        <f>HYPERLINK("http://dx.doi.org/10.1098/rspb.2009.1020","http://dx.doi.org/10.1098/rspb.2009.1020")</f>
        <v>http://dx.doi.org/10.1098/rspb.2009.1020</v>
      </c>
      <c r="BG13" s="32" t="s">
        <v>1324</v>
      </c>
      <c r="BH13" s="32" t="s">
        <v>1324</v>
      </c>
      <c r="BI13" s="32">
        <v>8.0</v>
      </c>
      <c r="BJ13" s="32" t="s">
        <v>139</v>
      </c>
      <c r="BK13" s="32" t="s">
        <v>2407</v>
      </c>
      <c r="BL13" s="32" t="s">
        <v>4539</v>
      </c>
      <c r="BM13" s="32" t="s">
        <v>4540</v>
      </c>
      <c r="BN13" s="32">
        <v>2.0031989E7</v>
      </c>
      <c r="BO13" s="32" t="s">
        <v>1324</v>
      </c>
      <c r="BP13" s="32" t="s">
        <v>1324</v>
      </c>
      <c r="BQ13" s="32" t="s">
        <v>1324</v>
      </c>
      <c r="BR13" s="32" t="s">
        <v>5042</v>
      </c>
      <c r="BS13" s="32" t="s">
        <v>4541</v>
      </c>
      <c r="BT13" s="32" t="s">
        <v>1329</v>
      </c>
      <c r="BU13" s="32" t="s">
        <v>1333</v>
      </c>
      <c r="BV13" s="32" t="s">
        <v>5066</v>
      </c>
      <c r="BW13" s="32" t="s">
        <v>1349</v>
      </c>
      <c r="BX13" s="32" t="s">
        <v>5062</v>
      </c>
      <c r="BY13" s="32" t="s">
        <v>1328</v>
      </c>
      <c r="BZ13" s="32" t="s">
        <v>1336</v>
      </c>
      <c r="CA13" s="32" t="s">
        <v>1328</v>
      </c>
      <c r="CB13" s="32" t="s">
        <v>1336</v>
      </c>
      <c r="CC13" s="32" t="s">
        <v>1336</v>
      </c>
      <c r="CD13" s="39" t="s">
        <v>5070</v>
      </c>
      <c r="CE13" s="32" t="s">
        <v>1350</v>
      </c>
      <c r="CF13" s="32" t="str">
        <f>HYPERLINK("https%3A%2F%2Fwww.webofscience.com%2Fwos%2Fwoscc%2Ffull-record%2FWOS:000276003400008","View Full Record in Web of Science")</f>
        <v>View Full Record in Web of Science</v>
      </c>
    </row>
    <row r="14" ht="12.75" customHeight="1">
      <c r="A14" s="32" t="s">
        <v>26</v>
      </c>
      <c r="B14" s="32" t="s">
        <v>3897</v>
      </c>
      <c r="C14" s="32" t="s">
        <v>1324</v>
      </c>
      <c r="D14" s="32" t="s">
        <v>1324</v>
      </c>
      <c r="E14" s="32" t="s">
        <v>1324</v>
      </c>
      <c r="F14" s="32" t="s">
        <v>2147</v>
      </c>
      <c r="G14" s="32" t="s">
        <v>1324</v>
      </c>
      <c r="H14" s="32" t="s">
        <v>1324</v>
      </c>
      <c r="I14" s="32" t="s">
        <v>2149</v>
      </c>
      <c r="J14" s="32" t="s">
        <v>2148</v>
      </c>
      <c r="K14" s="32" t="s">
        <v>1324</v>
      </c>
      <c r="L14" s="32" t="s">
        <v>1324</v>
      </c>
      <c r="M14" s="32" t="s">
        <v>2364</v>
      </c>
      <c r="N14" s="32" t="s">
        <v>38</v>
      </c>
      <c r="O14" s="32" t="s">
        <v>1324</v>
      </c>
      <c r="P14" s="32" t="s">
        <v>1324</v>
      </c>
      <c r="Q14" s="32" t="s">
        <v>1324</v>
      </c>
      <c r="R14" s="32" t="s">
        <v>1324</v>
      </c>
      <c r="S14" s="32" t="s">
        <v>1324</v>
      </c>
      <c r="T14" s="32" t="s">
        <v>3898</v>
      </c>
      <c r="U14" s="32" t="s">
        <v>3899</v>
      </c>
      <c r="V14" s="32" t="s">
        <v>2150</v>
      </c>
      <c r="W14" s="32" t="s">
        <v>3900</v>
      </c>
      <c r="X14" s="32" t="s">
        <v>3901</v>
      </c>
      <c r="Y14" s="32" t="s">
        <v>3657</v>
      </c>
      <c r="Z14" s="32" t="s">
        <v>3658</v>
      </c>
      <c r="AA14" s="32" t="s">
        <v>5071</v>
      </c>
      <c r="AB14" s="32" t="s">
        <v>5072</v>
      </c>
      <c r="AC14" s="32" t="s">
        <v>5073</v>
      </c>
      <c r="AD14" s="32" t="s">
        <v>5074</v>
      </c>
      <c r="AE14" s="32" t="s">
        <v>3906</v>
      </c>
      <c r="AF14" s="32" t="s">
        <v>1324</v>
      </c>
      <c r="AG14" s="32">
        <v>58.0</v>
      </c>
      <c r="AH14" s="32">
        <v>118.0</v>
      </c>
      <c r="AI14" s="32">
        <v>159.0</v>
      </c>
      <c r="AJ14" s="32">
        <v>14.0</v>
      </c>
      <c r="AK14" s="32">
        <v>296.0</v>
      </c>
      <c r="AL14" s="32" t="s">
        <v>2486</v>
      </c>
      <c r="AM14" s="32" t="s">
        <v>2487</v>
      </c>
      <c r="AN14" s="32" t="s">
        <v>2488</v>
      </c>
      <c r="AO14" s="32" t="s">
        <v>3907</v>
      </c>
      <c r="AP14" s="32" t="s">
        <v>3908</v>
      </c>
      <c r="AQ14" s="32" t="s">
        <v>1324</v>
      </c>
      <c r="AR14" s="32" t="s">
        <v>3909</v>
      </c>
      <c r="AS14" s="32" t="s">
        <v>3910</v>
      </c>
      <c r="AT14" s="32" t="s">
        <v>2818</v>
      </c>
      <c r="AU14" s="32">
        <v>2014.0</v>
      </c>
      <c r="AV14" s="32">
        <v>55.0</v>
      </c>
      <c r="AW14" s="32" t="s">
        <v>1324</v>
      </c>
      <c r="AX14" s="32" t="s">
        <v>1324</v>
      </c>
      <c r="AY14" s="32" t="s">
        <v>1324</v>
      </c>
      <c r="AZ14" s="32" t="s">
        <v>1324</v>
      </c>
      <c r="BA14" s="32" t="s">
        <v>1324</v>
      </c>
      <c r="BB14" s="32">
        <v>86.0</v>
      </c>
      <c r="BC14" s="32">
        <v>96.0</v>
      </c>
      <c r="BD14" s="32" t="s">
        <v>1324</v>
      </c>
      <c r="BE14" s="32" t="s">
        <v>2151</v>
      </c>
      <c r="BF14" s="38" t="str">
        <f>HYPERLINK("http://dx.doi.org/10.1016/j.actao.2013.12.006","http://dx.doi.org/10.1016/j.actao.2013.12.006")</f>
        <v>http://dx.doi.org/10.1016/j.actao.2013.12.006</v>
      </c>
      <c r="BG14" s="32" t="s">
        <v>1324</v>
      </c>
      <c r="BH14" s="32" t="s">
        <v>1324</v>
      </c>
      <c r="BI14" s="32">
        <v>11.0</v>
      </c>
      <c r="BJ14" s="32" t="s">
        <v>817</v>
      </c>
      <c r="BK14" s="32" t="s">
        <v>2407</v>
      </c>
      <c r="BL14" s="32" t="s">
        <v>2472</v>
      </c>
      <c r="BM14" s="32" t="s">
        <v>3911</v>
      </c>
      <c r="BN14" s="32" t="s">
        <v>1324</v>
      </c>
      <c r="BO14" s="32" t="s">
        <v>1324</v>
      </c>
      <c r="BP14" s="32" t="s">
        <v>1324</v>
      </c>
      <c r="BQ14" s="32" t="s">
        <v>1324</v>
      </c>
      <c r="BR14" s="32" t="s">
        <v>5042</v>
      </c>
      <c r="BS14" s="32" t="s">
        <v>3912</v>
      </c>
      <c r="BT14" s="32" t="s">
        <v>1631</v>
      </c>
      <c r="BU14" s="32" t="s">
        <v>1333</v>
      </c>
      <c r="BV14" s="32" t="s">
        <v>5054</v>
      </c>
      <c r="BW14" s="32" t="s">
        <v>1362</v>
      </c>
      <c r="BX14" s="32" t="s">
        <v>5044</v>
      </c>
      <c r="BY14" s="32" t="s">
        <v>1328</v>
      </c>
      <c r="BZ14" s="32" t="s">
        <v>1328</v>
      </c>
      <c r="CA14" s="32" t="s">
        <v>1336</v>
      </c>
      <c r="CB14" s="32" t="s">
        <v>1336</v>
      </c>
      <c r="CC14" s="32" t="s">
        <v>1336</v>
      </c>
      <c r="CD14" s="39" t="s">
        <v>5055</v>
      </c>
      <c r="CE14" s="32" t="s">
        <v>1350</v>
      </c>
      <c r="CF14" s="32" t="str">
        <f>HYPERLINK("https%3A%2F%2Fwww.webofscience.com%2Fwos%2Fwoscc%2Ffull-record%2FWOS:000331773100012","View Full Record in Web of Science")</f>
        <v>View Full Record in Web of Science</v>
      </c>
    </row>
    <row r="15" ht="12.75" customHeight="1">
      <c r="A15" s="32" t="s">
        <v>26</v>
      </c>
      <c r="B15" s="32" t="s">
        <v>3052</v>
      </c>
      <c r="C15" s="32" t="s">
        <v>1324</v>
      </c>
      <c r="D15" s="32" t="s">
        <v>1324</v>
      </c>
      <c r="E15" s="32" t="s">
        <v>1324</v>
      </c>
      <c r="F15" s="32" t="s">
        <v>1375</v>
      </c>
      <c r="G15" s="32" t="s">
        <v>1324</v>
      </c>
      <c r="H15" s="32" t="s">
        <v>1324</v>
      </c>
      <c r="I15" s="32" t="s">
        <v>1377</v>
      </c>
      <c r="J15" s="32" t="s">
        <v>1376</v>
      </c>
      <c r="K15" s="32" t="s">
        <v>1324</v>
      </c>
      <c r="L15" s="32" t="s">
        <v>1324</v>
      </c>
      <c r="M15" s="32" t="s">
        <v>2364</v>
      </c>
      <c r="N15" s="32" t="s">
        <v>38</v>
      </c>
      <c r="O15" s="32" t="s">
        <v>1324</v>
      </c>
      <c r="P15" s="32" t="s">
        <v>1324</v>
      </c>
      <c r="Q15" s="32" t="s">
        <v>1324</v>
      </c>
      <c r="R15" s="32" t="s">
        <v>1324</v>
      </c>
      <c r="S15" s="32" t="s">
        <v>1324</v>
      </c>
      <c r="T15" s="32" t="s">
        <v>3053</v>
      </c>
      <c r="U15" s="32" t="s">
        <v>3054</v>
      </c>
      <c r="V15" s="32" t="s">
        <v>1378</v>
      </c>
      <c r="W15" s="32" t="s">
        <v>3055</v>
      </c>
      <c r="X15" s="32" t="s">
        <v>3056</v>
      </c>
      <c r="Y15" s="32" t="s">
        <v>3057</v>
      </c>
      <c r="Z15" s="32" t="s">
        <v>3058</v>
      </c>
      <c r="AA15" s="32" t="s">
        <v>1324</v>
      </c>
      <c r="AB15" s="32" t="s">
        <v>5075</v>
      </c>
      <c r="AC15" s="32" t="s">
        <v>3060</v>
      </c>
      <c r="AD15" s="32" t="s">
        <v>3061</v>
      </c>
      <c r="AE15" s="32" t="s">
        <v>3062</v>
      </c>
      <c r="AF15" s="32" t="s">
        <v>1324</v>
      </c>
      <c r="AG15" s="32">
        <v>69.0</v>
      </c>
      <c r="AH15" s="32">
        <v>72.0</v>
      </c>
      <c r="AI15" s="32">
        <v>81.0</v>
      </c>
      <c r="AJ15" s="32">
        <v>5.0</v>
      </c>
      <c r="AK15" s="32">
        <v>35.0</v>
      </c>
      <c r="AL15" s="32" t="s">
        <v>3063</v>
      </c>
      <c r="AM15" s="32" t="s">
        <v>3064</v>
      </c>
      <c r="AN15" s="32" t="s">
        <v>3065</v>
      </c>
      <c r="AO15" s="32" t="s">
        <v>1324</v>
      </c>
      <c r="AP15" s="32" t="s">
        <v>3066</v>
      </c>
      <c r="AQ15" s="32" t="s">
        <v>1324</v>
      </c>
      <c r="AR15" s="32" t="s">
        <v>3067</v>
      </c>
      <c r="AS15" s="32" t="s">
        <v>3068</v>
      </c>
      <c r="AT15" s="32" t="s">
        <v>2632</v>
      </c>
      <c r="AU15" s="32">
        <v>2017.0</v>
      </c>
      <c r="AV15" s="32">
        <v>9.0</v>
      </c>
      <c r="AW15" s="32">
        <v>6.0</v>
      </c>
      <c r="AX15" s="32" t="s">
        <v>1324</v>
      </c>
      <c r="AY15" s="32" t="s">
        <v>1324</v>
      </c>
      <c r="AZ15" s="32" t="s">
        <v>1324</v>
      </c>
      <c r="BA15" s="32" t="s">
        <v>1324</v>
      </c>
      <c r="BB15" s="32" t="s">
        <v>1324</v>
      </c>
      <c r="BC15" s="32" t="s">
        <v>1324</v>
      </c>
      <c r="BD15" s="32">
        <v>525.0</v>
      </c>
      <c r="BE15" s="32" t="s">
        <v>1379</v>
      </c>
      <c r="BF15" s="38" t="str">
        <f>HYPERLINK("http://dx.doi.org/10.3390/rs9060525","http://dx.doi.org/10.3390/rs9060525")</f>
        <v>http://dx.doi.org/10.3390/rs9060525</v>
      </c>
      <c r="BG15" s="32" t="s">
        <v>1324</v>
      </c>
      <c r="BH15" s="32" t="s">
        <v>1324</v>
      </c>
      <c r="BI15" s="32">
        <v>20.0</v>
      </c>
      <c r="BJ15" s="32" t="s">
        <v>3069</v>
      </c>
      <c r="BK15" s="32" t="s">
        <v>2407</v>
      </c>
      <c r="BL15" s="32" t="s">
        <v>3070</v>
      </c>
      <c r="BM15" s="32" t="s">
        <v>3071</v>
      </c>
      <c r="BN15" s="32" t="s">
        <v>1324</v>
      </c>
      <c r="BO15" s="32" t="s">
        <v>2410</v>
      </c>
      <c r="BP15" s="32" t="s">
        <v>1324</v>
      </c>
      <c r="BQ15" s="32" t="s">
        <v>1324</v>
      </c>
      <c r="BR15" s="32" t="s">
        <v>5042</v>
      </c>
      <c r="BS15" s="32" t="s">
        <v>3072</v>
      </c>
      <c r="BT15" s="32" t="s">
        <v>1329</v>
      </c>
      <c r="BU15" s="32" t="s">
        <v>1333</v>
      </c>
      <c r="BV15" s="32" t="s">
        <v>5054</v>
      </c>
      <c r="BW15" s="32" t="s">
        <v>1362</v>
      </c>
      <c r="BX15" s="32" t="s">
        <v>5044</v>
      </c>
      <c r="BY15" s="32" t="s">
        <v>1328</v>
      </c>
      <c r="BZ15" s="32" t="s">
        <v>1328</v>
      </c>
      <c r="CA15" s="32" t="s">
        <v>1336</v>
      </c>
      <c r="CB15" s="32" t="s">
        <v>1336</v>
      </c>
      <c r="CC15" s="32" t="s">
        <v>1336</v>
      </c>
      <c r="CD15" s="39" t="s">
        <v>5055</v>
      </c>
      <c r="CE15" s="32" t="s">
        <v>1350</v>
      </c>
      <c r="CF15" s="32" t="str">
        <f>HYPERLINK("https%3A%2F%2Fwww.webofscience.com%2Fwos%2Fwoscc%2Ffull-record%2FWOS:000404623900016","View Full Record in Web of Science")</f>
        <v>View Full Record in Web of Science</v>
      </c>
    </row>
    <row r="16" ht="12.75" customHeight="1">
      <c r="A16" s="32" t="s">
        <v>26</v>
      </c>
      <c r="B16" s="32" t="s">
        <v>3550</v>
      </c>
      <c r="C16" s="32" t="s">
        <v>1324</v>
      </c>
      <c r="D16" s="32" t="s">
        <v>1324</v>
      </c>
      <c r="E16" s="32" t="s">
        <v>1324</v>
      </c>
      <c r="F16" s="32" t="s">
        <v>2041</v>
      </c>
      <c r="G16" s="32" t="s">
        <v>1324</v>
      </c>
      <c r="H16" s="32" t="s">
        <v>1324</v>
      </c>
      <c r="I16" s="32" t="s">
        <v>2042</v>
      </c>
      <c r="J16" s="32" t="s">
        <v>2030</v>
      </c>
      <c r="K16" s="32" t="s">
        <v>1324</v>
      </c>
      <c r="L16" s="32" t="s">
        <v>1324</v>
      </c>
      <c r="M16" s="32" t="s">
        <v>2364</v>
      </c>
      <c r="N16" s="32" t="s">
        <v>38</v>
      </c>
      <c r="O16" s="32" t="s">
        <v>1324</v>
      </c>
      <c r="P16" s="32" t="s">
        <v>1324</v>
      </c>
      <c r="Q16" s="32" t="s">
        <v>1324</v>
      </c>
      <c r="R16" s="32" t="s">
        <v>1324</v>
      </c>
      <c r="S16" s="32" t="s">
        <v>1324</v>
      </c>
      <c r="T16" s="32" t="s">
        <v>3551</v>
      </c>
      <c r="U16" s="32" t="s">
        <v>3552</v>
      </c>
      <c r="V16" s="32" t="s">
        <v>2043</v>
      </c>
      <c r="W16" s="32" t="s">
        <v>3553</v>
      </c>
      <c r="X16" s="32" t="s">
        <v>3554</v>
      </c>
      <c r="Y16" s="32" t="s">
        <v>3555</v>
      </c>
      <c r="Z16" s="32" t="s">
        <v>3556</v>
      </c>
      <c r="AA16" s="32" t="s">
        <v>5076</v>
      </c>
      <c r="AB16" s="32" t="s">
        <v>5077</v>
      </c>
      <c r="AC16" s="32" t="s">
        <v>3559</v>
      </c>
      <c r="AD16" s="32" t="s">
        <v>3560</v>
      </c>
      <c r="AE16" s="32" t="s">
        <v>3561</v>
      </c>
      <c r="AF16" s="32" t="s">
        <v>1324</v>
      </c>
      <c r="AG16" s="32">
        <v>61.0</v>
      </c>
      <c r="AH16" s="32">
        <v>11.0</v>
      </c>
      <c r="AI16" s="32">
        <v>11.0</v>
      </c>
      <c r="AJ16" s="32">
        <v>0.0</v>
      </c>
      <c r="AK16" s="32">
        <v>37.0</v>
      </c>
      <c r="AL16" s="32" t="s">
        <v>2486</v>
      </c>
      <c r="AM16" s="32" t="s">
        <v>2487</v>
      </c>
      <c r="AN16" s="32" t="s">
        <v>2488</v>
      </c>
      <c r="AO16" s="32" t="s">
        <v>2855</v>
      </c>
      <c r="AP16" s="32" t="s">
        <v>2856</v>
      </c>
      <c r="AQ16" s="32" t="s">
        <v>1324</v>
      </c>
      <c r="AR16" s="32" t="s">
        <v>2857</v>
      </c>
      <c r="AS16" s="32" t="s">
        <v>2858</v>
      </c>
      <c r="AT16" s="32" t="s">
        <v>2651</v>
      </c>
      <c r="AU16" s="32">
        <v>2015.0</v>
      </c>
      <c r="AV16" s="32">
        <v>165.0</v>
      </c>
      <c r="AW16" s="32" t="s">
        <v>1324</v>
      </c>
      <c r="AX16" s="32" t="s">
        <v>1324</v>
      </c>
      <c r="AY16" s="32" t="s">
        <v>1324</v>
      </c>
      <c r="AZ16" s="32" t="s">
        <v>1324</v>
      </c>
      <c r="BA16" s="32" t="s">
        <v>1324</v>
      </c>
      <c r="BB16" s="32">
        <v>63.0</v>
      </c>
      <c r="BC16" s="32">
        <v>70.0</v>
      </c>
      <c r="BD16" s="32" t="s">
        <v>1324</v>
      </c>
      <c r="BE16" s="32" t="s">
        <v>2044</v>
      </c>
      <c r="BF16" s="38" t="str">
        <f>HYPERLINK("http://dx.doi.org/10.1016/j.fishres.2014.12.016","http://dx.doi.org/10.1016/j.fishres.2014.12.016")</f>
        <v>http://dx.doi.org/10.1016/j.fishres.2014.12.016</v>
      </c>
      <c r="BG16" s="32" t="s">
        <v>1324</v>
      </c>
      <c r="BH16" s="32" t="s">
        <v>1324</v>
      </c>
      <c r="BI16" s="32">
        <v>8.0</v>
      </c>
      <c r="BJ16" s="32" t="s">
        <v>2859</v>
      </c>
      <c r="BK16" s="32" t="s">
        <v>2407</v>
      </c>
      <c r="BL16" s="32" t="s">
        <v>2859</v>
      </c>
      <c r="BM16" s="32" t="s">
        <v>3562</v>
      </c>
      <c r="BN16" s="32" t="s">
        <v>1324</v>
      </c>
      <c r="BO16" s="32" t="s">
        <v>1324</v>
      </c>
      <c r="BP16" s="32" t="s">
        <v>1324</v>
      </c>
      <c r="BQ16" s="32" t="s">
        <v>1324</v>
      </c>
      <c r="BR16" s="32" t="s">
        <v>5042</v>
      </c>
      <c r="BS16" s="32" t="s">
        <v>3563</v>
      </c>
      <c r="BT16" s="32" t="s">
        <v>1329</v>
      </c>
      <c r="BU16" s="32" t="s">
        <v>1333</v>
      </c>
      <c r="BV16" s="32" t="s">
        <v>5066</v>
      </c>
      <c r="BW16" s="32" t="s">
        <v>2046</v>
      </c>
      <c r="BX16" s="32" t="s">
        <v>5078</v>
      </c>
      <c r="BY16" s="32" t="s">
        <v>1328</v>
      </c>
      <c r="BZ16" s="32" t="s">
        <v>1336</v>
      </c>
      <c r="CA16" s="32" t="s">
        <v>1328</v>
      </c>
      <c r="CB16" s="32" t="s">
        <v>1336</v>
      </c>
      <c r="CC16" s="32" t="s">
        <v>1336</v>
      </c>
      <c r="CD16" s="39" t="s">
        <v>5070</v>
      </c>
      <c r="CE16" s="32" t="s">
        <v>1350</v>
      </c>
      <c r="CF16" s="32" t="str">
        <f>HYPERLINK("https%3A%2F%2Fwww.webofscience.com%2Fwos%2Fwoscc%2Ffull-record%2FWOS:000352748800007","View Full Record in Web of Science")</f>
        <v>View Full Record in Web of Science</v>
      </c>
    </row>
    <row r="17" ht="12.75" customHeight="1">
      <c r="A17" s="32" t="s">
        <v>26</v>
      </c>
      <c r="B17" s="32" t="s">
        <v>3470</v>
      </c>
      <c r="C17" s="32" t="s">
        <v>1324</v>
      </c>
      <c r="D17" s="32" t="s">
        <v>1324</v>
      </c>
      <c r="E17" s="32" t="s">
        <v>1324</v>
      </c>
      <c r="F17" s="32" t="s">
        <v>2047</v>
      </c>
      <c r="G17" s="32" t="s">
        <v>1324</v>
      </c>
      <c r="H17" s="32" t="s">
        <v>1324</v>
      </c>
      <c r="I17" s="32" t="s">
        <v>2049</v>
      </c>
      <c r="J17" s="32" t="s">
        <v>2048</v>
      </c>
      <c r="K17" s="32" t="s">
        <v>1324</v>
      </c>
      <c r="L17" s="32" t="s">
        <v>1324</v>
      </c>
      <c r="M17" s="32" t="s">
        <v>2364</v>
      </c>
      <c r="N17" s="32" t="s">
        <v>38</v>
      </c>
      <c r="O17" s="32" t="s">
        <v>1324</v>
      </c>
      <c r="P17" s="32" t="s">
        <v>1324</v>
      </c>
      <c r="Q17" s="32" t="s">
        <v>1324</v>
      </c>
      <c r="R17" s="32" t="s">
        <v>1324</v>
      </c>
      <c r="S17" s="32" t="s">
        <v>1324</v>
      </c>
      <c r="T17" s="32" t="s">
        <v>3471</v>
      </c>
      <c r="U17" s="32" t="s">
        <v>3472</v>
      </c>
      <c r="V17" s="32" t="s">
        <v>2050</v>
      </c>
      <c r="W17" s="32" t="s">
        <v>3473</v>
      </c>
      <c r="X17" s="32" t="s">
        <v>3474</v>
      </c>
      <c r="Y17" s="32" t="s">
        <v>3475</v>
      </c>
      <c r="Z17" s="32" t="s">
        <v>3476</v>
      </c>
      <c r="AA17" s="32" t="s">
        <v>5079</v>
      </c>
      <c r="AB17" s="32" t="s">
        <v>3478</v>
      </c>
      <c r="AC17" s="32" t="s">
        <v>3479</v>
      </c>
      <c r="AD17" s="32" t="s">
        <v>3480</v>
      </c>
      <c r="AE17" s="32" t="s">
        <v>3481</v>
      </c>
      <c r="AF17" s="32" t="s">
        <v>1324</v>
      </c>
      <c r="AG17" s="32">
        <v>48.0</v>
      </c>
      <c r="AH17" s="32">
        <v>12.0</v>
      </c>
      <c r="AI17" s="32">
        <v>16.0</v>
      </c>
      <c r="AJ17" s="32">
        <v>3.0</v>
      </c>
      <c r="AK17" s="32">
        <v>80.0</v>
      </c>
      <c r="AL17" s="32" t="s">
        <v>3482</v>
      </c>
      <c r="AM17" s="32" t="s">
        <v>3483</v>
      </c>
      <c r="AN17" s="32" t="s">
        <v>3484</v>
      </c>
      <c r="AO17" s="32" t="s">
        <v>3485</v>
      </c>
      <c r="AP17" s="32" t="s">
        <v>3486</v>
      </c>
      <c r="AQ17" s="32" t="s">
        <v>1324</v>
      </c>
      <c r="AR17" s="32" t="s">
        <v>3487</v>
      </c>
      <c r="AS17" s="32" t="s">
        <v>3488</v>
      </c>
      <c r="AT17" s="32" t="s">
        <v>3208</v>
      </c>
      <c r="AU17" s="32">
        <v>2016.0</v>
      </c>
      <c r="AV17" s="32">
        <v>144.0</v>
      </c>
      <c r="AW17" s="32" t="s">
        <v>1324</v>
      </c>
      <c r="AX17" s="32" t="s">
        <v>2433</v>
      </c>
      <c r="AY17" s="32" t="s">
        <v>1324</v>
      </c>
      <c r="AZ17" s="32" t="s">
        <v>3257</v>
      </c>
      <c r="BA17" s="32" t="s">
        <v>1324</v>
      </c>
      <c r="BB17" s="32">
        <v>64.0</v>
      </c>
      <c r="BC17" s="32">
        <v>71.0</v>
      </c>
      <c r="BD17" s="32" t="s">
        <v>1324</v>
      </c>
      <c r="BE17" s="32" t="s">
        <v>2051</v>
      </c>
      <c r="BF17" s="38" t="str">
        <f>HYPERLINK("http://dx.doi.org/10.1016/j.envres.2015.09.002","http://dx.doi.org/10.1016/j.envres.2015.09.002")</f>
        <v>http://dx.doi.org/10.1016/j.envres.2015.09.002</v>
      </c>
      <c r="BG17" s="32" t="s">
        <v>1324</v>
      </c>
      <c r="BH17" s="32" t="s">
        <v>1324</v>
      </c>
      <c r="BI17" s="32">
        <v>8.0</v>
      </c>
      <c r="BJ17" s="32" t="s">
        <v>3489</v>
      </c>
      <c r="BK17" s="32" t="s">
        <v>2407</v>
      </c>
      <c r="BL17" s="32" t="s">
        <v>3490</v>
      </c>
      <c r="BM17" s="32" t="s">
        <v>3491</v>
      </c>
      <c r="BN17" s="32">
        <v>2.6386629E7</v>
      </c>
      <c r="BO17" s="32" t="s">
        <v>1324</v>
      </c>
      <c r="BP17" s="32" t="s">
        <v>1324</v>
      </c>
      <c r="BQ17" s="32" t="s">
        <v>1324</v>
      </c>
      <c r="BR17" s="32" t="s">
        <v>5042</v>
      </c>
      <c r="BS17" s="32" t="s">
        <v>3492</v>
      </c>
      <c r="BT17" s="32" t="s">
        <v>1329</v>
      </c>
      <c r="BU17" s="32" t="s">
        <v>1333</v>
      </c>
      <c r="BV17" s="32" t="s">
        <v>5054</v>
      </c>
      <c r="BW17" s="32" t="s">
        <v>1362</v>
      </c>
      <c r="BX17" s="32" t="s">
        <v>5044</v>
      </c>
      <c r="BY17" s="32" t="s">
        <v>1328</v>
      </c>
      <c r="BZ17" s="32" t="s">
        <v>1328</v>
      </c>
      <c r="CA17" s="32" t="s">
        <v>1336</v>
      </c>
      <c r="CB17" s="32" t="s">
        <v>1336</v>
      </c>
      <c r="CC17" s="32" t="s">
        <v>1336</v>
      </c>
      <c r="CD17" s="39" t="s">
        <v>5055</v>
      </c>
      <c r="CE17" s="32" t="s">
        <v>1350</v>
      </c>
      <c r="CF17" s="32" t="str">
        <f>HYPERLINK("https%3A%2F%2Fwww.webofscience.com%2Fwos%2Fwoscc%2Ffull-record%2FWOS:000366443200007","View Full Record in Web of Science")</f>
        <v>View Full Record in Web of Science</v>
      </c>
    </row>
    <row r="18" ht="12.75" customHeight="1">
      <c r="A18" s="32" t="s">
        <v>26</v>
      </c>
      <c r="B18" s="32" t="s">
        <v>4484</v>
      </c>
      <c r="C18" s="32" t="s">
        <v>1324</v>
      </c>
      <c r="D18" s="32" t="s">
        <v>1324</v>
      </c>
      <c r="E18" s="32" t="s">
        <v>1324</v>
      </c>
      <c r="F18" s="32" t="s">
        <v>1598</v>
      </c>
      <c r="G18" s="32" t="s">
        <v>1324</v>
      </c>
      <c r="H18" s="32" t="s">
        <v>1324</v>
      </c>
      <c r="I18" s="32" t="s">
        <v>1599</v>
      </c>
      <c r="J18" s="32" t="s">
        <v>1120</v>
      </c>
      <c r="K18" s="32" t="s">
        <v>1324</v>
      </c>
      <c r="L18" s="32" t="s">
        <v>1324</v>
      </c>
      <c r="M18" s="32" t="s">
        <v>2364</v>
      </c>
      <c r="N18" s="32" t="s">
        <v>38</v>
      </c>
      <c r="O18" s="32" t="s">
        <v>1324</v>
      </c>
      <c r="P18" s="32" t="s">
        <v>1324</v>
      </c>
      <c r="Q18" s="32" t="s">
        <v>1324</v>
      </c>
      <c r="R18" s="32" t="s">
        <v>1324</v>
      </c>
      <c r="S18" s="32" t="s">
        <v>1324</v>
      </c>
      <c r="T18" s="32" t="s">
        <v>4485</v>
      </c>
      <c r="U18" s="32" t="s">
        <v>4486</v>
      </c>
      <c r="V18" s="32" t="s">
        <v>1600</v>
      </c>
      <c r="W18" s="32" t="s">
        <v>4487</v>
      </c>
      <c r="X18" s="32" t="s">
        <v>4488</v>
      </c>
      <c r="Y18" s="32" t="s">
        <v>4489</v>
      </c>
      <c r="Z18" s="32" t="s">
        <v>4490</v>
      </c>
      <c r="AA18" s="32" t="s">
        <v>5080</v>
      </c>
      <c r="AB18" s="32" t="s">
        <v>5081</v>
      </c>
      <c r="AC18" s="32" t="s">
        <v>4493</v>
      </c>
      <c r="AD18" s="32" t="s">
        <v>4494</v>
      </c>
      <c r="AE18" s="32" t="s">
        <v>4495</v>
      </c>
      <c r="AF18" s="32" t="s">
        <v>1324</v>
      </c>
      <c r="AG18" s="32">
        <v>59.0</v>
      </c>
      <c r="AH18" s="32">
        <v>32.0</v>
      </c>
      <c r="AI18" s="32">
        <v>33.0</v>
      </c>
      <c r="AJ18" s="32">
        <v>0.0</v>
      </c>
      <c r="AK18" s="32">
        <v>53.0</v>
      </c>
      <c r="AL18" s="32" t="s">
        <v>2464</v>
      </c>
      <c r="AM18" s="32" t="s">
        <v>2465</v>
      </c>
      <c r="AN18" s="32" t="s">
        <v>2466</v>
      </c>
      <c r="AO18" s="32" t="s">
        <v>4496</v>
      </c>
      <c r="AP18" s="32" t="s">
        <v>4497</v>
      </c>
      <c r="AQ18" s="32" t="s">
        <v>1324</v>
      </c>
      <c r="AR18" s="32" t="s">
        <v>4498</v>
      </c>
      <c r="AS18" s="32" t="s">
        <v>4499</v>
      </c>
      <c r="AT18" s="32" t="s">
        <v>3518</v>
      </c>
      <c r="AU18" s="32">
        <v>2010.0</v>
      </c>
      <c r="AV18" s="32">
        <v>13.0</v>
      </c>
      <c r="AW18" s="32">
        <v>5.0</v>
      </c>
      <c r="AX18" s="32" t="s">
        <v>1324</v>
      </c>
      <c r="AY18" s="32" t="s">
        <v>1324</v>
      </c>
      <c r="AZ18" s="32" t="s">
        <v>1324</v>
      </c>
      <c r="BA18" s="32" t="s">
        <v>1324</v>
      </c>
      <c r="BB18" s="32">
        <v>495.0</v>
      </c>
      <c r="BC18" s="32">
        <v>504.0</v>
      </c>
      <c r="BD18" s="32" t="s">
        <v>1324</v>
      </c>
      <c r="BE18" s="32" t="s">
        <v>1601</v>
      </c>
      <c r="BF18" s="38" t="str">
        <f>HYPERLINK("http://dx.doi.org/10.1111/j.1469-1795.2010.00369.x","http://dx.doi.org/10.1111/j.1469-1795.2010.00369.x")</f>
        <v>http://dx.doi.org/10.1111/j.1469-1795.2010.00369.x</v>
      </c>
      <c r="BG18" s="32" t="s">
        <v>1324</v>
      </c>
      <c r="BH18" s="32" t="s">
        <v>1324</v>
      </c>
      <c r="BI18" s="32">
        <v>10.0</v>
      </c>
      <c r="BJ18" s="32" t="s">
        <v>1124</v>
      </c>
      <c r="BK18" s="32" t="s">
        <v>2407</v>
      </c>
      <c r="BL18" s="32" t="s">
        <v>2577</v>
      </c>
      <c r="BM18" s="32" t="s">
        <v>4500</v>
      </c>
      <c r="BN18" s="32" t="s">
        <v>1324</v>
      </c>
      <c r="BO18" s="32" t="s">
        <v>2579</v>
      </c>
      <c r="BP18" s="32" t="s">
        <v>1324</v>
      </c>
      <c r="BQ18" s="32" t="s">
        <v>1324</v>
      </c>
      <c r="BR18" s="32" t="s">
        <v>5042</v>
      </c>
      <c r="BS18" s="32" t="s">
        <v>4501</v>
      </c>
      <c r="BT18" s="32" t="s">
        <v>1329</v>
      </c>
      <c r="BU18" s="32" t="s">
        <v>1333</v>
      </c>
      <c r="BV18" s="32" t="s">
        <v>5043</v>
      </c>
      <c r="BW18" s="32" t="s">
        <v>1362</v>
      </c>
      <c r="BX18" s="32" t="s">
        <v>5044</v>
      </c>
      <c r="BY18" s="32" t="s">
        <v>1336</v>
      </c>
      <c r="BZ18" s="32" t="s">
        <v>1328</v>
      </c>
      <c r="CA18" s="32" t="s">
        <v>1336</v>
      </c>
      <c r="CB18" s="32" t="s">
        <v>1336</v>
      </c>
      <c r="CC18" s="32" t="s">
        <v>1336</v>
      </c>
      <c r="CD18" s="39" t="s">
        <v>5082</v>
      </c>
      <c r="CE18" s="32" t="s">
        <v>1350</v>
      </c>
      <c r="CF18" s="32" t="str">
        <f>HYPERLINK("https%3A%2F%2Fwww.webofscience.com%2Fwos%2Fwoscc%2Ffull-record%2FWOS:000282370500011","View Full Record in Web of Science")</f>
        <v>View Full Record in Web of Science</v>
      </c>
    </row>
    <row r="19" ht="12.75" customHeight="1">
      <c r="A19" s="32" t="s">
        <v>26</v>
      </c>
      <c r="B19" s="32" t="s">
        <v>2452</v>
      </c>
      <c r="C19" s="32" t="s">
        <v>1324</v>
      </c>
      <c r="D19" s="32" t="s">
        <v>1324</v>
      </c>
      <c r="E19" s="32" t="s">
        <v>1324</v>
      </c>
      <c r="F19" s="32" t="s">
        <v>2238</v>
      </c>
      <c r="G19" s="32" t="s">
        <v>1324</v>
      </c>
      <c r="H19" s="32" t="s">
        <v>1324</v>
      </c>
      <c r="I19" s="32" t="s">
        <v>2239</v>
      </c>
      <c r="J19" s="32" t="s">
        <v>1419</v>
      </c>
      <c r="K19" s="32" t="s">
        <v>1324</v>
      </c>
      <c r="L19" s="32" t="s">
        <v>1324</v>
      </c>
      <c r="M19" s="32" t="s">
        <v>2364</v>
      </c>
      <c r="N19" s="32" t="s">
        <v>38</v>
      </c>
      <c r="O19" s="32" t="s">
        <v>1324</v>
      </c>
      <c r="P19" s="32" t="s">
        <v>1324</v>
      </c>
      <c r="Q19" s="32" t="s">
        <v>1324</v>
      </c>
      <c r="R19" s="32" t="s">
        <v>1324</v>
      </c>
      <c r="S19" s="32" t="s">
        <v>1324</v>
      </c>
      <c r="T19" s="32" t="s">
        <v>2453</v>
      </c>
      <c r="U19" s="32" t="s">
        <v>2454</v>
      </c>
      <c r="V19" s="32" t="s">
        <v>2240</v>
      </c>
      <c r="W19" s="32" t="s">
        <v>2455</v>
      </c>
      <c r="X19" s="32" t="s">
        <v>5083</v>
      </c>
      <c r="Y19" s="32" t="s">
        <v>2457</v>
      </c>
      <c r="Z19" s="32" t="s">
        <v>2458</v>
      </c>
      <c r="AA19" s="32" t="s">
        <v>5084</v>
      </c>
      <c r="AB19" s="32" t="s">
        <v>5085</v>
      </c>
      <c r="AC19" s="32" t="s">
        <v>2461</v>
      </c>
      <c r="AD19" s="32" t="s">
        <v>2462</v>
      </c>
      <c r="AE19" s="32" t="s">
        <v>2463</v>
      </c>
      <c r="AF19" s="32" t="s">
        <v>1324</v>
      </c>
      <c r="AG19" s="32">
        <v>127.0</v>
      </c>
      <c r="AH19" s="32">
        <v>12.0</v>
      </c>
      <c r="AI19" s="32">
        <v>14.0</v>
      </c>
      <c r="AJ19" s="32">
        <v>4.0</v>
      </c>
      <c r="AK19" s="32">
        <v>109.0</v>
      </c>
      <c r="AL19" s="32" t="s">
        <v>2464</v>
      </c>
      <c r="AM19" s="32" t="s">
        <v>2465</v>
      </c>
      <c r="AN19" s="32" t="s">
        <v>2466</v>
      </c>
      <c r="AO19" s="32" t="s">
        <v>2467</v>
      </c>
      <c r="AP19" s="32" t="s">
        <v>2468</v>
      </c>
      <c r="AQ19" s="32" t="s">
        <v>1324</v>
      </c>
      <c r="AR19" s="32" t="s">
        <v>2469</v>
      </c>
      <c r="AS19" s="32" t="s">
        <v>2470</v>
      </c>
      <c r="AT19" s="32" t="s">
        <v>2471</v>
      </c>
      <c r="AU19" s="32">
        <v>2018.0</v>
      </c>
      <c r="AV19" s="32">
        <v>28.0</v>
      </c>
      <c r="AW19" s="32">
        <v>6.0</v>
      </c>
      <c r="AX19" s="32" t="s">
        <v>1324</v>
      </c>
      <c r="AY19" s="32" t="s">
        <v>1324</v>
      </c>
      <c r="AZ19" s="32" t="s">
        <v>1324</v>
      </c>
      <c r="BA19" s="32" t="s">
        <v>1324</v>
      </c>
      <c r="BB19" s="32">
        <v>1377.0</v>
      </c>
      <c r="BC19" s="32">
        <v>1395.0</v>
      </c>
      <c r="BD19" s="32" t="s">
        <v>1324</v>
      </c>
      <c r="BE19" s="32" t="s">
        <v>2241</v>
      </c>
      <c r="BF19" s="38" t="str">
        <f>HYPERLINK("http://dx.doi.org/10.1002/eap.1755","http://dx.doi.org/10.1002/eap.1755")</f>
        <v>http://dx.doi.org/10.1002/eap.1755</v>
      </c>
      <c r="BG19" s="32" t="s">
        <v>1324</v>
      </c>
      <c r="BH19" s="32" t="s">
        <v>1324</v>
      </c>
      <c r="BI19" s="32">
        <v>19.0</v>
      </c>
      <c r="BJ19" s="32" t="s">
        <v>698</v>
      </c>
      <c r="BK19" s="32" t="s">
        <v>2407</v>
      </c>
      <c r="BL19" s="32" t="s">
        <v>2472</v>
      </c>
      <c r="BM19" s="32" t="s">
        <v>2473</v>
      </c>
      <c r="BN19" s="32">
        <v>2.9808543E7</v>
      </c>
      <c r="BO19" s="32" t="s">
        <v>2474</v>
      </c>
      <c r="BP19" s="32" t="s">
        <v>1324</v>
      </c>
      <c r="BQ19" s="32" t="s">
        <v>1324</v>
      </c>
      <c r="BR19" s="32" t="s">
        <v>5042</v>
      </c>
      <c r="BS19" s="32" t="s">
        <v>2475</v>
      </c>
      <c r="BT19" s="32" t="s">
        <v>1329</v>
      </c>
      <c r="BU19" s="32" t="s">
        <v>1360</v>
      </c>
      <c r="BV19" s="32" t="s">
        <v>5051</v>
      </c>
      <c r="BW19" s="32" t="s">
        <v>1362</v>
      </c>
      <c r="BX19" s="32" t="s">
        <v>5044</v>
      </c>
      <c r="BY19" s="32" t="s">
        <v>1328</v>
      </c>
      <c r="BZ19" s="32" t="s">
        <v>1328</v>
      </c>
      <c r="CA19" s="32" t="s">
        <v>1336</v>
      </c>
      <c r="CB19" s="32" t="s">
        <v>1336</v>
      </c>
      <c r="CC19" s="32" t="s">
        <v>1328</v>
      </c>
      <c r="CD19" s="39" t="s">
        <v>5086</v>
      </c>
      <c r="CE19" s="32" t="s">
        <v>1350</v>
      </c>
      <c r="CF19" s="32" t="str">
        <f>HYPERLINK("https%3A%2F%2Fwww.webofscience.com%2Fwos%2Fwoscc%2Ffull-record%2FWOS:000443555100001","View Full Record in Web of Science")</f>
        <v>View Full Record in Web of Science</v>
      </c>
    </row>
    <row r="20" ht="12.75" customHeight="1">
      <c r="A20" s="32" t="s">
        <v>26</v>
      </c>
      <c r="B20" s="32" t="s">
        <v>3504</v>
      </c>
      <c r="C20" s="32" t="s">
        <v>1324</v>
      </c>
      <c r="D20" s="32" t="s">
        <v>1324</v>
      </c>
      <c r="E20" s="32" t="s">
        <v>1324</v>
      </c>
      <c r="F20" s="32" t="s">
        <v>2199</v>
      </c>
      <c r="G20" s="32" t="s">
        <v>1324</v>
      </c>
      <c r="H20" s="32" t="s">
        <v>1324</v>
      </c>
      <c r="I20" s="32" t="s">
        <v>2201</v>
      </c>
      <c r="J20" s="32" t="s">
        <v>2200</v>
      </c>
      <c r="K20" s="32" t="s">
        <v>1324</v>
      </c>
      <c r="L20" s="32" t="s">
        <v>1324</v>
      </c>
      <c r="M20" s="32" t="s">
        <v>2364</v>
      </c>
      <c r="N20" s="32" t="s">
        <v>38</v>
      </c>
      <c r="O20" s="32" t="s">
        <v>1324</v>
      </c>
      <c r="P20" s="32" t="s">
        <v>1324</v>
      </c>
      <c r="Q20" s="32" t="s">
        <v>1324</v>
      </c>
      <c r="R20" s="32" t="s">
        <v>1324</v>
      </c>
      <c r="S20" s="32" t="s">
        <v>1324</v>
      </c>
      <c r="T20" s="32" t="s">
        <v>1324</v>
      </c>
      <c r="U20" s="32" t="s">
        <v>3505</v>
      </c>
      <c r="V20" s="32" t="s">
        <v>2202</v>
      </c>
      <c r="W20" s="32" t="s">
        <v>3506</v>
      </c>
      <c r="X20" s="32" t="s">
        <v>3507</v>
      </c>
      <c r="Y20" s="32" t="s">
        <v>3508</v>
      </c>
      <c r="Z20" s="32" t="s">
        <v>3509</v>
      </c>
      <c r="AA20" s="32" t="s">
        <v>5087</v>
      </c>
      <c r="AB20" s="32" t="s">
        <v>5088</v>
      </c>
      <c r="AC20" s="32" t="s">
        <v>5089</v>
      </c>
      <c r="AD20" s="32" t="s">
        <v>3513</v>
      </c>
      <c r="AE20" s="32" t="s">
        <v>3514</v>
      </c>
      <c r="AF20" s="32" t="s">
        <v>1324</v>
      </c>
      <c r="AG20" s="32">
        <v>58.0</v>
      </c>
      <c r="AH20" s="32">
        <v>22.0</v>
      </c>
      <c r="AI20" s="32">
        <v>26.0</v>
      </c>
      <c r="AJ20" s="32">
        <v>0.0</v>
      </c>
      <c r="AK20" s="32">
        <v>64.0</v>
      </c>
      <c r="AL20" s="32" t="s">
        <v>3250</v>
      </c>
      <c r="AM20" s="32" t="s">
        <v>3251</v>
      </c>
      <c r="AN20" s="32" t="s">
        <v>3252</v>
      </c>
      <c r="AO20" s="32" t="s">
        <v>3515</v>
      </c>
      <c r="AP20" s="32" t="s">
        <v>3516</v>
      </c>
      <c r="AQ20" s="32" t="s">
        <v>1324</v>
      </c>
      <c r="AR20" s="32" t="s">
        <v>2200</v>
      </c>
      <c r="AS20" s="32" t="s">
        <v>3517</v>
      </c>
      <c r="AT20" s="32" t="s">
        <v>3518</v>
      </c>
      <c r="AU20" s="32">
        <v>2015.0</v>
      </c>
      <c r="AV20" s="32">
        <v>132.0</v>
      </c>
      <c r="AW20" s="32">
        <v>4.0</v>
      </c>
      <c r="AX20" s="32" t="s">
        <v>1324</v>
      </c>
      <c r="AY20" s="32" t="s">
        <v>1324</v>
      </c>
      <c r="AZ20" s="32" t="s">
        <v>1324</v>
      </c>
      <c r="BA20" s="32" t="s">
        <v>1324</v>
      </c>
      <c r="BB20" s="32">
        <v>575.0</v>
      </c>
      <c r="BC20" s="32">
        <v>588.0</v>
      </c>
      <c r="BD20" s="32" t="s">
        <v>1324</v>
      </c>
      <c r="BE20" s="32" t="s">
        <v>2203</v>
      </c>
      <c r="BF20" s="38" t="str">
        <f>HYPERLINK("http://dx.doi.org/10.1007/s10584-015-1448-5","http://dx.doi.org/10.1007/s10584-015-1448-5")</f>
        <v>http://dx.doi.org/10.1007/s10584-015-1448-5</v>
      </c>
      <c r="BG20" s="32" t="s">
        <v>1324</v>
      </c>
      <c r="BH20" s="32" t="s">
        <v>1324</v>
      </c>
      <c r="BI20" s="32">
        <v>14.0</v>
      </c>
      <c r="BJ20" s="32" t="s">
        <v>322</v>
      </c>
      <c r="BK20" s="32" t="s">
        <v>2407</v>
      </c>
      <c r="BL20" s="32" t="s">
        <v>2596</v>
      </c>
      <c r="BM20" s="32" t="s">
        <v>3519</v>
      </c>
      <c r="BN20" s="32" t="s">
        <v>1324</v>
      </c>
      <c r="BO20" s="32" t="s">
        <v>1324</v>
      </c>
      <c r="BP20" s="32" t="s">
        <v>1324</v>
      </c>
      <c r="BQ20" s="32" t="s">
        <v>1324</v>
      </c>
      <c r="BR20" s="32" t="s">
        <v>5042</v>
      </c>
      <c r="BS20" s="32" t="s">
        <v>3520</v>
      </c>
      <c r="BT20" s="32" t="s">
        <v>1329</v>
      </c>
      <c r="BU20" s="32" t="s">
        <v>1333</v>
      </c>
      <c r="BV20" s="32" t="s">
        <v>5054</v>
      </c>
      <c r="BW20" s="32" t="s">
        <v>1362</v>
      </c>
      <c r="BX20" s="32" t="s">
        <v>5044</v>
      </c>
      <c r="BY20" s="32" t="s">
        <v>1328</v>
      </c>
      <c r="BZ20" s="32" t="s">
        <v>1328</v>
      </c>
      <c r="CA20" s="32" t="s">
        <v>1336</v>
      </c>
      <c r="CB20" s="32" t="s">
        <v>1336</v>
      </c>
      <c r="CC20" s="32" t="s">
        <v>1328</v>
      </c>
      <c r="CD20" s="39" t="s">
        <v>5086</v>
      </c>
      <c r="CE20" s="32" t="s">
        <v>1350</v>
      </c>
      <c r="CF20" s="32" t="str">
        <f>HYPERLINK("https%3A%2F%2Fwww.webofscience.com%2Fwos%2Fwoscc%2Ffull-record%2FWOS:000361799100009","View Full Record in Web of Science")</f>
        <v>View Full Record in Web of Science</v>
      </c>
    </row>
    <row r="21" ht="12.75" customHeight="1">
      <c r="A21" s="32" t="s">
        <v>26</v>
      </c>
      <c r="B21" s="32" t="s">
        <v>3152</v>
      </c>
      <c r="C21" s="32" t="s">
        <v>1324</v>
      </c>
      <c r="D21" s="32" t="s">
        <v>1324</v>
      </c>
      <c r="E21" s="32" t="s">
        <v>1324</v>
      </c>
      <c r="F21" s="32" t="s">
        <v>2082</v>
      </c>
      <c r="G21" s="32" t="s">
        <v>1324</v>
      </c>
      <c r="H21" s="32" t="s">
        <v>1324</v>
      </c>
      <c r="I21" s="32" t="s">
        <v>2084</v>
      </c>
      <c r="J21" s="32" t="s">
        <v>2083</v>
      </c>
      <c r="K21" s="32" t="s">
        <v>1324</v>
      </c>
      <c r="L21" s="32" t="s">
        <v>1324</v>
      </c>
      <c r="M21" s="32" t="s">
        <v>2364</v>
      </c>
      <c r="N21" s="32" t="s">
        <v>38</v>
      </c>
      <c r="O21" s="32" t="s">
        <v>1324</v>
      </c>
      <c r="P21" s="32" t="s">
        <v>1324</v>
      </c>
      <c r="Q21" s="32" t="s">
        <v>1324</v>
      </c>
      <c r="R21" s="32" t="s">
        <v>1324</v>
      </c>
      <c r="S21" s="32" t="s">
        <v>1324</v>
      </c>
      <c r="T21" s="32" t="s">
        <v>3153</v>
      </c>
      <c r="U21" s="32" t="s">
        <v>3154</v>
      </c>
      <c r="V21" s="32" t="s">
        <v>3155</v>
      </c>
      <c r="W21" s="32" t="s">
        <v>3156</v>
      </c>
      <c r="X21" s="32" t="s">
        <v>3157</v>
      </c>
      <c r="Y21" s="32" t="s">
        <v>3158</v>
      </c>
      <c r="Z21" s="32" t="s">
        <v>3159</v>
      </c>
      <c r="AA21" s="32" t="s">
        <v>3160</v>
      </c>
      <c r="AB21" s="32" t="s">
        <v>3161</v>
      </c>
      <c r="AC21" s="32" t="s">
        <v>3162</v>
      </c>
      <c r="AD21" s="32" t="s">
        <v>3163</v>
      </c>
      <c r="AE21" s="32" t="s">
        <v>3164</v>
      </c>
      <c r="AF21" s="32" t="s">
        <v>1324</v>
      </c>
      <c r="AG21" s="32">
        <v>44.0</v>
      </c>
      <c r="AH21" s="32">
        <v>170.0</v>
      </c>
      <c r="AI21" s="32">
        <v>203.0</v>
      </c>
      <c r="AJ21" s="32">
        <v>15.0</v>
      </c>
      <c r="AK21" s="32">
        <v>340.0</v>
      </c>
      <c r="AL21" s="32" t="s">
        <v>2486</v>
      </c>
      <c r="AM21" s="32" t="s">
        <v>2487</v>
      </c>
      <c r="AN21" s="32" t="s">
        <v>2488</v>
      </c>
      <c r="AO21" s="32" t="s">
        <v>3165</v>
      </c>
      <c r="AP21" s="32" t="s">
        <v>3166</v>
      </c>
      <c r="AQ21" s="32" t="s">
        <v>1324</v>
      </c>
      <c r="AR21" s="32" t="s">
        <v>2083</v>
      </c>
      <c r="AS21" s="32" t="s">
        <v>3167</v>
      </c>
      <c r="AT21" s="32" t="s">
        <v>3168</v>
      </c>
      <c r="AU21" s="32">
        <v>2017.0</v>
      </c>
      <c r="AV21" s="32">
        <v>150.0</v>
      </c>
      <c r="AW21" s="32" t="s">
        <v>1324</v>
      </c>
      <c r="AX21" s="32" t="s">
        <v>1324</v>
      </c>
      <c r="AY21" s="32" t="s">
        <v>1324</v>
      </c>
      <c r="AZ21" s="32" t="s">
        <v>1324</v>
      </c>
      <c r="BA21" s="32" t="s">
        <v>1324</v>
      </c>
      <c r="BB21" s="32">
        <v>100.0</v>
      </c>
      <c r="BC21" s="32">
        <v>107.0</v>
      </c>
      <c r="BD21" s="32" t="s">
        <v>1324</v>
      </c>
      <c r="BE21" s="32" t="s">
        <v>2086</v>
      </c>
      <c r="BF21" s="38" t="str">
        <f>HYPERLINK("http://dx.doi.org/10.1016/j.catena.2016.11.014","http://dx.doi.org/10.1016/j.catena.2016.11.014")</f>
        <v>http://dx.doi.org/10.1016/j.catena.2016.11.014</v>
      </c>
      <c r="BG21" s="32" t="s">
        <v>1324</v>
      </c>
      <c r="BH21" s="32" t="s">
        <v>1324</v>
      </c>
      <c r="BI21" s="32">
        <v>8.0</v>
      </c>
      <c r="BJ21" s="32" t="s">
        <v>3169</v>
      </c>
      <c r="BK21" s="32" t="s">
        <v>2407</v>
      </c>
      <c r="BL21" s="32" t="s">
        <v>3170</v>
      </c>
      <c r="BM21" s="32" t="s">
        <v>3171</v>
      </c>
      <c r="BN21" s="32" t="s">
        <v>1324</v>
      </c>
      <c r="BO21" s="32" t="s">
        <v>2736</v>
      </c>
      <c r="BP21" s="32" t="s">
        <v>1324</v>
      </c>
      <c r="BQ21" s="32" t="s">
        <v>1324</v>
      </c>
      <c r="BR21" s="32" t="s">
        <v>5042</v>
      </c>
      <c r="BS21" s="32" t="s">
        <v>3172</v>
      </c>
      <c r="BT21" s="32" t="s">
        <v>1631</v>
      </c>
      <c r="BU21" s="32" t="s">
        <v>1333</v>
      </c>
      <c r="BV21" s="32" t="s">
        <v>5066</v>
      </c>
      <c r="BW21" s="32" t="s">
        <v>1362</v>
      </c>
      <c r="BX21" s="32" t="s">
        <v>5044</v>
      </c>
      <c r="BY21" s="32" t="s">
        <v>1328</v>
      </c>
      <c r="BZ21" s="32" t="s">
        <v>1328</v>
      </c>
      <c r="CA21" s="32" t="s">
        <v>1336</v>
      </c>
      <c r="CB21" s="32" t="s">
        <v>1336</v>
      </c>
      <c r="CC21" s="32" t="s">
        <v>1336</v>
      </c>
      <c r="CD21" s="39" t="s">
        <v>5055</v>
      </c>
      <c r="CE21" s="32" t="s">
        <v>1350</v>
      </c>
      <c r="CF21" s="32" t="str">
        <f>HYPERLINK("https%3A%2F%2Fwww.webofscience.com%2Fwos%2Fwoscc%2Ffull-record%2FWOS:000392686000012","View Full Record in Web of Science")</f>
        <v>View Full Record in Web of Science</v>
      </c>
    </row>
    <row r="22" ht="12.75" customHeight="1">
      <c r="A22" s="32" t="s">
        <v>26</v>
      </c>
      <c r="B22" s="32" t="s">
        <v>4400</v>
      </c>
      <c r="C22" s="32" t="s">
        <v>1324</v>
      </c>
      <c r="D22" s="32" t="s">
        <v>1324</v>
      </c>
      <c r="E22" s="32" t="s">
        <v>1324</v>
      </c>
      <c r="F22" s="32" t="s">
        <v>1812</v>
      </c>
      <c r="G22" s="32" t="s">
        <v>1324</v>
      </c>
      <c r="H22" s="32" t="s">
        <v>1324</v>
      </c>
      <c r="I22" s="32" t="s">
        <v>1814</v>
      </c>
      <c r="J22" s="32" t="s">
        <v>1813</v>
      </c>
      <c r="K22" s="32" t="s">
        <v>1324</v>
      </c>
      <c r="L22" s="32" t="s">
        <v>1324</v>
      </c>
      <c r="M22" s="32" t="s">
        <v>2364</v>
      </c>
      <c r="N22" s="32" t="s">
        <v>38</v>
      </c>
      <c r="O22" s="32" t="s">
        <v>1324</v>
      </c>
      <c r="P22" s="32" t="s">
        <v>1324</v>
      </c>
      <c r="Q22" s="32" t="s">
        <v>1324</v>
      </c>
      <c r="R22" s="32" t="s">
        <v>1324</v>
      </c>
      <c r="S22" s="32" t="s">
        <v>1324</v>
      </c>
      <c r="T22" s="32" t="s">
        <v>1324</v>
      </c>
      <c r="U22" s="32" t="s">
        <v>4401</v>
      </c>
      <c r="V22" s="32" t="s">
        <v>1815</v>
      </c>
      <c r="W22" s="32" t="s">
        <v>4402</v>
      </c>
      <c r="X22" s="32" t="s">
        <v>4403</v>
      </c>
      <c r="Y22" s="32" t="s">
        <v>4404</v>
      </c>
      <c r="Z22" s="32" t="s">
        <v>3509</v>
      </c>
      <c r="AA22" s="32" t="s">
        <v>5090</v>
      </c>
      <c r="AB22" s="32" t="s">
        <v>5091</v>
      </c>
      <c r="AC22" s="32" t="s">
        <v>5092</v>
      </c>
      <c r="AD22" s="32" t="s">
        <v>5093</v>
      </c>
      <c r="AE22" s="32" t="s">
        <v>4409</v>
      </c>
      <c r="AF22" s="32" t="s">
        <v>1324</v>
      </c>
      <c r="AG22" s="32">
        <v>102.0</v>
      </c>
      <c r="AH22" s="32">
        <v>250.0</v>
      </c>
      <c r="AI22" s="32">
        <v>297.0</v>
      </c>
      <c r="AJ22" s="32">
        <v>7.0</v>
      </c>
      <c r="AK22" s="32">
        <v>306.0</v>
      </c>
      <c r="AL22" s="32" t="s">
        <v>4266</v>
      </c>
      <c r="AM22" s="32" t="s">
        <v>2792</v>
      </c>
      <c r="AN22" s="32" t="s">
        <v>4267</v>
      </c>
      <c r="AO22" s="32" t="s">
        <v>4410</v>
      </c>
      <c r="AP22" s="32" t="s">
        <v>4411</v>
      </c>
      <c r="AQ22" s="32" t="s">
        <v>1324</v>
      </c>
      <c r="AR22" s="32" t="s">
        <v>4412</v>
      </c>
      <c r="AS22" s="32" t="s">
        <v>4413</v>
      </c>
      <c r="AT22" s="32" t="s">
        <v>4414</v>
      </c>
      <c r="AU22" s="32">
        <v>2011.0</v>
      </c>
      <c r="AV22" s="32">
        <v>25.0</v>
      </c>
      <c r="AW22" s="32" t="s">
        <v>1324</v>
      </c>
      <c r="AX22" s="32" t="s">
        <v>1324</v>
      </c>
      <c r="AY22" s="32" t="s">
        <v>1324</v>
      </c>
      <c r="AZ22" s="32" t="s">
        <v>1324</v>
      </c>
      <c r="BA22" s="32" t="s">
        <v>1324</v>
      </c>
      <c r="BB22" s="32" t="s">
        <v>1324</v>
      </c>
      <c r="BC22" s="32" t="s">
        <v>1324</v>
      </c>
      <c r="BD22" s="32" t="s">
        <v>4415</v>
      </c>
      <c r="BE22" s="32" t="s">
        <v>1816</v>
      </c>
      <c r="BF22" s="38" t="str">
        <f>HYPERLINK("http://dx.doi.org/10.1029/2010GB003838","http://dx.doi.org/10.1029/2010GB003838")</f>
        <v>http://dx.doi.org/10.1029/2010GB003838</v>
      </c>
      <c r="BG22" s="32" t="s">
        <v>1324</v>
      </c>
      <c r="BH22" s="32" t="s">
        <v>1324</v>
      </c>
      <c r="BI22" s="32">
        <v>16.0</v>
      </c>
      <c r="BJ22" s="32" t="s">
        <v>527</v>
      </c>
      <c r="BK22" s="32" t="s">
        <v>2407</v>
      </c>
      <c r="BL22" s="32" t="s">
        <v>4416</v>
      </c>
      <c r="BM22" s="32" t="s">
        <v>4417</v>
      </c>
      <c r="BN22" s="32" t="s">
        <v>1324</v>
      </c>
      <c r="BO22" s="32" t="s">
        <v>2474</v>
      </c>
      <c r="BP22" s="32" t="s">
        <v>1324</v>
      </c>
      <c r="BQ22" s="32" t="s">
        <v>1324</v>
      </c>
      <c r="BR22" s="32" t="s">
        <v>5042</v>
      </c>
      <c r="BS22" s="32" t="s">
        <v>4418</v>
      </c>
      <c r="BT22" s="32" t="s">
        <v>1329</v>
      </c>
      <c r="BU22" s="32" t="s">
        <v>1333</v>
      </c>
      <c r="BV22" s="32" t="s">
        <v>5054</v>
      </c>
      <c r="BW22" s="32" t="s">
        <v>1362</v>
      </c>
      <c r="BX22" s="32" t="s">
        <v>5044</v>
      </c>
      <c r="BY22" s="32" t="s">
        <v>1328</v>
      </c>
      <c r="BZ22" s="32" t="s">
        <v>1328</v>
      </c>
      <c r="CA22" s="32" t="s">
        <v>1336</v>
      </c>
      <c r="CB22" s="32" t="s">
        <v>1336</v>
      </c>
      <c r="CC22" s="32" t="s">
        <v>1328</v>
      </c>
      <c r="CD22" s="39" t="s">
        <v>5086</v>
      </c>
      <c r="CE22" s="32" t="s">
        <v>1350</v>
      </c>
      <c r="CF22" s="32" t="str">
        <f>HYPERLINK("https%3A%2F%2Fwww.webofscience.com%2Fwos%2Fwoscc%2Ffull-record%2FWOS:000289085400001","View Full Record in Web of Science")</f>
        <v>View Full Record in Web of Science</v>
      </c>
    </row>
    <row r="23" ht="12.75" customHeight="1">
      <c r="A23" s="32" t="s">
        <v>26</v>
      </c>
      <c r="B23" s="32" t="s">
        <v>4090</v>
      </c>
      <c r="C23" s="32" t="s">
        <v>1324</v>
      </c>
      <c r="D23" s="32" t="s">
        <v>1324</v>
      </c>
      <c r="E23" s="32" t="s">
        <v>1324</v>
      </c>
      <c r="F23" s="32" t="s">
        <v>2188</v>
      </c>
      <c r="G23" s="32" t="s">
        <v>1324</v>
      </c>
      <c r="H23" s="32" t="s">
        <v>1324</v>
      </c>
      <c r="I23" s="32" t="s">
        <v>2190</v>
      </c>
      <c r="J23" s="32" t="s">
        <v>2189</v>
      </c>
      <c r="K23" s="32" t="s">
        <v>1324</v>
      </c>
      <c r="L23" s="32" t="s">
        <v>1324</v>
      </c>
      <c r="M23" s="32" t="s">
        <v>2364</v>
      </c>
      <c r="N23" s="32" t="s">
        <v>38</v>
      </c>
      <c r="O23" s="32" t="s">
        <v>1324</v>
      </c>
      <c r="P23" s="32" t="s">
        <v>1324</v>
      </c>
      <c r="Q23" s="32" t="s">
        <v>1324</v>
      </c>
      <c r="R23" s="32" t="s">
        <v>1324</v>
      </c>
      <c r="S23" s="32" t="s">
        <v>1324</v>
      </c>
      <c r="T23" s="32" t="s">
        <v>4091</v>
      </c>
      <c r="U23" s="32" t="s">
        <v>4092</v>
      </c>
      <c r="V23" s="32" t="s">
        <v>2191</v>
      </c>
      <c r="W23" s="32" t="s">
        <v>4093</v>
      </c>
      <c r="X23" s="32" t="s">
        <v>5094</v>
      </c>
      <c r="Y23" s="32" t="s">
        <v>4095</v>
      </c>
      <c r="Z23" s="32" t="s">
        <v>4096</v>
      </c>
      <c r="AA23" s="32" t="s">
        <v>5095</v>
      </c>
      <c r="AB23" s="32" t="s">
        <v>1324</v>
      </c>
      <c r="AC23" s="32" t="s">
        <v>4098</v>
      </c>
      <c r="AD23" s="32" t="s">
        <v>4099</v>
      </c>
      <c r="AE23" s="32" t="s">
        <v>4100</v>
      </c>
      <c r="AF23" s="32" t="s">
        <v>1324</v>
      </c>
      <c r="AG23" s="32">
        <v>48.0</v>
      </c>
      <c r="AH23" s="32">
        <v>9.0</v>
      </c>
      <c r="AI23" s="32">
        <v>15.0</v>
      </c>
      <c r="AJ23" s="32">
        <v>0.0</v>
      </c>
      <c r="AK23" s="32">
        <v>160.0</v>
      </c>
      <c r="AL23" s="32" t="s">
        <v>3250</v>
      </c>
      <c r="AM23" s="32" t="s">
        <v>3872</v>
      </c>
      <c r="AN23" s="32" t="s">
        <v>3873</v>
      </c>
      <c r="AO23" s="32" t="s">
        <v>4101</v>
      </c>
      <c r="AP23" s="32" t="s">
        <v>4102</v>
      </c>
      <c r="AQ23" s="32" t="s">
        <v>1324</v>
      </c>
      <c r="AR23" s="32" t="s">
        <v>4103</v>
      </c>
      <c r="AS23" s="32" t="s">
        <v>4104</v>
      </c>
      <c r="AT23" s="32" t="s">
        <v>3168</v>
      </c>
      <c r="AU23" s="32">
        <v>2013.0</v>
      </c>
      <c r="AV23" s="32">
        <v>7.0</v>
      </c>
      <c r="AW23" s="32">
        <v>1.0</v>
      </c>
      <c r="AX23" s="32" t="s">
        <v>1324</v>
      </c>
      <c r="AY23" s="32" t="s">
        <v>1324</v>
      </c>
      <c r="AZ23" s="32" t="s">
        <v>1324</v>
      </c>
      <c r="BA23" s="32" t="s">
        <v>1324</v>
      </c>
      <c r="BB23" s="32">
        <v>92.0</v>
      </c>
      <c r="BC23" s="32">
        <v>102.0</v>
      </c>
      <c r="BD23" s="32" t="s">
        <v>1324</v>
      </c>
      <c r="BE23" s="32" t="s">
        <v>2192</v>
      </c>
      <c r="BF23" s="38" t="str">
        <f>HYPERLINK("http://dx.doi.org/10.1007/s11707-012-0335-x","http://dx.doi.org/10.1007/s11707-012-0335-x")</f>
        <v>http://dx.doi.org/10.1007/s11707-012-0335-x</v>
      </c>
      <c r="BG23" s="32" t="s">
        <v>1324</v>
      </c>
      <c r="BH23" s="32" t="s">
        <v>1324</v>
      </c>
      <c r="BI23" s="32">
        <v>11.0</v>
      </c>
      <c r="BJ23" s="32" t="s">
        <v>59</v>
      </c>
      <c r="BK23" s="32" t="s">
        <v>2407</v>
      </c>
      <c r="BL23" s="32" t="s">
        <v>4105</v>
      </c>
      <c r="BM23" s="32" t="s">
        <v>4106</v>
      </c>
      <c r="BN23" s="32" t="s">
        <v>1324</v>
      </c>
      <c r="BO23" s="32" t="s">
        <v>1324</v>
      </c>
      <c r="BP23" s="32" t="s">
        <v>1324</v>
      </c>
      <c r="BQ23" s="32" t="s">
        <v>1324</v>
      </c>
      <c r="BR23" s="32" t="s">
        <v>5042</v>
      </c>
      <c r="BS23" s="32" t="s">
        <v>4107</v>
      </c>
      <c r="BT23" s="32" t="s">
        <v>1329</v>
      </c>
      <c r="BU23" s="32" t="s">
        <v>1360</v>
      </c>
      <c r="BV23" s="32" t="s">
        <v>5054</v>
      </c>
      <c r="BW23" s="32" t="s">
        <v>1362</v>
      </c>
      <c r="BX23" s="32" t="s">
        <v>5044</v>
      </c>
      <c r="BY23" s="32" t="s">
        <v>1328</v>
      </c>
      <c r="BZ23" s="32" t="s">
        <v>1328</v>
      </c>
      <c r="CA23" s="32" t="s">
        <v>1336</v>
      </c>
      <c r="CB23" s="32" t="s">
        <v>1336</v>
      </c>
      <c r="CC23" s="32" t="s">
        <v>1336</v>
      </c>
      <c r="CD23" s="39" t="s">
        <v>5055</v>
      </c>
      <c r="CE23" s="32" t="s">
        <v>1350</v>
      </c>
      <c r="CF23" s="32" t="str">
        <f>HYPERLINK("https%3A%2F%2Fwww.webofscience.com%2Fwos%2Fwoscc%2Ffull-record%2FWOS:000314279400009","View Full Record in Web of Science")</f>
        <v>View Full Record in Web of Science</v>
      </c>
    </row>
    <row r="24" ht="12.75" customHeight="1">
      <c r="A24" s="32" t="s">
        <v>26</v>
      </c>
      <c r="B24" s="32" t="s">
        <v>3633</v>
      </c>
      <c r="C24" s="32" t="s">
        <v>1324</v>
      </c>
      <c r="D24" s="32" t="s">
        <v>1324</v>
      </c>
      <c r="E24" s="32" t="s">
        <v>1324</v>
      </c>
      <c r="F24" s="32" t="s">
        <v>2023</v>
      </c>
      <c r="G24" s="32" t="s">
        <v>1324</v>
      </c>
      <c r="H24" s="32" t="s">
        <v>1324</v>
      </c>
      <c r="I24" s="32" t="s">
        <v>2025</v>
      </c>
      <c r="J24" s="32" t="s">
        <v>2024</v>
      </c>
      <c r="K24" s="32" t="s">
        <v>1324</v>
      </c>
      <c r="L24" s="32" t="s">
        <v>1324</v>
      </c>
      <c r="M24" s="32" t="s">
        <v>2364</v>
      </c>
      <c r="N24" s="32" t="s">
        <v>38</v>
      </c>
      <c r="O24" s="32" t="s">
        <v>1324</v>
      </c>
      <c r="P24" s="32" t="s">
        <v>1324</v>
      </c>
      <c r="Q24" s="32" t="s">
        <v>1324</v>
      </c>
      <c r="R24" s="32" t="s">
        <v>1324</v>
      </c>
      <c r="S24" s="32" t="s">
        <v>1324</v>
      </c>
      <c r="T24" s="32" t="s">
        <v>3634</v>
      </c>
      <c r="U24" s="32" t="s">
        <v>3635</v>
      </c>
      <c r="V24" s="32" t="s">
        <v>3636</v>
      </c>
      <c r="W24" s="32" t="s">
        <v>3637</v>
      </c>
      <c r="X24" s="32" t="s">
        <v>1324</v>
      </c>
      <c r="Y24" s="32" t="s">
        <v>3638</v>
      </c>
      <c r="Z24" s="32" t="s">
        <v>3639</v>
      </c>
      <c r="AA24" s="32" t="s">
        <v>1324</v>
      </c>
      <c r="AB24" s="32" t="s">
        <v>1324</v>
      </c>
      <c r="AC24" s="32" t="s">
        <v>3640</v>
      </c>
      <c r="AD24" s="32" t="s">
        <v>3640</v>
      </c>
      <c r="AE24" s="32" t="s">
        <v>3641</v>
      </c>
      <c r="AF24" s="32" t="s">
        <v>1324</v>
      </c>
      <c r="AG24" s="32">
        <v>65.0</v>
      </c>
      <c r="AH24" s="32">
        <v>6.0</v>
      </c>
      <c r="AI24" s="32">
        <v>9.0</v>
      </c>
      <c r="AJ24" s="32">
        <v>1.0</v>
      </c>
      <c r="AK24" s="32">
        <v>20.0</v>
      </c>
      <c r="AL24" s="32" t="s">
        <v>3642</v>
      </c>
      <c r="AM24" s="32" t="s">
        <v>3643</v>
      </c>
      <c r="AN24" s="32" t="s">
        <v>3644</v>
      </c>
      <c r="AO24" s="32" t="s">
        <v>3645</v>
      </c>
      <c r="AP24" s="32" t="s">
        <v>3646</v>
      </c>
      <c r="AQ24" s="32" t="s">
        <v>1324</v>
      </c>
      <c r="AR24" s="32" t="s">
        <v>2024</v>
      </c>
      <c r="AS24" s="32" t="s">
        <v>3647</v>
      </c>
      <c r="AT24" s="32" t="s">
        <v>1324</v>
      </c>
      <c r="AU24" s="32">
        <v>2015.0</v>
      </c>
      <c r="AV24" s="32">
        <v>217.0</v>
      </c>
      <c r="AW24" s="32" t="s">
        <v>1324</v>
      </c>
      <c r="AX24" s="32" t="s">
        <v>1324</v>
      </c>
      <c r="AY24" s="32" t="s">
        <v>1324</v>
      </c>
      <c r="AZ24" s="32" t="s">
        <v>1324</v>
      </c>
      <c r="BA24" s="32" t="s">
        <v>1324</v>
      </c>
      <c r="BB24" s="32">
        <v>99.0</v>
      </c>
      <c r="BC24" s="32">
        <v>108.0</v>
      </c>
      <c r="BD24" s="32" t="s">
        <v>1324</v>
      </c>
      <c r="BE24" s="32" t="s">
        <v>2027</v>
      </c>
      <c r="BF24" s="38" t="str">
        <f>HYPERLINK("http://dx.doi.org/10.1016/j.flora.2015.09.013","http://dx.doi.org/10.1016/j.flora.2015.09.013")</f>
        <v>http://dx.doi.org/10.1016/j.flora.2015.09.013</v>
      </c>
      <c r="BG24" s="32" t="s">
        <v>1324</v>
      </c>
      <c r="BH24" s="32" t="s">
        <v>1324</v>
      </c>
      <c r="BI24" s="32">
        <v>10.0</v>
      </c>
      <c r="BJ24" s="32" t="s">
        <v>3648</v>
      </c>
      <c r="BK24" s="32" t="s">
        <v>2407</v>
      </c>
      <c r="BL24" s="32" t="s">
        <v>3649</v>
      </c>
      <c r="BM24" s="32" t="s">
        <v>3650</v>
      </c>
      <c r="BN24" s="32" t="s">
        <v>1324</v>
      </c>
      <c r="BO24" s="32" t="s">
        <v>1324</v>
      </c>
      <c r="BP24" s="32" t="s">
        <v>1324</v>
      </c>
      <c r="BQ24" s="32" t="s">
        <v>1324</v>
      </c>
      <c r="BR24" s="32" t="s">
        <v>5042</v>
      </c>
      <c r="BS24" s="32" t="s">
        <v>3651</v>
      </c>
      <c r="BT24" s="32" t="s">
        <v>1329</v>
      </c>
      <c r="BU24" s="32" t="s">
        <v>1360</v>
      </c>
      <c r="BV24" s="32" t="s">
        <v>5066</v>
      </c>
      <c r="BW24" s="32" t="s">
        <v>1362</v>
      </c>
      <c r="BX24" s="32" t="s">
        <v>5044</v>
      </c>
      <c r="BY24" s="32" t="s">
        <v>1328</v>
      </c>
      <c r="BZ24" s="32" t="s">
        <v>1328</v>
      </c>
      <c r="CA24" s="32" t="s">
        <v>1336</v>
      </c>
      <c r="CB24" s="32" t="s">
        <v>1336</v>
      </c>
      <c r="CC24" s="32" t="s">
        <v>1328</v>
      </c>
      <c r="CD24" s="39" t="s">
        <v>5086</v>
      </c>
      <c r="CE24" s="32" t="s">
        <v>1395</v>
      </c>
      <c r="CF24" s="32" t="str">
        <f>HYPERLINK("https%3A%2F%2Fwww.webofscience.com%2Fwos%2Fwoscc%2Ffull-record%2FWOS:000367110300012","View Full Record in Web of Science")</f>
        <v>View Full Record in Web of Science</v>
      </c>
    </row>
    <row r="25" ht="12.75" customHeight="1">
      <c r="A25" s="32" t="s">
        <v>26</v>
      </c>
      <c r="B25" s="32" t="s">
        <v>2881</v>
      </c>
      <c r="C25" s="32" t="s">
        <v>1324</v>
      </c>
      <c r="D25" s="32" t="s">
        <v>1324</v>
      </c>
      <c r="E25" s="32" t="s">
        <v>1324</v>
      </c>
      <c r="F25" s="32" t="s">
        <v>1790</v>
      </c>
      <c r="G25" s="32" t="s">
        <v>1324</v>
      </c>
      <c r="H25" s="32" t="s">
        <v>1324</v>
      </c>
      <c r="I25" s="32" t="s">
        <v>1791</v>
      </c>
      <c r="J25" s="32" t="s">
        <v>104</v>
      </c>
      <c r="K25" s="32" t="s">
        <v>1324</v>
      </c>
      <c r="L25" s="32" t="s">
        <v>1324</v>
      </c>
      <c r="M25" s="32" t="s">
        <v>2364</v>
      </c>
      <c r="N25" s="32" t="s">
        <v>38</v>
      </c>
      <c r="O25" s="32" t="s">
        <v>1324</v>
      </c>
      <c r="P25" s="32" t="s">
        <v>1324</v>
      </c>
      <c r="Q25" s="32" t="s">
        <v>1324</v>
      </c>
      <c r="R25" s="32" t="s">
        <v>1324</v>
      </c>
      <c r="S25" s="32" t="s">
        <v>1324</v>
      </c>
      <c r="T25" s="32" t="s">
        <v>1324</v>
      </c>
      <c r="U25" s="32" t="s">
        <v>2882</v>
      </c>
      <c r="V25" s="32" t="s">
        <v>1792</v>
      </c>
      <c r="W25" s="32" t="s">
        <v>2883</v>
      </c>
      <c r="X25" s="32" t="s">
        <v>2884</v>
      </c>
      <c r="Y25" s="32" t="s">
        <v>2885</v>
      </c>
      <c r="Z25" s="32" t="s">
        <v>2886</v>
      </c>
      <c r="AA25" s="32" t="s">
        <v>5096</v>
      </c>
      <c r="AB25" s="32" t="s">
        <v>5097</v>
      </c>
      <c r="AC25" s="32" t="s">
        <v>5098</v>
      </c>
      <c r="AD25" s="32" t="s">
        <v>5099</v>
      </c>
      <c r="AE25" s="32" t="s">
        <v>2891</v>
      </c>
      <c r="AF25" s="32" t="s">
        <v>1324</v>
      </c>
      <c r="AG25" s="32">
        <v>82.0</v>
      </c>
      <c r="AH25" s="32">
        <v>141.0</v>
      </c>
      <c r="AI25" s="32">
        <v>158.0</v>
      </c>
      <c r="AJ25" s="32">
        <v>7.0</v>
      </c>
      <c r="AK25" s="32">
        <v>122.0</v>
      </c>
      <c r="AL25" s="32" t="s">
        <v>2870</v>
      </c>
      <c r="AM25" s="32" t="s">
        <v>2871</v>
      </c>
      <c r="AN25" s="32" t="s">
        <v>2872</v>
      </c>
      <c r="AO25" s="32" t="s">
        <v>1324</v>
      </c>
      <c r="AP25" s="32" t="s">
        <v>2892</v>
      </c>
      <c r="AQ25" s="32" t="s">
        <v>1324</v>
      </c>
      <c r="AR25" s="32" t="s">
        <v>2893</v>
      </c>
      <c r="AS25" s="32" t="s">
        <v>2894</v>
      </c>
      <c r="AT25" s="32" t="s">
        <v>2895</v>
      </c>
      <c r="AU25" s="32">
        <v>2017.0</v>
      </c>
      <c r="AV25" s="32">
        <v>8.0</v>
      </c>
      <c r="AW25" s="32" t="s">
        <v>1324</v>
      </c>
      <c r="AX25" s="32" t="s">
        <v>1324</v>
      </c>
      <c r="AY25" s="32" t="s">
        <v>1324</v>
      </c>
      <c r="AZ25" s="32" t="s">
        <v>1324</v>
      </c>
      <c r="BA25" s="32" t="s">
        <v>1324</v>
      </c>
      <c r="BB25" s="32" t="s">
        <v>1324</v>
      </c>
      <c r="BC25" s="32" t="s">
        <v>1324</v>
      </c>
      <c r="BD25" s="32">
        <v>1966.0</v>
      </c>
      <c r="BE25" s="32" t="s">
        <v>1793</v>
      </c>
      <c r="BF25" s="38" t="str">
        <f>HYPERLINK("http://dx.doi.org/10.1038/s41467-017-01997-0","http://dx.doi.org/10.1038/s41467-017-01997-0")</f>
        <v>http://dx.doi.org/10.1038/s41467-017-01997-0</v>
      </c>
      <c r="BG25" s="32" t="s">
        <v>1324</v>
      </c>
      <c r="BH25" s="32" t="s">
        <v>1324</v>
      </c>
      <c r="BI25" s="32">
        <v>11.0</v>
      </c>
      <c r="BJ25" s="32" t="s">
        <v>42</v>
      </c>
      <c r="BK25" s="32" t="s">
        <v>2407</v>
      </c>
      <c r="BL25" s="32" t="s">
        <v>2430</v>
      </c>
      <c r="BM25" s="32" t="s">
        <v>2896</v>
      </c>
      <c r="BN25" s="32">
        <v>2.9259276E7</v>
      </c>
      <c r="BO25" s="32" t="s">
        <v>2897</v>
      </c>
      <c r="BP25" s="32" t="s">
        <v>1324</v>
      </c>
      <c r="BQ25" s="32" t="s">
        <v>1324</v>
      </c>
      <c r="BR25" s="32" t="s">
        <v>5042</v>
      </c>
      <c r="BS25" s="32" t="s">
        <v>2898</v>
      </c>
      <c r="BT25" s="32" t="s">
        <v>1329</v>
      </c>
      <c r="BU25" s="32" t="s">
        <v>1360</v>
      </c>
      <c r="BV25" s="32" t="s">
        <v>5054</v>
      </c>
      <c r="BW25" s="32" t="s">
        <v>1362</v>
      </c>
      <c r="BX25" s="32" t="s">
        <v>5044</v>
      </c>
      <c r="BY25" s="32" t="s">
        <v>1328</v>
      </c>
      <c r="BZ25" s="32" t="s">
        <v>1328</v>
      </c>
      <c r="CA25" s="32" t="s">
        <v>1328</v>
      </c>
      <c r="CB25" s="32" t="s">
        <v>1336</v>
      </c>
      <c r="CC25" s="32" t="s">
        <v>1336</v>
      </c>
      <c r="CD25" s="39" t="s">
        <v>5050</v>
      </c>
      <c r="CE25" s="32" t="s">
        <v>1350</v>
      </c>
      <c r="CF25" s="32" t="str">
        <f>HYPERLINK("https%3A%2F%2Fwww.webofscience.com%2Fwos%2Fwoscc%2Ffull-record%2FWOS:000418334200001","View Full Record in Web of Science")</f>
        <v>View Full Record in Web of Science</v>
      </c>
    </row>
    <row r="26" ht="12.75" customHeight="1">
      <c r="A26" s="32" t="s">
        <v>26</v>
      </c>
      <c r="B26" s="32" t="s">
        <v>1800</v>
      </c>
      <c r="C26" s="32" t="s">
        <v>1324</v>
      </c>
      <c r="D26" s="32" t="s">
        <v>1324</v>
      </c>
      <c r="E26" s="32" t="s">
        <v>1324</v>
      </c>
      <c r="F26" s="32" t="s">
        <v>1800</v>
      </c>
      <c r="G26" s="32" t="s">
        <v>1324</v>
      </c>
      <c r="H26" s="32" t="s">
        <v>1324</v>
      </c>
      <c r="I26" s="32" t="s">
        <v>1802</v>
      </c>
      <c r="J26" s="32" t="s">
        <v>1801</v>
      </c>
      <c r="K26" s="32" t="s">
        <v>1324</v>
      </c>
      <c r="L26" s="32" t="s">
        <v>1324</v>
      </c>
      <c r="M26" s="32" t="s">
        <v>2364</v>
      </c>
      <c r="N26" s="32" t="s">
        <v>38</v>
      </c>
      <c r="O26" s="32" t="s">
        <v>1324</v>
      </c>
      <c r="P26" s="32" t="s">
        <v>1324</v>
      </c>
      <c r="Q26" s="32" t="s">
        <v>1324</v>
      </c>
      <c r="R26" s="32" t="s">
        <v>1324</v>
      </c>
      <c r="S26" s="32" t="s">
        <v>1324</v>
      </c>
      <c r="T26" s="32" t="s">
        <v>1324</v>
      </c>
      <c r="U26" s="32" t="s">
        <v>4989</v>
      </c>
      <c r="V26" s="32" t="s">
        <v>1803</v>
      </c>
      <c r="W26" s="32" t="s">
        <v>4990</v>
      </c>
      <c r="X26" s="32" t="s">
        <v>4991</v>
      </c>
      <c r="Y26" s="32" t="s">
        <v>4992</v>
      </c>
      <c r="Z26" s="32" t="s">
        <v>1324</v>
      </c>
      <c r="AA26" s="32" t="s">
        <v>4993</v>
      </c>
      <c r="AB26" s="32" t="s">
        <v>1324</v>
      </c>
      <c r="AC26" s="32" t="s">
        <v>1324</v>
      </c>
      <c r="AD26" s="32" t="s">
        <v>1324</v>
      </c>
      <c r="AE26" s="32" t="s">
        <v>1324</v>
      </c>
      <c r="AF26" s="32" t="s">
        <v>1324</v>
      </c>
      <c r="AG26" s="32">
        <v>46.0</v>
      </c>
      <c r="AH26" s="32">
        <v>92.0</v>
      </c>
      <c r="AI26" s="32">
        <v>106.0</v>
      </c>
      <c r="AJ26" s="32">
        <v>0.0</v>
      </c>
      <c r="AK26" s="32">
        <v>28.0</v>
      </c>
      <c r="AL26" s="32" t="s">
        <v>4266</v>
      </c>
      <c r="AM26" s="32" t="s">
        <v>2792</v>
      </c>
      <c r="AN26" s="32" t="s">
        <v>4267</v>
      </c>
      <c r="AO26" s="32" t="s">
        <v>4994</v>
      </c>
      <c r="AP26" s="32" t="s">
        <v>1324</v>
      </c>
      <c r="AQ26" s="32" t="s">
        <v>1324</v>
      </c>
      <c r="AR26" s="32" t="s">
        <v>4995</v>
      </c>
      <c r="AS26" s="32" t="s">
        <v>4996</v>
      </c>
      <c r="AT26" s="32" t="s">
        <v>4997</v>
      </c>
      <c r="AU26" s="32">
        <v>1996.0</v>
      </c>
      <c r="AV26" s="32">
        <v>101.0</v>
      </c>
      <c r="AW26" s="32" t="s">
        <v>4998</v>
      </c>
      <c r="AX26" s="32" t="s">
        <v>1324</v>
      </c>
      <c r="AY26" s="32" t="s">
        <v>1324</v>
      </c>
      <c r="AZ26" s="32" t="s">
        <v>1324</v>
      </c>
      <c r="BA26" s="32" t="s">
        <v>1324</v>
      </c>
      <c r="BB26" s="32">
        <v>7157.0</v>
      </c>
      <c r="BC26" s="32">
        <v>7162.0</v>
      </c>
      <c r="BD26" s="32" t="s">
        <v>1324</v>
      </c>
      <c r="BE26" s="32" t="s">
        <v>1804</v>
      </c>
      <c r="BF26" s="38" t="str">
        <f>HYPERLINK("http://dx.doi.org/10.1029/95JD02138","http://dx.doi.org/10.1029/95JD02138")</f>
        <v>http://dx.doi.org/10.1029/95JD02138</v>
      </c>
      <c r="BG26" s="32" t="s">
        <v>1324</v>
      </c>
      <c r="BH26" s="32" t="s">
        <v>1324</v>
      </c>
      <c r="BI26" s="32">
        <v>6.0</v>
      </c>
      <c r="BJ26" s="32" t="s">
        <v>50</v>
      </c>
      <c r="BK26" s="32" t="s">
        <v>2407</v>
      </c>
      <c r="BL26" s="32" t="s">
        <v>50</v>
      </c>
      <c r="BM26" s="32" t="s">
        <v>4999</v>
      </c>
      <c r="BN26" s="32" t="s">
        <v>1324</v>
      </c>
      <c r="BO26" s="32" t="s">
        <v>1324</v>
      </c>
      <c r="BP26" s="32" t="s">
        <v>1324</v>
      </c>
      <c r="BQ26" s="32" t="s">
        <v>1324</v>
      </c>
      <c r="BR26" s="32" t="s">
        <v>5042</v>
      </c>
      <c r="BS26" s="32" t="s">
        <v>5000</v>
      </c>
      <c r="BT26" s="32" t="s">
        <v>1329</v>
      </c>
      <c r="BU26" s="32" t="s">
        <v>1444</v>
      </c>
      <c r="BV26" s="32" t="s">
        <v>5048</v>
      </c>
      <c r="BW26" s="32" t="s">
        <v>1362</v>
      </c>
      <c r="BX26" s="32" t="s">
        <v>5044</v>
      </c>
      <c r="BY26" s="32" t="s">
        <v>1328</v>
      </c>
      <c r="BZ26" s="32" t="s">
        <v>1328</v>
      </c>
      <c r="CA26" s="32" t="s">
        <v>1336</v>
      </c>
      <c r="CB26" s="32" t="s">
        <v>1336</v>
      </c>
      <c r="CC26" s="32" t="s">
        <v>1336</v>
      </c>
      <c r="CD26" s="39" t="s">
        <v>5055</v>
      </c>
      <c r="CE26" s="32" t="s">
        <v>1350</v>
      </c>
      <c r="CF26" s="32" t="str">
        <f>HYPERLINK("https%3A%2F%2Fwww.webofscience.com%2Fwos%2Fwoscc%2Ffull-record%2FWOS:A1996UB98600039","View Full Record in Web of Science")</f>
        <v>View Full Record in Web of Science</v>
      </c>
    </row>
    <row r="27" ht="12.75" customHeight="1">
      <c r="A27" s="32" t="s">
        <v>26</v>
      </c>
      <c r="B27" s="32" t="s">
        <v>2843</v>
      </c>
      <c r="C27" s="32" t="s">
        <v>1324</v>
      </c>
      <c r="D27" s="32" t="s">
        <v>1324</v>
      </c>
      <c r="E27" s="32" t="s">
        <v>1324</v>
      </c>
      <c r="F27" s="32" t="s">
        <v>2029</v>
      </c>
      <c r="G27" s="32" t="s">
        <v>1324</v>
      </c>
      <c r="H27" s="32" t="s">
        <v>1324</v>
      </c>
      <c r="I27" s="32" t="s">
        <v>2031</v>
      </c>
      <c r="J27" s="32" t="s">
        <v>2030</v>
      </c>
      <c r="K27" s="32" t="s">
        <v>1324</v>
      </c>
      <c r="L27" s="32" t="s">
        <v>1324</v>
      </c>
      <c r="M27" s="32" t="s">
        <v>2364</v>
      </c>
      <c r="N27" s="32" t="s">
        <v>38</v>
      </c>
      <c r="O27" s="32" t="s">
        <v>1324</v>
      </c>
      <c r="P27" s="32" t="s">
        <v>1324</v>
      </c>
      <c r="Q27" s="32" t="s">
        <v>1324</v>
      </c>
      <c r="R27" s="32" t="s">
        <v>1324</v>
      </c>
      <c r="S27" s="32" t="s">
        <v>1324</v>
      </c>
      <c r="T27" s="32" t="s">
        <v>2844</v>
      </c>
      <c r="U27" s="32" t="s">
        <v>2845</v>
      </c>
      <c r="V27" s="32" t="s">
        <v>2032</v>
      </c>
      <c r="W27" s="32" t="s">
        <v>2846</v>
      </c>
      <c r="X27" s="32" t="s">
        <v>2847</v>
      </c>
      <c r="Y27" s="32" t="s">
        <v>2848</v>
      </c>
      <c r="Z27" s="32" t="s">
        <v>2849</v>
      </c>
      <c r="AA27" s="32" t="s">
        <v>5100</v>
      </c>
      <c r="AB27" s="32" t="s">
        <v>2851</v>
      </c>
      <c r="AC27" s="32" t="s">
        <v>2852</v>
      </c>
      <c r="AD27" s="32" t="s">
        <v>2853</v>
      </c>
      <c r="AE27" s="32" t="s">
        <v>2854</v>
      </c>
      <c r="AF27" s="32" t="s">
        <v>1324</v>
      </c>
      <c r="AG27" s="32">
        <v>87.0</v>
      </c>
      <c r="AH27" s="32">
        <v>59.0</v>
      </c>
      <c r="AI27" s="32">
        <v>68.0</v>
      </c>
      <c r="AJ27" s="32">
        <v>3.0</v>
      </c>
      <c r="AK27" s="32">
        <v>132.0</v>
      </c>
      <c r="AL27" s="32" t="s">
        <v>2486</v>
      </c>
      <c r="AM27" s="32" t="s">
        <v>2487</v>
      </c>
      <c r="AN27" s="32" t="s">
        <v>2488</v>
      </c>
      <c r="AO27" s="32" t="s">
        <v>2855</v>
      </c>
      <c r="AP27" s="32" t="s">
        <v>2856</v>
      </c>
      <c r="AQ27" s="32" t="s">
        <v>1324</v>
      </c>
      <c r="AR27" s="32" t="s">
        <v>2857</v>
      </c>
      <c r="AS27" s="32" t="s">
        <v>2858</v>
      </c>
      <c r="AT27" s="32" t="s">
        <v>2818</v>
      </c>
      <c r="AU27" s="32">
        <v>2018.0</v>
      </c>
      <c r="AV27" s="32">
        <v>198.0</v>
      </c>
      <c r="AW27" s="32" t="s">
        <v>1324</v>
      </c>
      <c r="AX27" s="32" t="s">
        <v>1324</v>
      </c>
      <c r="AY27" s="32" t="s">
        <v>1324</v>
      </c>
      <c r="AZ27" s="32" t="s">
        <v>1324</v>
      </c>
      <c r="BA27" s="32" t="s">
        <v>1324</v>
      </c>
      <c r="BB27" s="32">
        <v>78.0</v>
      </c>
      <c r="BC27" s="32">
        <v>85.0</v>
      </c>
      <c r="BD27" s="32" t="s">
        <v>1324</v>
      </c>
      <c r="BE27" s="32" t="s">
        <v>2033</v>
      </c>
      <c r="BF27" s="38" t="str">
        <f>HYPERLINK("http://dx.doi.org/10.1016/j.fishres.2017.10.012","http://dx.doi.org/10.1016/j.fishres.2017.10.012")</f>
        <v>http://dx.doi.org/10.1016/j.fishres.2017.10.012</v>
      </c>
      <c r="BG27" s="32" t="s">
        <v>1324</v>
      </c>
      <c r="BH27" s="32" t="s">
        <v>1324</v>
      </c>
      <c r="BI27" s="32">
        <v>8.0</v>
      </c>
      <c r="BJ27" s="32" t="s">
        <v>2859</v>
      </c>
      <c r="BK27" s="32" t="s">
        <v>2407</v>
      </c>
      <c r="BL27" s="32" t="s">
        <v>2859</v>
      </c>
      <c r="BM27" s="32" t="s">
        <v>2860</v>
      </c>
      <c r="BN27" s="32" t="s">
        <v>1324</v>
      </c>
      <c r="BO27" s="32" t="s">
        <v>1324</v>
      </c>
      <c r="BP27" s="32" t="s">
        <v>1324</v>
      </c>
      <c r="BQ27" s="32" t="s">
        <v>1324</v>
      </c>
      <c r="BR27" s="32" t="s">
        <v>5042</v>
      </c>
      <c r="BS27" s="32" t="s">
        <v>2861</v>
      </c>
      <c r="BT27" s="32" t="s">
        <v>1329</v>
      </c>
      <c r="BU27" s="32" t="s">
        <v>1360</v>
      </c>
      <c r="BV27" s="32" t="s">
        <v>5066</v>
      </c>
      <c r="BW27" s="32" t="s">
        <v>1335</v>
      </c>
      <c r="BX27" s="32" t="s">
        <v>5101</v>
      </c>
      <c r="BY27" s="32" t="s">
        <v>1328</v>
      </c>
      <c r="BZ27" s="32" t="s">
        <v>1336</v>
      </c>
      <c r="CA27" s="32" t="s">
        <v>1328</v>
      </c>
      <c r="CB27" s="32" t="s">
        <v>1336</v>
      </c>
      <c r="CC27" s="32" t="s">
        <v>1336</v>
      </c>
      <c r="CD27" s="39" t="s">
        <v>5070</v>
      </c>
      <c r="CE27" s="32" t="s">
        <v>1350</v>
      </c>
      <c r="CF27" s="32" t="str">
        <f>HYPERLINK("https%3A%2F%2Fwww.webofscience.com%2Fwos%2Fwoscc%2Ffull-record%2FWOS:000416194200009","View Full Record in Web of Science")</f>
        <v>View Full Record in Web of Science</v>
      </c>
    </row>
    <row r="28" ht="12.75" customHeight="1">
      <c r="A28" s="32" t="s">
        <v>26</v>
      </c>
      <c r="B28" s="32" t="s">
        <v>3094</v>
      </c>
      <c r="C28" s="32" t="s">
        <v>1324</v>
      </c>
      <c r="D28" s="32" t="s">
        <v>1324</v>
      </c>
      <c r="E28" s="32" t="s">
        <v>1324</v>
      </c>
      <c r="F28" s="32" t="s">
        <v>1352</v>
      </c>
      <c r="G28" s="32" t="s">
        <v>1324</v>
      </c>
      <c r="H28" s="32" t="s">
        <v>1324</v>
      </c>
      <c r="I28" s="32" t="s">
        <v>1354</v>
      </c>
      <c r="J28" s="32" t="s">
        <v>1353</v>
      </c>
      <c r="K28" s="32" t="s">
        <v>1324</v>
      </c>
      <c r="L28" s="32" t="s">
        <v>1324</v>
      </c>
      <c r="M28" s="32" t="s">
        <v>2364</v>
      </c>
      <c r="N28" s="32" t="s">
        <v>38</v>
      </c>
      <c r="O28" s="32" t="s">
        <v>1324</v>
      </c>
      <c r="P28" s="32" t="s">
        <v>1324</v>
      </c>
      <c r="Q28" s="32" t="s">
        <v>1324</v>
      </c>
      <c r="R28" s="32" t="s">
        <v>1324</v>
      </c>
      <c r="S28" s="32" t="s">
        <v>1324</v>
      </c>
      <c r="T28" s="32" t="s">
        <v>1324</v>
      </c>
      <c r="U28" s="32" t="s">
        <v>3095</v>
      </c>
      <c r="V28" s="32" t="s">
        <v>1355</v>
      </c>
      <c r="W28" s="32" t="s">
        <v>3096</v>
      </c>
      <c r="X28" s="32" t="s">
        <v>3097</v>
      </c>
      <c r="Y28" s="32" t="s">
        <v>3098</v>
      </c>
      <c r="Z28" s="32" t="s">
        <v>3099</v>
      </c>
      <c r="AA28" s="32" t="s">
        <v>5102</v>
      </c>
      <c r="AB28" s="32" t="s">
        <v>5103</v>
      </c>
      <c r="AC28" s="32" t="s">
        <v>3102</v>
      </c>
      <c r="AD28" s="32" t="s">
        <v>3103</v>
      </c>
      <c r="AE28" s="32" t="s">
        <v>3104</v>
      </c>
      <c r="AF28" s="32" t="s">
        <v>1324</v>
      </c>
      <c r="AG28" s="32">
        <v>59.0</v>
      </c>
      <c r="AH28" s="32">
        <v>48.0</v>
      </c>
      <c r="AI28" s="32">
        <v>52.0</v>
      </c>
      <c r="AJ28" s="32">
        <v>0.0</v>
      </c>
      <c r="AK28" s="32">
        <v>62.0</v>
      </c>
      <c r="AL28" s="32" t="s">
        <v>3105</v>
      </c>
      <c r="AM28" s="32" t="s">
        <v>3106</v>
      </c>
      <c r="AN28" s="32" t="s">
        <v>3107</v>
      </c>
      <c r="AO28" s="32" t="s">
        <v>3108</v>
      </c>
      <c r="AP28" s="32" t="s">
        <v>3109</v>
      </c>
      <c r="AQ28" s="32" t="s">
        <v>1324</v>
      </c>
      <c r="AR28" s="32" t="s">
        <v>1353</v>
      </c>
      <c r="AS28" s="32" t="s">
        <v>3110</v>
      </c>
      <c r="AT28" s="32" t="s">
        <v>3111</v>
      </c>
      <c r="AU28" s="32">
        <v>2017.0</v>
      </c>
      <c r="AV28" s="32">
        <v>14.0</v>
      </c>
      <c r="AW28" s="32">
        <v>9.0</v>
      </c>
      <c r="AX28" s="32" t="s">
        <v>1324</v>
      </c>
      <c r="AY28" s="32" t="s">
        <v>1324</v>
      </c>
      <c r="AZ28" s="32" t="s">
        <v>1324</v>
      </c>
      <c r="BA28" s="32" t="s">
        <v>1324</v>
      </c>
      <c r="BB28" s="32">
        <v>2387.0</v>
      </c>
      <c r="BC28" s="32">
        <v>2405.0</v>
      </c>
      <c r="BD28" s="32" t="s">
        <v>1324</v>
      </c>
      <c r="BE28" s="32" t="s">
        <v>1356</v>
      </c>
      <c r="BF28" s="38" t="str">
        <f>HYPERLINK("http://dx.doi.org/10.5194/bg-14-2387-2017","http://dx.doi.org/10.5194/bg-14-2387-2017")</f>
        <v>http://dx.doi.org/10.5194/bg-14-2387-2017</v>
      </c>
      <c r="BG28" s="32" t="s">
        <v>1324</v>
      </c>
      <c r="BH28" s="32" t="s">
        <v>1324</v>
      </c>
      <c r="BI28" s="32">
        <v>19.0</v>
      </c>
      <c r="BJ28" s="32" t="s">
        <v>3112</v>
      </c>
      <c r="BK28" s="32" t="s">
        <v>2407</v>
      </c>
      <c r="BL28" s="32" t="s">
        <v>3113</v>
      </c>
      <c r="BM28" s="32" t="s">
        <v>3114</v>
      </c>
      <c r="BN28" s="32" t="s">
        <v>1324</v>
      </c>
      <c r="BO28" s="32" t="s">
        <v>2410</v>
      </c>
      <c r="BP28" s="32" t="s">
        <v>1324</v>
      </c>
      <c r="BQ28" s="32" t="s">
        <v>1324</v>
      </c>
      <c r="BR28" s="32" t="s">
        <v>5042</v>
      </c>
      <c r="BS28" s="32" t="s">
        <v>3115</v>
      </c>
      <c r="BT28" s="32" t="s">
        <v>1329</v>
      </c>
      <c r="BU28" s="32" t="s">
        <v>1360</v>
      </c>
      <c r="BV28" s="32" t="s">
        <v>5066</v>
      </c>
      <c r="BW28" s="32" t="s">
        <v>1362</v>
      </c>
      <c r="BX28" s="32" t="s">
        <v>5044</v>
      </c>
      <c r="BY28" s="32" t="s">
        <v>1336</v>
      </c>
      <c r="BZ28" s="32" t="s">
        <v>1328</v>
      </c>
      <c r="CA28" s="32" t="s">
        <v>1328</v>
      </c>
      <c r="CB28" s="32" t="s">
        <v>1336</v>
      </c>
      <c r="CC28" s="32" t="s">
        <v>1336</v>
      </c>
      <c r="CD28" s="39" t="s">
        <v>5045</v>
      </c>
      <c r="CE28" s="32" t="s">
        <v>1350</v>
      </c>
      <c r="CF28" s="32" t="str">
        <f>HYPERLINK("https%3A%2F%2Fwww.webofscience.com%2Fwos%2Fwoscc%2Ffull-record%2FWOS:000401104900001","View Full Record in Web of Science")</f>
        <v>View Full Record in Web of Science</v>
      </c>
    </row>
    <row r="29" ht="12.75" customHeight="1">
      <c r="A29" s="32" t="s">
        <v>26</v>
      </c>
      <c r="B29" s="32" t="s">
        <v>4719</v>
      </c>
      <c r="C29" s="32" t="s">
        <v>1324</v>
      </c>
      <c r="D29" s="32" t="s">
        <v>1324</v>
      </c>
      <c r="E29" s="32" t="s">
        <v>1324</v>
      </c>
      <c r="F29" s="32" t="s">
        <v>1853</v>
      </c>
      <c r="G29" s="32" t="s">
        <v>1324</v>
      </c>
      <c r="H29" s="32" t="s">
        <v>1324</v>
      </c>
      <c r="I29" s="32" t="s">
        <v>1854</v>
      </c>
      <c r="J29" s="32" t="s">
        <v>1848</v>
      </c>
      <c r="K29" s="32" t="s">
        <v>1324</v>
      </c>
      <c r="L29" s="32" t="s">
        <v>1324</v>
      </c>
      <c r="M29" s="32" t="s">
        <v>2364</v>
      </c>
      <c r="N29" s="32" t="s">
        <v>38</v>
      </c>
      <c r="O29" s="32" t="s">
        <v>1324</v>
      </c>
      <c r="P29" s="32" t="s">
        <v>1324</v>
      </c>
      <c r="Q29" s="32" t="s">
        <v>1324</v>
      </c>
      <c r="R29" s="32" t="s">
        <v>1324</v>
      </c>
      <c r="S29" s="32" t="s">
        <v>1324</v>
      </c>
      <c r="T29" s="32" t="s">
        <v>1324</v>
      </c>
      <c r="U29" s="32" t="s">
        <v>4720</v>
      </c>
      <c r="V29" s="32" t="s">
        <v>1855</v>
      </c>
      <c r="W29" s="32" t="s">
        <v>4721</v>
      </c>
      <c r="X29" s="32" t="s">
        <v>4722</v>
      </c>
      <c r="Y29" s="32" t="s">
        <v>4723</v>
      </c>
      <c r="Z29" s="32" t="s">
        <v>4724</v>
      </c>
      <c r="AA29" s="32" t="s">
        <v>5104</v>
      </c>
      <c r="AB29" s="32" t="s">
        <v>5105</v>
      </c>
      <c r="AC29" s="32" t="s">
        <v>4727</v>
      </c>
      <c r="AD29" s="32" t="s">
        <v>4728</v>
      </c>
      <c r="AE29" s="32" t="s">
        <v>4729</v>
      </c>
      <c r="AF29" s="32" t="s">
        <v>1324</v>
      </c>
      <c r="AG29" s="32">
        <v>82.0</v>
      </c>
      <c r="AH29" s="32">
        <v>363.0</v>
      </c>
      <c r="AI29" s="32">
        <v>447.0</v>
      </c>
      <c r="AJ29" s="32">
        <v>7.0</v>
      </c>
      <c r="AK29" s="32">
        <v>289.0</v>
      </c>
      <c r="AL29" s="32" t="s">
        <v>4188</v>
      </c>
      <c r="AM29" s="32" t="s">
        <v>3872</v>
      </c>
      <c r="AN29" s="32" t="s">
        <v>4298</v>
      </c>
      <c r="AO29" s="32" t="s">
        <v>4299</v>
      </c>
      <c r="AP29" s="32" t="s">
        <v>4300</v>
      </c>
      <c r="AQ29" s="32" t="s">
        <v>1324</v>
      </c>
      <c r="AR29" s="32" t="s">
        <v>4301</v>
      </c>
      <c r="AS29" s="32" t="s">
        <v>4302</v>
      </c>
      <c r="AT29" s="32" t="s">
        <v>2471</v>
      </c>
      <c r="AU29" s="32">
        <v>2008.0</v>
      </c>
      <c r="AV29" s="32">
        <v>18.0</v>
      </c>
      <c r="AW29" s="32" t="s">
        <v>1324</v>
      </c>
      <c r="AX29" s="32" t="s">
        <v>1324</v>
      </c>
      <c r="AY29" s="32">
        <v>1.0</v>
      </c>
      <c r="AZ29" s="32" t="s">
        <v>1324</v>
      </c>
      <c r="BA29" s="32" t="s">
        <v>1324</v>
      </c>
      <c r="BB29" s="32" t="s">
        <v>4730</v>
      </c>
      <c r="BC29" s="32" t="s">
        <v>4731</v>
      </c>
      <c r="BD29" s="32" t="s">
        <v>1324</v>
      </c>
      <c r="BE29" s="32" t="s">
        <v>1856</v>
      </c>
      <c r="BF29" s="38" t="str">
        <f>HYPERLINK("http://dx.doi.org/10.1017/S0959270908000439","http://dx.doi.org/10.1017/S0959270908000439")</f>
        <v>http://dx.doi.org/10.1017/S0959270908000439</v>
      </c>
      <c r="BG29" s="32" t="s">
        <v>1324</v>
      </c>
      <c r="BH29" s="32" t="s">
        <v>1324</v>
      </c>
      <c r="BI29" s="32">
        <v>25.0</v>
      </c>
      <c r="BJ29" s="32" t="s">
        <v>4303</v>
      </c>
      <c r="BK29" s="32" t="s">
        <v>2407</v>
      </c>
      <c r="BL29" s="32" t="s">
        <v>4304</v>
      </c>
      <c r="BM29" s="32" t="s">
        <v>4732</v>
      </c>
      <c r="BN29" s="32" t="s">
        <v>1324</v>
      </c>
      <c r="BO29" s="32" t="s">
        <v>2715</v>
      </c>
      <c r="BP29" s="32" t="s">
        <v>1324</v>
      </c>
      <c r="BQ29" s="32" t="s">
        <v>1324</v>
      </c>
      <c r="BR29" s="32" t="s">
        <v>5042</v>
      </c>
      <c r="BS29" s="32" t="s">
        <v>4733</v>
      </c>
      <c r="BT29" s="32" t="s">
        <v>1443</v>
      </c>
      <c r="BU29" s="32" t="s">
        <v>1444</v>
      </c>
      <c r="BV29" s="32" t="s">
        <v>5048</v>
      </c>
      <c r="BW29" s="32" t="s">
        <v>1446</v>
      </c>
      <c r="BX29" s="32" t="s">
        <v>5106</v>
      </c>
      <c r="BY29" s="32" t="s">
        <v>1328</v>
      </c>
      <c r="BZ29" s="32" t="s">
        <v>1328</v>
      </c>
      <c r="CA29" s="32" t="s">
        <v>1328</v>
      </c>
      <c r="CB29" s="32" t="s">
        <v>1328</v>
      </c>
      <c r="CC29" s="32" t="s">
        <v>1328</v>
      </c>
      <c r="CD29" s="39" t="s">
        <v>5107</v>
      </c>
      <c r="CE29" s="32" t="s">
        <v>1395</v>
      </c>
      <c r="CF29" s="32" t="str">
        <f>HYPERLINK("https%3A%2F%2Fwww.webofscience.com%2Fwos%2Fwoscc%2Ffull-record%2FWOS:000259453100005","View Full Record in Web of Science")</f>
        <v>View Full Record in Web of Science</v>
      </c>
    </row>
    <row r="30" ht="12.75" customHeight="1">
      <c r="A30" s="32" t="s">
        <v>26</v>
      </c>
      <c r="B30" s="32" t="s">
        <v>3260</v>
      </c>
      <c r="C30" s="32" t="s">
        <v>1324</v>
      </c>
      <c r="D30" s="32" t="s">
        <v>1324</v>
      </c>
      <c r="E30" s="32" t="s">
        <v>1324</v>
      </c>
      <c r="F30" s="32" t="s">
        <v>1924</v>
      </c>
      <c r="G30" s="32" t="s">
        <v>1324</v>
      </c>
      <c r="H30" s="32" t="s">
        <v>1324</v>
      </c>
      <c r="I30" s="32" t="s">
        <v>1926</v>
      </c>
      <c r="J30" s="32" t="s">
        <v>1925</v>
      </c>
      <c r="K30" s="32" t="s">
        <v>1324</v>
      </c>
      <c r="L30" s="32" t="s">
        <v>1324</v>
      </c>
      <c r="M30" s="32" t="s">
        <v>2364</v>
      </c>
      <c r="N30" s="32" t="s">
        <v>38</v>
      </c>
      <c r="O30" s="32" t="s">
        <v>1324</v>
      </c>
      <c r="P30" s="32" t="s">
        <v>1324</v>
      </c>
      <c r="Q30" s="32" t="s">
        <v>1324</v>
      </c>
      <c r="R30" s="32" t="s">
        <v>1324</v>
      </c>
      <c r="S30" s="32" t="s">
        <v>1324</v>
      </c>
      <c r="T30" s="32" t="s">
        <v>3261</v>
      </c>
      <c r="U30" s="32" t="s">
        <v>3262</v>
      </c>
      <c r="V30" s="32" t="s">
        <v>1927</v>
      </c>
      <c r="W30" s="32" t="s">
        <v>3263</v>
      </c>
      <c r="X30" s="32" t="s">
        <v>3264</v>
      </c>
      <c r="Y30" s="32" t="s">
        <v>3265</v>
      </c>
      <c r="Z30" s="32" t="s">
        <v>3266</v>
      </c>
      <c r="AA30" s="32" t="s">
        <v>5108</v>
      </c>
      <c r="AB30" s="32" t="s">
        <v>5109</v>
      </c>
      <c r="AC30" s="32" t="s">
        <v>3269</v>
      </c>
      <c r="AD30" s="32" t="s">
        <v>3270</v>
      </c>
      <c r="AE30" s="32" t="s">
        <v>3271</v>
      </c>
      <c r="AF30" s="32" t="s">
        <v>1324</v>
      </c>
      <c r="AG30" s="32">
        <v>169.0</v>
      </c>
      <c r="AH30" s="32">
        <v>65.0</v>
      </c>
      <c r="AI30" s="32">
        <v>70.0</v>
      </c>
      <c r="AJ30" s="32">
        <v>9.0</v>
      </c>
      <c r="AK30" s="32">
        <v>91.0</v>
      </c>
      <c r="AL30" s="32" t="s">
        <v>3043</v>
      </c>
      <c r="AM30" s="32" t="s">
        <v>2487</v>
      </c>
      <c r="AN30" s="32" t="s">
        <v>3044</v>
      </c>
      <c r="AO30" s="32" t="s">
        <v>3272</v>
      </c>
      <c r="AP30" s="32" t="s">
        <v>1324</v>
      </c>
      <c r="AQ30" s="32" t="s">
        <v>1324</v>
      </c>
      <c r="AR30" s="32" t="s">
        <v>3273</v>
      </c>
      <c r="AS30" s="32" t="s">
        <v>3274</v>
      </c>
      <c r="AT30" s="32" t="s">
        <v>2927</v>
      </c>
      <c r="AU30" s="32">
        <v>2016.0</v>
      </c>
      <c r="AV30" s="32">
        <v>8.0</v>
      </c>
      <c r="AW30" s="32" t="s">
        <v>1324</v>
      </c>
      <c r="AX30" s="32">
        <v>2.0</v>
      </c>
      <c r="AY30" s="32" t="s">
        <v>1324</v>
      </c>
      <c r="AZ30" s="32" t="s">
        <v>1324</v>
      </c>
      <c r="BA30" s="32" t="s">
        <v>1324</v>
      </c>
      <c r="BB30" s="32">
        <v>259.0</v>
      </c>
      <c r="BC30" s="32">
        <v>273.0</v>
      </c>
      <c r="BD30" s="32" t="s">
        <v>1324</v>
      </c>
      <c r="BE30" s="32" t="s">
        <v>1928</v>
      </c>
      <c r="BF30" s="38" t="str">
        <f>HYPERLINK("http://dx.doi.org/10.1016/j.rsma.2016.09.001","http://dx.doi.org/10.1016/j.rsma.2016.09.001")</f>
        <v>http://dx.doi.org/10.1016/j.rsma.2016.09.001</v>
      </c>
      <c r="BG30" s="32" t="s">
        <v>1324</v>
      </c>
      <c r="BH30" s="32" t="s">
        <v>1324</v>
      </c>
      <c r="BI30" s="32">
        <v>15.0</v>
      </c>
      <c r="BJ30" s="32" t="s">
        <v>130</v>
      </c>
      <c r="BK30" s="32" t="s">
        <v>2878</v>
      </c>
      <c r="BL30" s="32" t="s">
        <v>2516</v>
      </c>
      <c r="BM30" s="32" t="s">
        <v>3275</v>
      </c>
      <c r="BN30" s="32" t="s">
        <v>1324</v>
      </c>
      <c r="BO30" s="32" t="s">
        <v>3276</v>
      </c>
      <c r="BP30" s="32" t="s">
        <v>1324</v>
      </c>
      <c r="BQ30" s="32" t="s">
        <v>1324</v>
      </c>
      <c r="BR30" s="32" t="s">
        <v>5042</v>
      </c>
      <c r="BS30" s="32" t="s">
        <v>3277</v>
      </c>
      <c r="BT30" s="32" t="s">
        <v>1443</v>
      </c>
      <c r="BU30" s="32" t="s">
        <v>1360</v>
      </c>
      <c r="BV30" s="32" t="s">
        <v>5054</v>
      </c>
      <c r="BW30" s="32" t="s">
        <v>1349</v>
      </c>
      <c r="BX30" s="32" t="s">
        <v>5062</v>
      </c>
      <c r="BY30" s="32" t="s">
        <v>1328</v>
      </c>
      <c r="BZ30" s="32" t="s">
        <v>1328</v>
      </c>
      <c r="CA30" s="32" t="s">
        <v>1328</v>
      </c>
      <c r="CB30" s="32" t="s">
        <v>1328</v>
      </c>
      <c r="CC30" s="32" t="s">
        <v>1328</v>
      </c>
      <c r="CD30" s="39" t="s">
        <v>5107</v>
      </c>
      <c r="CE30" s="32" t="s">
        <v>1395</v>
      </c>
      <c r="CF30" s="32" t="str">
        <f>HYPERLINK("https%3A%2F%2Fwww.webofscience.com%2Fwos%2Fwoscc%2Ffull-record%2FWOS:000414771500005","View Full Record in Web of Science")</f>
        <v>View Full Record in Web of Science</v>
      </c>
    </row>
    <row r="31" ht="12.75" customHeight="1">
      <c r="A31" s="32" t="s">
        <v>26</v>
      </c>
      <c r="B31" s="32" t="s">
        <v>3278</v>
      </c>
      <c r="C31" s="32" t="s">
        <v>1324</v>
      </c>
      <c r="D31" s="32" t="s">
        <v>1324</v>
      </c>
      <c r="E31" s="32" t="s">
        <v>1324</v>
      </c>
      <c r="F31" s="32" t="s">
        <v>1546</v>
      </c>
      <c r="G31" s="32" t="s">
        <v>1324</v>
      </c>
      <c r="H31" s="32" t="s">
        <v>1324</v>
      </c>
      <c r="I31" s="32" t="s">
        <v>1547</v>
      </c>
      <c r="J31" s="32" t="s">
        <v>1540</v>
      </c>
      <c r="K31" s="32" t="s">
        <v>1324</v>
      </c>
      <c r="L31" s="32" t="s">
        <v>1324</v>
      </c>
      <c r="M31" s="32" t="s">
        <v>2364</v>
      </c>
      <c r="N31" s="32" t="s">
        <v>38</v>
      </c>
      <c r="O31" s="32" t="s">
        <v>1324</v>
      </c>
      <c r="P31" s="32" t="s">
        <v>1324</v>
      </c>
      <c r="Q31" s="32" t="s">
        <v>1324</v>
      </c>
      <c r="R31" s="32" t="s">
        <v>1324</v>
      </c>
      <c r="S31" s="32" t="s">
        <v>1324</v>
      </c>
      <c r="T31" s="32" t="s">
        <v>3279</v>
      </c>
      <c r="U31" s="32" t="s">
        <v>3280</v>
      </c>
      <c r="V31" s="32" t="s">
        <v>3281</v>
      </c>
      <c r="W31" s="32" t="s">
        <v>3282</v>
      </c>
      <c r="X31" s="32" t="s">
        <v>3283</v>
      </c>
      <c r="Y31" s="32" t="s">
        <v>3284</v>
      </c>
      <c r="Z31" s="32" t="s">
        <v>3285</v>
      </c>
      <c r="AA31" s="32" t="s">
        <v>3286</v>
      </c>
      <c r="AB31" s="32" t="s">
        <v>3287</v>
      </c>
      <c r="AC31" s="32" t="s">
        <v>1324</v>
      </c>
      <c r="AD31" s="32" t="s">
        <v>1324</v>
      </c>
      <c r="AE31" s="32" t="s">
        <v>1324</v>
      </c>
      <c r="AF31" s="32" t="s">
        <v>1324</v>
      </c>
      <c r="AG31" s="32">
        <v>47.0</v>
      </c>
      <c r="AH31" s="32">
        <v>23.0</v>
      </c>
      <c r="AI31" s="32">
        <v>26.0</v>
      </c>
      <c r="AJ31" s="32">
        <v>3.0</v>
      </c>
      <c r="AK31" s="32">
        <v>41.0</v>
      </c>
      <c r="AL31" s="32" t="s">
        <v>2464</v>
      </c>
      <c r="AM31" s="32" t="s">
        <v>2465</v>
      </c>
      <c r="AN31" s="32" t="s">
        <v>2466</v>
      </c>
      <c r="AO31" s="32" t="s">
        <v>2959</v>
      </c>
      <c r="AP31" s="32" t="s">
        <v>2960</v>
      </c>
      <c r="AQ31" s="32" t="s">
        <v>1324</v>
      </c>
      <c r="AR31" s="32" t="s">
        <v>2961</v>
      </c>
      <c r="AS31" s="32" t="s">
        <v>2962</v>
      </c>
      <c r="AT31" s="32" t="s">
        <v>2471</v>
      </c>
      <c r="AU31" s="32">
        <v>2016.0</v>
      </c>
      <c r="AV31" s="32">
        <v>27.0</v>
      </c>
      <c r="AW31" s="32">
        <v>5.0</v>
      </c>
      <c r="AX31" s="32" t="s">
        <v>1324</v>
      </c>
      <c r="AY31" s="32" t="s">
        <v>1324</v>
      </c>
      <c r="AZ31" s="32" t="s">
        <v>1324</v>
      </c>
      <c r="BA31" s="32" t="s">
        <v>1324</v>
      </c>
      <c r="BB31" s="32">
        <v>948.0</v>
      </c>
      <c r="BC31" s="32">
        <v>957.0</v>
      </c>
      <c r="BD31" s="32" t="s">
        <v>1324</v>
      </c>
      <c r="BE31" s="32" t="s">
        <v>1549</v>
      </c>
      <c r="BF31" s="38" t="str">
        <f>HYPERLINK("http://dx.doi.org/10.1111/jvs.12423","http://dx.doi.org/10.1111/jvs.12423")</f>
        <v>http://dx.doi.org/10.1111/jvs.12423</v>
      </c>
      <c r="BG31" s="32" t="s">
        <v>1324</v>
      </c>
      <c r="BH31" s="32" t="s">
        <v>1324</v>
      </c>
      <c r="BI31" s="32">
        <v>10.0</v>
      </c>
      <c r="BJ31" s="32" t="s">
        <v>2963</v>
      </c>
      <c r="BK31" s="32" t="s">
        <v>2407</v>
      </c>
      <c r="BL31" s="32" t="s">
        <v>2964</v>
      </c>
      <c r="BM31" s="32" t="s">
        <v>3288</v>
      </c>
      <c r="BN31" s="32" t="s">
        <v>1324</v>
      </c>
      <c r="BO31" s="32" t="s">
        <v>2736</v>
      </c>
      <c r="BP31" s="32" t="s">
        <v>1324</v>
      </c>
      <c r="BQ31" s="32" t="s">
        <v>1324</v>
      </c>
      <c r="BR31" s="32" t="s">
        <v>5042</v>
      </c>
      <c r="BS31" s="32" t="s">
        <v>3289</v>
      </c>
      <c r="BT31" s="32" t="s">
        <v>1329</v>
      </c>
      <c r="BU31" s="32" t="s">
        <v>1333</v>
      </c>
      <c r="BV31" s="32" t="s">
        <v>5054</v>
      </c>
      <c r="BW31" s="32" t="s">
        <v>1362</v>
      </c>
      <c r="BX31" s="32" t="s">
        <v>5044</v>
      </c>
      <c r="BY31" s="32" t="s">
        <v>1328</v>
      </c>
      <c r="BZ31" s="32" t="s">
        <v>1328</v>
      </c>
      <c r="CA31" s="32" t="s">
        <v>1336</v>
      </c>
      <c r="CB31" s="32" t="s">
        <v>1336</v>
      </c>
      <c r="CC31" s="32" t="s">
        <v>1336</v>
      </c>
      <c r="CD31" s="39" t="s">
        <v>5055</v>
      </c>
      <c r="CE31" s="32" t="s">
        <v>1350</v>
      </c>
      <c r="CF31" s="32" t="str">
        <f>HYPERLINK("https%3A%2F%2Fwww.webofscience.com%2Fwos%2Fwoscc%2Ffull-record%2FWOS:000388439400009","View Full Record in Web of Science")</f>
        <v>View Full Record in Web of Science</v>
      </c>
    </row>
    <row r="32" ht="12.75" customHeight="1">
      <c r="A32" s="32" t="s">
        <v>26</v>
      </c>
      <c r="B32" s="32" t="s">
        <v>3211</v>
      </c>
      <c r="C32" s="32" t="s">
        <v>1324</v>
      </c>
      <c r="D32" s="32" t="s">
        <v>1324</v>
      </c>
      <c r="E32" s="32" t="s">
        <v>1324</v>
      </c>
      <c r="F32" s="32" t="s">
        <v>1914</v>
      </c>
      <c r="G32" s="32" t="s">
        <v>1324</v>
      </c>
      <c r="H32" s="32" t="s">
        <v>1324</v>
      </c>
      <c r="I32" s="32" t="s">
        <v>1915</v>
      </c>
      <c r="J32" s="32" t="s">
        <v>64</v>
      </c>
      <c r="K32" s="32" t="s">
        <v>1324</v>
      </c>
      <c r="L32" s="32" t="s">
        <v>1324</v>
      </c>
      <c r="M32" s="32" t="s">
        <v>2364</v>
      </c>
      <c r="N32" s="32" t="s">
        <v>38</v>
      </c>
      <c r="O32" s="32" t="s">
        <v>1324</v>
      </c>
      <c r="P32" s="32" t="s">
        <v>1324</v>
      </c>
      <c r="Q32" s="32" t="s">
        <v>1324</v>
      </c>
      <c r="R32" s="32" t="s">
        <v>1324</v>
      </c>
      <c r="S32" s="32" t="s">
        <v>1324</v>
      </c>
      <c r="T32" s="32" t="s">
        <v>3212</v>
      </c>
      <c r="U32" s="32" t="s">
        <v>3213</v>
      </c>
      <c r="V32" s="32" t="s">
        <v>1916</v>
      </c>
      <c r="W32" s="32" t="s">
        <v>3214</v>
      </c>
      <c r="X32" s="32" t="s">
        <v>3215</v>
      </c>
      <c r="Y32" s="32" t="s">
        <v>3216</v>
      </c>
      <c r="Z32" s="32" t="s">
        <v>3217</v>
      </c>
      <c r="AA32" s="32" t="s">
        <v>3218</v>
      </c>
      <c r="AB32" s="32" t="s">
        <v>3219</v>
      </c>
      <c r="AC32" s="32" t="s">
        <v>3220</v>
      </c>
      <c r="AD32" s="32" t="s">
        <v>3221</v>
      </c>
      <c r="AE32" s="32" t="s">
        <v>3222</v>
      </c>
      <c r="AF32" s="32" t="s">
        <v>1324</v>
      </c>
      <c r="AG32" s="32">
        <v>40.0</v>
      </c>
      <c r="AH32" s="32">
        <v>13.0</v>
      </c>
      <c r="AI32" s="32">
        <v>13.0</v>
      </c>
      <c r="AJ32" s="32">
        <v>3.0</v>
      </c>
      <c r="AK32" s="32">
        <v>58.0</v>
      </c>
      <c r="AL32" s="32" t="s">
        <v>2486</v>
      </c>
      <c r="AM32" s="32" t="s">
        <v>2487</v>
      </c>
      <c r="AN32" s="32" t="s">
        <v>2488</v>
      </c>
      <c r="AO32" s="32" t="s">
        <v>3045</v>
      </c>
      <c r="AP32" s="32" t="s">
        <v>3046</v>
      </c>
      <c r="AQ32" s="32" t="s">
        <v>1324</v>
      </c>
      <c r="AR32" s="32" t="s">
        <v>3047</v>
      </c>
      <c r="AS32" s="32" t="s">
        <v>3048</v>
      </c>
      <c r="AT32" s="32" t="s">
        <v>3223</v>
      </c>
      <c r="AU32" s="32">
        <v>2016.0</v>
      </c>
      <c r="AV32" s="32">
        <v>572.0</v>
      </c>
      <c r="AW32" s="32" t="s">
        <v>1324</v>
      </c>
      <c r="AX32" s="32" t="s">
        <v>1324</v>
      </c>
      <c r="AY32" s="32" t="s">
        <v>1324</v>
      </c>
      <c r="AZ32" s="32" t="s">
        <v>1324</v>
      </c>
      <c r="BA32" s="32" t="s">
        <v>1324</v>
      </c>
      <c r="BB32" s="32">
        <v>1485.0</v>
      </c>
      <c r="BC32" s="32">
        <v>1495.0</v>
      </c>
      <c r="BD32" s="32" t="s">
        <v>1324</v>
      </c>
      <c r="BE32" s="32" t="s">
        <v>1917</v>
      </c>
      <c r="BF32" s="38" t="str">
        <f>HYPERLINK("http://dx.doi.org/10.1016/j.scitotenv.2016.03.055","http://dx.doi.org/10.1016/j.scitotenv.2016.03.055")</f>
        <v>http://dx.doi.org/10.1016/j.scitotenv.2016.03.055</v>
      </c>
      <c r="BG32" s="32" t="s">
        <v>1324</v>
      </c>
      <c r="BH32" s="32" t="s">
        <v>1324</v>
      </c>
      <c r="BI32" s="32">
        <v>11.0</v>
      </c>
      <c r="BJ32" s="32" t="s">
        <v>68</v>
      </c>
      <c r="BK32" s="32" t="s">
        <v>2407</v>
      </c>
      <c r="BL32" s="32" t="s">
        <v>2472</v>
      </c>
      <c r="BM32" s="32" t="s">
        <v>3224</v>
      </c>
      <c r="BN32" s="32">
        <v>2.7012185E7</v>
      </c>
      <c r="BO32" s="32" t="s">
        <v>3225</v>
      </c>
      <c r="BP32" s="32" t="s">
        <v>1324</v>
      </c>
      <c r="BQ32" s="32" t="s">
        <v>1324</v>
      </c>
      <c r="BR32" s="32" t="s">
        <v>5042</v>
      </c>
      <c r="BS32" s="32" t="s">
        <v>3226</v>
      </c>
      <c r="BT32" s="32" t="s">
        <v>1329</v>
      </c>
      <c r="BU32" s="32" t="s">
        <v>1333</v>
      </c>
      <c r="BV32" s="32" t="s">
        <v>5066</v>
      </c>
      <c r="BW32" s="32" t="s">
        <v>1362</v>
      </c>
      <c r="BX32" s="32" t="s">
        <v>5044</v>
      </c>
      <c r="BY32" s="32" t="s">
        <v>1336</v>
      </c>
      <c r="BZ32" s="32" t="s">
        <v>1328</v>
      </c>
      <c r="CA32" s="32" t="s">
        <v>1336</v>
      </c>
      <c r="CB32" s="32" t="s">
        <v>1336</v>
      </c>
      <c r="CC32" s="32" t="s">
        <v>1328</v>
      </c>
      <c r="CD32" s="39" t="s">
        <v>5110</v>
      </c>
      <c r="CE32" s="32" t="s">
        <v>1350</v>
      </c>
      <c r="CF32" s="32" t="str">
        <f>HYPERLINK("https%3A%2F%2Fwww.webofscience.com%2Fwos%2Fwoscc%2Ffull-record%2FWOS:000387807200143","View Full Record in Web of Science")</f>
        <v>View Full Record in Web of Science</v>
      </c>
    </row>
    <row r="33" ht="12.75" customHeight="1">
      <c r="A33" s="32" t="s">
        <v>26</v>
      </c>
      <c r="B33" s="32" t="s">
        <v>3860</v>
      </c>
      <c r="C33" s="32" t="s">
        <v>1324</v>
      </c>
      <c r="D33" s="32" t="s">
        <v>1324</v>
      </c>
      <c r="E33" s="32" t="s">
        <v>1324</v>
      </c>
      <c r="F33" s="32" t="s">
        <v>2171</v>
      </c>
      <c r="G33" s="32" t="s">
        <v>1324</v>
      </c>
      <c r="H33" s="32" t="s">
        <v>1324</v>
      </c>
      <c r="I33" s="32" t="s">
        <v>2173</v>
      </c>
      <c r="J33" s="32" t="s">
        <v>2172</v>
      </c>
      <c r="K33" s="32" t="s">
        <v>1324</v>
      </c>
      <c r="L33" s="32" t="s">
        <v>1324</v>
      </c>
      <c r="M33" s="32" t="s">
        <v>2364</v>
      </c>
      <c r="N33" s="32" t="s">
        <v>38</v>
      </c>
      <c r="O33" s="32" t="s">
        <v>1324</v>
      </c>
      <c r="P33" s="32" t="s">
        <v>1324</v>
      </c>
      <c r="Q33" s="32" t="s">
        <v>1324</v>
      </c>
      <c r="R33" s="32" t="s">
        <v>1324</v>
      </c>
      <c r="S33" s="32" t="s">
        <v>1324</v>
      </c>
      <c r="T33" s="32" t="s">
        <v>3861</v>
      </c>
      <c r="U33" s="32" t="s">
        <v>3862</v>
      </c>
      <c r="V33" s="32" t="s">
        <v>2174</v>
      </c>
      <c r="W33" s="32" t="s">
        <v>3863</v>
      </c>
      <c r="X33" s="32" t="s">
        <v>3864</v>
      </c>
      <c r="Y33" s="32" t="s">
        <v>3865</v>
      </c>
      <c r="Z33" s="32" t="s">
        <v>3866</v>
      </c>
      <c r="AA33" s="32" t="s">
        <v>1324</v>
      </c>
      <c r="AB33" s="32" t="s">
        <v>3868</v>
      </c>
      <c r="AC33" s="32" t="s">
        <v>3869</v>
      </c>
      <c r="AD33" s="32" t="s">
        <v>3870</v>
      </c>
      <c r="AE33" s="32" t="s">
        <v>3871</v>
      </c>
      <c r="AF33" s="32" t="s">
        <v>1324</v>
      </c>
      <c r="AG33" s="32">
        <v>48.0</v>
      </c>
      <c r="AH33" s="32">
        <v>66.0</v>
      </c>
      <c r="AI33" s="32">
        <v>77.0</v>
      </c>
      <c r="AJ33" s="32">
        <v>6.0</v>
      </c>
      <c r="AK33" s="32">
        <v>168.0</v>
      </c>
      <c r="AL33" s="32" t="s">
        <v>3250</v>
      </c>
      <c r="AM33" s="32" t="s">
        <v>3872</v>
      </c>
      <c r="AN33" s="32" t="s">
        <v>3873</v>
      </c>
      <c r="AO33" s="32" t="s">
        <v>3874</v>
      </c>
      <c r="AP33" s="32" t="s">
        <v>3875</v>
      </c>
      <c r="AQ33" s="32" t="s">
        <v>1324</v>
      </c>
      <c r="AR33" s="32" t="s">
        <v>3876</v>
      </c>
      <c r="AS33" s="32" t="s">
        <v>3877</v>
      </c>
      <c r="AT33" s="32" t="s">
        <v>2818</v>
      </c>
      <c r="AU33" s="32">
        <v>2014.0</v>
      </c>
      <c r="AV33" s="32">
        <v>71.0</v>
      </c>
      <c r="AW33" s="32">
        <v>3.0</v>
      </c>
      <c r="AX33" s="32" t="s">
        <v>1324</v>
      </c>
      <c r="AY33" s="32" t="s">
        <v>1324</v>
      </c>
      <c r="AZ33" s="32" t="s">
        <v>1324</v>
      </c>
      <c r="BA33" s="32" t="s">
        <v>1324</v>
      </c>
      <c r="BB33" s="32">
        <v>1421.0</v>
      </c>
      <c r="BC33" s="32">
        <v>1431.0</v>
      </c>
      <c r="BD33" s="32" t="s">
        <v>1324</v>
      </c>
      <c r="BE33" s="32" t="s">
        <v>2175</v>
      </c>
      <c r="BF33" s="38" t="str">
        <f>HYPERLINK("http://dx.doi.org/10.1007/s12665-013-2547-0","http://dx.doi.org/10.1007/s12665-013-2547-0")</f>
        <v>http://dx.doi.org/10.1007/s12665-013-2547-0</v>
      </c>
      <c r="BG33" s="32" t="s">
        <v>1324</v>
      </c>
      <c r="BH33" s="32" t="s">
        <v>1324</v>
      </c>
      <c r="BI33" s="32">
        <v>11.0</v>
      </c>
      <c r="BJ33" s="32" t="s">
        <v>3878</v>
      </c>
      <c r="BK33" s="32" t="s">
        <v>2407</v>
      </c>
      <c r="BL33" s="32" t="s">
        <v>3879</v>
      </c>
      <c r="BM33" s="32" t="s">
        <v>3880</v>
      </c>
      <c r="BN33" s="32" t="s">
        <v>1324</v>
      </c>
      <c r="BO33" s="32" t="s">
        <v>1324</v>
      </c>
      <c r="BP33" s="32" t="s">
        <v>1324</v>
      </c>
      <c r="BQ33" s="32" t="s">
        <v>1324</v>
      </c>
      <c r="BR33" s="32" t="s">
        <v>5042</v>
      </c>
      <c r="BS33" s="32" t="s">
        <v>3881</v>
      </c>
      <c r="BT33" s="32" t="s">
        <v>1329</v>
      </c>
      <c r="BU33" s="32" t="s">
        <v>1333</v>
      </c>
      <c r="BV33" s="32" t="s">
        <v>5054</v>
      </c>
      <c r="BW33" s="32" t="s">
        <v>1362</v>
      </c>
      <c r="BX33" s="32" t="s">
        <v>5044</v>
      </c>
      <c r="BY33" s="32" t="s">
        <v>1328</v>
      </c>
      <c r="BZ33" s="32" t="s">
        <v>1328</v>
      </c>
      <c r="CA33" s="32" t="s">
        <v>1336</v>
      </c>
      <c r="CB33" s="32" t="s">
        <v>1336</v>
      </c>
      <c r="CC33" s="32" t="s">
        <v>1336</v>
      </c>
      <c r="CD33" s="39" t="s">
        <v>5055</v>
      </c>
      <c r="CE33" s="32" t="s">
        <v>1350</v>
      </c>
      <c r="CF33" s="32" t="str">
        <f>HYPERLINK("https%3A%2F%2Fwww.webofscience.com%2Fwos%2Fwoscc%2Ffull-record%2FWOS:000330124100038","View Full Record in Web of Science")</f>
        <v>View Full Record in Web of Science</v>
      </c>
    </row>
    <row r="34" ht="12.75" customHeight="1">
      <c r="A34" s="32" t="s">
        <v>26</v>
      </c>
      <c r="B34" s="32" t="s">
        <v>3013</v>
      </c>
      <c r="C34" s="32" t="s">
        <v>1324</v>
      </c>
      <c r="D34" s="32" t="s">
        <v>1324</v>
      </c>
      <c r="E34" s="32" t="s">
        <v>1324</v>
      </c>
      <c r="F34" s="32" t="s">
        <v>1672</v>
      </c>
      <c r="G34" s="32" t="s">
        <v>1324</v>
      </c>
      <c r="H34" s="32" t="s">
        <v>1324</v>
      </c>
      <c r="I34" s="32" t="s">
        <v>1673</v>
      </c>
      <c r="J34" s="32" t="s">
        <v>126</v>
      </c>
      <c r="K34" s="32" t="s">
        <v>1324</v>
      </c>
      <c r="L34" s="32" t="s">
        <v>1324</v>
      </c>
      <c r="M34" s="32" t="s">
        <v>2364</v>
      </c>
      <c r="N34" s="32" t="s">
        <v>38</v>
      </c>
      <c r="O34" s="32" t="s">
        <v>1324</v>
      </c>
      <c r="P34" s="32" t="s">
        <v>1324</v>
      </c>
      <c r="Q34" s="32" t="s">
        <v>1324</v>
      </c>
      <c r="R34" s="32" t="s">
        <v>1324</v>
      </c>
      <c r="S34" s="32" t="s">
        <v>1324</v>
      </c>
      <c r="T34" s="32" t="s">
        <v>3014</v>
      </c>
      <c r="U34" s="32" t="s">
        <v>3015</v>
      </c>
      <c r="V34" s="32" t="s">
        <v>1674</v>
      </c>
      <c r="W34" s="32" t="s">
        <v>3016</v>
      </c>
      <c r="X34" s="32" t="s">
        <v>5111</v>
      </c>
      <c r="Y34" s="32" t="s">
        <v>3018</v>
      </c>
      <c r="Z34" s="32" t="s">
        <v>3019</v>
      </c>
      <c r="AA34" s="32" t="s">
        <v>5112</v>
      </c>
      <c r="AB34" s="32" t="s">
        <v>5113</v>
      </c>
      <c r="AC34" s="32" t="s">
        <v>3022</v>
      </c>
      <c r="AD34" s="32" t="s">
        <v>3023</v>
      </c>
      <c r="AE34" s="32" t="s">
        <v>3024</v>
      </c>
      <c r="AF34" s="32" t="s">
        <v>1324</v>
      </c>
      <c r="AG34" s="32">
        <v>56.0</v>
      </c>
      <c r="AH34" s="32">
        <v>21.0</v>
      </c>
      <c r="AI34" s="32">
        <v>21.0</v>
      </c>
      <c r="AJ34" s="32">
        <v>0.0</v>
      </c>
      <c r="AK34" s="32">
        <v>26.0</v>
      </c>
      <c r="AL34" s="32" t="s">
        <v>2464</v>
      </c>
      <c r="AM34" s="32" t="s">
        <v>2465</v>
      </c>
      <c r="AN34" s="32" t="s">
        <v>2466</v>
      </c>
      <c r="AO34" s="32" t="s">
        <v>3025</v>
      </c>
      <c r="AP34" s="32" t="s">
        <v>3026</v>
      </c>
      <c r="AQ34" s="32" t="s">
        <v>1324</v>
      </c>
      <c r="AR34" s="32" t="s">
        <v>3027</v>
      </c>
      <c r="AS34" s="32" t="s">
        <v>3028</v>
      </c>
      <c r="AT34" s="32" t="s">
        <v>2557</v>
      </c>
      <c r="AU34" s="32">
        <v>2017.0</v>
      </c>
      <c r="AV34" s="32">
        <v>62.0</v>
      </c>
      <c r="AW34" s="32">
        <v>7.0</v>
      </c>
      <c r="AX34" s="32" t="s">
        <v>1324</v>
      </c>
      <c r="AY34" s="32" t="s">
        <v>1324</v>
      </c>
      <c r="AZ34" s="32" t="s">
        <v>1324</v>
      </c>
      <c r="BA34" s="32" t="s">
        <v>1324</v>
      </c>
      <c r="BB34" s="32">
        <v>1117.0</v>
      </c>
      <c r="BC34" s="32">
        <v>1129.0</v>
      </c>
      <c r="BD34" s="32" t="s">
        <v>1324</v>
      </c>
      <c r="BE34" s="32" t="s">
        <v>1675</v>
      </c>
      <c r="BF34" s="38" t="str">
        <f>HYPERLINK("http://dx.doi.org/10.1111/fwb.12929","http://dx.doi.org/10.1111/fwb.12929")</f>
        <v>http://dx.doi.org/10.1111/fwb.12929</v>
      </c>
      <c r="BG34" s="32" t="s">
        <v>1324</v>
      </c>
      <c r="BH34" s="32" t="s">
        <v>1324</v>
      </c>
      <c r="BI34" s="32">
        <v>13.0</v>
      </c>
      <c r="BJ34" s="32" t="s">
        <v>130</v>
      </c>
      <c r="BK34" s="32" t="s">
        <v>2407</v>
      </c>
      <c r="BL34" s="32" t="s">
        <v>2516</v>
      </c>
      <c r="BM34" s="32" t="s">
        <v>3029</v>
      </c>
      <c r="BN34" s="32" t="s">
        <v>1324</v>
      </c>
      <c r="BO34" s="32" t="s">
        <v>1324</v>
      </c>
      <c r="BP34" s="32" t="s">
        <v>1324</v>
      </c>
      <c r="BQ34" s="32" t="s">
        <v>1324</v>
      </c>
      <c r="BR34" s="32" t="s">
        <v>5042</v>
      </c>
      <c r="BS34" s="32" t="s">
        <v>3030</v>
      </c>
      <c r="BT34" s="32" t="s">
        <v>1329</v>
      </c>
      <c r="BU34" s="32" t="s">
        <v>1360</v>
      </c>
      <c r="BV34" s="32" t="s">
        <v>5066</v>
      </c>
      <c r="BW34" s="32" t="s">
        <v>1530</v>
      </c>
      <c r="BX34" s="32" t="s">
        <v>5078</v>
      </c>
      <c r="BY34" s="32" t="s">
        <v>1328</v>
      </c>
      <c r="BZ34" s="32" t="s">
        <v>1336</v>
      </c>
      <c r="CA34" s="32" t="s">
        <v>1328</v>
      </c>
      <c r="CB34" s="32" t="s">
        <v>1336</v>
      </c>
      <c r="CC34" s="32" t="s">
        <v>1336</v>
      </c>
      <c r="CD34" s="39" t="s">
        <v>5070</v>
      </c>
      <c r="CE34" s="32" t="s">
        <v>1350</v>
      </c>
      <c r="CF34" s="32" t="str">
        <f>HYPERLINK("https%3A%2F%2Fwww.webofscience.com%2Fwos%2Fwoscc%2Ffull-record%2FWOS:000403021500001","View Full Record in Web of Science")</f>
        <v>View Full Record in Web of Science</v>
      </c>
    </row>
    <row r="35" ht="12.75" customHeight="1">
      <c r="A35" s="32" t="s">
        <v>26</v>
      </c>
      <c r="B35" s="32" t="s">
        <v>2930</v>
      </c>
      <c r="C35" s="32" t="s">
        <v>1324</v>
      </c>
      <c r="D35" s="32" t="s">
        <v>1324</v>
      </c>
      <c r="E35" s="32" t="s">
        <v>1324</v>
      </c>
      <c r="F35" s="32" t="s">
        <v>2088</v>
      </c>
      <c r="G35" s="32" t="s">
        <v>1324</v>
      </c>
      <c r="H35" s="32" t="s">
        <v>1324</v>
      </c>
      <c r="I35" s="32" t="s">
        <v>2089</v>
      </c>
      <c r="J35" s="32" t="s">
        <v>251</v>
      </c>
      <c r="K35" s="32" t="s">
        <v>1324</v>
      </c>
      <c r="L35" s="32" t="s">
        <v>1324</v>
      </c>
      <c r="M35" s="32" t="s">
        <v>2364</v>
      </c>
      <c r="N35" s="32" t="s">
        <v>38</v>
      </c>
      <c r="O35" s="32" t="s">
        <v>1324</v>
      </c>
      <c r="P35" s="32" t="s">
        <v>1324</v>
      </c>
      <c r="Q35" s="32" t="s">
        <v>1324</v>
      </c>
      <c r="R35" s="32" t="s">
        <v>1324</v>
      </c>
      <c r="S35" s="32" t="s">
        <v>1324</v>
      </c>
      <c r="T35" s="32" t="s">
        <v>2931</v>
      </c>
      <c r="U35" s="32" t="s">
        <v>2932</v>
      </c>
      <c r="V35" s="32" t="s">
        <v>2090</v>
      </c>
      <c r="W35" s="32" t="s">
        <v>2933</v>
      </c>
      <c r="X35" s="32" t="s">
        <v>2934</v>
      </c>
      <c r="Y35" s="32" t="s">
        <v>2935</v>
      </c>
      <c r="Z35" s="32" t="s">
        <v>2936</v>
      </c>
      <c r="AA35" s="32" t="s">
        <v>2937</v>
      </c>
      <c r="AB35" s="32" t="s">
        <v>5114</v>
      </c>
      <c r="AC35" s="32" t="s">
        <v>1324</v>
      </c>
      <c r="AD35" s="32" t="s">
        <v>1324</v>
      </c>
      <c r="AE35" s="32" t="s">
        <v>1324</v>
      </c>
      <c r="AF35" s="32" t="s">
        <v>1324</v>
      </c>
      <c r="AG35" s="32">
        <v>64.0</v>
      </c>
      <c r="AH35" s="32">
        <v>11.0</v>
      </c>
      <c r="AI35" s="32">
        <v>11.0</v>
      </c>
      <c r="AJ35" s="32">
        <v>0.0</v>
      </c>
      <c r="AK35" s="32">
        <v>48.0</v>
      </c>
      <c r="AL35" s="32" t="s">
        <v>2530</v>
      </c>
      <c r="AM35" s="32" t="s">
        <v>2509</v>
      </c>
      <c r="AN35" s="32" t="s">
        <v>2646</v>
      </c>
      <c r="AO35" s="32" t="s">
        <v>2939</v>
      </c>
      <c r="AP35" s="32" t="s">
        <v>2940</v>
      </c>
      <c r="AQ35" s="32" t="s">
        <v>1324</v>
      </c>
      <c r="AR35" s="32" t="s">
        <v>2941</v>
      </c>
      <c r="AS35" s="32" t="s">
        <v>2942</v>
      </c>
      <c r="AT35" s="32" t="s">
        <v>2927</v>
      </c>
      <c r="AU35" s="32">
        <v>2017.0</v>
      </c>
      <c r="AV35" s="32">
        <v>215.0</v>
      </c>
      <c r="AW35" s="32" t="s">
        <v>1324</v>
      </c>
      <c r="AX35" s="32" t="s">
        <v>1324</v>
      </c>
      <c r="AY35" s="32" t="s">
        <v>1324</v>
      </c>
      <c r="AZ35" s="32" t="s">
        <v>1324</v>
      </c>
      <c r="BA35" s="32" t="s">
        <v>1324</v>
      </c>
      <c r="BB35" s="32">
        <v>19.0</v>
      </c>
      <c r="BC35" s="32">
        <v>29.0</v>
      </c>
      <c r="BD35" s="32" t="s">
        <v>1324</v>
      </c>
      <c r="BE35" s="32" t="s">
        <v>2091</v>
      </c>
      <c r="BF35" s="38" t="str">
        <f>HYPERLINK("http://dx.doi.org/10.1016/j.biocon.2017.08.032","http://dx.doi.org/10.1016/j.biocon.2017.08.032")</f>
        <v>http://dx.doi.org/10.1016/j.biocon.2017.08.032</v>
      </c>
      <c r="BG35" s="32" t="s">
        <v>1324</v>
      </c>
      <c r="BH35" s="32" t="s">
        <v>1324</v>
      </c>
      <c r="BI35" s="32">
        <v>11.0</v>
      </c>
      <c r="BJ35" s="32" t="s">
        <v>255</v>
      </c>
      <c r="BK35" s="32" t="s">
        <v>2407</v>
      </c>
      <c r="BL35" s="32" t="s">
        <v>2577</v>
      </c>
      <c r="BM35" s="32" t="s">
        <v>2943</v>
      </c>
      <c r="BN35" s="32" t="s">
        <v>1324</v>
      </c>
      <c r="BO35" s="32" t="s">
        <v>2944</v>
      </c>
      <c r="BP35" s="32" t="s">
        <v>1324</v>
      </c>
      <c r="BQ35" s="32" t="s">
        <v>1324</v>
      </c>
      <c r="BR35" s="32" t="s">
        <v>5042</v>
      </c>
      <c r="BS35" s="32" t="s">
        <v>2945</v>
      </c>
      <c r="BT35" s="32" t="s">
        <v>1443</v>
      </c>
      <c r="BU35" s="32" t="s">
        <v>1360</v>
      </c>
      <c r="BV35" s="32" t="s">
        <v>5054</v>
      </c>
      <c r="BW35" s="32" t="s">
        <v>1362</v>
      </c>
      <c r="BX35" s="32" t="s">
        <v>5044</v>
      </c>
      <c r="BY35" s="32" t="s">
        <v>1328</v>
      </c>
      <c r="BZ35" s="32" t="s">
        <v>1328</v>
      </c>
      <c r="CA35" s="32" t="s">
        <v>1328</v>
      </c>
      <c r="CB35" s="32" t="s">
        <v>1336</v>
      </c>
      <c r="CC35" s="32" t="s">
        <v>1336</v>
      </c>
      <c r="CD35" s="39" t="s">
        <v>5050</v>
      </c>
      <c r="CE35" s="32" t="s">
        <v>1395</v>
      </c>
      <c r="CF35" s="32" t="str">
        <f>HYPERLINK("https%3A%2F%2Fwww.webofscience.com%2Fwos%2Fwoscc%2Ffull-record%2FWOS:000414883000003","View Full Record in Web of Science")</f>
        <v>View Full Record in Web of Science</v>
      </c>
    </row>
    <row r="36" ht="12.75" customHeight="1">
      <c r="A36" s="32" t="s">
        <v>26</v>
      </c>
      <c r="B36" s="32" t="s">
        <v>3564</v>
      </c>
      <c r="C36" s="32" t="s">
        <v>1324</v>
      </c>
      <c r="D36" s="32" t="s">
        <v>1324</v>
      </c>
      <c r="E36" s="32" t="s">
        <v>1324</v>
      </c>
      <c r="F36" s="32" t="s">
        <v>1661</v>
      </c>
      <c r="G36" s="32" t="s">
        <v>1324</v>
      </c>
      <c r="H36" s="32" t="s">
        <v>1324</v>
      </c>
      <c r="I36" s="32" t="s">
        <v>1662</v>
      </c>
      <c r="J36" s="32" t="s">
        <v>774</v>
      </c>
      <c r="K36" s="32" t="s">
        <v>1324</v>
      </c>
      <c r="L36" s="32" t="s">
        <v>1324</v>
      </c>
      <c r="M36" s="32" t="s">
        <v>2364</v>
      </c>
      <c r="N36" s="32" t="s">
        <v>38</v>
      </c>
      <c r="O36" s="32" t="s">
        <v>1324</v>
      </c>
      <c r="P36" s="32" t="s">
        <v>1324</v>
      </c>
      <c r="Q36" s="32" t="s">
        <v>1324</v>
      </c>
      <c r="R36" s="32" t="s">
        <v>1324</v>
      </c>
      <c r="S36" s="32" t="s">
        <v>1324</v>
      </c>
      <c r="T36" s="32" t="s">
        <v>3565</v>
      </c>
      <c r="U36" s="32" t="s">
        <v>3566</v>
      </c>
      <c r="V36" s="32" t="s">
        <v>1663</v>
      </c>
      <c r="W36" s="32" t="s">
        <v>3567</v>
      </c>
      <c r="X36" s="32" t="s">
        <v>3568</v>
      </c>
      <c r="Y36" s="32" t="s">
        <v>3569</v>
      </c>
      <c r="Z36" s="32" t="s">
        <v>3570</v>
      </c>
      <c r="AA36" s="32" t="s">
        <v>5115</v>
      </c>
      <c r="AB36" s="32" t="s">
        <v>5116</v>
      </c>
      <c r="AC36" s="32" t="s">
        <v>5117</v>
      </c>
      <c r="AD36" s="32" t="s">
        <v>5118</v>
      </c>
      <c r="AE36" s="32" t="s">
        <v>3575</v>
      </c>
      <c r="AF36" s="32" t="s">
        <v>1324</v>
      </c>
      <c r="AG36" s="32">
        <v>65.0</v>
      </c>
      <c r="AH36" s="32">
        <v>737.0</v>
      </c>
      <c r="AI36" s="32">
        <v>852.0</v>
      </c>
      <c r="AJ36" s="32">
        <v>42.0</v>
      </c>
      <c r="AK36" s="32">
        <v>959.0</v>
      </c>
      <c r="AL36" s="32" t="s">
        <v>2464</v>
      </c>
      <c r="AM36" s="32" t="s">
        <v>2465</v>
      </c>
      <c r="AN36" s="32" t="s">
        <v>2466</v>
      </c>
      <c r="AO36" s="32" t="s">
        <v>2923</v>
      </c>
      <c r="AP36" s="32" t="s">
        <v>2924</v>
      </c>
      <c r="AQ36" s="32" t="s">
        <v>1324</v>
      </c>
      <c r="AR36" s="32" t="s">
        <v>2925</v>
      </c>
      <c r="AS36" s="32" t="s">
        <v>2926</v>
      </c>
      <c r="AT36" s="32" t="s">
        <v>2734</v>
      </c>
      <c r="AU36" s="32">
        <v>2015.0</v>
      </c>
      <c r="AV36" s="32">
        <v>21.0</v>
      </c>
      <c r="AW36" s="32">
        <v>4.0</v>
      </c>
      <c r="AX36" s="32" t="s">
        <v>1324</v>
      </c>
      <c r="AY36" s="32" t="s">
        <v>1324</v>
      </c>
      <c r="AZ36" s="32" t="s">
        <v>1324</v>
      </c>
      <c r="BA36" s="32" t="s">
        <v>1324</v>
      </c>
      <c r="BB36" s="32">
        <v>1601.0</v>
      </c>
      <c r="BC36" s="32">
        <v>1609.0</v>
      </c>
      <c r="BD36" s="32" t="s">
        <v>1324</v>
      </c>
      <c r="BE36" s="32" t="s">
        <v>1664</v>
      </c>
      <c r="BF36" s="38" t="str">
        <f>HYPERLINK("http://dx.doi.org/10.1111/gcb.12795","http://dx.doi.org/10.1111/gcb.12795")</f>
        <v>http://dx.doi.org/10.1111/gcb.12795</v>
      </c>
      <c r="BG36" s="32" t="s">
        <v>1324</v>
      </c>
      <c r="BH36" s="32" t="s">
        <v>1324</v>
      </c>
      <c r="BI36" s="32">
        <v>9.0</v>
      </c>
      <c r="BJ36" s="32" t="s">
        <v>255</v>
      </c>
      <c r="BK36" s="32" t="s">
        <v>2407</v>
      </c>
      <c r="BL36" s="32" t="s">
        <v>2577</v>
      </c>
      <c r="BM36" s="32" t="s">
        <v>3576</v>
      </c>
      <c r="BN36" s="32">
        <v>2.5369401E7</v>
      </c>
      <c r="BO36" s="32" t="s">
        <v>2410</v>
      </c>
      <c r="BP36" s="32" t="s">
        <v>1324</v>
      </c>
      <c r="BQ36" s="32" t="s">
        <v>1324</v>
      </c>
      <c r="BR36" s="32" t="s">
        <v>5042</v>
      </c>
      <c r="BS36" s="32" t="s">
        <v>3577</v>
      </c>
      <c r="BT36" s="32" t="s">
        <v>1329</v>
      </c>
      <c r="BU36" s="32" t="s">
        <v>1360</v>
      </c>
      <c r="BV36" s="32" t="s">
        <v>5054</v>
      </c>
      <c r="BW36" s="32" t="s">
        <v>1362</v>
      </c>
      <c r="BX36" s="32" t="s">
        <v>5044</v>
      </c>
      <c r="BY36" s="32" t="s">
        <v>1328</v>
      </c>
      <c r="BZ36" s="32" t="s">
        <v>1328</v>
      </c>
      <c r="CA36" s="32" t="s">
        <v>1336</v>
      </c>
      <c r="CB36" s="32" t="s">
        <v>1336</v>
      </c>
      <c r="CC36" s="32" t="s">
        <v>1328</v>
      </c>
      <c r="CD36" s="39" t="s">
        <v>5086</v>
      </c>
      <c r="CE36" s="32" t="s">
        <v>1350</v>
      </c>
      <c r="CF36" s="32" t="str">
        <f>HYPERLINK("https%3A%2F%2Fwww.webofscience.com%2Fwos%2Fwoscc%2Ffull-record%2FWOS:000351214100022","View Full Record in Web of Science")</f>
        <v>View Full Record in Web of Science</v>
      </c>
    </row>
    <row r="37" ht="12.75" customHeight="1">
      <c r="A37" s="32" t="s">
        <v>26</v>
      </c>
      <c r="B37" s="32" t="s">
        <v>3828</v>
      </c>
      <c r="C37" s="32" t="s">
        <v>1324</v>
      </c>
      <c r="D37" s="32" t="s">
        <v>1324</v>
      </c>
      <c r="E37" s="32" t="s">
        <v>1324</v>
      </c>
      <c r="F37" s="32" t="s">
        <v>1919</v>
      </c>
      <c r="G37" s="32" t="s">
        <v>1324</v>
      </c>
      <c r="H37" s="32" t="s">
        <v>1324</v>
      </c>
      <c r="I37" s="32" t="s">
        <v>1920</v>
      </c>
      <c r="J37" s="32" t="s">
        <v>64</v>
      </c>
      <c r="K37" s="32" t="s">
        <v>1324</v>
      </c>
      <c r="L37" s="32" t="s">
        <v>1324</v>
      </c>
      <c r="M37" s="32" t="s">
        <v>2364</v>
      </c>
      <c r="N37" s="32" t="s">
        <v>38</v>
      </c>
      <c r="O37" s="32" t="s">
        <v>1324</v>
      </c>
      <c r="P37" s="32" t="s">
        <v>1324</v>
      </c>
      <c r="Q37" s="32" t="s">
        <v>1324</v>
      </c>
      <c r="R37" s="32" t="s">
        <v>1324</v>
      </c>
      <c r="S37" s="32" t="s">
        <v>1324</v>
      </c>
      <c r="T37" s="32" t="s">
        <v>3829</v>
      </c>
      <c r="U37" s="32" t="s">
        <v>3830</v>
      </c>
      <c r="V37" s="32" t="s">
        <v>1921</v>
      </c>
      <c r="W37" s="32" t="s">
        <v>3831</v>
      </c>
      <c r="X37" s="32" t="s">
        <v>3832</v>
      </c>
      <c r="Y37" s="32" t="s">
        <v>3833</v>
      </c>
      <c r="Z37" s="32" t="s">
        <v>3834</v>
      </c>
      <c r="AA37" s="32" t="s">
        <v>5119</v>
      </c>
      <c r="AB37" s="32" t="s">
        <v>3836</v>
      </c>
      <c r="AC37" s="32" t="s">
        <v>3837</v>
      </c>
      <c r="AD37" s="32" t="s">
        <v>2685</v>
      </c>
      <c r="AE37" s="32" t="s">
        <v>3838</v>
      </c>
      <c r="AF37" s="32" t="s">
        <v>1324</v>
      </c>
      <c r="AG37" s="32">
        <v>42.0</v>
      </c>
      <c r="AH37" s="32">
        <v>145.0</v>
      </c>
      <c r="AI37" s="32">
        <v>171.0</v>
      </c>
      <c r="AJ37" s="32">
        <v>7.0</v>
      </c>
      <c r="AK37" s="32">
        <v>264.0</v>
      </c>
      <c r="AL37" s="32" t="s">
        <v>2486</v>
      </c>
      <c r="AM37" s="32" t="s">
        <v>2487</v>
      </c>
      <c r="AN37" s="32" t="s">
        <v>2488</v>
      </c>
      <c r="AO37" s="32" t="s">
        <v>3045</v>
      </c>
      <c r="AP37" s="32" t="s">
        <v>3046</v>
      </c>
      <c r="AQ37" s="32" t="s">
        <v>1324</v>
      </c>
      <c r="AR37" s="32" t="s">
        <v>3047</v>
      </c>
      <c r="AS37" s="32" t="s">
        <v>3048</v>
      </c>
      <c r="AT37" s="32" t="s">
        <v>3839</v>
      </c>
      <c r="AU37" s="32">
        <v>2014.0</v>
      </c>
      <c r="AV37" s="32">
        <v>472.0</v>
      </c>
      <c r="AW37" s="32" t="s">
        <v>1324</v>
      </c>
      <c r="AX37" s="32" t="s">
        <v>1324</v>
      </c>
      <c r="AY37" s="32" t="s">
        <v>1324</v>
      </c>
      <c r="AZ37" s="32" t="s">
        <v>1324</v>
      </c>
      <c r="BA37" s="32" t="s">
        <v>1324</v>
      </c>
      <c r="BB37" s="32">
        <v>397.0</v>
      </c>
      <c r="BC37" s="32">
        <v>406.0</v>
      </c>
      <c r="BD37" s="32" t="s">
        <v>1324</v>
      </c>
      <c r="BE37" s="32" t="s">
        <v>1922</v>
      </c>
      <c r="BF37" s="38" t="str">
        <f>HYPERLINK("http://dx.doi.org/10.1016/j.scitotenv.2013.10.128","http://dx.doi.org/10.1016/j.scitotenv.2013.10.128")</f>
        <v>http://dx.doi.org/10.1016/j.scitotenv.2013.10.128</v>
      </c>
      <c r="BG37" s="32" t="s">
        <v>1324</v>
      </c>
      <c r="BH37" s="32" t="s">
        <v>1324</v>
      </c>
      <c r="BI37" s="32">
        <v>10.0</v>
      </c>
      <c r="BJ37" s="32" t="s">
        <v>68</v>
      </c>
      <c r="BK37" s="32" t="s">
        <v>2407</v>
      </c>
      <c r="BL37" s="32" t="s">
        <v>2472</v>
      </c>
      <c r="BM37" s="32" t="s">
        <v>3840</v>
      </c>
      <c r="BN37" s="32">
        <v>2.4295756E7</v>
      </c>
      <c r="BO37" s="32" t="s">
        <v>1324</v>
      </c>
      <c r="BP37" s="32" t="s">
        <v>1324</v>
      </c>
      <c r="BQ37" s="32" t="s">
        <v>1324</v>
      </c>
      <c r="BR37" s="32" t="s">
        <v>5042</v>
      </c>
      <c r="BS37" s="32" t="s">
        <v>3841</v>
      </c>
      <c r="BT37" s="32" t="s">
        <v>1329</v>
      </c>
      <c r="BU37" s="32" t="s">
        <v>1333</v>
      </c>
      <c r="BV37" s="32" t="s">
        <v>5054</v>
      </c>
      <c r="BW37" s="32" t="s">
        <v>1362</v>
      </c>
      <c r="BX37" s="32" t="s">
        <v>5044</v>
      </c>
      <c r="BY37" s="32" t="s">
        <v>1328</v>
      </c>
      <c r="BZ37" s="32" t="s">
        <v>1328</v>
      </c>
      <c r="CA37" s="32" t="s">
        <v>1336</v>
      </c>
      <c r="CB37" s="32" t="s">
        <v>1336</v>
      </c>
      <c r="CC37" s="32" t="s">
        <v>1336</v>
      </c>
      <c r="CD37" s="39" t="s">
        <v>5055</v>
      </c>
      <c r="CE37" s="32" t="s">
        <v>1404</v>
      </c>
      <c r="CF37" s="32" t="str">
        <f>HYPERLINK("https%3A%2F%2Fwww.webofscience.com%2Fwos%2Fwoscc%2Ffull-record%2FWOS:000331916100047","View Full Record in Web of Science")</f>
        <v>View Full Record in Web of Science</v>
      </c>
    </row>
    <row r="38" ht="12.75" customHeight="1">
      <c r="A38" s="32" t="s">
        <v>2433</v>
      </c>
      <c r="B38" s="32" t="s">
        <v>2434</v>
      </c>
      <c r="C38" s="32" t="s">
        <v>1324</v>
      </c>
      <c r="D38" s="32" t="s">
        <v>2435</v>
      </c>
      <c r="E38" s="32" t="s">
        <v>1324</v>
      </c>
      <c r="F38" s="32" t="s">
        <v>2264</v>
      </c>
      <c r="G38" s="32" t="s">
        <v>1324</v>
      </c>
      <c r="H38" s="32" t="s">
        <v>1324</v>
      </c>
      <c r="I38" s="32" t="s">
        <v>2266</v>
      </c>
      <c r="J38" s="32" t="s">
        <v>2265</v>
      </c>
      <c r="K38" s="32" t="s">
        <v>2436</v>
      </c>
      <c r="L38" s="32" t="s">
        <v>1324</v>
      </c>
      <c r="M38" s="32" t="s">
        <v>2364</v>
      </c>
      <c r="N38" s="32" t="s">
        <v>2437</v>
      </c>
      <c r="O38" s="32" t="s">
        <v>1324</v>
      </c>
      <c r="P38" s="32" t="s">
        <v>1324</v>
      </c>
      <c r="Q38" s="32" t="s">
        <v>1324</v>
      </c>
      <c r="R38" s="32" t="s">
        <v>1324</v>
      </c>
      <c r="S38" s="32" t="s">
        <v>1324</v>
      </c>
      <c r="T38" s="32" t="s">
        <v>1324</v>
      </c>
      <c r="U38" s="32" t="s">
        <v>2438</v>
      </c>
      <c r="V38" s="32" t="s">
        <v>1324</v>
      </c>
      <c r="W38" s="32" t="s">
        <v>2439</v>
      </c>
      <c r="X38" s="32" t="s">
        <v>2440</v>
      </c>
      <c r="Y38" s="32" t="s">
        <v>2441</v>
      </c>
      <c r="Z38" s="32" t="s">
        <v>1324</v>
      </c>
      <c r="AA38" s="32" t="s">
        <v>1324</v>
      </c>
      <c r="AB38" s="32" t="s">
        <v>1324</v>
      </c>
      <c r="AC38" s="32" t="s">
        <v>1324</v>
      </c>
      <c r="AD38" s="32" t="s">
        <v>1324</v>
      </c>
      <c r="AE38" s="32" t="s">
        <v>1324</v>
      </c>
      <c r="AF38" s="32" t="s">
        <v>1324</v>
      </c>
      <c r="AG38" s="32">
        <v>192.0</v>
      </c>
      <c r="AH38" s="32">
        <v>2.0</v>
      </c>
      <c r="AI38" s="32">
        <v>2.0</v>
      </c>
      <c r="AJ38" s="32">
        <v>1.0</v>
      </c>
      <c r="AK38" s="32">
        <v>5.0</v>
      </c>
      <c r="AL38" s="32" t="s">
        <v>2442</v>
      </c>
      <c r="AM38" s="32" t="s">
        <v>2400</v>
      </c>
      <c r="AN38" s="32" t="s">
        <v>2443</v>
      </c>
      <c r="AO38" s="32" t="s">
        <v>1324</v>
      </c>
      <c r="AP38" s="32" t="s">
        <v>1324</v>
      </c>
      <c r="AQ38" s="32" t="s">
        <v>2444</v>
      </c>
      <c r="AR38" s="32" t="s">
        <v>2445</v>
      </c>
      <c r="AS38" s="32" t="s">
        <v>1324</v>
      </c>
      <c r="AT38" s="32" t="s">
        <v>1324</v>
      </c>
      <c r="AU38" s="32">
        <v>2014.0</v>
      </c>
      <c r="AV38" s="32" t="s">
        <v>1324</v>
      </c>
      <c r="AW38" s="32" t="s">
        <v>1324</v>
      </c>
      <c r="AX38" s="32" t="s">
        <v>1324</v>
      </c>
      <c r="AY38" s="32" t="s">
        <v>1324</v>
      </c>
      <c r="AZ38" s="32" t="s">
        <v>1324</v>
      </c>
      <c r="BA38" s="32" t="s">
        <v>1324</v>
      </c>
      <c r="BB38" s="32">
        <v>113.0</v>
      </c>
      <c r="BC38" s="32">
        <v>212.0</v>
      </c>
      <c r="BD38" s="32" t="s">
        <v>1324</v>
      </c>
      <c r="BE38" s="32" t="s">
        <v>1324</v>
      </c>
      <c r="BF38" s="32" t="s">
        <v>1324</v>
      </c>
      <c r="BG38" s="32" t="s">
        <v>2446</v>
      </c>
      <c r="BH38" s="32" t="s">
        <v>1324</v>
      </c>
      <c r="BI38" s="32">
        <v>100.0</v>
      </c>
      <c r="BJ38" s="32" t="s">
        <v>2447</v>
      </c>
      <c r="BK38" s="32" t="s">
        <v>2448</v>
      </c>
      <c r="BL38" s="32" t="s">
        <v>2449</v>
      </c>
      <c r="BM38" s="32" t="s">
        <v>2450</v>
      </c>
      <c r="BN38" s="32" t="s">
        <v>1324</v>
      </c>
      <c r="BO38" s="32" t="s">
        <v>1324</v>
      </c>
      <c r="BP38" s="32" t="s">
        <v>1324</v>
      </c>
      <c r="BQ38" s="32" t="s">
        <v>1324</v>
      </c>
      <c r="BR38" s="32" t="s">
        <v>5042</v>
      </c>
      <c r="BS38" s="32" t="s">
        <v>2451</v>
      </c>
      <c r="BT38" s="32" t="s">
        <v>1329</v>
      </c>
      <c r="BU38" s="32" t="s">
        <v>1444</v>
      </c>
      <c r="BV38" s="32" t="s">
        <v>5048</v>
      </c>
      <c r="BW38" s="32" t="s">
        <v>1335</v>
      </c>
      <c r="BX38" s="32" t="s">
        <v>5101</v>
      </c>
      <c r="BY38" s="32" t="s">
        <v>1328</v>
      </c>
      <c r="BZ38" s="32" t="s">
        <v>1328</v>
      </c>
      <c r="CA38" s="32" t="s">
        <v>1328</v>
      </c>
      <c r="CB38" s="32" t="s">
        <v>1336</v>
      </c>
      <c r="CC38" s="32" t="s">
        <v>1336</v>
      </c>
      <c r="CD38" s="39" t="s">
        <v>5050</v>
      </c>
      <c r="CE38" s="32" t="s">
        <v>1350</v>
      </c>
      <c r="CF38" s="32" t="str">
        <f>HYPERLINK("https%3A%2F%2Fwww.webofscience.com%2Fwos%2Fwoscc%2Ffull-record%2FWOS:000364520200005","View Full Record in Web of Science")</f>
        <v>View Full Record in Web of Science</v>
      </c>
    </row>
    <row r="39" ht="12.75" customHeight="1">
      <c r="A39" s="32" t="s">
        <v>26</v>
      </c>
      <c r="B39" s="32" t="s">
        <v>4502</v>
      </c>
      <c r="C39" s="32" t="s">
        <v>1324</v>
      </c>
      <c r="D39" s="32" t="s">
        <v>1324</v>
      </c>
      <c r="E39" s="32" t="s">
        <v>1324</v>
      </c>
      <c r="F39" s="32" t="s">
        <v>1741</v>
      </c>
      <c r="G39" s="32" t="s">
        <v>1324</v>
      </c>
      <c r="H39" s="32" t="s">
        <v>1324</v>
      </c>
      <c r="I39" s="32" t="s">
        <v>1743</v>
      </c>
      <c r="J39" s="32" t="s">
        <v>1742</v>
      </c>
      <c r="K39" s="32" t="s">
        <v>1324</v>
      </c>
      <c r="L39" s="32" t="s">
        <v>1324</v>
      </c>
      <c r="M39" s="32" t="s">
        <v>2364</v>
      </c>
      <c r="N39" s="32" t="s">
        <v>38</v>
      </c>
      <c r="O39" s="32" t="s">
        <v>1324</v>
      </c>
      <c r="P39" s="32" t="s">
        <v>1324</v>
      </c>
      <c r="Q39" s="32" t="s">
        <v>1324</v>
      </c>
      <c r="R39" s="32" t="s">
        <v>1324</v>
      </c>
      <c r="S39" s="32" t="s">
        <v>1324</v>
      </c>
      <c r="T39" s="32" t="s">
        <v>1324</v>
      </c>
      <c r="U39" s="32" t="s">
        <v>4503</v>
      </c>
      <c r="V39" s="32" t="s">
        <v>1744</v>
      </c>
      <c r="W39" s="32" t="s">
        <v>4504</v>
      </c>
      <c r="X39" s="32" t="s">
        <v>4505</v>
      </c>
      <c r="Y39" s="32" t="s">
        <v>4506</v>
      </c>
      <c r="Z39" s="32" t="s">
        <v>4507</v>
      </c>
      <c r="AA39" s="32" t="s">
        <v>4508</v>
      </c>
      <c r="AB39" s="32" t="s">
        <v>4509</v>
      </c>
      <c r="AC39" s="32" t="s">
        <v>4510</v>
      </c>
      <c r="AD39" s="32" t="s">
        <v>4511</v>
      </c>
      <c r="AE39" s="32" t="s">
        <v>4512</v>
      </c>
      <c r="AF39" s="32" t="s">
        <v>1324</v>
      </c>
      <c r="AG39" s="32">
        <v>101.0</v>
      </c>
      <c r="AH39" s="32">
        <v>33.0</v>
      </c>
      <c r="AI39" s="32">
        <v>44.0</v>
      </c>
      <c r="AJ39" s="32">
        <v>1.0</v>
      </c>
      <c r="AK39" s="32">
        <v>56.0</v>
      </c>
      <c r="AL39" s="32" t="s">
        <v>4513</v>
      </c>
      <c r="AM39" s="32" t="s">
        <v>4514</v>
      </c>
      <c r="AN39" s="32" t="s">
        <v>4515</v>
      </c>
      <c r="AO39" s="32" t="s">
        <v>4516</v>
      </c>
      <c r="AP39" s="32" t="s">
        <v>4517</v>
      </c>
      <c r="AQ39" s="32" t="s">
        <v>1324</v>
      </c>
      <c r="AR39" s="32" t="s">
        <v>4518</v>
      </c>
      <c r="AS39" s="32" t="s">
        <v>4519</v>
      </c>
      <c r="AT39" s="32" t="s">
        <v>2515</v>
      </c>
      <c r="AU39" s="32">
        <v>2010.0</v>
      </c>
      <c r="AV39" s="32">
        <v>50.0</v>
      </c>
      <c r="AW39" s="32">
        <v>2.0</v>
      </c>
      <c r="AX39" s="32" t="s">
        <v>1324</v>
      </c>
      <c r="AY39" s="32" t="s">
        <v>1324</v>
      </c>
      <c r="AZ39" s="32" t="s">
        <v>1324</v>
      </c>
      <c r="BA39" s="32" t="s">
        <v>1324</v>
      </c>
      <c r="BB39" s="32">
        <v>201.0</v>
      </c>
      <c r="BC39" s="32">
        <v>212.0</v>
      </c>
      <c r="BD39" s="32" t="s">
        <v>1324</v>
      </c>
      <c r="BE39" s="32" t="s">
        <v>1745</v>
      </c>
      <c r="BF39" s="38" t="str">
        <f>HYPERLINK("http://dx.doi.org/10.1093/icb/icq072","http://dx.doi.org/10.1093/icb/icq072")</f>
        <v>http://dx.doi.org/10.1093/icb/icq072</v>
      </c>
      <c r="BG39" s="32" t="s">
        <v>1324</v>
      </c>
      <c r="BH39" s="32" t="s">
        <v>1324</v>
      </c>
      <c r="BI39" s="32">
        <v>12.0</v>
      </c>
      <c r="BJ39" s="32" t="s">
        <v>2691</v>
      </c>
      <c r="BK39" s="32" t="s">
        <v>2407</v>
      </c>
      <c r="BL39" s="32" t="s">
        <v>2691</v>
      </c>
      <c r="BM39" s="32" t="s">
        <v>4520</v>
      </c>
      <c r="BN39" s="32">
        <v>2.1558199E7</v>
      </c>
      <c r="BO39" s="32" t="s">
        <v>2715</v>
      </c>
      <c r="BP39" s="32" t="s">
        <v>1324</v>
      </c>
      <c r="BQ39" s="32" t="s">
        <v>1324</v>
      </c>
      <c r="BR39" s="32" t="s">
        <v>5042</v>
      </c>
      <c r="BS39" s="32" t="s">
        <v>4521</v>
      </c>
      <c r="BT39" s="32" t="s">
        <v>1443</v>
      </c>
      <c r="BU39" s="32" t="s">
        <v>1360</v>
      </c>
      <c r="BV39" s="32" t="s">
        <v>5051</v>
      </c>
      <c r="BW39" s="32" t="s">
        <v>1349</v>
      </c>
      <c r="BX39" s="32" t="s">
        <v>5062</v>
      </c>
      <c r="BY39" s="32" t="s">
        <v>1328</v>
      </c>
      <c r="BZ39" s="32" t="s">
        <v>1328</v>
      </c>
      <c r="CA39" s="32" t="s">
        <v>1328</v>
      </c>
      <c r="CB39" s="32" t="s">
        <v>1336</v>
      </c>
      <c r="CC39" s="32" t="s">
        <v>1336</v>
      </c>
      <c r="CD39" s="39" t="s">
        <v>5050</v>
      </c>
      <c r="CE39" s="32" t="s">
        <v>1395</v>
      </c>
      <c r="CF39" s="32" t="str">
        <f>HYPERLINK("https%3A%2F%2Fwww.webofscience.com%2Fwos%2Fwoscc%2Ffull-record%2FWOS:000280279800005","View Full Record in Web of Science")</f>
        <v>View Full Record in Web of Science</v>
      </c>
    </row>
    <row r="40" ht="12.75" customHeight="1">
      <c r="A40" s="32" t="s">
        <v>26</v>
      </c>
      <c r="B40" s="32" t="s">
        <v>2801</v>
      </c>
      <c r="C40" s="32" t="s">
        <v>1324</v>
      </c>
      <c r="D40" s="32" t="s">
        <v>1324</v>
      </c>
      <c r="E40" s="32" t="s">
        <v>1324</v>
      </c>
      <c r="F40" s="32" t="s">
        <v>2243</v>
      </c>
      <c r="G40" s="32" t="s">
        <v>1324</v>
      </c>
      <c r="H40" s="32" t="s">
        <v>1324</v>
      </c>
      <c r="I40" s="32" t="s">
        <v>2245</v>
      </c>
      <c r="J40" s="32" t="s">
        <v>2244</v>
      </c>
      <c r="K40" s="32" t="s">
        <v>1324</v>
      </c>
      <c r="L40" s="32" t="s">
        <v>1324</v>
      </c>
      <c r="M40" s="32" t="s">
        <v>2364</v>
      </c>
      <c r="N40" s="32" t="s">
        <v>38</v>
      </c>
      <c r="O40" s="32" t="s">
        <v>1324</v>
      </c>
      <c r="P40" s="32" t="s">
        <v>1324</v>
      </c>
      <c r="Q40" s="32" t="s">
        <v>1324</v>
      </c>
      <c r="R40" s="32" t="s">
        <v>1324</v>
      </c>
      <c r="S40" s="32" t="s">
        <v>1324</v>
      </c>
      <c r="T40" s="32" t="s">
        <v>2802</v>
      </c>
      <c r="U40" s="32" t="s">
        <v>2803</v>
      </c>
      <c r="V40" s="32" t="s">
        <v>2804</v>
      </c>
      <c r="W40" s="32" t="s">
        <v>2805</v>
      </c>
      <c r="X40" s="32" t="s">
        <v>2806</v>
      </c>
      <c r="Y40" s="32" t="s">
        <v>2807</v>
      </c>
      <c r="Z40" s="32" t="s">
        <v>2808</v>
      </c>
      <c r="AA40" s="32" t="s">
        <v>5120</v>
      </c>
      <c r="AB40" s="32" t="s">
        <v>5121</v>
      </c>
      <c r="AC40" s="32" t="s">
        <v>2811</v>
      </c>
      <c r="AD40" s="32" t="s">
        <v>2812</v>
      </c>
      <c r="AE40" s="32" t="s">
        <v>2813</v>
      </c>
      <c r="AF40" s="32" t="s">
        <v>1324</v>
      </c>
      <c r="AG40" s="32">
        <v>76.0</v>
      </c>
      <c r="AH40" s="32">
        <v>11.0</v>
      </c>
      <c r="AI40" s="32">
        <v>11.0</v>
      </c>
      <c r="AJ40" s="32">
        <v>0.0</v>
      </c>
      <c r="AK40" s="32">
        <v>16.0</v>
      </c>
      <c r="AL40" s="32" t="s">
        <v>2464</v>
      </c>
      <c r="AM40" s="32" t="s">
        <v>2465</v>
      </c>
      <c r="AN40" s="32" t="s">
        <v>2466</v>
      </c>
      <c r="AO40" s="32" t="s">
        <v>2814</v>
      </c>
      <c r="AP40" s="32" t="s">
        <v>2815</v>
      </c>
      <c r="AQ40" s="32" t="s">
        <v>1324</v>
      </c>
      <c r="AR40" s="32" t="s">
        <v>2816</v>
      </c>
      <c r="AS40" s="32" t="s">
        <v>2817</v>
      </c>
      <c r="AT40" s="32" t="s">
        <v>2818</v>
      </c>
      <c r="AU40" s="32">
        <v>2018.0</v>
      </c>
      <c r="AV40" s="32">
        <v>28.0</v>
      </c>
      <c r="AW40" s="32">
        <v>1.0</v>
      </c>
      <c r="AX40" s="32" t="s">
        <v>1324</v>
      </c>
      <c r="AY40" s="32" t="s">
        <v>1324</v>
      </c>
      <c r="AZ40" s="32" t="s">
        <v>1324</v>
      </c>
      <c r="BA40" s="32" t="s">
        <v>1324</v>
      </c>
      <c r="BB40" s="32">
        <v>55.0</v>
      </c>
      <c r="BC40" s="32">
        <v>67.0</v>
      </c>
      <c r="BD40" s="32" t="s">
        <v>1324</v>
      </c>
      <c r="BE40" s="32" t="s">
        <v>2247</v>
      </c>
      <c r="BF40" s="38" t="str">
        <f>HYPERLINK("http://dx.doi.org/10.1002/aqc.2850","http://dx.doi.org/10.1002/aqc.2850")</f>
        <v>http://dx.doi.org/10.1002/aqc.2850</v>
      </c>
      <c r="BG40" s="32" t="s">
        <v>1324</v>
      </c>
      <c r="BH40" s="32" t="s">
        <v>1324</v>
      </c>
      <c r="BI40" s="32">
        <v>13.0</v>
      </c>
      <c r="BJ40" s="32" t="s">
        <v>2819</v>
      </c>
      <c r="BK40" s="32" t="s">
        <v>2407</v>
      </c>
      <c r="BL40" s="32" t="s">
        <v>2820</v>
      </c>
      <c r="BM40" s="32" t="s">
        <v>2821</v>
      </c>
      <c r="BN40" s="32" t="s">
        <v>1324</v>
      </c>
      <c r="BO40" s="32" t="s">
        <v>1324</v>
      </c>
      <c r="BP40" s="32" t="s">
        <v>1324</v>
      </c>
      <c r="BQ40" s="32" t="s">
        <v>1324</v>
      </c>
      <c r="BR40" s="32" t="s">
        <v>5042</v>
      </c>
      <c r="BS40" s="32" t="s">
        <v>2822</v>
      </c>
      <c r="BT40" s="32" t="s">
        <v>1443</v>
      </c>
      <c r="BU40" s="32" t="s">
        <v>1333</v>
      </c>
      <c r="BV40" s="32" t="s">
        <v>5043</v>
      </c>
      <c r="BW40" s="32" t="s">
        <v>1530</v>
      </c>
      <c r="BX40" s="32" t="s">
        <v>5078</v>
      </c>
      <c r="BY40" s="32" t="s">
        <v>1328</v>
      </c>
      <c r="BZ40" s="32" t="s">
        <v>1328</v>
      </c>
      <c r="CA40" s="32" t="s">
        <v>1328</v>
      </c>
      <c r="CB40" s="32" t="s">
        <v>1328</v>
      </c>
      <c r="CC40" s="32" t="s">
        <v>1328</v>
      </c>
      <c r="CD40" s="39" t="s">
        <v>5107</v>
      </c>
      <c r="CE40" s="32" t="s">
        <v>1395</v>
      </c>
      <c r="CF40" s="32" t="str">
        <f>HYPERLINK("https%3A%2F%2Fwww.webofscience.com%2Fwos%2Fwoscc%2Ffull-record%2FWOS:000425121900007","View Full Record in Web of Science")</f>
        <v>View Full Record in Web of Science</v>
      </c>
    </row>
    <row r="41" ht="12.75" customHeight="1">
      <c r="A41" s="32" t="s">
        <v>26</v>
      </c>
      <c r="B41" s="32" t="s">
        <v>4821</v>
      </c>
      <c r="C41" s="32" t="s">
        <v>1324</v>
      </c>
      <c r="D41" s="32" t="s">
        <v>1324</v>
      </c>
      <c r="E41" s="32" t="s">
        <v>1324</v>
      </c>
      <c r="F41" s="32" t="s">
        <v>2226</v>
      </c>
      <c r="G41" s="32" t="s">
        <v>1324</v>
      </c>
      <c r="H41" s="32" t="s">
        <v>1324</v>
      </c>
      <c r="I41" s="32" t="s">
        <v>2228</v>
      </c>
      <c r="J41" s="32" t="s">
        <v>2227</v>
      </c>
      <c r="K41" s="32" t="s">
        <v>1324</v>
      </c>
      <c r="L41" s="32" t="s">
        <v>1324</v>
      </c>
      <c r="M41" s="32" t="s">
        <v>2364</v>
      </c>
      <c r="N41" s="32" t="s">
        <v>38</v>
      </c>
      <c r="O41" s="32" t="s">
        <v>1324</v>
      </c>
      <c r="P41" s="32" t="s">
        <v>1324</v>
      </c>
      <c r="Q41" s="32" t="s">
        <v>1324</v>
      </c>
      <c r="R41" s="32" t="s">
        <v>1324</v>
      </c>
      <c r="S41" s="32" t="s">
        <v>1324</v>
      </c>
      <c r="T41" s="32" t="s">
        <v>4822</v>
      </c>
      <c r="U41" s="32" t="s">
        <v>4823</v>
      </c>
      <c r="V41" s="32" t="s">
        <v>4824</v>
      </c>
      <c r="W41" s="32" t="s">
        <v>4825</v>
      </c>
      <c r="X41" s="32" t="s">
        <v>4826</v>
      </c>
      <c r="Y41" s="32" t="s">
        <v>4827</v>
      </c>
      <c r="Z41" s="32" t="s">
        <v>4828</v>
      </c>
      <c r="AA41" s="32" t="s">
        <v>5122</v>
      </c>
      <c r="AB41" s="32" t="s">
        <v>4830</v>
      </c>
      <c r="AC41" s="32" t="s">
        <v>1324</v>
      </c>
      <c r="AD41" s="32" t="s">
        <v>1324</v>
      </c>
      <c r="AE41" s="32" t="s">
        <v>1324</v>
      </c>
      <c r="AF41" s="32" t="s">
        <v>1324</v>
      </c>
      <c r="AG41" s="32">
        <v>77.0</v>
      </c>
      <c r="AH41" s="32">
        <v>105.0</v>
      </c>
      <c r="AI41" s="32">
        <v>114.0</v>
      </c>
      <c r="AJ41" s="32">
        <v>0.0</v>
      </c>
      <c r="AK41" s="32">
        <v>69.0</v>
      </c>
      <c r="AL41" s="32" t="s">
        <v>3250</v>
      </c>
      <c r="AM41" s="32" t="s">
        <v>3872</v>
      </c>
      <c r="AN41" s="32" t="s">
        <v>4831</v>
      </c>
      <c r="AO41" s="32" t="s">
        <v>4832</v>
      </c>
      <c r="AP41" s="32" t="s">
        <v>4833</v>
      </c>
      <c r="AQ41" s="32" t="s">
        <v>1324</v>
      </c>
      <c r="AR41" s="32" t="s">
        <v>2227</v>
      </c>
      <c r="AS41" s="32" t="s">
        <v>4834</v>
      </c>
      <c r="AT41" s="32" t="s">
        <v>3168</v>
      </c>
      <c r="AU41" s="32">
        <v>2007.0</v>
      </c>
      <c r="AV41" s="32">
        <v>151.0</v>
      </c>
      <c r="AW41" s="32">
        <v>3.0</v>
      </c>
      <c r="AX41" s="32" t="s">
        <v>1324</v>
      </c>
      <c r="AY41" s="32" t="s">
        <v>1324</v>
      </c>
      <c r="AZ41" s="32" t="s">
        <v>1324</v>
      </c>
      <c r="BA41" s="32" t="s">
        <v>1324</v>
      </c>
      <c r="BB41" s="32">
        <v>544.0</v>
      </c>
      <c r="BC41" s="32">
        <v>559.0</v>
      </c>
      <c r="BD41" s="32" t="s">
        <v>1324</v>
      </c>
      <c r="BE41" s="32" t="s">
        <v>2230</v>
      </c>
      <c r="BF41" s="38" t="str">
        <f>HYPERLINK("http://dx.doi.org/10.1007/s00442-006-0655-1","http://dx.doi.org/10.1007/s00442-006-0655-1")</f>
        <v>http://dx.doi.org/10.1007/s00442-006-0655-1</v>
      </c>
      <c r="BG41" s="32" t="s">
        <v>1324</v>
      </c>
      <c r="BH41" s="32" t="s">
        <v>1324</v>
      </c>
      <c r="BI41" s="32">
        <v>16.0</v>
      </c>
      <c r="BJ41" s="32" t="s">
        <v>817</v>
      </c>
      <c r="BK41" s="32" t="s">
        <v>2407</v>
      </c>
      <c r="BL41" s="32" t="s">
        <v>2472</v>
      </c>
      <c r="BM41" s="32" t="s">
        <v>4835</v>
      </c>
      <c r="BN41" s="32">
        <v>1.7242905E7</v>
      </c>
      <c r="BO41" s="32" t="s">
        <v>1324</v>
      </c>
      <c r="BP41" s="32" t="s">
        <v>1324</v>
      </c>
      <c r="BQ41" s="32" t="s">
        <v>1324</v>
      </c>
      <c r="BR41" s="32" t="s">
        <v>5042</v>
      </c>
      <c r="BS41" s="32" t="s">
        <v>4836</v>
      </c>
      <c r="BT41" s="32" t="s">
        <v>1329</v>
      </c>
      <c r="BU41" s="32" t="s">
        <v>1333</v>
      </c>
      <c r="BV41" s="32" t="s">
        <v>5066</v>
      </c>
      <c r="BW41" s="32" t="s">
        <v>1530</v>
      </c>
      <c r="BX41" s="32" t="s">
        <v>5078</v>
      </c>
      <c r="BY41" s="32" t="s">
        <v>1328</v>
      </c>
      <c r="BZ41" s="32" t="s">
        <v>1336</v>
      </c>
      <c r="CA41" s="32" t="s">
        <v>1336</v>
      </c>
      <c r="CB41" s="32" t="s">
        <v>1336</v>
      </c>
      <c r="CC41" s="32" t="s">
        <v>1328</v>
      </c>
      <c r="CD41" s="39" t="s">
        <v>5123</v>
      </c>
      <c r="CE41" s="32" t="s">
        <v>1350</v>
      </c>
      <c r="CF41" s="32" t="str">
        <f>HYPERLINK("https%3A%2F%2Fwww.webofscience.com%2Fwos%2Fwoscc%2Ffull-record%2FWOS:000244692700016","View Full Record in Web of Science")</f>
        <v>View Full Record in Web of Science</v>
      </c>
    </row>
    <row r="42" ht="12.75" customHeight="1">
      <c r="A42" s="32" t="s">
        <v>26</v>
      </c>
      <c r="B42" s="32" t="s">
        <v>3134</v>
      </c>
      <c r="C42" s="32" t="s">
        <v>1324</v>
      </c>
      <c r="D42" s="32" t="s">
        <v>1324</v>
      </c>
      <c r="E42" s="32" t="s">
        <v>1324</v>
      </c>
      <c r="F42" s="32" t="s">
        <v>1698</v>
      </c>
      <c r="G42" s="32" t="s">
        <v>1324</v>
      </c>
      <c r="H42" s="32" t="s">
        <v>1324</v>
      </c>
      <c r="I42" s="32" t="s">
        <v>1700</v>
      </c>
      <c r="J42" s="32" t="s">
        <v>1699</v>
      </c>
      <c r="K42" s="32" t="s">
        <v>1324</v>
      </c>
      <c r="L42" s="32" t="s">
        <v>1324</v>
      </c>
      <c r="M42" s="32" t="s">
        <v>2364</v>
      </c>
      <c r="N42" s="32" t="s">
        <v>38</v>
      </c>
      <c r="O42" s="32" t="s">
        <v>1324</v>
      </c>
      <c r="P42" s="32" t="s">
        <v>1324</v>
      </c>
      <c r="Q42" s="32" t="s">
        <v>1324</v>
      </c>
      <c r="R42" s="32" t="s">
        <v>1324</v>
      </c>
      <c r="S42" s="32" t="s">
        <v>1324</v>
      </c>
      <c r="T42" s="32" t="s">
        <v>3135</v>
      </c>
      <c r="U42" s="32" t="s">
        <v>3136</v>
      </c>
      <c r="V42" s="32" t="s">
        <v>1701</v>
      </c>
      <c r="W42" s="32" t="s">
        <v>3137</v>
      </c>
      <c r="X42" s="32" t="s">
        <v>3138</v>
      </c>
      <c r="Y42" s="32" t="s">
        <v>3139</v>
      </c>
      <c r="Z42" s="32" t="s">
        <v>3140</v>
      </c>
      <c r="AA42" s="32" t="s">
        <v>3141</v>
      </c>
      <c r="AB42" s="32" t="s">
        <v>3142</v>
      </c>
      <c r="AC42" s="32" t="s">
        <v>3143</v>
      </c>
      <c r="AD42" s="32" t="s">
        <v>3144</v>
      </c>
      <c r="AE42" s="32" t="s">
        <v>3145</v>
      </c>
      <c r="AF42" s="32" t="s">
        <v>1324</v>
      </c>
      <c r="AG42" s="32">
        <v>25.0</v>
      </c>
      <c r="AH42" s="32">
        <v>67.0</v>
      </c>
      <c r="AI42" s="32">
        <v>79.0</v>
      </c>
      <c r="AJ42" s="32">
        <v>4.0</v>
      </c>
      <c r="AK42" s="32">
        <v>69.0</v>
      </c>
      <c r="AL42" s="32" t="s">
        <v>2464</v>
      </c>
      <c r="AM42" s="32" t="s">
        <v>2465</v>
      </c>
      <c r="AN42" s="32" t="s">
        <v>2466</v>
      </c>
      <c r="AO42" s="32" t="s">
        <v>3146</v>
      </c>
      <c r="AP42" s="32" t="s">
        <v>1324</v>
      </c>
      <c r="AQ42" s="32" t="s">
        <v>1324</v>
      </c>
      <c r="AR42" s="32" t="s">
        <v>3147</v>
      </c>
      <c r="AS42" s="32" t="s">
        <v>3148</v>
      </c>
      <c r="AT42" s="32" t="s">
        <v>3149</v>
      </c>
      <c r="AU42" s="32">
        <v>2017.0</v>
      </c>
      <c r="AV42" s="32">
        <v>10.0</v>
      </c>
      <c r="AW42" s="32">
        <v>2.0</v>
      </c>
      <c r="AX42" s="32" t="s">
        <v>1324</v>
      </c>
      <c r="AY42" s="32" t="s">
        <v>1324</v>
      </c>
      <c r="AZ42" s="32" t="s">
        <v>1324</v>
      </c>
      <c r="BA42" s="32" t="s">
        <v>1324</v>
      </c>
      <c r="BB42" s="32">
        <v>186.0</v>
      </c>
      <c r="BC42" s="32">
        <v>194.0</v>
      </c>
      <c r="BD42" s="32" t="s">
        <v>1324</v>
      </c>
      <c r="BE42" s="32" t="s">
        <v>1702</v>
      </c>
      <c r="BF42" s="38" t="str">
        <f>HYPERLINK("http://dx.doi.org/10.1111/conl.12258","http://dx.doi.org/10.1111/conl.12258")</f>
        <v>http://dx.doi.org/10.1111/conl.12258</v>
      </c>
      <c r="BG42" s="32" t="s">
        <v>1324</v>
      </c>
      <c r="BH42" s="32" t="s">
        <v>1324</v>
      </c>
      <c r="BI42" s="32">
        <v>9.0</v>
      </c>
      <c r="BJ42" s="32" t="s">
        <v>2712</v>
      </c>
      <c r="BK42" s="32" t="s">
        <v>2407</v>
      </c>
      <c r="BL42" s="32" t="s">
        <v>2713</v>
      </c>
      <c r="BM42" s="32" t="s">
        <v>3150</v>
      </c>
      <c r="BN42" s="32" t="s">
        <v>1324</v>
      </c>
      <c r="BO42" s="32" t="s">
        <v>2598</v>
      </c>
      <c r="BP42" s="32" t="s">
        <v>1324</v>
      </c>
      <c r="BQ42" s="32" t="s">
        <v>1324</v>
      </c>
      <c r="BR42" s="32" t="s">
        <v>5042</v>
      </c>
      <c r="BS42" s="32" t="s">
        <v>3151</v>
      </c>
      <c r="BT42" s="32" t="s">
        <v>1443</v>
      </c>
      <c r="BU42" s="32" t="s">
        <v>1444</v>
      </c>
      <c r="BV42" s="32" t="s">
        <v>5048</v>
      </c>
      <c r="BW42" s="32" t="s">
        <v>1446</v>
      </c>
      <c r="BX42" s="32" t="s">
        <v>5106</v>
      </c>
      <c r="BY42" s="32" t="s">
        <v>1328</v>
      </c>
      <c r="BZ42" s="32" t="s">
        <v>1328</v>
      </c>
      <c r="CA42" s="32" t="s">
        <v>1328</v>
      </c>
      <c r="CB42" s="32" t="s">
        <v>1328</v>
      </c>
      <c r="CC42" s="32" t="s">
        <v>1328</v>
      </c>
      <c r="CD42" s="39" t="s">
        <v>5107</v>
      </c>
      <c r="CE42" s="32" t="s">
        <v>1395</v>
      </c>
      <c r="CF42" s="32" t="str">
        <f>HYPERLINK("https%3A%2F%2Fwww.webofscience.com%2Fwos%2Fwoscc%2Ffull-record%2FWOS:000398563500003","View Full Record in Web of Science")</f>
        <v>View Full Record in Web of Science</v>
      </c>
    </row>
    <row r="43" ht="12.75" customHeight="1">
      <c r="A43" s="32" t="s">
        <v>26</v>
      </c>
      <c r="B43" s="32" t="s">
        <v>2779</v>
      </c>
      <c r="C43" s="32" t="s">
        <v>1324</v>
      </c>
      <c r="D43" s="32" t="s">
        <v>1324</v>
      </c>
      <c r="E43" s="32" t="s">
        <v>1324</v>
      </c>
      <c r="F43" s="32" t="s">
        <v>1774</v>
      </c>
      <c r="G43" s="32" t="s">
        <v>1324</v>
      </c>
      <c r="H43" s="32" t="s">
        <v>1324</v>
      </c>
      <c r="I43" s="32" t="s">
        <v>1775</v>
      </c>
      <c r="J43" s="32" t="s">
        <v>37</v>
      </c>
      <c r="K43" s="32" t="s">
        <v>1324</v>
      </c>
      <c r="L43" s="32" t="s">
        <v>1324</v>
      </c>
      <c r="M43" s="32" t="s">
        <v>2364</v>
      </c>
      <c r="N43" s="32" t="s">
        <v>38</v>
      </c>
      <c r="O43" s="32" t="s">
        <v>1324</v>
      </c>
      <c r="P43" s="32" t="s">
        <v>1324</v>
      </c>
      <c r="Q43" s="32" t="s">
        <v>1324</v>
      </c>
      <c r="R43" s="32" t="s">
        <v>1324</v>
      </c>
      <c r="S43" s="32" t="s">
        <v>1324</v>
      </c>
      <c r="T43" s="32" t="s">
        <v>2780</v>
      </c>
      <c r="U43" s="32" t="s">
        <v>2781</v>
      </c>
      <c r="V43" s="32" t="s">
        <v>1776</v>
      </c>
      <c r="W43" s="32" t="s">
        <v>2782</v>
      </c>
      <c r="X43" s="32" t="s">
        <v>2783</v>
      </c>
      <c r="Y43" s="32" t="s">
        <v>2784</v>
      </c>
      <c r="Z43" s="32" t="s">
        <v>2785</v>
      </c>
      <c r="AA43" s="32" t="s">
        <v>5124</v>
      </c>
      <c r="AB43" s="32" t="s">
        <v>5125</v>
      </c>
      <c r="AC43" s="32" t="s">
        <v>2788</v>
      </c>
      <c r="AD43" s="32" t="s">
        <v>2789</v>
      </c>
      <c r="AE43" s="32" t="s">
        <v>2790</v>
      </c>
      <c r="AF43" s="32" t="s">
        <v>1324</v>
      </c>
      <c r="AG43" s="32">
        <v>45.0</v>
      </c>
      <c r="AH43" s="32">
        <v>162.0</v>
      </c>
      <c r="AI43" s="32">
        <v>188.0</v>
      </c>
      <c r="AJ43" s="32">
        <v>4.0</v>
      </c>
      <c r="AK43" s="32">
        <v>141.0</v>
      </c>
      <c r="AL43" s="32" t="s">
        <v>2791</v>
      </c>
      <c r="AM43" s="32" t="s">
        <v>2792</v>
      </c>
      <c r="AN43" s="32" t="s">
        <v>2793</v>
      </c>
      <c r="AO43" s="32" t="s">
        <v>2794</v>
      </c>
      <c r="AP43" s="32" t="s">
        <v>2795</v>
      </c>
      <c r="AQ43" s="32" t="s">
        <v>1324</v>
      </c>
      <c r="AR43" s="32" t="s">
        <v>2796</v>
      </c>
      <c r="AS43" s="32" t="s">
        <v>2797</v>
      </c>
      <c r="AT43" s="32" t="s">
        <v>2798</v>
      </c>
      <c r="AU43" s="32">
        <v>2018.0</v>
      </c>
      <c r="AV43" s="32">
        <v>115.0</v>
      </c>
      <c r="AW43" s="32">
        <v>8.0</v>
      </c>
      <c r="AX43" s="32" t="s">
        <v>1324</v>
      </c>
      <c r="AY43" s="32" t="s">
        <v>1324</v>
      </c>
      <c r="AZ43" s="32" t="s">
        <v>1324</v>
      </c>
      <c r="BA43" s="32" t="s">
        <v>1324</v>
      </c>
      <c r="BB43" s="32">
        <v>1831.0</v>
      </c>
      <c r="BC43" s="32">
        <v>1836.0</v>
      </c>
      <c r="BD43" s="32" t="s">
        <v>1324</v>
      </c>
      <c r="BE43" s="32" t="s">
        <v>1777</v>
      </c>
      <c r="BF43" s="38" t="str">
        <f>HYPERLINK("http://dx.doi.org/10.1073/pnas.1711122115","http://dx.doi.org/10.1073/pnas.1711122115")</f>
        <v>http://dx.doi.org/10.1073/pnas.1711122115</v>
      </c>
      <c r="BG43" s="32" t="s">
        <v>1324</v>
      </c>
      <c r="BH43" s="32" t="s">
        <v>1324</v>
      </c>
      <c r="BI43" s="32">
        <v>6.0</v>
      </c>
      <c r="BJ43" s="32" t="s">
        <v>42</v>
      </c>
      <c r="BK43" s="32" t="s">
        <v>2407</v>
      </c>
      <c r="BL43" s="32" t="s">
        <v>2430</v>
      </c>
      <c r="BM43" s="32" t="s">
        <v>2799</v>
      </c>
      <c r="BN43" s="32">
        <v>2.9358389E7</v>
      </c>
      <c r="BO43" s="32" t="s">
        <v>2715</v>
      </c>
      <c r="BP43" s="32" t="s">
        <v>1324</v>
      </c>
      <c r="BQ43" s="32" t="s">
        <v>1324</v>
      </c>
      <c r="BR43" s="32" t="s">
        <v>5042</v>
      </c>
      <c r="BS43" s="32" t="s">
        <v>2800</v>
      </c>
      <c r="BT43" s="32" t="s">
        <v>1329</v>
      </c>
      <c r="BU43" s="32" t="s">
        <v>1360</v>
      </c>
      <c r="BV43" s="32" t="s">
        <v>5051</v>
      </c>
      <c r="BW43" s="32" t="s">
        <v>1349</v>
      </c>
      <c r="BX43" s="32" t="s">
        <v>5062</v>
      </c>
      <c r="BY43" s="32" t="s">
        <v>1328</v>
      </c>
      <c r="BZ43" s="32" t="s">
        <v>1336</v>
      </c>
      <c r="CA43" s="32" t="s">
        <v>1328</v>
      </c>
      <c r="CB43" s="32" t="s">
        <v>1336</v>
      </c>
      <c r="CC43" s="32" t="s">
        <v>1336</v>
      </c>
      <c r="CD43" s="39" t="s">
        <v>5070</v>
      </c>
      <c r="CE43" s="32" t="s">
        <v>1350</v>
      </c>
      <c r="CF43" s="32" t="str">
        <f>HYPERLINK("https%3A%2F%2Fwww.webofscience.com%2Fwos%2Fwoscc%2Ffull-record%2FWOS:000425495000061","View Full Record in Web of Science")</f>
        <v>View Full Record in Web of Science</v>
      </c>
    </row>
    <row r="44" ht="12.75" customHeight="1">
      <c r="A44" s="32" t="s">
        <v>26</v>
      </c>
      <c r="B44" s="32" t="s">
        <v>3191</v>
      </c>
      <c r="C44" s="32" t="s">
        <v>1324</v>
      </c>
      <c r="D44" s="32" t="s">
        <v>1324</v>
      </c>
      <c r="E44" s="32" t="s">
        <v>1324</v>
      </c>
      <c r="F44" s="32" t="s">
        <v>1557</v>
      </c>
      <c r="G44" s="32" t="s">
        <v>1324</v>
      </c>
      <c r="H44" s="32" t="s">
        <v>1324</v>
      </c>
      <c r="I44" s="32" t="s">
        <v>1559</v>
      </c>
      <c r="J44" s="32" t="s">
        <v>1558</v>
      </c>
      <c r="K44" s="32" t="s">
        <v>1324</v>
      </c>
      <c r="L44" s="32" t="s">
        <v>1324</v>
      </c>
      <c r="M44" s="32" t="s">
        <v>2364</v>
      </c>
      <c r="N44" s="32" t="s">
        <v>38</v>
      </c>
      <c r="O44" s="32" t="s">
        <v>1324</v>
      </c>
      <c r="P44" s="32" t="s">
        <v>1324</v>
      </c>
      <c r="Q44" s="32" t="s">
        <v>1324</v>
      </c>
      <c r="R44" s="32" t="s">
        <v>1324</v>
      </c>
      <c r="S44" s="32" t="s">
        <v>1324</v>
      </c>
      <c r="T44" s="32" t="s">
        <v>3192</v>
      </c>
      <c r="U44" s="32" t="s">
        <v>3193</v>
      </c>
      <c r="V44" s="32" t="s">
        <v>3194</v>
      </c>
      <c r="W44" s="32" t="s">
        <v>3195</v>
      </c>
      <c r="X44" s="32" t="s">
        <v>3196</v>
      </c>
      <c r="Y44" s="32" t="s">
        <v>3197</v>
      </c>
      <c r="Z44" s="32" t="s">
        <v>3198</v>
      </c>
      <c r="AA44" s="32" t="s">
        <v>5126</v>
      </c>
      <c r="AB44" s="32" t="s">
        <v>5127</v>
      </c>
      <c r="AC44" s="32" t="s">
        <v>3201</v>
      </c>
      <c r="AD44" s="32" t="s">
        <v>3202</v>
      </c>
      <c r="AE44" s="32" t="s">
        <v>3203</v>
      </c>
      <c r="AF44" s="32" t="s">
        <v>1324</v>
      </c>
      <c r="AG44" s="32">
        <v>67.0</v>
      </c>
      <c r="AH44" s="32">
        <v>36.0</v>
      </c>
      <c r="AI44" s="32">
        <v>39.0</v>
      </c>
      <c r="AJ44" s="32">
        <v>1.0</v>
      </c>
      <c r="AK44" s="32">
        <v>51.0</v>
      </c>
      <c r="AL44" s="32" t="s">
        <v>2464</v>
      </c>
      <c r="AM44" s="32" t="s">
        <v>2465</v>
      </c>
      <c r="AN44" s="32" t="s">
        <v>2466</v>
      </c>
      <c r="AO44" s="32" t="s">
        <v>3204</v>
      </c>
      <c r="AP44" s="32" t="s">
        <v>3205</v>
      </c>
      <c r="AQ44" s="32" t="s">
        <v>1324</v>
      </c>
      <c r="AR44" s="32" t="s">
        <v>3206</v>
      </c>
      <c r="AS44" s="32" t="s">
        <v>3207</v>
      </c>
      <c r="AT44" s="32" t="s">
        <v>3208</v>
      </c>
      <c r="AU44" s="32">
        <v>2017.0</v>
      </c>
      <c r="AV44" s="32">
        <v>44.0</v>
      </c>
      <c r="AW44" s="32">
        <v>1.0</v>
      </c>
      <c r="AX44" s="32" t="s">
        <v>1324</v>
      </c>
      <c r="AY44" s="32" t="s">
        <v>1324</v>
      </c>
      <c r="AZ44" s="32" t="s">
        <v>1324</v>
      </c>
      <c r="BA44" s="32" t="s">
        <v>1324</v>
      </c>
      <c r="BB44" s="32">
        <v>111.0</v>
      </c>
      <c r="BC44" s="32">
        <v>121.0</v>
      </c>
      <c r="BD44" s="32" t="s">
        <v>1324</v>
      </c>
      <c r="BE44" s="32" t="s">
        <v>1561</v>
      </c>
      <c r="BF44" s="38" t="str">
        <f>HYPERLINK("http://dx.doi.org/10.1111/jbi.12808","http://dx.doi.org/10.1111/jbi.12808")</f>
        <v>http://dx.doi.org/10.1111/jbi.12808</v>
      </c>
      <c r="BG44" s="32" t="s">
        <v>1324</v>
      </c>
      <c r="BH44" s="32" t="s">
        <v>1324</v>
      </c>
      <c r="BI44" s="32">
        <v>11.0</v>
      </c>
      <c r="BJ44" s="32" t="s">
        <v>1257</v>
      </c>
      <c r="BK44" s="32" t="s">
        <v>2407</v>
      </c>
      <c r="BL44" s="32" t="s">
        <v>2840</v>
      </c>
      <c r="BM44" s="32" t="s">
        <v>3209</v>
      </c>
      <c r="BN44" s="32" t="s">
        <v>1324</v>
      </c>
      <c r="BO44" s="32" t="s">
        <v>1324</v>
      </c>
      <c r="BP44" s="32" t="s">
        <v>1324</v>
      </c>
      <c r="BQ44" s="32" t="s">
        <v>1324</v>
      </c>
      <c r="BR44" s="32" t="s">
        <v>5042</v>
      </c>
      <c r="BS44" s="32" t="s">
        <v>3210</v>
      </c>
      <c r="BT44" s="32" t="s">
        <v>1329</v>
      </c>
      <c r="BU44" s="32" t="s">
        <v>1444</v>
      </c>
      <c r="BV44" s="32" t="s">
        <v>5048</v>
      </c>
      <c r="BW44" s="32" t="s">
        <v>1464</v>
      </c>
      <c r="BX44" s="32" t="s">
        <v>5049</v>
      </c>
      <c r="BY44" s="32" t="s">
        <v>1328</v>
      </c>
      <c r="BZ44" s="32" t="s">
        <v>1336</v>
      </c>
      <c r="CA44" s="32" t="s">
        <v>1336</v>
      </c>
      <c r="CB44" s="32" t="s">
        <v>1328</v>
      </c>
      <c r="CC44" s="32" t="s">
        <v>1336</v>
      </c>
      <c r="CD44" s="39" t="s">
        <v>5128</v>
      </c>
      <c r="CE44" s="32" t="s">
        <v>1350</v>
      </c>
      <c r="CF44" s="32" t="str">
        <f>HYPERLINK("https%3A%2F%2Fwww.webofscience.com%2Fwos%2Fwoscc%2Ffull-record%2FWOS:000391956900011","View Full Record in Web of Science")</f>
        <v>View Full Record in Web of Science</v>
      </c>
    </row>
    <row r="45" ht="12.75" customHeight="1">
      <c r="A45" s="32" t="s">
        <v>26</v>
      </c>
      <c r="B45" s="32" t="s">
        <v>2498</v>
      </c>
      <c r="C45" s="32" t="s">
        <v>1324</v>
      </c>
      <c r="D45" s="32" t="s">
        <v>1324</v>
      </c>
      <c r="E45" s="32" t="s">
        <v>1324</v>
      </c>
      <c r="F45" s="32" t="s">
        <v>1954</v>
      </c>
      <c r="G45" s="32" t="s">
        <v>1324</v>
      </c>
      <c r="H45" s="32" t="s">
        <v>1324</v>
      </c>
      <c r="I45" s="32" t="s">
        <v>1955</v>
      </c>
      <c r="J45" s="32" t="s">
        <v>260</v>
      </c>
      <c r="K45" s="32" t="s">
        <v>1324</v>
      </c>
      <c r="L45" s="32" t="s">
        <v>1324</v>
      </c>
      <c r="M45" s="32" t="s">
        <v>2364</v>
      </c>
      <c r="N45" s="32" t="s">
        <v>38</v>
      </c>
      <c r="O45" s="32" t="s">
        <v>1324</v>
      </c>
      <c r="P45" s="32" t="s">
        <v>1324</v>
      </c>
      <c r="Q45" s="32" t="s">
        <v>1324</v>
      </c>
      <c r="R45" s="32" t="s">
        <v>1324</v>
      </c>
      <c r="S45" s="32" t="s">
        <v>1324</v>
      </c>
      <c r="T45" s="32" t="s">
        <v>2499</v>
      </c>
      <c r="U45" s="32" t="s">
        <v>2500</v>
      </c>
      <c r="V45" s="32" t="s">
        <v>1956</v>
      </c>
      <c r="W45" s="32" t="s">
        <v>2501</v>
      </c>
      <c r="X45" s="32" t="s">
        <v>2502</v>
      </c>
      <c r="Y45" s="32" t="s">
        <v>2503</v>
      </c>
      <c r="Z45" s="32" t="s">
        <v>2504</v>
      </c>
      <c r="AA45" s="32" t="s">
        <v>1324</v>
      </c>
      <c r="AB45" s="32" t="s">
        <v>1324</v>
      </c>
      <c r="AC45" s="32" t="s">
        <v>2505</v>
      </c>
      <c r="AD45" s="32" t="s">
        <v>2506</v>
      </c>
      <c r="AE45" s="32" t="s">
        <v>2507</v>
      </c>
      <c r="AF45" s="32" t="s">
        <v>1324</v>
      </c>
      <c r="AG45" s="32">
        <v>60.0</v>
      </c>
      <c r="AH45" s="32">
        <v>17.0</v>
      </c>
      <c r="AI45" s="32">
        <v>22.0</v>
      </c>
      <c r="AJ45" s="32">
        <v>1.0</v>
      </c>
      <c r="AK45" s="32">
        <v>71.0</v>
      </c>
      <c r="AL45" s="32" t="s">
        <v>2508</v>
      </c>
      <c r="AM45" s="32" t="s">
        <v>2509</v>
      </c>
      <c r="AN45" s="32" t="s">
        <v>2510</v>
      </c>
      <c r="AO45" s="32" t="s">
        <v>2511</v>
      </c>
      <c r="AP45" s="32" t="s">
        <v>2512</v>
      </c>
      <c r="AQ45" s="32" t="s">
        <v>1324</v>
      </c>
      <c r="AR45" s="32" t="s">
        <v>2513</v>
      </c>
      <c r="AS45" s="32" t="s">
        <v>2514</v>
      </c>
      <c r="AT45" s="32" t="s">
        <v>2515</v>
      </c>
      <c r="AU45" s="32">
        <v>2018.0</v>
      </c>
      <c r="AV45" s="32">
        <v>133.0</v>
      </c>
      <c r="AW45" s="32" t="s">
        <v>1324</v>
      </c>
      <c r="AX45" s="32" t="s">
        <v>1324</v>
      </c>
      <c r="AY45" s="32" t="s">
        <v>1324</v>
      </c>
      <c r="AZ45" s="32" t="s">
        <v>1324</v>
      </c>
      <c r="BA45" s="32" t="s">
        <v>1324</v>
      </c>
      <c r="BB45" s="32">
        <v>956.0</v>
      </c>
      <c r="BC45" s="32">
        <v>969.0</v>
      </c>
      <c r="BD45" s="32" t="s">
        <v>1324</v>
      </c>
      <c r="BE45" s="32" t="s">
        <v>1957</v>
      </c>
      <c r="BF45" s="38" t="str">
        <f>HYPERLINK("http://dx.doi.org/10.1016/j.marpolbul.2018.04.065","http://dx.doi.org/10.1016/j.marpolbul.2018.04.065")</f>
        <v>http://dx.doi.org/10.1016/j.marpolbul.2018.04.065</v>
      </c>
      <c r="BG45" s="32" t="s">
        <v>1324</v>
      </c>
      <c r="BH45" s="32" t="s">
        <v>1324</v>
      </c>
      <c r="BI45" s="32">
        <v>14.0</v>
      </c>
      <c r="BJ45" s="32" t="s">
        <v>148</v>
      </c>
      <c r="BK45" s="32" t="s">
        <v>2407</v>
      </c>
      <c r="BL45" s="32" t="s">
        <v>2516</v>
      </c>
      <c r="BM45" s="32" t="s">
        <v>2517</v>
      </c>
      <c r="BN45" s="32">
        <v>2.9778407E7</v>
      </c>
      <c r="BO45" s="32" t="s">
        <v>1324</v>
      </c>
      <c r="BP45" s="32" t="s">
        <v>1324</v>
      </c>
      <c r="BQ45" s="32" t="s">
        <v>1324</v>
      </c>
      <c r="BR45" s="32" t="s">
        <v>5042</v>
      </c>
      <c r="BS45" s="32" t="s">
        <v>2518</v>
      </c>
      <c r="BT45" s="32" t="s">
        <v>1329</v>
      </c>
      <c r="BU45" s="32" t="s">
        <v>1333</v>
      </c>
      <c r="BV45" s="32" t="s">
        <v>5054</v>
      </c>
      <c r="BW45" s="32" t="s">
        <v>1349</v>
      </c>
      <c r="BX45" s="32" t="s">
        <v>5062</v>
      </c>
      <c r="BY45" s="32" t="s">
        <v>1328</v>
      </c>
      <c r="BZ45" s="32" t="s">
        <v>1328</v>
      </c>
      <c r="CA45" s="32" t="s">
        <v>1328</v>
      </c>
      <c r="CB45" s="32" t="s">
        <v>1336</v>
      </c>
      <c r="CC45" s="32" t="s">
        <v>1328</v>
      </c>
      <c r="CD45" s="39" t="s">
        <v>5063</v>
      </c>
      <c r="CE45" s="32" t="s">
        <v>1350</v>
      </c>
      <c r="CF45" s="32" t="str">
        <f>HYPERLINK("https%3A%2F%2Fwww.webofscience.com%2Fwos%2Fwoscc%2Ffull-record%2FWOS:000441853600107","View Full Record in Web of Science")</f>
        <v>View Full Record in Web of Science</v>
      </c>
    </row>
    <row r="46" ht="12.75" customHeight="1">
      <c r="A46" s="32" t="s">
        <v>26</v>
      </c>
      <c r="B46" s="32" t="s">
        <v>4542</v>
      </c>
      <c r="C46" s="32" t="s">
        <v>1324</v>
      </c>
      <c r="D46" s="32" t="s">
        <v>1324</v>
      </c>
      <c r="E46" s="32" t="s">
        <v>1324</v>
      </c>
      <c r="F46" s="32" t="s">
        <v>2259</v>
      </c>
      <c r="G46" s="32" t="s">
        <v>1324</v>
      </c>
      <c r="H46" s="32" t="s">
        <v>1324</v>
      </c>
      <c r="I46" s="32" t="s">
        <v>2260</v>
      </c>
      <c r="J46" s="32" t="s">
        <v>2244</v>
      </c>
      <c r="K46" s="32" t="s">
        <v>1324</v>
      </c>
      <c r="L46" s="32" t="s">
        <v>1324</v>
      </c>
      <c r="M46" s="32" t="s">
        <v>2364</v>
      </c>
      <c r="N46" s="32" t="s">
        <v>38</v>
      </c>
      <c r="O46" s="32" t="s">
        <v>1324</v>
      </c>
      <c r="P46" s="32" t="s">
        <v>1324</v>
      </c>
      <c r="Q46" s="32" t="s">
        <v>1324</v>
      </c>
      <c r="R46" s="32" t="s">
        <v>1324</v>
      </c>
      <c r="S46" s="32" t="s">
        <v>1324</v>
      </c>
      <c r="T46" s="32" t="s">
        <v>4543</v>
      </c>
      <c r="U46" s="32" t="s">
        <v>4544</v>
      </c>
      <c r="V46" s="32" t="s">
        <v>4545</v>
      </c>
      <c r="W46" s="32" t="s">
        <v>4546</v>
      </c>
      <c r="X46" s="32" t="s">
        <v>4547</v>
      </c>
      <c r="Y46" s="32" t="s">
        <v>4548</v>
      </c>
      <c r="Z46" s="32" t="s">
        <v>4549</v>
      </c>
      <c r="AA46" s="32" t="s">
        <v>5129</v>
      </c>
      <c r="AB46" s="32" t="s">
        <v>5130</v>
      </c>
      <c r="AC46" s="32" t="s">
        <v>4552</v>
      </c>
      <c r="AD46" s="32" t="s">
        <v>4553</v>
      </c>
      <c r="AE46" s="32" t="s">
        <v>4554</v>
      </c>
      <c r="AF46" s="32" t="s">
        <v>1324</v>
      </c>
      <c r="AG46" s="32">
        <v>85.0</v>
      </c>
      <c r="AH46" s="32">
        <v>24.0</v>
      </c>
      <c r="AI46" s="32">
        <v>25.0</v>
      </c>
      <c r="AJ46" s="32">
        <v>0.0</v>
      </c>
      <c r="AK46" s="32">
        <v>54.0</v>
      </c>
      <c r="AL46" s="32" t="s">
        <v>2464</v>
      </c>
      <c r="AM46" s="32" t="s">
        <v>2465</v>
      </c>
      <c r="AN46" s="32" t="s">
        <v>2466</v>
      </c>
      <c r="AO46" s="32" t="s">
        <v>2814</v>
      </c>
      <c r="AP46" s="32" t="s">
        <v>2815</v>
      </c>
      <c r="AQ46" s="32" t="s">
        <v>1324</v>
      </c>
      <c r="AR46" s="32" t="s">
        <v>2816</v>
      </c>
      <c r="AS46" s="32" t="s">
        <v>2817</v>
      </c>
      <c r="AT46" s="32" t="s">
        <v>2651</v>
      </c>
      <c r="AU46" s="32">
        <v>2010.0</v>
      </c>
      <c r="AV46" s="32">
        <v>20.0</v>
      </c>
      <c r="AW46" s="32">
        <v>3.0</v>
      </c>
      <c r="AX46" s="32" t="s">
        <v>1324</v>
      </c>
      <c r="AY46" s="32" t="s">
        <v>1324</v>
      </c>
      <c r="AZ46" s="32" t="s">
        <v>1324</v>
      </c>
      <c r="BA46" s="32" t="s">
        <v>1324</v>
      </c>
      <c r="BB46" s="32">
        <v>297.0</v>
      </c>
      <c r="BC46" s="32">
        <v>311.0</v>
      </c>
      <c r="BD46" s="32" t="s">
        <v>1324</v>
      </c>
      <c r="BE46" s="32" t="s">
        <v>2262</v>
      </c>
      <c r="BF46" s="38" t="str">
        <f>HYPERLINK("http://dx.doi.org/10.1002/aqc.1079","http://dx.doi.org/10.1002/aqc.1079")</f>
        <v>http://dx.doi.org/10.1002/aqc.1079</v>
      </c>
      <c r="BG46" s="32" t="s">
        <v>1324</v>
      </c>
      <c r="BH46" s="32" t="s">
        <v>1324</v>
      </c>
      <c r="BI46" s="32">
        <v>15.0</v>
      </c>
      <c r="BJ46" s="32" t="s">
        <v>2819</v>
      </c>
      <c r="BK46" s="32" t="s">
        <v>2407</v>
      </c>
      <c r="BL46" s="32" t="s">
        <v>2820</v>
      </c>
      <c r="BM46" s="32" t="s">
        <v>4555</v>
      </c>
      <c r="BN46" s="32" t="s">
        <v>1324</v>
      </c>
      <c r="BO46" s="32" t="s">
        <v>1324</v>
      </c>
      <c r="BP46" s="32" t="s">
        <v>1324</v>
      </c>
      <c r="BQ46" s="32" t="s">
        <v>1324</v>
      </c>
      <c r="BR46" s="32" t="s">
        <v>5042</v>
      </c>
      <c r="BS46" s="32" t="s">
        <v>4556</v>
      </c>
      <c r="BT46" s="32" t="s">
        <v>1443</v>
      </c>
      <c r="BU46" s="32" t="s">
        <v>1333</v>
      </c>
      <c r="BV46" s="32" t="s">
        <v>5054</v>
      </c>
      <c r="BW46" s="32" t="s">
        <v>1349</v>
      </c>
      <c r="BX46" s="32" t="s">
        <v>5062</v>
      </c>
      <c r="BY46" s="32" t="s">
        <v>1328</v>
      </c>
      <c r="BZ46" s="32" t="s">
        <v>1328</v>
      </c>
      <c r="CA46" s="32" t="s">
        <v>1328</v>
      </c>
      <c r="CB46" s="32" t="s">
        <v>1328</v>
      </c>
      <c r="CC46" s="32" t="s">
        <v>1328</v>
      </c>
      <c r="CD46" s="39" t="s">
        <v>5107</v>
      </c>
      <c r="CE46" s="32" t="s">
        <v>1395</v>
      </c>
      <c r="CF46" s="32" t="str">
        <f>HYPERLINK("https%3A%2F%2Fwww.webofscience.com%2Fwos%2Fwoscc%2Ffull-record%2FWOS:000277830200007","View Full Record in Web of Science")</f>
        <v>View Full Record in Web of Science</v>
      </c>
    </row>
    <row r="47" ht="12.75" customHeight="1">
      <c r="A47" s="32" t="s">
        <v>26</v>
      </c>
      <c r="B47" s="32" t="s">
        <v>4438</v>
      </c>
      <c r="C47" s="32" t="s">
        <v>1324</v>
      </c>
      <c r="D47" s="32" t="s">
        <v>1324</v>
      </c>
      <c r="E47" s="32" t="s">
        <v>1324</v>
      </c>
      <c r="F47" s="32" t="s">
        <v>1603</v>
      </c>
      <c r="G47" s="32" t="s">
        <v>1324</v>
      </c>
      <c r="H47" s="32" t="s">
        <v>1324</v>
      </c>
      <c r="I47" s="32" t="s">
        <v>1604</v>
      </c>
      <c r="J47" s="32" t="s">
        <v>1253</v>
      </c>
      <c r="K47" s="32" t="s">
        <v>1324</v>
      </c>
      <c r="L47" s="32" t="s">
        <v>1324</v>
      </c>
      <c r="M47" s="32" t="s">
        <v>2364</v>
      </c>
      <c r="N47" s="32" t="s">
        <v>38</v>
      </c>
      <c r="O47" s="32" t="s">
        <v>1324</v>
      </c>
      <c r="P47" s="32" t="s">
        <v>1324</v>
      </c>
      <c r="Q47" s="32" t="s">
        <v>1324</v>
      </c>
      <c r="R47" s="32" t="s">
        <v>1324</v>
      </c>
      <c r="S47" s="32" t="s">
        <v>1324</v>
      </c>
      <c r="T47" s="32" t="s">
        <v>4439</v>
      </c>
      <c r="U47" s="32" t="s">
        <v>4440</v>
      </c>
      <c r="V47" s="32" t="s">
        <v>4441</v>
      </c>
      <c r="W47" s="32" t="s">
        <v>4442</v>
      </c>
      <c r="X47" s="32" t="s">
        <v>4443</v>
      </c>
      <c r="Y47" s="32" t="s">
        <v>4444</v>
      </c>
      <c r="Z47" s="32" t="s">
        <v>4445</v>
      </c>
      <c r="AA47" s="32" t="s">
        <v>5131</v>
      </c>
      <c r="AB47" s="32" t="s">
        <v>5132</v>
      </c>
      <c r="AC47" s="32" t="s">
        <v>1324</v>
      </c>
      <c r="AD47" s="32" t="s">
        <v>1324</v>
      </c>
      <c r="AE47" s="32" t="s">
        <v>1324</v>
      </c>
      <c r="AF47" s="32" t="s">
        <v>1324</v>
      </c>
      <c r="AG47" s="32">
        <v>51.0</v>
      </c>
      <c r="AH47" s="32">
        <v>408.0</v>
      </c>
      <c r="AI47" s="32">
        <v>434.0</v>
      </c>
      <c r="AJ47" s="32">
        <v>1.0</v>
      </c>
      <c r="AK47" s="32">
        <v>256.0</v>
      </c>
      <c r="AL47" s="32" t="s">
        <v>4448</v>
      </c>
      <c r="AM47" s="32" t="s">
        <v>2465</v>
      </c>
      <c r="AN47" s="32" t="s">
        <v>2466</v>
      </c>
      <c r="AO47" s="32" t="s">
        <v>2836</v>
      </c>
      <c r="AP47" s="32" t="s">
        <v>2837</v>
      </c>
      <c r="AQ47" s="32" t="s">
        <v>1324</v>
      </c>
      <c r="AR47" s="32" t="s">
        <v>2838</v>
      </c>
      <c r="AS47" s="32" t="s">
        <v>2839</v>
      </c>
      <c r="AT47" s="32" t="s">
        <v>3208</v>
      </c>
      <c r="AU47" s="32">
        <v>2011.0</v>
      </c>
      <c r="AV47" s="32">
        <v>20.0</v>
      </c>
      <c r="AW47" s="32">
        <v>1.0</v>
      </c>
      <c r="AX47" s="32" t="s">
        <v>1324</v>
      </c>
      <c r="AY47" s="32" t="s">
        <v>1324</v>
      </c>
      <c r="AZ47" s="32" t="s">
        <v>1324</v>
      </c>
      <c r="BA47" s="32" t="s">
        <v>1324</v>
      </c>
      <c r="BB47" s="32">
        <v>58.0</v>
      </c>
      <c r="BC47" s="32">
        <v>72.0</v>
      </c>
      <c r="BD47" s="32" t="s">
        <v>1324</v>
      </c>
      <c r="BE47" s="32" t="s">
        <v>1606</v>
      </c>
      <c r="BF47" s="38" t="str">
        <f>HYPERLINK("http://dx.doi.org/10.1111/j.1466-8238.2010.00575.x","http://dx.doi.org/10.1111/j.1466-8238.2010.00575.x")</f>
        <v>http://dx.doi.org/10.1111/j.1466-8238.2010.00575.x</v>
      </c>
      <c r="BG47" s="32" t="s">
        <v>1324</v>
      </c>
      <c r="BH47" s="32" t="s">
        <v>1324</v>
      </c>
      <c r="BI47" s="32">
        <v>15.0</v>
      </c>
      <c r="BJ47" s="32" t="s">
        <v>1257</v>
      </c>
      <c r="BK47" s="32" t="s">
        <v>2407</v>
      </c>
      <c r="BL47" s="32" t="s">
        <v>2840</v>
      </c>
      <c r="BM47" s="32" t="s">
        <v>4449</v>
      </c>
      <c r="BN47" s="32" t="s">
        <v>1324</v>
      </c>
      <c r="BO47" s="32" t="s">
        <v>1324</v>
      </c>
      <c r="BP47" s="32" t="s">
        <v>1324</v>
      </c>
      <c r="BQ47" s="32" t="s">
        <v>1324</v>
      </c>
      <c r="BR47" s="32" t="s">
        <v>5042</v>
      </c>
      <c r="BS47" s="32" t="s">
        <v>4450</v>
      </c>
      <c r="BT47" s="32" t="s">
        <v>1329</v>
      </c>
      <c r="BU47" s="32" t="s">
        <v>1360</v>
      </c>
      <c r="BV47" s="32" t="s">
        <v>5054</v>
      </c>
      <c r="BW47" s="32" t="s">
        <v>1349</v>
      </c>
      <c r="BX47" s="32" t="s">
        <v>5062</v>
      </c>
      <c r="BY47" s="32" t="s">
        <v>1328</v>
      </c>
      <c r="BZ47" s="32" t="s">
        <v>1328</v>
      </c>
      <c r="CA47" s="32" t="s">
        <v>1328</v>
      </c>
      <c r="CB47" s="32" t="s">
        <v>1336</v>
      </c>
      <c r="CC47" s="32" t="s">
        <v>1336</v>
      </c>
      <c r="CD47" s="39" t="s">
        <v>5050</v>
      </c>
      <c r="CE47" s="32" t="s">
        <v>1350</v>
      </c>
      <c r="CF47" s="32" t="str">
        <f>HYPERLINK("https%3A%2F%2Fwww.webofscience.com%2Fwos%2Fwoscc%2Ffull-record%2FWOS:000285109200005","View Full Record in Web of Science")</f>
        <v>View Full Record in Web of Science</v>
      </c>
    </row>
    <row r="48" ht="12.75" customHeight="1">
      <c r="A48" s="32" t="s">
        <v>26</v>
      </c>
      <c r="B48" s="32" t="s">
        <v>2967</v>
      </c>
      <c r="C48" s="32" t="s">
        <v>1324</v>
      </c>
      <c r="D48" s="32" t="s">
        <v>1324</v>
      </c>
      <c r="E48" s="32" t="s">
        <v>1324</v>
      </c>
      <c r="F48" s="32" t="s">
        <v>1959</v>
      </c>
      <c r="G48" s="32" t="s">
        <v>1324</v>
      </c>
      <c r="H48" s="32" t="s">
        <v>1324</v>
      </c>
      <c r="I48" s="32" t="s">
        <v>1960</v>
      </c>
      <c r="J48" s="32" t="s">
        <v>260</v>
      </c>
      <c r="K48" s="32" t="s">
        <v>1324</v>
      </c>
      <c r="L48" s="32" t="s">
        <v>1324</v>
      </c>
      <c r="M48" s="32" t="s">
        <v>2364</v>
      </c>
      <c r="N48" s="32" t="s">
        <v>38</v>
      </c>
      <c r="O48" s="32" t="s">
        <v>1324</v>
      </c>
      <c r="P48" s="32" t="s">
        <v>1324</v>
      </c>
      <c r="Q48" s="32" t="s">
        <v>1324</v>
      </c>
      <c r="R48" s="32" t="s">
        <v>1324</v>
      </c>
      <c r="S48" s="32" t="s">
        <v>1324</v>
      </c>
      <c r="T48" s="32" t="s">
        <v>2968</v>
      </c>
      <c r="U48" s="32" t="s">
        <v>2969</v>
      </c>
      <c r="V48" s="32" t="s">
        <v>1961</v>
      </c>
      <c r="W48" s="32" t="s">
        <v>2970</v>
      </c>
      <c r="X48" s="32" t="s">
        <v>2971</v>
      </c>
      <c r="Y48" s="32" t="s">
        <v>2972</v>
      </c>
      <c r="Z48" s="32" t="s">
        <v>2973</v>
      </c>
      <c r="AA48" s="32" t="s">
        <v>2974</v>
      </c>
      <c r="AB48" s="32" t="s">
        <v>2975</v>
      </c>
      <c r="AC48" s="32" t="s">
        <v>2976</v>
      </c>
      <c r="AD48" s="32" t="s">
        <v>2977</v>
      </c>
      <c r="AE48" s="32" t="s">
        <v>2978</v>
      </c>
      <c r="AF48" s="32" t="s">
        <v>1324</v>
      </c>
      <c r="AG48" s="32">
        <v>40.0</v>
      </c>
      <c r="AH48" s="32">
        <v>10.0</v>
      </c>
      <c r="AI48" s="32">
        <v>12.0</v>
      </c>
      <c r="AJ48" s="32">
        <v>0.0</v>
      </c>
      <c r="AK48" s="32">
        <v>36.0</v>
      </c>
      <c r="AL48" s="32" t="s">
        <v>2508</v>
      </c>
      <c r="AM48" s="32" t="s">
        <v>2509</v>
      </c>
      <c r="AN48" s="32" t="s">
        <v>2510</v>
      </c>
      <c r="AO48" s="32" t="s">
        <v>2511</v>
      </c>
      <c r="AP48" s="32" t="s">
        <v>2512</v>
      </c>
      <c r="AQ48" s="32" t="s">
        <v>1324</v>
      </c>
      <c r="AR48" s="32" t="s">
        <v>2513</v>
      </c>
      <c r="AS48" s="32" t="s">
        <v>2514</v>
      </c>
      <c r="AT48" s="32" t="s">
        <v>2979</v>
      </c>
      <c r="AU48" s="32">
        <v>2017.0</v>
      </c>
      <c r="AV48" s="32">
        <v>122.0</v>
      </c>
      <c r="AW48" s="32" t="s">
        <v>2980</v>
      </c>
      <c r="AX48" s="32" t="s">
        <v>1324</v>
      </c>
      <c r="AY48" s="32" t="s">
        <v>1324</v>
      </c>
      <c r="AZ48" s="32" t="s">
        <v>1324</v>
      </c>
      <c r="BA48" s="32" t="s">
        <v>1324</v>
      </c>
      <c r="BB48" s="32">
        <v>259.0</v>
      </c>
      <c r="BC48" s="32">
        <v>262.0</v>
      </c>
      <c r="BD48" s="32" t="s">
        <v>1324</v>
      </c>
      <c r="BE48" s="32" t="s">
        <v>1962</v>
      </c>
      <c r="BF48" s="38" t="str">
        <f>HYPERLINK("http://dx.doi.org/10.1016/j.marpolbul.2017.06.054","http://dx.doi.org/10.1016/j.marpolbul.2017.06.054")</f>
        <v>http://dx.doi.org/10.1016/j.marpolbul.2017.06.054</v>
      </c>
      <c r="BG48" s="32" t="s">
        <v>1324</v>
      </c>
      <c r="BH48" s="32" t="s">
        <v>1324</v>
      </c>
      <c r="BI48" s="32">
        <v>4.0</v>
      </c>
      <c r="BJ48" s="32" t="s">
        <v>148</v>
      </c>
      <c r="BK48" s="32" t="s">
        <v>2407</v>
      </c>
      <c r="BL48" s="32" t="s">
        <v>2516</v>
      </c>
      <c r="BM48" s="32" t="s">
        <v>2981</v>
      </c>
      <c r="BN48" s="32">
        <v>2.8662981E7</v>
      </c>
      <c r="BO48" s="32" t="s">
        <v>1324</v>
      </c>
      <c r="BP48" s="32" t="s">
        <v>1324</v>
      </c>
      <c r="BQ48" s="32" t="s">
        <v>1324</v>
      </c>
      <c r="BR48" s="32" t="s">
        <v>5042</v>
      </c>
      <c r="BS48" s="32" t="s">
        <v>2982</v>
      </c>
      <c r="BT48" s="32" t="s">
        <v>1443</v>
      </c>
      <c r="BU48" s="32" t="s">
        <v>1333</v>
      </c>
      <c r="BV48" s="32" t="s">
        <v>5054</v>
      </c>
      <c r="BW48" s="32" t="s">
        <v>1349</v>
      </c>
      <c r="BX48" s="32" t="s">
        <v>5062</v>
      </c>
      <c r="BY48" s="32" t="s">
        <v>1336</v>
      </c>
      <c r="BZ48" s="32" t="s">
        <v>1328</v>
      </c>
      <c r="CA48" s="32" t="s">
        <v>1336</v>
      </c>
      <c r="CB48" s="32" t="s">
        <v>1336</v>
      </c>
      <c r="CC48" s="32" t="s">
        <v>1328</v>
      </c>
      <c r="CD48" s="39" t="s">
        <v>5110</v>
      </c>
      <c r="CE48" s="32" t="s">
        <v>1350</v>
      </c>
      <c r="CF48" s="32" t="str">
        <f>HYPERLINK("https%3A%2F%2Fwww.webofscience.com%2Fwos%2Fwoscc%2Ffull-record%2FWOS:000408076900039","View Full Record in Web of Science")</f>
        <v>View Full Record in Web of Science</v>
      </c>
    </row>
    <row r="49" ht="12.75" customHeight="1">
      <c r="A49" s="32" t="s">
        <v>26</v>
      </c>
      <c r="B49" s="32" t="s">
        <v>3227</v>
      </c>
      <c r="C49" s="32" t="s">
        <v>1324</v>
      </c>
      <c r="D49" s="32" t="s">
        <v>1324</v>
      </c>
      <c r="E49" s="32" t="s">
        <v>1324</v>
      </c>
      <c r="F49" s="32" t="s">
        <v>1389</v>
      </c>
      <c r="G49" s="32" t="s">
        <v>1324</v>
      </c>
      <c r="H49" s="32" t="s">
        <v>1324</v>
      </c>
      <c r="I49" s="32" t="s">
        <v>1391</v>
      </c>
      <c r="J49" s="32" t="s">
        <v>1390</v>
      </c>
      <c r="K49" s="32" t="s">
        <v>1324</v>
      </c>
      <c r="L49" s="32" t="s">
        <v>1324</v>
      </c>
      <c r="M49" s="32" t="s">
        <v>2364</v>
      </c>
      <c r="N49" s="32" t="s">
        <v>38</v>
      </c>
      <c r="O49" s="32" t="s">
        <v>1324</v>
      </c>
      <c r="P49" s="32" t="s">
        <v>1324</v>
      </c>
      <c r="Q49" s="32" t="s">
        <v>1324</v>
      </c>
      <c r="R49" s="32" t="s">
        <v>1324</v>
      </c>
      <c r="S49" s="32" t="s">
        <v>1324</v>
      </c>
      <c r="T49" s="32" t="s">
        <v>3228</v>
      </c>
      <c r="U49" s="32" t="s">
        <v>3229</v>
      </c>
      <c r="V49" s="32" t="s">
        <v>1392</v>
      </c>
      <c r="W49" s="32" t="s">
        <v>3230</v>
      </c>
      <c r="X49" s="32" t="s">
        <v>3231</v>
      </c>
      <c r="Y49" s="32" t="s">
        <v>3232</v>
      </c>
      <c r="Z49" s="32" t="s">
        <v>3233</v>
      </c>
      <c r="AA49" s="32" t="s">
        <v>5133</v>
      </c>
      <c r="AB49" s="32" t="s">
        <v>5134</v>
      </c>
      <c r="AC49" s="32" t="s">
        <v>1324</v>
      </c>
      <c r="AD49" s="32" t="s">
        <v>1324</v>
      </c>
      <c r="AE49" s="32" t="s">
        <v>1324</v>
      </c>
      <c r="AF49" s="32" t="s">
        <v>1324</v>
      </c>
      <c r="AG49" s="32">
        <v>70.0</v>
      </c>
      <c r="AH49" s="32">
        <v>81.0</v>
      </c>
      <c r="AI49" s="32">
        <v>87.0</v>
      </c>
      <c r="AJ49" s="32">
        <v>3.0</v>
      </c>
      <c r="AK49" s="32">
        <v>106.0</v>
      </c>
      <c r="AL49" s="32" t="s">
        <v>3063</v>
      </c>
      <c r="AM49" s="32" t="s">
        <v>3064</v>
      </c>
      <c r="AN49" s="32" t="s">
        <v>3065</v>
      </c>
      <c r="AO49" s="32" t="s">
        <v>1324</v>
      </c>
      <c r="AP49" s="32" t="s">
        <v>3236</v>
      </c>
      <c r="AQ49" s="32" t="s">
        <v>1324</v>
      </c>
      <c r="AR49" s="32" t="s">
        <v>1390</v>
      </c>
      <c r="AS49" s="32" t="s">
        <v>3237</v>
      </c>
      <c r="AT49" s="32" t="s">
        <v>2908</v>
      </c>
      <c r="AU49" s="32">
        <v>2016.0</v>
      </c>
      <c r="AV49" s="32">
        <v>7.0</v>
      </c>
      <c r="AW49" s="32">
        <v>12.0</v>
      </c>
      <c r="AX49" s="32" t="s">
        <v>1324</v>
      </c>
      <c r="AY49" s="32" t="s">
        <v>1324</v>
      </c>
      <c r="AZ49" s="32" t="s">
        <v>1324</v>
      </c>
      <c r="BA49" s="32" t="s">
        <v>1324</v>
      </c>
      <c r="BB49" s="32" t="s">
        <v>1324</v>
      </c>
      <c r="BC49" s="32" t="s">
        <v>1324</v>
      </c>
      <c r="BD49" s="32">
        <v>305.0</v>
      </c>
      <c r="BE49" s="32" t="s">
        <v>1393</v>
      </c>
      <c r="BF49" s="38" t="str">
        <f>HYPERLINK("http://dx.doi.org/10.3390/f7120305","http://dx.doi.org/10.3390/f7120305")</f>
        <v>http://dx.doi.org/10.3390/f7120305</v>
      </c>
      <c r="BG49" s="32" t="s">
        <v>1324</v>
      </c>
      <c r="BH49" s="32" t="s">
        <v>1324</v>
      </c>
      <c r="BI49" s="32">
        <v>17.0</v>
      </c>
      <c r="BJ49" s="32" t="s">
        <v>2494</v>
      </c>
      <c r="BK49" s="32" t="s">
        <v>2407</v>
      </c>
      <c r="BL49" s="32" t="s">
        <v>2494</v>
      </c>
      <c r="BM49" s="32" t="s">
        <v>3238</v>
      </c>
      <c r="BN49" s="32" t="s">
        <v>1324</v>
      </c>
      <c r="BO49" s="32" t="s">
        <v>2410</v>
      </c>
      <c r="BP49" s="32" t="s">
        <v>1324</v>
      </c>
      <c r="BQ49" s="32" t="s">
        <v>1324</v>
      </c>
      <c r="BR49" s="32" t="s">
        <v>5042</v>
      </c>
      <c r="BS49" s="32" t="s">
        <v>3239</v>
      </c>
      <c r="BT49" s="32" t="s">
        <v>1329</v>
      </c>
      <c r="BU49" s="32" t="s">
        <v>1333</v>
      </c>
      <c r="BV49" s="32" t="s">
        <v>5054</v>
      </c>
      <c r="BW49" s="32" t="s">
        <v>1335</v>
      </c>
      <c r="BX49" s="32" t="s">
        <v>5101</v>
      </c>
      <c r="BY49" s="32" t="s">
        <v>1328</v>
      </c>
      <c r="BZ49" s="32" t="s">
        <v>1328</v>
      </c>
      <c r="CA49" s="32" t="s">
        <v>1328</v>
      </c>
      <c r="CB49" s="32" t="s">
        <v>1336</v>
      </c>
      <c r="CC49" s="32" t="s">
        <v>1328</v>
      </c>
      <c r="CD49" s="39" t="s">
        <v>5063</v>
      </c>
      <c r="CE49" s="32" t="s">
        <v>1395</v>
      </c>
      <c r="CF49" s="32" t="str">
        <f>HYPERLINK("https%3A%2F%2Fwww.webofscience.com%2Fwos%2Fwoscc%2Ffull-record%2FWOS:000393327700005","View Full Record in Web of Science")</f>
        <v>View Full Record in Web of Science</v>
      </c>
    </row>
    <row r="50" ht="12.75" customHeight="1">
      <c r="A50" s="32" t="s">
        <v>26</v>
      </c>
      <c r="B50" s="32" t="s">
        <v>2823</v>
      </c>
      <c r="C50" s="32" t="s">
        <v>1324</v>
      </c>
      <c r="D50" s="32" t="s">
        <v>1324</v>
      </c>
      <c r="E50" s="32" t="s">
        <v>1324</v>
      </c>
      <c r="F50" s="32" t="s">
        <v>1640</v>
      </c>
      <c r="G50" s="32" t="s">
        <v>1324</v>
      </c>
      <c r="H50" s="32" t="s">
        <v>1324</v>
      </c>
      <c r="I50" s="32" t="s">
        <v>1641</v>
      </c>
      <c r="J50" s="32" t="s">
        <v>1253</v>
      </c>
      <c r="K50" s="32" t="s">
        <v>1324</v>
      </c>
      <c r="L50" s="32" t="s">
        <v>1324</v>
      </c>
      <c r="M50" s="32" t="s">
        <v>2364</v>
      </c>
      <c r="N50" s="32" t="s">
        <v>38</v>
      </c>
      <c r="O50" s="32" t="s">
        <v>1324</v>
      </c>
      <c r="P50" s="32" t="s">
        <v>1324</v>
      </c>
      <c r="Q50" s="32" t="s">
        <v>1324</v>
      </c>
      <c r="R50" s="32" t="s">
        <v>1324</v>
      </c>
      <c r="S50" s="32" t="s">
        <v>1324</v>
      </c>
      <c r="T50" s="32" t="s">
        <v>2824</v>
      </c>
      <c r="U50" s="32" t="s">
        <v>2825</v>
      </c>
      <c r="V50" s="32" t="s">
        <v>2826</v>
      </c>
      <c r="W50" s="32" t="s">
        <v>2827</v>
      </c>
      <c r="X50" s="32" t="s">
        <v>2828</v>
      </c>
      <c r="Y50" s="32" t="s">
        <v>2829</v>
      </c>
      <c r="Z50" s="32" t="s">
        <v>2830</v>
      </c>
      <c r="AA50" s="32" t="s">
        <v>5135</v>
      </c>
      <c r="AB50" s="32" t="s">
        <v>5136</v>
      </c>
      <c r="AC50" s="32" t="s">
        <v>2833</v>
      </c>
      <c r="AD50" s="32" t="s">
        <v>2834</v>
      </c>
      <c r="AE50" s="32" t="s">
        <v>2835</v>
      </c>
      <c r="AF50" s="32" t="s">
        <v>1324</v>
      </c>
      <c r="AG50" s="32">
        <v>58.0</v>
      </c>
      <c r="AH50" s="32">
        <v>64.0</v>
      </c>
      <c r="AI50" s="32">
        <v>71.0</v>
      </c>
      <c r="AJ50" s="32">
        <v>3.0</v>
      </c>
      <c r="AK50" s="32">
        <v>98.0</v>
      </c>
      <c r="AL50" s="32" t="s">
        <v>2464</v>
      </c>
      <c r="AM50" s="32" t="s">
        <v>2465</v>
      </c>
      <c r="AN50" s="32" t="s">
        <v>2466</v>
      </c>
      <c r="AO50" s="32" t="s">
        <v>2836</v>
      </c>
      <c r="AP50" s="32" t="s">
        <v>2837</v>
      </c>
      <c r="AQ50" s="32" t="s">
        <v>1324</v>
      </c>
      <c r="AR50" s="32" t="s">
        <v>2838</v>
      </c>
      <c r="AS50" s="32" t="s">
        <v>2839</v>
      </c>
      <c r="AT50" s="32" t="s">
        <v>2818</v>
      </c>
      <c r="AU50" s="32">
        <v>2018.0</v>
      </c>
      <c r="AV50" s="32">
        <v>27.0</v>
      </c>
      <c r="AW50" s="32">
        <v>2.0</v>
      </c>
      <c r="AX50" s="32" t="s">
        <v>1324</v>
      </c>
      <c r="AY50" s="32" t="s">
        <v>1324</v>
      </c>
      <c r="AZ50" s="32" t="s">
        <v>1324</v>
      </c>
      <c r="BA50" s="32" t="s">
        <v>1324</v>
      </c>
      <c r="BB50" s="32">
        <v>213.0</v>
      </c>
      <c r="BC50" s="32">
        <v>222.0</v>
      </c>
      <c r="BD50" s="32" t="s">
        <v>1324</v>
      </c>
      <c r="BE50" s="32" t="s">
        <v>1643</v>
      </c>
      <c r="BF50" s="38" t="str">
        <f>HYPERLINK("http://dx.doi.org/10.1111/geb.12690","http://dx.doi.org/10.1111/geb.12690")</f>
        <v>http://dx.doi.org/10.1111/geb.12690</v>
      </c>
      <c r="BG50" s="32" t="s">
        <v>1324</v>
      </c>
      <c r="BH50" s="32" t="s">
        <v>1324</v>
      </c>
      <c r="BI50" s="32">
        <v>10.0</v>
      </c>
      <c r="BJ50" s="32" t="s">
        <v>1257</v>
      </c>
      <c r="BK50" s="32" t="s">
        <v>2407</v>
      </c>
      <c r="BL50" s="32" t="s">
        <v>2840</v>
      </c>
      <c r="BM50" s="32" t="s">
        <v>2841</v>
      </c>
      <c r="BN50" s="32" t="s">
        <v>1324</v>
      </c>
      <c r="BO50" s="32" t="s">
        <v>1324</v>
      </c>
      <c r="BP50" s="32" t="s">
        <v>1324</v>
      </c>
      <c r="BQ50" s="32" t="s">
        <v>1324</v>
      </c>
      <c r="BR50" s="32" t="s">
        <v>5042</v>
      </c>
      <c r="BS50" s="32" t="s">
        <v>2842</v>
      </c>
      <c r="BT50" s="32" t="s">
        <v>1329</v>
      </c>
      <c r="BU50" s="32" t="s">
        <v>1360</v>
      </c>
      <c r="BV50" s="32" t="s">
        <v>5066</v>
      </c>
      <c r="BW50" s="32" t="s">
        <v>1530</v>
      </c>
      <c r="BX50" s="32" t="s">
        <v>5078</v>
      </c>
      <c r="BY50" s="32" t="s">
        <v>1328</v>
      </c>
      <c r="BZ50" s="32" t="s">
        <v>1328</v>
      </c>
      <c r="CA50" s="32" t="s">
        <v>1336</v>
      </c>
      <c r="CB50" s="32" t="s">
        <v>1328</v>
      </c>
      <c r="CC50" s="32" t="s">
        <v>1336</v>
      </c>
      <c r="CD50" s="39" t="s">
        <v>5137</v>
      </c>
      <c r="CE50" s="32" t="s">
        <v>1350</v>
      </c>
      <c r="CF50" s="32" t="str">
        <f>HYPERLINK("https%3A%2F%2Fwww.webofscience.com%2Fwos%2Fwoscc%2Ffull-record%2FWOS:000422750700005","View Full Record in Web of Science")</f>
        <v>View Full Record in Web of Science</v>
      </c>
    </row>
    <row r="51" ht="12.75" customHeight="1">
      <c r="A51" s="32" t="s">
        <v>26</v>
      </c>
      <c r="B51" s="32" t="s">
        <v>3578</v>
      </c>
      <c r="C51" s="32" t="s">
        <v>1324</v>
      </c>
      <c r="D51" s="32" t="s">
        <v>1324</v>
      </c>
      <c r="E51" s="32" t="s">
        <v>1324</v>
      </c>
      <c r="F51" s="32" t="s">
        <v>1447</v>
      </c>
      <c r="G51" s="32" t="s">
        <v>1324</v>
      </c>
      <c r="H51" s="32" t="s">
        <v>1324</v>
      </c>
      <c r="I51" s="32" t="s">
        <v>1448</v>
      </c>
      <c r="J51" s="32" t="s">
        <v>365</v>
      </c>
      <c r="K51" s="32" t="s">
        <v>1324</v>
      </c>
      <c r="L51" s="32" t="s">
        <v>1324</v>
      </c>
      <c r="M51" s="32" t="s">
        <v>2364</v>
      </c>
      <c r="N51" s="32" t="s">
        <v>38</v>
      </c>
      <c r="O51" s="32" t="s">
        <v>1324</v>
      </c>
      <c r="P51" s="32" t="s">
        <v>1324</v>
      </c>
      <c r="Q51" s="32" t="s">
        <v>1324</v>
      </c>
      <c r="R51" s="32" t="s">
        <v>1324</v>
      </c>
      <c r="S51" s="32" t="s">
        <v>1324</v>
      </c>
      <c r="T51" s="32" t="s">
        <v>1324</v>
      </c>
      <c r="U51" s="32" t="s">
        <v>3579</v>
      </c>
      <c r="V51" s="32" t="s">
        <v>1449</v>
      </c>
      <c r="W51" s="32" t="s">
        <v>3580</v>
      </c>
      <c r="X51" s="32" t="s">
        <v>3581</v>
      </c>
      <c r="Y51" s="32" t="s">
        <v>3582</v>
      </c>
      <c r="Z51" s="32" t="s">
        <v>3583</v>
      </c>
      <c r="AA51" s="32" t="s">
        <v>5138</v>
      </c>
      <c r="AB51" s="32" t="s">
        <v>5139</v>
      </c>
      <c r="AC51" s="32" t="s">
        <v>3586</v>
      </c>
      <c r="AD51" s="32" t="s">
        <v>3586</v>
      </c>
      <c r="AE51" s="32" t="s">
        <v>3587</v>
      </c>
      <c r="AF51" s="32" t="s">
        <v>1324</v>
      </c>
      <c r="AG51" s="32">
        <v>35.0</v>
      </c>
      <c r="AH51" s="32">
        <v>76.0</v>
      </c>
      <c r="AI51" s="32">
        <v>89.0</v>
      </c>
      <c r="AJ51" s="32">
        <v>1.0</v>
      </c>
      <c r="AK51" s="32">
        <v>45.0</v>
      </c>
      <c r="AL51" s="32" t="s">
        <v>2423</v>
      </c>
      <c r="AM51" s="32" t="s">
        <v>2424</v>
      </c>
      <c r="AN51" s="32" t="s">
        <v>2425</v>
      </c>
      <c r="AO51" s="32" t="s">
        <v>2426</v>
      </c>
      <c r="AP51" s="32" t="s">
        <v>1324</v>
      </c>
      <c r="AQ51" s="32" t="s">
        <v>1324</v>
      </c>
      <c r="AR51" s="32" t="s">
        <v>365</v>
      </c>
      <c r="AS51" s="32" t="s">
        <v>2427</v>
      </c>
      <c r="AT51" s="32" t="s">
        <v>3588</v>
      </c>
      <c r="AU51" s="32">
        <v>2015.0</v>
      </c>
      <c r="AV51" s="32">
        <v>10.0</v>
      </c>
      <c r="AW51" s="32">
        <v>3.0</v>
      </c>
      <c r="AX51" s="32" t="s">
        <v>1324</v>
      </c>
      <c r="AY51" s="32" t="s">
        <v>1324</v>
      </c>
      <c r="AZ51" s="32" t="s">
        <v>1324</v>
      </c>
      <c r="BA51" s="32" t="s">
        <v>1324</v>
      </c>
      <c r="BB51" s="32" t="s">
        <v>1324</v>
      </c>
      <c r="BC51" s="32" t="s">
        <v>1324</v>
      </c>
      <c r="BD51" s="32" t="s">
        <v>3589</v>
      </c>
      <c r="BE51" s="32" t="s">
        <v>1450</v>
      </c>
      <c r="BF51" s="38" t="str">
        <f>HYPERLINK("http://dx.doi.org/10.1371/journal.pone.0120198","http://dx.doi.org/10.1371/journal.pone.0120198")</f>
        <v>http://dx.doi.org/10.1371/journal.pone.0120198</v>
      </c>
      <c r="BG51" s="32" t="s">
        <v>1324</v>
      </c>
      <c r="BH51" s="32" t="s">
        <v>1324</v>
      </c>
      <c r="BI51" s="32">
        <v>14.0</v>
      </c>
      <c r="BJ51" s="32" t="s">
        <v>42</v>
      </c>
      <c r="BK51" s="32" t="s">
        <v>2407</v>
      </c>
      <c r="BL51" s="32" t="s">
        <v>2430</v>
      </c>
      <c r="BM51" s="32" t="s">
        <v>3590</v>
      </c>
      <c r="BN51" s="32">
        <v>2.5807292E7</v>
      </c>
      <c r="BO51" s="32" t="s">
        <v>2410</v>
      </c>
      <c r="BP51" s="32" t="s">
        <v>1324</v>
      </c>
      <c r="BQ51" s="32" t="s">
        <v>1324</v>
      </c>
      <c r="BR51" s="32" t="s">
        <v>5042</v>
      </c>
      <c r="BS51" s="32" t="s">
        <v>3591</v>
      </c>
      <c r="BT51" s="32" t="s">
        <v>1443</v>
      </c>
      <c r="BU51" s="32" t="s">
        <v>1444</v>
      </c>
      <c r="BV51" s="32" t="s">
        <v>5048</v>
      </c>
      <c r="BW51" s="32" t="s">
        <v>1335</v>
      </c>
      <c r="BX51" s="32" t="s">
        <v>5101</v>
      </c>
      <c r="BY51" s="32" t="s">
        <v>1328</v>
      </c>
      <c r="BZ51" s="32" t="s">
        <v>1328</v>
      </c>
      <c r="CA51" s="32" t="s">
        <v>1328</v>
      </c>
      <c r="CB51" s="32" t="s">
        <v>1328</v>
      </c>
      <c r="CC51" s="32" t="s">
        <v>1328</v>
      </c>
      <c r="CD51" s="39" t="s">
        <v>5107</v>
      </c>
      <c r="CE51" s="32" t="s">
        <v>1395</v>
      </c>
      <c r="CF51" s="32" t="str">
        <f>HYPERLINK("https%3A%2F%2Fwww.webofscience.com%2Fwos%2Fwoscc%2Ffull-record%2FWOS:000351880000071","View Full Record in Web of Science")</f>
        <v>View Full Record in Web of Science</v>
      </c>
    </row>
    <row r="52" ht="12.75" customHeight="1">
      <c r="A52" s="32" t="s">
        <v>26</v>
      </c>
      <c r="B52" s="32" t="s">
        <v>3996</v>
      </c>
      <c r="C52" s="32" t="s">
        <v>1324</v>
      </c>
      <c r="D52" s="32" t="s">
        <v>1324</v>
      </c>
      <c r="E52" s="32" t="s">
        <v>1324</v>
      </c>
      <c r="F52" s="32" t="s">
        <v>1382</v>
      </c>
      <c r="G52" s="32" t="s">
        <v>1324</v>
      </c>
      <c r="H52" s="32" t="s">
        <v>1324</v>
      </c>
      <c r="I52" s="32" t="s">
        <v>1383</v>
      </c>
      <c r="J52" s="32" t="s">
        <v>1376</v>
      </c>
      <c r="K52" s="32" t="s">
        <v>1324</v>
      </c>
      <c r="L52" s="32" t="s">
        <v>1324</v>
      </c>
      <c r="M52" s="32" t="s">
        <v>2364</v>
      </c>
      <c r="N52" s="32" t="s">
        <v>38</v>
      </c>
      <c r="O52" s="32" t="s">
        <v>1324</v>
      </c>
      <c r="P52" s="32" t="s">
        <v>1324</v>
      </c>
      <c r="Q52" s="32" t="s">
        <v>1324</v>
      </c>
      <c r="R52" s="32" t="s">
        <v>1324</v>
      </c>
      <c r="S52" s="32" t="s">
        <v>1324</v>
      </c>
      <c r="T52" s="32" t="s">
        <v>3997</v>
      </c>
      <c r="U52" s="32" t="s">
        <v>3998</v>
      </c>
      <c r="V52" s="32" t="s">
        <v>1384</v>
      </c>
      <c r="W52" s="32" t="s">
        <v>3999</v>
      </c>
      <c r="X52" s="32" t="s">
        <v>4000</v>
      </c>
      <c r="Y52" s="32" t="s">
        <v>4001</v>
      </c>
      <c r="Z52" s="32" t="s">
        <v>4002</v>
      </c>
      <c r="AA52" s="32" t="s">
        <v>4003</v>
      </c>
      <c r="AB52" s="32" t="s">
        <v>1324</v>
      </c>
      <c r="AC52" s="32" t="s">
        <v>4004</v>
      </c>
      <c r="AD52" s="32" t="s">
        <v>4005</v>
      </c>
      <c r="AE52" s="32" t="s">
        <v>4006</v>
      </c>
      <c r="AF52" s="32" t="s">
        <v>1324</v>
      </c>
      <c r="AG52" s="32">
        <v>62.0</v>
      </c>
      <c r="AH52" s="32">
        <v>100.0</v>
      </c>
      <c r="AI52" s="32">
        <v>124.0</v>
      </c>
      <c r="AJ52" s="32">
        <v>1.0</v>
      </c>
      <c r="AK52" s="32">
        <v>181.0</v>
      </c>
      <c r="AL52" s="32" t="s">
        <v>3063</v>
      </c>
      <c r="AM52" s="32" t="s">
        <v>3064</v>
      </c>
      <c r="AN52" s="32" t="s">
        <v>3065</v>
      </c>
      <c r="AO52" s="32" t="s">
        <v>3066</v>
      </c>
      <c r="AP52" s="32" t="s">
        <v>1324</v>
      </c>
      <c r="AQ52" s="32" t="s">
        <v>1324</v>
      </c>
      <c r="AR52" s="32" t="s">
        <v>3067</v>
      </c>
      <c r="AS52" s="32" t="s">
        <v>3068</v>
      </c>
      <c r="AT52" s="32" t="s">
        <v>2515</v>
      </c>
      <c r="AU52" s="32">
        <v>2013.0</v>
      </c>
      <c r="AV52" s="32">
        <v>5.0</v>
      </c>
      <c r="AW52" s="32">
        <v>8.0</v>
      </c>
      <c r="AX52" s="32" t="s">
        <v>1324</v>
      </c>
      <c r="AY52" s="32" t="s">
        <v>1324</v>
      </c>
      <c r="AZ52" s="32" t="s">
        <v>1324</v>
      </c>
      <c r="BA52" s="32" t="s">
        <v>1324</v>
      </c>
      <c r="BB52" s="32">
        <v>4125.0</v>
      </c>
      <c r="BC52" s="32">
        <v>4144.0</v>
      </c>
      <c r="BD52" s="32" t="s">
        <v>1324</v>
      </c>
      <c r="BE52" s="32" t="s">
        <v>1385</v>
      </c>
      <c r="BF52" s="38" t="str">
        <f>HYPERLINK("http://dx.doi.org/10.3390/rs5084125","http://dx.doi.org/10.3390/rs5084125")</f>
        <v>http://dx.doi.org/10.3390/rs5084125</v>
      </c>
      <c r="BG52" s="32" t="s">
        <v>1324</v>
      </c>
      <c r="BH52" s="32" t="s">
        <v>1324</v>
      </c>
      <c r="BI52" s="32">
        <v>20.0</v>
      </c>
      <c r="BJ52" s="32" t="s">
        <v>3069</v>
      </c>
      <c r="BK52" s="32" t="s">
        <v>2407</v>
      </c>
      <c r="BL52" s="32" t="s">
        <v>3070</v>
      </c>
      <c r="BM52" s="32" t="s">
        <v>4007</v>
      </c>
      <c r="BN52" s="32" t="s">
        <v>1324</v>
      </c>
      <c r="BO52" s="32" t="s">
        <v>2410</v>
      </c>
      <c r="BP52" s="32" t="s">
        <v>1324</v>
      </c>
      <c r="BQ52" s="32" t="s">
        <v>1324</v>
      </c>
      <c r="BR52" s="32" t="s">
        <v>5042</v>
      </c>
      <c r="BS52" s="32" t="s">
        <v>4008</v>
      </c>
      <c r="BT52" s="32" t="s">
        <v>1329</v>
      </c>
      <c r="BU52" s="32" t="s">
        <v>1333</v>
      </c>
      <c r="BV52" s="32" t="s">
        <v>5054</v>
      </c>
      <c r="BW52" s="32" t="s">
        <v>1362</v>
      </c>
      <c r="BX52" s="32" t="s">
        <v>5044</v>
      </c>
      <c r="BY52" s="32" t="s">
        <v>1328</v>
      </c>
      <c r="BZ52" s="32" t="s">
        <v>1328</v>
      </c>
      <c r="CA52" s="32" t="s">
        <v>1336</v>
      </c>
      <c r="CB52" s="32" t="s">
        <v>1336</v>
      </c>
      <c r="CC52" s="32" t="s">
        <v>1336</v>
      </c>
      <c r="CD52" s="39" t="s">
        <v>5055</v>
      </c>
      <c r="CE52" s="32" t="s">
        <v>1350</v>
      </c>
      <c r="CF52" s="32" t="str">
        <f>HYPERLINK("https%3A%2F%2Fwww.webofscience.com%2Fwos%2Fwoscc%2Ffull-record%2FWOS:000328626100023","View Full Record in Web of Science")</f>
        <v>View Full Record in Web of Science</v>
      </c>
    </row>
    <row r="53" ht="12.75" customHeight="1">
      <c r="A53" s="32" t="s">
        <v>26</v>
      </c>
      <c r="B53" s="32" t="s">
        <v>2655</v>
      </c>
      <c r="C53" s="32" t="s">
        <v>1324</v>
      </c>
      <c r="D53" s="32" t="s">
        <v>1324</v>
      </c>
      <c r="E53" s="32" t="s">
        <v>1324</v>
      </c>
      <c r="F53" s="32" t="s">
        <v>1687</v>
      </c>
      <c r="G53" s="32" t="s">
        <v>1324</v>
      </c>
      <c r="H53" s="32" t="s">
        <v>1324</v>
      </c>
      <c r="I53" s="32" t="s">
        <v>1689</v>
      </c>
      <c r="J53" s="32" t="s">
        <v>1688</v>
      </c>
      <c r="K53" s="32" t="s">
        <v>1324</v>
      </c>
      <c r="L53" s="32" t="s">
        <v>1324</v>
      </c>
      <c r="M53" s="32" t="s">
        <v>2364</v>
      </c>
      <c r="N53" s="32" t="s">
        <v>38</v>
      </c>
      <c r="O53" s="32" t="s">
        <v>1324</v>
      </c>
      <c r="P53" s="32" t="s">
        <v>1324</v>
      </c>
      <c r="Q53" s="32" t="s">
        <v>1324</v>
      </c>
      <c r="R53" s="32" t="s">
        <v>1324</v>
      </c>
      <c r="S53" s="32" t="s">
        <v>1324</v>
      </c>
      <c r="T53" s="32" t="s">
        <v>2656</v>
      </c>
      <c r="U53" s="32" t="s">
        <v>2657</v>
      </c>
      <c r="V53" s="32" t="s">
        <v>1690</v>
      </c>
      <c r="W53" s="32" t="s">
        <v>2658</v>
      </c>
      <c r="X53" s="32" t="s">
        <v>2659</v>
      </c>
      <c r="Y53" s="32" t="s">
        <v>2660</v>
      </c>
      <c r="Z53" s="32" t="s">
        <v>2661</v>
      </c>
      <c r="AA53" s="32" t="s">
        <v>5140</v>
      </c>
      <c r="AB53" s="32" t="s">
        <v>5141</v>
      </c>
      <c r="AC53" s="32" t="s">
        <v>2664</v>
      </c>
      <c r="AD53" s="32" t="s">
        <v>2665</v>
      </c>
      <c r="AE53" s="32" t="s">
        <v>2666</v>
      </c>
      <c r="AF53" s="32" t="s">
        <v>1324</v>
      </c>
      <c r="AG53" s="32">
        <v>66.0</v>
      </c>
      <c r="AH53" s="32">
        <v>36.0</v>
      </c>
      <c r="AI53" s="32">
        <v>36.0</v>
      </c>
      <c r="AJ53" s="32">
        <v>1.0</v>
      </c>
      <c r="AK53" s="32">
        <v>45.0</v>
      </c>
      <c r="AL53" s="32" t="s">
        <v>2464</v>
      </c>
      <c r="AM53" s="32" t="s">
        <v>2465</v>
      </c>
      <c r="AN53" s="32" t="s">
        <v>2466</v>
      </c>
      <c r="AO53" s="32" t="s">
        <v>2667</v>
      </c>
      <c r="AP53" s="32" t="s">
        <v>2668</v>
      </c>
      <c r="AQ53" s="32" t="s">
        <v>1324</v>
      </c>
      <c r="AR53" s="32" t="s">
        <v>2669</v>
      </c>
      <c r="AS53" s="32" t="s">
        <v>2670</v>
      </c>
      <c r="AT53" s="32" t="s">
        <v>2651</v>
      </c>
      <c r="AU53" s="32">
        <v>2018.0</v>
      </c>
      <c r="AV53" s="32">
        <v>27.0</v>
      </c>
      <c r="AW53" s="32">
        <v>3.0</v>
      </c>
      <c r="AX53" s="32" t="s">
        <v>1324</v>
      </c>
      <c r="AY53" s="32" t="s">
        <v>1324</v>
      </c>
      <c r="AZ53" s="32" t="s">
        <v>1324</v>
      </c>
      <c r="BA53" s="32" t="s">
        <v>1324</v>
      </c>
      <c r="BB53" s="32">
        <v>212.0</v>
      </c>
      <c r="BC53" s="32">
        <v>221.0</v>
      </c>
      <c r="BD53" s="32" t="s">
        <v>1324</v>
      </c>
      <c r="BE53" s="32" t="s">
        <v>1691</v>
      </c>
      <c r="BF53" s="38" t="str">
        <f>HYPERLINK("http://dx.doi.org/10.1111/fog.12246","http://dx.doi.org/10.1111/fog.12246")</f>
        <v>http://dx.doi.org/10.1111/fog.12246</v>
      </c>
      <c r="BG53" s="32" t="s">
        <v>1324</v>
      </c>
      <c r="BH53" s="32" t="s">
        <v>1324</v>
      </c>
      <c r="BI53" s="32">
        <v>10.0</v>
      </c>
      <c r="BJ53" s="32" t="s">
        <v>2671</v>
      </c>
      <c r="BK53" s="32" t="s">
        <v>2407</v>
      </c>
      <c r="BL53" s="32" t="s">
        <v>2671</v>
      </c>
      <c r="BM53" s="32" t="s">
        <v>2672</v>
      </c>
      <c r="BN53" s="32" t="s">
        <v>1324</v>
      </c>
      <c r="BO53" s="32" t="s">
        <v>1324</v>
      </c>
      <c r="BP53" s="32" t="s">
        <v>1324</v>
      </c>
      <c r="BQ53" s="32" t="s">
        <v>1324</v>
      </c>
      <c r="BR53" s="32" t="s">
        <v>5042</v>
      </c>
      <c r="BS53" s="32" t="s">
        <v>2673</v>
      </c>
      <c r="BT53" s="32" t="s">
        <v>1329</v>
      </c>
      <c r="BU53" s="32" t="s">
        <v>1360</v>
      </c>
      <c r="BV53" s="32" t="s">
        <v>5066</v>
      </c>
      <c r="BW53" s="32" t="s">
        <v>1349</v>
      </c>
      <c r="BX53" s="32" t="s">
        <v>5062</v>
      </c>
      <c r="BY53" s="32" t="s">
        <v>1328</v>
      </c>
      <c r="BZ53" s="32" t="s">
        <v>1336</v>
      </c>
      <c r="CA53" s="32" t="s">
        <v>1328</v>
      </c>
      <c r="CB53" s="32" t="s">
        <v>1336</v>
      </c>
      <c r="CC53" s="32" t="s">
        <v>1336</v>
      </c>
      <c r="CD53" s="39" t="s">
        <v>5070</v>
      </c>
      <c r="CE53" s="32" t="s">
        <v>1350</v>
      </c>
      <c r="CF53" s="32" t="str">
        <f>HYPERLINK("https%3A%2F%2Fwww.webofscience.com%2Fwos%2Fwoscc%2Ffull-record%2FWOS:000428400500003","View Full Record in Web of Science")</f>
        <v>View Full Record in Web of Science</v>
      </c>
    </row>
    <row r="54" ht="12.75" customHeight="1">
      <c r="A54" s="32" t="s">
        <v>26</v>
      </c>
      <c r="B54" s="32" t="s">
        <v>4290</v>
      </c>
      <c r="C54" s="32" t="s">
        <v>1324</v>
      </c>
      <c r="D54" s="32" t="s">
        <v>1324</v>
      </c>
      <c r="E54" s="32" t="s">
        <v>1324</v>
      </c>
      <c r="F54" s="32" t="s">
        <v>1847</v>
      </c>
      <c r="G54" s="32" t="s">
        <v>1324</v>
      </c>
      <c r="H54" s="32" t="s">
        <v>1324</v>
      </c>
      <c r="I54" s="32" t="s">
        <v>1849</v>
      </c>
      <c r="J54" s="32" t="s">
        <v>1848</v>
      </c>
      <c r="K54" s="32" t="s">
        <v>1324</v>
      </c>
      <c r="L54" s="32" t="s">
        <v>1324</v>
      </c>
      <c r="M54" s="32" t="s">
        <v>2364</v>
      </c>
      <c r="N54" s="32" t="s">
        <v>38</v>
      </c>
      <c r="O54" s="32" t="s">
        <v>1324</v>
      </c>
      <c r="P54" s="32" t="s">
        <v>1324</v>
      </c>
      <c r="Q54" s="32" t="s">
        <v>1324</v>
      </c>
      <c r="R54" s="32" t="s">
        <v>1324</v>
      </c>
      <c r="S54" s="32" t="s">
        <v>1324</v>
      </c>
      <c r="T54" s="32" t="s">
        <v>1324</v>
      </c>
      <c r="U54" s="32" t="s">
        <v>4291</v>
      </c>
      <c r="V54" s="32" t="s">
        <v>1850</v>
      </c>
      <c r="W54" s="32" t="s">
        <v>4292</v>
      </c>
      <c r="X54" s="32" t="s">
        <v>4293</v>
      </c>
      <c r="Y54" s="32" t="s">
        <v>4294</v>
      </c>
      <c r="Z54" s="32" t="s">
        <v>4295</v>
      </c>
      <c r="AA54" s="32" t="s">
        <v>4296</v>
      </c>
      <c r="AB54" s="32" t="s">
        <v>5142</v>
      </c>
      <c r="AC54" s="32" t="s">
        <v>1324</v>
      </c>
      <c r="AD54" s="32" t="s">
        <v>1324</v>
      </c>
      <c r="AE54" s="32" t="s">
        <v>1324</v>
      </c>
      <c r="AF54" s="32" t="s">
        <v>1324</v>
      </c>
      <c r="AG54" s="32">
        <v>77.0</v>
      </c>
      <c r="AH54" s="32">
        <v>922.0</v>
      </c>
      <c r="AI54" s="32">
        <v>1074.0</v>
      </c>
      <c r="AJ54" s="32">
        <v>7.0</v>
      </c>
      <c r="AK54" s="32">
        <v>426.0</v>
      </c>
      <c r="AL54" s="32" t="s">
        <v>4188</v>
      </c>
      <c r="AM54" s="32" t="s">
        <v>3872</v>
      </c>
      <c r="AN54" s="32" t="s">
        <v>4298</v>
      </c>
      <c r="AO54" s="32" t="s">
        <v>4299</v>
      </c>
      <c r="AP54" s="32" t="s">
        <v>4300</v>
      </c>
      <c r="AQ54" s="32" t="s">
        <v>1324</v>
      </c>
      <c r="AR54" s="32" t="s">
        <v>4301</v>
      </c>
      <c r="AS54" s="32" t="s">
        <v>4302</v>
      </c>
      <c r="AT54" s="32" t="s">
        <v>3168</v>
      </c>
      <c r="AU54" s="32">
        <v>2012.0</v>
      </c>
      <c r="AV54" s="32">
        <v>22.0</v>
      </c>
      <c r="AW54" s="32">
        <v>1.0</v>
      </c>
      <c r="AX54" s="32" t="s">
        <v>1324</v>
      </c>
      <c r="AY54" s="32" t="s">
        <v>1324</v>
      </c>
      <c r="AZ54" s="32" t="s">
        <v>1324</v>
      </c>
      <c r="BA54" s="32" t="s">
        <v>1324</v>
      </c>
      <c r="BB54" s="32">
        <v>1.0</v>
      </c>
      <c r="BC54" s="32">
        <v>34.0</v>
      </c>
      <c r="BD54" s="32" t="s">
        <v>1324</v>
      </c>
      <c r="BE54" s="32" t="s">
        <v>1851</v>
      </c>
      <c r="BF54" s="38" t="str">
        <f>HYPERLINK("http://dx.doi.org/10.1017/S0959270912000020","http://dx.doi.org/10.1017/S0959270912000020")</f>
        <v>http://dx.doi.org/10.1017/S0959270912000020</v>
      </c>
      <c r="BG54" s="32" t="s">
        <v>1324</v>
      </c>
      <c r="BH54" s="32" t="s">
        <v>1324</v>
      </c>
      <c r="BI54" s="32">
        <v>34.0</v>
      </c>
      <c r="BJ54" s="32" t="s">
        <v>4303</v>
      </c>
      <c r="BK54" s="32" t="s">
        <v>2407</v>
      </c>
      <c r="BL54" s="32" t="s">
        <v>4304</v>
      </c>
      <c r="BM54" s="32" t="s">
        <v>4305</v>
      </c>
      <c r="BN54" s="32" t="s">
        <v>1324</v>
      </c>
      <c r="BO54" s="32" t="s">
        <v>2715</v>
      </c>
      <c r="BP54" s="32" t="s">
        <v>1324</v>
      </c>
      <c r="BQ54" s="32" t="s">
        <v>1324</v>
      </c>
      <c r="BR54" s="32" t="s">
        <v>5042</v>
      </c>
      <c r="BS54" s="32" t="s">
        <v>4306</v>
      </c>
      <c r="BT54" s="32" t="s">
        <v>1329</v>
      </c>
      <c r="BU54" s="32" t="s">
        <v>1444</v>
      </c>
      <c r="BV54" s="32" t="s">
        <v>5048</v>
      </c>
      <c r="BW54" s="32" t="s">
        <v>1349</v>
      </c>
      <c r="BX54" s="32" t="s">
        <v>5062</v>
      </c>
      <c r="BY54" s="32" t="s">
        <v>1328</v>
      </c>
      <c r="BZ54" s="32" t="s">
        <v>1328</v>
      </c>
      <c r="CA54" s="32" t="s">
        <v>1328</v>
      </c>
      <c r="CB54" s="32" t="s">
        <v>1328</v>
      </c>
      <c r="CC54" s="32" t="s">
        <v>1328</v>
      </c>
      <c r="CD54" s="39" t="s">
        <v>5107</v>
      </c>
      <c r="CE54" s="32" t="s">
        <v>1395</v>
      </c>
      <c r="CF54" s="32" t="str">
        <f>HYPERLINK("https%3A%2F%2Fwww.webofscience.com%2Fwos%2Fwoscc%2Ffull-record%2FWOS:000301298900001","View Full Record in Web of Science")</f>
        <v>View Full Record in Web of Science</v>
      </c>
    </row>
    <row r="55" ht="12.75" customHeight="1">
      <c r="A55" s="32" t="s">
        <v>26</v>
      </c>
      <c r="B55" s="32" t="s">
        <v>4196</v>
      </c>
      <c r="C55" s="32" t="s">
        <v>1324</v>
      </c>
      <c r="D55" s="32" t="s">
        <v>1324</v>
      </c>
      <c r="E55" s="32" t="s">
        <v>1324</v>
      </c>
      <c r="F55" s="32" t="s">
        <v>1471</v>
      </c>
      <c r="G55" s="32" t="s">
        <v>1324</v>
      </c>
      <c r="H55" s="32" t="s">
        <v>1324</v>
      </c>
      <c r="I55" s="32" t="s">
        <v>1472</v>
      </c>
      <c r="J55" s="32" t="s">
        <v>365</v>
      </c>
      <c r="K55" s="32" t="s">
        <v>1324</v>
      </c>
      <c r="L55" s="32" t="s">
        <v>1324</v>
      </c>
      <c r="M55" s="32" t="s">
        <v>2364</v>
      </c>
      <c r="N55" s="32" t="s">
        <v>38</v>
      </c>
      <c r="O55" s="32" t="s">
        <v>1324</v>
      </c>
      <c r="P55" s="32" t="s">
        <v>1324</v>
      </c>
      <c r="Q55" s="32" t="s">
        <v>1324</v>
      </c>
      <c r="R55" s="32" t="s">
        <v>1324</v>
      </c>
      <c r="S55" s="32" t="s">
        <v>1324</v>
      </c>
      <c r="T55" s="32" t="s">
        <v>1324</v>
      </c>
      <c r="U55" s="32" t="s">
        <v>4197</v>
      </c>
      <c r="V55" s="32" t="s">
        <v>1473</v>
      </c>
      <c r="W55" s="32" t="s">
        <v>4198</v>
      </c>
      <c r="X55" s="32" t="s">
        <v>4199</v>
      </c>
      <c r="Y55" s="32" t="s">
        <v>4200</v>
      </c>
      <c r="Z55" s="32" t="s">
        <v>4201</v>
      </c>
      <c r="AA55" s="32" t="s">
        <v>5143</v>
      </c>
      <c r="AB55" s="32" t="s">
        <v>5144</v>
      </c>
      <c r="AC55" s="32" t="s">
        <v>4204</v>
      </c>
      <c r="AD55" s="32" t="s">
        <v>4204</v>
      </c>
      <c r="AE55" s="32" t="s">
        <v>4205</v>
      </c>
      <c r="AF55" s="32" t="s">
        <v>1324</v>
      </c>
      <c r="AG55" s="32">
        <v>159.0</v>
      </c>
      <c r="AH55" s="32">
        <v>54.0</v>
      </c>
      <c r="AI55" s="32">
        <v>68.0</v>
      </c>
      <c r="AJ55" s="32">
        <v>0.0</v>
      </c>
      <c r="AK55" s="32">
        <v>99.0</v>
      </c>
      <c r="AL55" s="32" t="s">
        <v>2423</v>
      </c>
      <c r="AM55" s="32" t="s">
        <v>2424</v>
      </c>
      <c r="AN55" s="32" t="s">
        <v>2425</v>
      </c>
      <c r="AO55" s="32" t="s">
        <v>2426</v>
      </c>
      <c r="AP55" s="32" t="s">
        <v>1324</v>
      </c>
      <c r="AQ55" s="32" t="s">
        <v>1324</v>
      </c>
      <c r="AR55" s="32" t="s">
        <v>365</v>
      </c>
      <c r="AS55" s="32" t="s">
        <v>2427</v>
      </c>
      <c r="AT55" s="32" t="s">
        <v>4206</v>
      </c>
      <c r="AU55" s="32">
        <v>2012.0</v>
      </c>
      <c r="AV55" s="32">
        <v>7.0</v>
      </c>
      <c r="AW55" s="32">
        <v>7.0</v>
      </c>
      <c r="AX55" s="32" t="s">
        <v>1324</v>
      </c>
      <c r="AY55" s="32" t="s">
        <v>1324</v>
      </c>
      <c r="AZ55" s="32" t="s">
        <v>1324</v>
      </c>
      <c r="BA55" s="32" t="s">
        <v>1324</v>
      </c>
      <c r="BB55" s="32" t="s">
        <v>1324</v>
      </c>
      <c r="BC55" s="32" t="s">
        <v>1324</v>
      </c>
      <c r="BD55" s="32" t="s">
        <v>4207</v>
      </c>
      <c r="BE55" s="32" t="s">
        <v>1474</v>
      </c>
      <c r="BF55" s="38" t="str">
        <f>HYPERLINK("http://dx.doi.org/10.1371/journal.pone.0039825","http://dx.doi.org/10.1371/journal.pone.0039825")</f>
        <v>http://dx.doi.org/10.1371/journal.pone.0039825</v>
      </c>
      <c r="BG55" s="32" t="s">
        <v>1324</v>
      </c>
      <c r="BH55" s="32" t="s">
        <v>1324</v>
      </c>
      <c r="BI55" s="32">
        <v>13.0</v>
      </c>
      <c r="BJ55" s="32" t="s">
        <v>42</v>
      </c>
      <c r="BK55" s="32" t="s">
        <v>2407</v>
      </c>
      <c r="BL55" s="32" t="s">
        <v>2430</v>
      </c>
      <c r="BM55" s="32" t="s">
        <v>4208</v>
      </c>
      <c r="BN55" s="32">
        <v>2.2808066E7</v>
      </c>
      <c r="BO55" s="32" t="s">
        <v>2410</v>
      </c>
      <c r="BP55" s="32" t="s">
        <v>1324</v>
      </c>
      <c r="BQ55" s="32" t="s">
        <v>1324</v>
      </c>
      <c r="BR55" s="32" t="s">
        <v>5042</v>
      </c>
      <c r="BS55" s="32" t="s">
        <v>4209</v>
      </c>
      <c r="BT55" s="32" t="s">
        <v>1329</v>
      </c>
      <c r="BU55" s="32" t="s">
        <v>1444</v>
      </c>
      <c r="BV55" s="2" t="s">
        <v>5145</v>
      </c>
      <c r="BW55" s="32" t="s">
        <v>1349</v>
      </c>
      <c r="BX55" s="32" t="s">
        <v>5062</v>
      </c>
      <c r="BY55" s="32" t="s">
        <v>1328</v>
      </c>
      <c r="BZ55" s="32" t="s">
        <v>1328</v>
      </c>
      <c r="CA55" s="32" t="s">
        <v>1328</v>
      </c>
      <c r="CB55" s="32" t="s">
        <v>1336</v>
      </c>
      <c r="CC55" s="32" t="s">
        <v>1328</v>
      </c>
      <c r="CD55" s="39" t="s">
        <v>5063</v>
      </c>
      <c r="CE55" s="32" t="s">
        <v>1395</v>
      </c>
      <c r="CF55" s="32" t="str">
        <f>HYPERLINK("https%3A%2F%2Fwww.webofscience.com%2Fwos%2Fwoscc%2Ffull-record%2FWOS:000306362400022","View Full Record in Web of Science")</f>
        <v>View Full Record in Web of Science</v>
      </c>
    </row>
    <row r="56" ht="12.75" customHeight="1">
      <c r="A56" s="32" t="s">
        <v>26</v>
      </c>
      <c r="B56" s="32" t="s">
        <v>4855</v>
      </c>
      <c r="C56" s="32" t="s">
        <v>1324</v>
      </c>
      <c r="D56" s="32" t="s">
        <v>1324</v>
      </c>
      <c r="E56" s="32" t="s">
        <v>1324</v>
      </c>
      <c r="F56" s="32" t="s">
        <v>1615</v>
      </c>
      <c r="G56" s="32" t="s">
        <v>1324</v>
      </c>
      <c r="H56" s="32" t="s">
        <v>1324</v>
      </c>
      <c r="I56" s="32" t="s">
        <v>1617</v>
      </c>
      <c r="J56" s="32" t="s">
        <v>1616</v>
      </c>
      <c r="K56" s="32" t="s">
        <v>1324</v>
      </c>
      <c r="L56" s="32" t="s">
        <v>1324</v>
      </c>
      <c r="M56" s="32" t="s">
        <v>2364</v>
      </c>
      <c r="N56" s="32" t="s">
        <v>38</v>
      </c>
      <c r="O56" s="32" t="s">
        <v>1324</v>
      </c>
      <c r="P56" s="32" t="s">
        <v>1324</v>
      </c>
      <c r="Q56" s="32" t="s">
        <v>1324</v>
      </c>
      <c r="R56" s="32" t="s">
        <v>1324</v>
      </c>
      <c r="S56" s="32" t="s">
        <v>1324</v>
      </c>
      <c r="T56" s="32" t="s">
        <v>4856</v>
      </c>
      <c r="U56" s="32" t="s">
        <v>4857</v>
      </c>
      <c r="V56" s="32" t="s">
        <v>4858</v>
      </c>
      <c r="W56" s="32" t="s">
        <v>4859</v>
      </c>
      <c r="X56" s="32" t="s">
        <v>4860</v>
      </c>
      <c r="Y56" s="32" t="s">
        <v>4861</v>
      </c>
      <c r="Z56" s="32" t="s">
        <v>4862</v>
      </c>
      <c r="AA56" s="32" t="s">
        <v>4863</v>
      </c>
      <c r="AB56" s="32" t="s">
        <v>4864</v>
      </c>
      <c r="AC56" s="32" t="s">
        <v>1324</v>
      </c>
      <c r="AD56" s="32" t="s">
        <v>1324</v>
      </c>
      <c r="AE56" s="32" t="s">
        <v>1324</v>
      </c>
      <c r="AF56" s="32" t="s">
        <v>1324</v>
      </c>
      <c r="AG56" s="32">
        <v>71.0</v>
      </c>
      <c r="AH56" s="32">
        <v>23.0</v>
      </c>
      <c r="AI56" s="32">
        <v>26.0</v>
      </c>
      <c r="AJ56" s="32">
        <v>1.0</v>
      </c>
      <c r="AK56" s="32">
        <v>41.0</v>
      </c>
      <c r="AL56" s="32" t="s">
        <v>2464</v>
      </c>
      <c r="AM56" s="32" t="s">
        <v>2465</v>
      </c>
      <c r="AN56" s="32" t="s">
        <v>2466</v>
      </c>
      <c r="AO56" s="32" t="s">
        <v>4865</v>
      </c>
      <c r="AP56" s="32" t="s">
        <v>4866</v>
      </c>
      <c r="AQ56" s="32" t="s">
        <v>1324</v>
      </c>
      <c r="AR56" s="32" t="s">
        <v>4867</v>
      </c>
      <c r="AS56" s="32" t="s">
        <v>4868</v>
      </c>
      <c r="AT56" s="32" t="s">
        <v>2471</v>
      </c>
      <c r="AU56" s="32">
        <v>2006.0</v>
      </c>
      <c r="AV56" s="32">
        <v>94.0</v>
      </c>
      <c r="AW56" s="32">
        <v>5.0</v>
      </c>
      <c r="AX56" s="32" t="s">
        <v>1324</v>
      </c>
      <c r="AY56" s="32" t="s">
        <v>1324</v>
      </c>
      <c r="AZ56" s="32" t="s">
        <v>1324</v>
      </c>
      <c r="BA56" s="32" t="s">
        <v>1324</v>
      </c>
      <c r="BB56" s="32">
        <v>987.0</v>
      </c>
      <c r="BC56" s="32">
        <v>1002.0</v>
      </c>
      <c r="BD56" s="32" t="s">
        <v>1324</v>
      </c>
      <c r="BE56" s="32" t="s">
        <v>1619</v>
      </c>
      <c r="BF56" s="38" t="str">
        <f>HYPERLINK("http://dx.doi.org/10.1111/j.1365-2745.2006.01140.x","http://dx.doi.org/10.1111/j.1365-2745.2006.01140.x")</f>
        <v>http://dx.doi.org/10.1111/j.1365-2745.2006.01140.x</v>
      </c>
      <c r="BG56" s="32" t="s">
        <v>1324</v>
      </c>
      <c r="BH56" s="32" t="s">
        <v>1324</v>
      </c>
      <c r="BI56" s="32">
        <v>16.0</v>
      </c>
      <c r="BJ56" s="32" t="s">
        <v>3648</v>
      </c>
      <c r="BK56" s="32" t="s">
        <v>2407</v>
      </c>
      <c r="BL56" s="32" t="s">
        <v>3649</v>
      </c>
      <c r="BM56" s="32" t="s">
        <v>4869</v>
      </c>
      <c r="BN56" s="32" t="s">
        <v>1324</v>
      </c>
      <c r="BO56" s="32" t="s">
        <v>1324</v>
      </c>
      <c r="BP56" s="32" t="s">
        <v>1324</v>
      </c>
      <c r="BQ56" s="32" t="s">
        <v>1324</v>
      </c>
      <c r="BR56" s="32" t="s">
        <v>5042</v>
      </c>
      <c r="BS56" s="32" t="s">
        <v>4870</v>
      </c>
      <c r="BT56" s="32" t="s">
        <v>1329</v>
      </c>
      <c r="BU56" s="32" t="s">
        <v>1333</v>
      </c>
      <c r="BV56" s="32" t="s">
        <v>5054</v>
      </c>
      <c r="BW56" s="32" t="s">
        <v>1464</v>
      </c>
      <c r="BX56" s="32" t="s">
        <v>5049</v>
      </c>
      <c r="BY56" s="32" t="s">
        <v>1328</v>
      </c>
      <c r="BZ56" s="32" t="s">
        <v>1328</v>
      </c>
      <c r="CA56" s="32" t="s">
        <v>1328</v>
      </c>
      <c r="CB56" s="32" t="s">
        <v>1336</v>
      </c>
      <c r="CC56" s="32" t="s">
        <v>1336</v>
      </c>
      <c r="CD56" s="39" t="s">
        <v>5050</v>
      </c>
      <c r="CE56" s="32" t="s">
        <v>1350</v>
      </c>
      <c r="CF56" s="32" t="str">
        <f>HYPERLINK("https%3A%2F%2Fwww.webofscience.com%2Fwos%2Fwoscc%2Ffull-record%2FWOS:000239510400011","View Full Record in Web of Science")</f>
        <v>View Full Record in Web of Science</v>
      </c>
    </row>
    <row r="57" ht="12.75" customHeight="1">
      <c r="A57" s="32" t="s">
        <v>26</v>
      </c>
      <c r="B57" s="32" t="s">
        <v>4228</v>
      </c>
      <c r="C57" s="32" t="s">
        <v>1324</v>
      </c>
      <c r="D57" s="32" t="s">
        <v>1324</v>
      </c>
      <c r="E57" s="32" t="s">
        <v>1324</v>
      </c>
      <c r="F57" s="32" t="s">
        <v>1736</v>
      </c>
      <c r="G57" s="32" t="s">
        <v>1324</v>
      </c>
      <c r="H57" s="32" t="s">
        <v>1324</v>
      </c>
      <c r="I57" s="32" t="s">
        <v>1737</v>
      </c>
      <c r="J57" s="32" t="s">
        <v>1731</v>
      </c>
      <c r="K57" s="32" t="s">
        <v>1324</v>
      </c>
      <c r="L57" s="32" t="s">
        <v>1324</v>
      </c>
      <c r="M57" s="32" t="s">
        <v>2364</v>
      </c>
      <c r="N57" s="32" t="s">
        <v>38</v>
      </c>
      <c r="O57" s="32" t="s">
        <v>1324</v>
      </c>
      <c r="P57" s="32" t="s">
        <v>1324</v>
      </c>
      <c r="Q57" s="32" t="s">
        <v>1324</v>
      </c>
      <c r="R57" s="32" t="s">
        <v>1324</v>
      </c>
      <c r="S57" s="32" t="s">
        <v>1324</v>
      </c>
      <c r="T57" s="32" t="s">
        <v>4229</v>
      </c>
      <c r="U57" s="32" t="s">
        <v>4230</v>
      </c>
      <c r="V57" s="32" t="s">
        <v>1738</v>
      </c>
      <c r="W57" s="32" t="s">
        <v>4231</v>
      </c>
      <c r="X57" s="32" t="s">
        <v>4232</v>
      </c>
      <c r="Y57" s="32" t="s">
        <v>4233</v>
      </c>
      <c r="Z57" s="32" t="s">
        <v>4234</v>
      </c>
      <c r="AA57" s="32" t="s">
        <v>5146</v>
      </c>
      <c r="AB57" s="32" t="s">
        <v>5147</v>
      </c>
      <c r="AC57" s="32" t="s">
        <v>4237</v>
      </c>
      <c r="AD57" s="32" t="s">
        <v>4237</v>
      </c>
      <c r="AE57" s="32" t="s">
        <v>4238</v>
      </c>
      <c r="AF57" s="32" t="s">
        <v>1324</v>
      </c>
      <c r="AG57" s="32">
        <v>59.0</v>
      </c>
      <c r="AH57" s="32">
        <v>65.0</v>
      </c>
      <c r="AI57" s="32">
        <v>66.0</v>
      </c>
      <c r="AJ57" s="32">
        <v>2.0</v>
      </c>
      <c r="AK57" s="32">
        <v>73.0</v>
      </c>
      <c r="AL57" s="32" t="s">
        <v>3737</v>
      </c>
      <c r="AM57" s="32" t="s">
        <v>2509</v>
      </c>
      <c r="AN57" s="32" t="s">
        <v>3738</v>
      </c>
      <c r="AO57" s="32" t="s">
        <v>3739</v>
      </c>
      <c r="AP57" s="32" t="s">
        <v>3740</v>
      </c>
      <c r="AQ57" s="32" t="s">
        <v>1324</v>
      </c>
      <c r="AR57" s="32" t="s">
        <v>3741</v>
      </c>
      <c r="AS57" s="32" t="s">
        <v>3742</v>
      </c>
      <c r="AT57" s="32" t="s">
        <v>2557</v>
      </c>
      <c r="AU57" s="32">
        <v>2012.0</v>
      </c>
      <c r="AV57" s="32">
        <v>69.0</v>
      </c>
      <c r="AW57" s="32">
        <v>6.0</v>
      </c>
      <c r="AX57" s="32" t="s">
        <v>1324</v>
      </c>
      <c r="AY57" s="32" t="s">
        <v>1324</v>
      </c>
      <c r="AZ57" s="32" t="s">
        <v>1324</v>
      </c>
      <c r="BA57" s="32" t="s">
        <v>1324</v>
      </c>
      <c r="BB57" s="32">
        <v>961.0</v>
      </c>
      <c r="BC57" s="32">
        <v>970.0</v>
      </c>
      <c r="BD57" s="32" t="s">
        <v>1324</v>
      </c>
      <c r="BE57" s="32" t="s">
        <v>1739</v>
      </c>
      <c r="BF57" s="38" t="str">
        <f>HYPERLINK("http://dx.doi.org/10.1093/icesjms/fss072","http://dx.doi.org/10.1093/icesjms/fss072")</f>
        <v>http://dx.doi.org/10.1093/icesjms/fss072</v>
      </c>
      <c r="BG57" s="32" t="s">
        <v>1324</v>
      </c>
      <c r="BH57" s="32" t="s">
        <v>1324</v>
      </c>
      <c r="BI57" s="32">
        <v>10.0</v>
      </c>
      <c r="BJ57" s="32" t="s">
        <v>3744</v>
      </c>
      <c r="BK57" s="32" t="s">
        <v>2407</v>
      </c>
      <c r="BL57" s="32" t="s">
        <v>3744</v>
      </c>
      <c r="BM57" s="32" t="s">
        <v>4239</v>
      </c>
      <c r="BN57" s="32" t="s">
        <v>1324</v>
      </c>
      <c r="BO57" s="32" t="s">
        <v>2715</v>
      </c>
      <c r="BP57" s="32" t="s">
        <v>1324</v>
      </c>
      <c r="BQ57" s="32" t="s">
        <v>1324</v>
      </c>
      <c r="BR57" s="32" t="s">
        <v>5042</v>
      </c>
      <c r="BS57" s="32" t="s">
        <v>4240</v>
      </c>
      <c r="BT57" s="32" t="s">
        <v>1329</v>
      </c>
      <c r="BU57" s="32" t="s">
        <v>1360</v>
      </c>
      <c r="BV57" s="32" t="s">
        <v>5066</v>
      </c>
      <c r="BW57" s="32" t="s">
        <v>1349</v>
      </c>
      <c r="BX57" s="32" t="s">
        <v>5062</v>
      </c>
      <c r="BY57" s="32" t="s">
        <v>1328</v>
      </c>
      <c r="BZ57" s="32" t="s">
        <v>1336</v>
      </c>
      <c r="CA57" s="32" t="s">
        <v>1336</v>
      </c>
      <c r="CB57" s="32" t="s">
        <v>1336</v>
      </c>
      <c r="CC57" s="32" t="s">
        <v>1328</v>
      </c>
      <c r="CD57" s="39" t="s">
        <v>5123</v>
      </c>
      <c r="CE57" s="32" t="s">
        <v>1350</v>
      </c>
      <c r="CF57" s="32" t="str">
        <f>HYPERLINK("https%3A%2F%2Fwww.webofscience.com%2Fwos%2Fwoscc%2Ffull-record%2FWOS:000305461200004","View Full Record in Web of Science")</f>
        <v>View Full Record in Web of Science</v>
      </c>
    </row>
    <row r="58" ht="12.75" customHeight="1">
      <c r="A58" s="32" t="s">
        <v>26</v>
      </c>
      <c r="B58" s="32" t="s">
        <v>4255</v>
      </c>
      <c r="C58" s="32" t="s">
        <v>1324</v>
      </c>
      <c r="D58" s="32" t="s">
        <v>1324</v>
      </c>
      <c r="E58" s="32" t="s">
        <v>1324</v>
      </c>
      <c r="F58" s="32" t="s">
        <v>1806</v>
      </c>
      <c r="G58" s="32" t="s">
        <v>1324</v>
      </c>
      <c r="H58" s="32" t="s">
        <v>1324</v>
      </c>
      <c r="I58" s="32" t="s">
        <v>1808</v>
      </c>
      <c r="J58" s="32" t="s">
        <v>1807</v>
      </c>
      <c r="K58" s="32" t="s">
        <v>1324</v>
      </c>
      <c r="L58" s="32" t="s">
        <v>1324</v>
      </c>
      <c r="M58" s="32" t="s">
        <v>2364</v>
      </c>
      <c r="N58" s="32" t="s">
        <v>38</v>
      </c>
      <c r="O58" s="32" t="s">
        <v>1324</v>
      </c>
      <c r="P58" s="32" t="s">
        <v>1324</v>
      </c>
      <c r="Q58" s="32" t="s">
        <v>1324</v>
      </c>
      <c r="R58" s="32" t="s">
        <v>1324</v>
      </c>
      <c r="S58" s="32" t="s">
        <v>1324</v>
      </c>
      <c r="T58" s="32" t="s">
        <v>1324</v>
      </c>
      <c r="U58" s="32" t="s">
        <v>4256</v>
      </c>
      <c r="V58" s="32" t="s">
        <v>1809</v>
      </c>
      <c r="W58" s="32" t="s">
        <v>4257</v>
      </c>
      <c r="X58" s="32" t="s">
        <v>4258</v>
      </c>
      <c r="Y58" s="32" t="s">
        <v>4259</v>
      </c>
      <c r="Z58" s="32" t="s">
        <v>4260</v>
      </c>
      <c r="AA58" s="32" t="s">
        <v>5148</v>
      </c>
      <c r="AB58" s="32" t="s">
        <v>4262</v>
      </c>
      <c r="AC58" s="32" t="s">
        <v>4263</v>
      </c>
      <c r="AD58" s="32" t="s">
        <v>4264</v>
      </c>
      <c r="AE58" s="32" t="s">
        <v>4265</v>
      </c>
      <c r="AF58" s="32" t="s">
        <v>1324</v>
      </c>
      <c r="AG58" s="32">
        <v>84.0</v>
      </c>
      <c r="AH58" s="32">
        <v>53.0</v>
      </c>
      <c r="AI58" s="32">
        <v>63.0</v>
      </c>
      <c r="AJ58" s="32">
        <v>0.0</v>
      </c>
      <c r="AK58" s="32">
        <v>7.0</v>
      </c>
      <c r="AL58" s="32" t="s">
        <v>4266</v>
      </c>
      <c r="AM58" s="32" t="s">
        <v>2792</v>
      </c>
      <c r="AN58" s="32" t="s">
        <v>4267</v>
      </c>
      <c r="AO58" s="32" t="s">
        <v>4268</v>
      </c>
      <c r="AP58" s="32" t="s">
        <v>4269</v>
      </c>
      <c r="AQ58" s="32" t="s">
        <v>1324</v>
      </c>
      <c r="AR58" s="32" t="s">
        <v>4270</v>
      </c>
      <c r="AS58" s="32" t="s">
        <v>4271</v>
      </c>
      <c r="AT58" s="32" t="s">
        <v>4272</v>
      </c>
      <c r="AU58" s="32">
        <v>2012.0</v>
      </c>
      <c r="AV58" s="32">
        <v>117.0</v>
      </c>
      <c r="AW58" s="32" t="s">
        <v>1324</v>
      </c>
      <c r="AX58" s="32" t="s">
        <v>1324</v>
      </c>
      <c r="AY58" s="32" t="s">
        <v>1324</v>
      </c>
      <c r="AZ58" s="32" t="s">
        <v>1324</v>
      </c>
      <c r="BA58" s="32" t="s">
        <v>1324</v>
      </c>
      <c r="BB58" s="32" t="s">
        <v>1324</v>
      </c>
      <c r="BC58" s="32" t="s">
        <v>1324</v>
      </c>
      <c r="BD58" s="32" t="s">
        <v>4273</v>
      </c>
      <c r="BE58" s="32" t="s">
        <v>1810</v>
      </c>
      <c r="BF58" s="38" t="str">
        <f>HYPERLINK("http://dx.doi.org/10.1029/2011JG001930","http://dx.doi.org/10.1029/2011JG001930")</f>
        <v>http://dx.doi.org/10.1029/2011JG001930</v>
      </c>
      <c r="BG58" s="32" t="s">
        <v>1324</v>
      </c>
      <c r="BH58" s="32" t="s">
        <v>1324</v>
      </c>
      <c r="BI58" s="32">
        <v>18.0</v>
      </c>
      <c r="BJ58" s="32" t="s">
        <v>1266</v>
      </c>
      <c r="BK58" s="32" t="s">
        <v>2407</v>
      </c>
      <c r="BL58" s="32" t="s">
        <v>3113</v>
      </c>
      <c r="BM58" s="32" t="s">
        <v>4274</v>
      </c>
      <c r="BN58" s="32" t="s">
        <v>1324</v>
      </c>
      <c r="BO58" s="32" t="s">
        <v>1324</v>
      </c>
      <c r="BP58" s="32" t="s">
        <v>1324</v>
      </c>
      <c r="BQ58" s="32" t="s">
        <v>1324</v>
      </c>
      <c r="BR58" s="32" t="s">
        <v>5042</v>
      </c>
      <c r="BS58" s="32" t="s">
        <v>4275</v>
      </c>
      <c r="BT58" s="32" t="s">
        <v>1329</v>
      </c>
      <c r="BU58" s="32" t="s">
        <v>1660</v>
      </c>
      <c r="BV58" s="32" t="s">
        <v>5051</v>
      </c>
      <c r="BW58" s="32" t="s">
        <v>1362</v>
      </c>
      <c r="BX58" s="32" t="s">
        <v>5044</v>
      </c>
      <c r="BY58" s="32" t="s">
        <v>1328</v>
      </c>
      <c r="BZ58" s="32" t="s">
        <v>1328</v>
      </c>
      <c r="CA58" s="32" t="s">
        <v>1336</v>
      </c>
      <c r="CB58" s="32" t="s">
        <v>1328</v>
      </c>
      <c r="CC58" s="32" t="s">
        <v>1328</v>
      </c>
      <c r="CD58" s="39" t="s">
        <v>5149</v>
      </c>
      <c r="CE58" s="32" t="s">
        <v>1350</v>
      </c>
      <c r="CF58" s="32" t="str">
        <f>HYPERLINK("https%3A%2F%2Fwww.webofscience.com%2Fwos%2Fwoscc%2Ffull-record%2FWOS:000305154000001","View Full Record in Web of Science")</f>
        <v>View Full Record in Web of Science</v>
      </c>
    </row>
    <row r="59" ht="12.75" customHeight="1">
      <c r="A59" s="32" t="s">
        <v>26</v>
      </c>
      <c r="B59" s="32" t="s">
        <v>3521</v>
      </c>
      <c r="C59" s="32" t="s">
        <v>1324</v>
      </c>
      <c r="D59" s="32" t="s">
        <v>1324</v>
      </c>
      <c r="E59" s="32" t="s">
        <v>1324</v>
      </c>
      <c r="F59" s="32" t="s">
        <v>1655</v>
      </c>
      <c r="G59" s="32" t="s">
        <v>1324</v>
      </c>
      <c r="H59" s="32" t="s">
        <v>1324</v>
      </c>
      <c r="I59" s="32" t="s">
        <v>1656</v>
      </c>
      <c r="J59" s="32" t="s">
        <v>774</v>
      </c>
      <c r="K59" s="32" t="s">
        <v>1324</v>
      </c>
      <c r="L59" s="32" t="s">
        <v>1324</v>
      </c>
      <c r="M59" s="32" t="s">
        <v>2364</v>
      </c>
      <c r="N59" s="32" t="s">
        <v>38</v>
      </c>
      <c r="O59" s="32" t="s">
        <v>1324</v>
      </c>
      <c r="P59" s="32" t="s">
        <v>1324</v>
      </c>
      <c r="Q59" s="32" t="s">
        <v>1324</v>
      </c>
      <c r="R59" s="32" t="s">
        <v>1324</v>
      </c>
      <c r="S59" s="32" t="s">
        <v>1324</v>
      </c>
      <c r="T59" s="32" t="s">
        <v>3522</v>
      </c>
      <c r="U59" s="32" t="s">
        <v>3523</v>
      </c>
      <c r="V59" s="32" t="s">
        <v>1657</v>
      </c>
      <c r="W59" s="32" t="s">
        <v>3524</v>
      </c>
      <c r="X59" s="32" t="s">
        <v>3525</v>
      </c>
      <c r="Y59" s="32" t="s">
        <v>3526</v>
      </c>
      <c r="Z59" s="32" t="s">
        <v>3527</v>
      </c>
      <c r="AA59" s="32" t="s">
        <v>5150</v>
      </c>
      <c r="AB59" s="32" t="s">
        <v>5151</v>
      </c>
      <c r="AC59" s="32" t="s">
        <v>3530</v>
      </c>
      <c r="AD59" s="32" t="s">
        <v>3531</v>
      </c>
      <c r="AE59" s="32" t="s">
        <v>3532</v>
      </c>
      <c r="AF59" s="32" t="s">
        <v>1324</v>
      </c>
      <c r="AG59" s="32">
        <v>50.0</v>
      </c>
      <c r="AH59" s="32">
        <v>140.0</v>
      </c>
      <c r="AI59" s="32">
        <v>144.0</v>
      </c>
      <c r="AJ59" s="32">
        <v>4.0</v>
      </c>
      <c r="AK59" s="32">
        <v>222.0</v>
      </c>
      <c r="AL59" s="32" t="s">
        <v>2464</v>
      </c>
      <c r="AM59" s="32" t="s">
        <v>2465</v>
      </c>
      <c r="AN59" s="32" t="s">
        <v>2466</v>
      </c>
      <c r="AO59" s="32" t="s">
        <v>2923</v>
      </c>
      <c r="AP59" s="32" t="s">
        <v>2924</v>
      </c>
      <c r="AQ59" s="32" t="s">
        <v>1324</v>
      </c>
      <c r="AR59" s="32" t="s">
        <v>2925</v>
      </c>
      <c r="AS59" s="32" t="s">
        <v>2926</v>
      </c>
      <c r="AT59" s="32" t="s">
        <v>3518</v>
      </c>
      <c r="AU59" s="32">
        <v>2015.0</v>
      </c>
      <c r="AV59" s="32">
        <v>21.0</v>
      </c>
      <c r="AW59" s="32">
        <v>10.0</v>
      </c>
      <c r="AX59" s="32" t="s">
        <v>1324</v>
      </c>
      <c r="AY59" s="32" t="s">
        <v>1324</v>
      </c>
      <c r="AZ59" s="32" t="s">
        <v>1324</v>
      </c>
      <c r="BA59" s="32" t="s">
        <v>1324</v>
      </c>
      <c r="BB59" s="32">
        <v>3726.0</v>
      </c>
      <c r="BC59" s="32">
        <v>3737.0</v>
      </c>
      <c r="BD59" s="32" t="s">
        <v>1324</v>
      </c>
      <c r="BE59" s="32" t="s">
        <v>1658</v>
      </c>
      <c r="BF59" s="38" t="str">
        <f>HYPERLINK("http://dx.doi.org/10.1111/gcb.12993","http://dx.doi.org/10.1111/gcb.12993")</f>
        <v>http://dx.doi.org/10.1111/gcb.12993</v>
      </c>
      <c r="BG59" s="32" t="s">
        <v>1324</v>
      </c>
      <c r="BH59" s="32" t="s">
        <v>1324</v>
      </c>
      <c r="BI59" s="32">
        <v>12.0</v>
      </c>
      <c r="BJ59" s="32" t="s">
        <v>255</v>
      </c>
      <c r="BK59" s="32" t="s">
        <v>2407</v>
      </c>
      <c r="BL59" s="32" t="s">
        <v>2577</v>
      </c>
      <c r="BM59" s="32" t="s">
        <v>3533</v>
      </c>
      <c r="BN59" s="32">
        <v>2.6212787E7</v>
      </c>
      <c r="BO59" s="32" t="s">
        <v>2579</v>
      </c>
      <c r="BP59" s="32" t="s">
        <v>1324</v>
      </c>
      <c r="BQ59" s="32" t="s">
        <v>1324</v>
      </c>
      <c r="BR59" s="32" t="s">
        <v>5042</v>
      </c>
      <c r="BS59" s="32" t="s">
        <v>3534</v>
      </c>
      <c r="BT59" s="32" t="s">
        <v>1463</v>
      </c>
      <c r="BU59" s="32" t="s">
        <v>1660</v>
      </c>
      <c r="BV59" s="32" t="s">
        <v>5066</v>
      </c>
      <c r="BW59" s="32" t="s">
        <v>1362</v>
      </c>
      <c r="BX59" s="32" t="s">
        <v>5044</v>
      </c>
      <c r="BY59" s="32" t="s">
        <v>1328</v>
      </c>
      <c r="BZ59" s="32" t="s">
        <v>1336</v>
      </c>
      <c r="CA59" s="32" t="s">
        <v>1328</v>
      </c>
      <c r="CB59" s="32" t="s">
        <v>1336</v>
      </c>
      <c r="CC59" s="32" t="s">
        <v>1328</v>
      </c>
      <c r="CD59" s="39" t="s">
        <v>5152</v>
      </c>
      <c r="CE59" s="32" t="s">
        <v>1350</v>
      </c>
      <c r="CF59" s="32" t="str">
        <f>HYPERLINK("https%3A%2F%2Fwww.webofscience.com%2Fwos%2Fwoscc%2Ffull-record%2FWOS:000360994500014","View Full Record in Web of Science")</f>
        <v>View Full Record in Web of Science</v>
      </c>
    </row>
    <row r="60" ht="12.75" customHeight="1">
      <c r="A60" s="32" t="s">
        <v>26</v>
      </c>
      <c r="B60" s="32" t="s">
        <v>4210</v>
      </c>
      <c r="C60" s="32" t="s">
        <v>1324</v>
      </c>
      <c r="D60" s="32" t="s">
        <v>1324</v>
      </c>
      <c r="E60" s="32" t="s">
        <v>1324</v>
      </c>
      <c r="F60" s="32" t="s">
        <v>2182</v>
      </c>
      <c r="G60" s="32" t="s">
        <v>1324</v>
      </c>
      <c r="H60" s="32" t="s">
        <v>1324</v>
      </c>
      <c r="I60" s="32" t="s">
        <v>2184</v>
      </c>
      <c r="J60" s="32" t="s">
        <v>2183</v>
      </c>
      <c r="K60" s="32" t="s">
        <v>1324</v>
      </c>
      <c r="L60" s="32" t="s">
        <v>1324</v>
      </c>
      <c r="M60" s="32" t="s">
        <v>2364</v>
      </c>
      <c r="N60" s="32" t="s">
        <v>38</v>
      </c>
      <c r="O60" s="32" t="s">
        <v>1324</v>
      </c>
      <c r="P60" s="32" t="s">
        <v>1324</v>
      </c>
      <c r="Q60" s="32" t="s">
        <v>1324</v>
      </c>
      <c r="R60" s="32" t="s">
        <v>1324</v>
      </c>
      <c r="S60" s="32" t="s">
        <v>1324</v>
      </c>
      <c r="T60" s="32" t="s">
        <v>4211</v>
      </c>
      <c r="U60" s="32" t="s">
        <v>4212</v>
      </c>
      <c r="V60" s="32" t="s">
        <v>2185</v>
      </c>
      <c r="W60" s="32" t="s">
        <v>4213</v>
      </c>
      <c r="X60" s="32" t="s">
        <v>4214</v>
      </c>
      <c r="Y60" s="32" t="s">
        <v>4215</v>
      </c>
      <c r="Z60" s="32" t="s">
        <v>4216</v>
      </c>
      <c r="AA60" s="32" t="s">
        <v>5153</v>
      </c>
      <c r="AB60" s="32" t="s">
        <v>5154</v>
      </c>
      <c r="AC60" s="32" t="s">
        <v>4219</v>
      </c>
      <c r="AD60" s="32" t="s">
        <v>4220</v>
      </c>
      <c r="AE60" s="32" t="s">
        <v>4221</v>
      </c>
      <c r="AF60" s="32" t="s">
        <v>1324</v>
      </c>
      <c r="AG60" s="32">
        <v>97.0</v>
      </c>
      <c r="AH60" s="32">
        <v>11.0</v>
      </c>
      <c r="AI60" s="32">
        <v>12.0</v>
      </c>
      <c r="AJ60" s="32">
        <v>1.0</v>
      </c>
      <c r="AK60" s="32">
        <v>21.0</v>
      </c>
      <c r="AL60" s="32" t="s">
        <v>3250</v>
      </c>
      <c r="AM60" s="32" t="s">
        <v>3872</v>
      </c>
      <c r="AN60" s="32" t="s">
        <v>3873</v>
      </c>
      <c r="AO60" s="32" t="s">
        <v>4222</v>
      </c>
      <c r="AP60" s="32" t="s">
        <v>4223</v>
      </c>
      <c r="AQ60" s="32" t="s">
        <v>1324</v>
      </c>
      <c r="AR60" s="32" t="s">
        <v>4224</v>
      </c>
      <c r="AS60" s="32" t="s">
        <v>4225</v>
      </c>
      <c r="AT60" s="32" t="s">
        <v>2557</v>
      </c>
      <c r="AU60" s="32">
        <v>2012.0</v>
      </c>
      <c r="AV60" s="32">
        <v>35.0</v>
      </c>
      <c r="AW60" s="32">
        <v>4.0</v>
      </c>
      <c r="AX60" s="32" t="s">
        <v>1324</v>
      </c>
      <c r="AY60" s="32" t="s">
        <v>1324</v>
      </c>
      <c r="AZ60" s="32" t="s">
        <v>1324</v>
      </c>
      <c r="BA60" s="32" t="s">
        <v>1324</v>
      </c>
      <c r="BB60" s="32">
        <v>1082.0</v>
      </c>
      <c r="BC60" s="32">
        <v>1099.0</v>
      </c>
      <c r="BD60" s="32" t="s">
        <v>1324</v>
      </c>
      <c r="BE60" s="32" t="s">
        <v>2186</v>
      </c>
      <c r="BF60" s="38" t="str">
        <f>HYPERLINK("http://dx.doi.org/10.1007/s12237-012-9506-y","http://dx.doi.org/10.1007/s12237-012-9506-y")</f>
        <v>http://dx.doi.org/10.1007/s12237-012-9506-y</v>
      </c>
      <c r="BG60" s="32" t="s">
        <v>1324</v>
      </c>
      <c r="BH60" s="32" t="s">
        <v>1324</v>
      </c>
      <c r="BI60" s="32">
        <v>18.0</v>
      </c>
      <c r="BJ60" s="32" t="s">
        <v>148</v>
      </c>
      <c r="BK60" s="32" t="s">
        <v>2407</v>
      </c>
      <c r="BL60" s="32" t="s">
        <v>2516</v>
      </c>
      <c r="BM60" s="32" t="s">
        <v>4226</v>
      </c>
      <c r="BN60" s="32" t="s">
        <v>1324</v>
      </c>
      <c r="BO60" s="32" t="s">
        <v>1324</v>
      </c>
      <c r="BP60" s="32" t="s">
        <v>1324</v>
      </c>
      <c r="BQ60" s="32" t="s">
        <v>1324</v>
      </c>
      <c r="BR60" s="32" t="s">
        <v>5042</v>
      </c>
      <c r="BS60" s="32" t="s">
        <v>4227</v>
      </c>
      <c r="BT60" s="32" t="s">
        <v>1329</v>
      </c>
      <c r="BU60" s="32" t="s">
        <v>1333</v>
      </c>
      <c r="BV60" s="32" t="s">
        <v>5066</v>
      </c>
      <c r="BW60" s="32" t="s">
        <v>1530</v>
      </c>
      <c r="BX60" s="32" t="s">
        <v>5078</v>
      </c>
      <c r="BY60" s="32" t="s">
        <v>1328</v>
      </c>
      <c r="BZ60" s="32" t="s">
        <v>1328</v>
      </c>
      <c r="CA60" s="32" t="s">
        <v>1336</v>
      </c>
      <c r="CB60" s="32" t="s">
        <v>1336</v>
      </c>
      <c r="CC60" s="32" t="s">
        <v>1336</v>
      </c>
      <c r="CD60" s="39" t="s">
        <v>5055</v>
      </c>
      <c r="CE60" s="32" t="s">
        <v>1350</v>
      </c>
      <c r="CF60" s="32" t="str">
        <f>HYPERLINK("https%3A%2F%2Fwww.webofscience.com%2Fwos%2Fwoscc%2Ffull-record%2FWOS:000304697600014","View Full Record in Web of Science")</f>
        <v>View Full Record in Web of Science</v>
      </c>
    </row>
    <row r="61" ht="12.75" customHeight="1">
      <c r="A61" s="32" t="s">
        <v>26</v>
      </c>
      <c r="B61" s="32" t="s">
        <v>4734</v>
      </c>
      <c r="C61" s="32" t="s">
        <v>1324</v>
      </c>
      <c r="D61" s="32" t="s">
        <v>1324</v>
      </c>
      <c r="E61" s="32" t="s">
        <v>1324</v>
      </c>
      <c r="F61" s="32" t="s">
        <v>1490</v>
      </c>
      <c r="G61" s="32" t="s">
        <v>1324</v>
      </c>
      <c r="H61" s="32" t="s">
        <v>1324</v>
      </c>
      <c r="I61" s="32" t="s">
        <v>1491</v>
      </c>
      <c r="J61" s="32" t="s">
        <v>365</v>
      </c>
      <c r="K61" s="32" t="s">
        <v>1324</v>
      </c>
      <c r="L61" s="32" t="s">
        <v>1324</v>
      </c>
      <c r="M61" s="32" t="s">
        <v>2364</v>
      </c>
      <c r="N61" s="32" t="s">
        <v>38</v>
      </c>
      <c r="O61" s="32" t="s">
        <v>1324</v>
      </c>
      <c r="P61" s="32" t="s">
        <v>1324</v>
      </c>
      <c r="Q61" s="32" t="s">
        <v>1324</v>
      </c>
      <c r="R61" s="32" t="s">
        <v>1324</v>
      </c>
      <c r="S61" s="32" t="s">
        <v>1324</v>
      </c>
      <c r="T61" s="32" t="s">
        <v>1324</v>
      </c>
      <c r="U61" s="32" t="s">
        <v>4735</v>
      </c>
      <c r="V61" s="32" t="s">
        <v>1492</v>
      </c>
      <c r="W61" s="32" t="s">
        <v>4736</v>
      </c>
      <c r="X61" s="32" t="s">
        <v>5155</v>
      </c>
      <c r="Y61" s="32" t="s">
        <v>4738</v>
      </c>
      <c r="Z61" s="32" t="s">
        <v>4739</v>
      </c>
      <c r="AA61" s="32" t="s">
        <v>5156</v>
      </c>
      <c r="AB61" s="32" t="s">
        <v>5157</v>
      </c>
      <c r="AC61" s="32" t="s">
        <v>4742</v>
      </c>
      <c r="AD61" s="32" t="s">
        <v>4743</v>
      </c>
      <c r="AE61" s="32" t="s">
        <v>4744</v>
      </c>
      <c r="AF61" s="32" t="s">
        <v>1324</v>
      </c>
      <c r="AG61" s="32">
        <v>52.0</v>
      </c>
      <c r="AH61" s="32">
        <v>218.0</v>
      </c>
      <c r="AI61" s="32">
        <v>241.0</v>
      </c>
      <c r="AJ61" s="32">
        <v>0.0</v>
      </c>
      <c r="AK61" s="32">
        <v>194.0</v>
      </c>
      <c r="AL61" s="32" t="s">
        <v>2423</v>
      </c>
      <c r="AM61" s="32" t="s">
        <v>2424</v>
      </c>
      <c r="AN61" s="32" t="s">
        <v>2425</v>
      </c>
      <c r="AO61" s="32" t="s">
        <v>2426</v>
      </c>
      <c r="AP61" s="32" t="s">
        <v>1324</v>
      </c>
      <c r="AQ61" s="32" t="s">
        <v>1324</v>
      </c>
      <c r="AR61" s="32" t="s">
        <v>365</v>
      </c>
      <c r="AS61" s="32" t="s">
        <v>2427</v>
      </c>
      <c r="AT61" s="32" t="s">
        <v>4745</v>
      </c>
      <c r="AU61" s="32">
        <v>2008.0</v>
      </c>
      <c r="AV61" s="32">
        <v>3.0</v>
      </c>
      <c r="AW61" s="32">
        <v>8.0</v>
      </c>
      <c r="AX61" s="32" t="s">
        <v>1324</v>
      </c>
      <c r="AY61" s="32" t="s">
        <v>1324</v>
      </c>
      <c r="AZ61" s="32" t="s">
        <v>1324</v>
      </c>
      <c r="BA61" s="32" t="s">
        <v>1324</v>
      </c>
      <c r="BB61" s="32" t="s">
        <v>1324</v>
      </c>
      <c r="BC61" s="32" t="s">
        <v>1324</v>
      </c>
      <c r="BD61" s="32" t="s">
        <v>4746</v>
      </c>
      <c r="BE61" s="32" t="s">
        <v>1493</v>
      </c>
      <c r="BF61" s="38" t="str">
        <f>HYPERLINK("http://dx.doi.org/10.1371/journal.pone.0003039","http://dx.doi.org/10.1371/journal.pone.0003039")</f>
        <v>http://dx.doi.org/10.1371/journal.pone.0003039</v>
      </c>
      <c r="BG61" s="32" t="s">
        <v>1324</v>
      </c>
      <c r="BH61" s="32" t="s">
        <v>1324</v>
      </c>
      <c r="BI61" s="32">
        <v>9.0</v>
      </c>
      <c r="BJ61" s="32" t="s">
        <v>42</v>
      </c>
      <c r="BK61" s="32" t="s">
        <v>2407</v>
      </c>
      <c r="BL61" s="32" t="s">
        <v>2430</v>
      </c>
      <c r="BM61" s="32" t="s">
        <v>4747</v>
      </c>
      <c r="BN61" s="32">
        <v>1.8728776E7</v>
      </c>
      <c r="BO61" s="32" t="s">
        <v>2410</v>
      </c>
      <c r="BP61" s="32" t="s">
        <v>1324</v>
      </c>
      <c r="BQ61" s="32" t="s">
        <v>1324</v>
      </c>
      <c r="BR61" s="32" t="s">
        <v>5042</v>
      </c>
      <c r="BS61" s="32" t="s">
        <v>4748</v>
      </c>
      <c r="BT61" s="32" t="s">
        <v>1329</v>
      </c>
      <c r="BU61" s="32" t="s">
        <v>1360</v>
      </c>
      <c r="BV61" s="2" t="s">
        <v>5158</v>
      </c>
      <c r="BW61" s="32" t="s">
        <v>1349</v>
      </c>
      <c r="BX61" s="32" t="s">
        <v>5062</v>
      </c>
      <c r="BY61" s="32" t="s">
        <v>1328</v>
      </c>
      <c r="BZ61" s="32" t="s">
        <v>1328</v>
      </c>
      <c r="CA61" s="32" t="s">
        <v>1336</v>
      </c>
      <c r="CB61" s="32" t="s">
        <v>1336</v>
      </c>
      <c r="CC61" s="32" t="s">
        <v>1336</v>
      </c>
      <c r="CD61" s="39" t="s">
        <v>5055</v>
      </c>
      <c r="CE61" s="32" t="s">
        <v>1350</v>
      </c>
      <c r="CF61" s="32" t="str">
        <f>HYPERLINK("https%3A%2F%2Fwww.webofscience.com%2Fwos%2Fwoscc%2Ffull-record%2FWOS:000264796400003","View Full Record in Web of Science")</f>
        <v>View Full Record in Web of Science</v>
      </c>
    </row>
    <row r="62" ht="12.75" customHeight="1">
      <c r="A62" s="32" t="s">
        <v>26</v>
      </c>
      <c r="B62" s="32" t="s">
        <v>4160</v>
      </c>
      <c r="C62" s="32" t="s">
        <v>1324</v>
      </c>
      <c r="D62" s="32" t="s">
        <v>1324</v>
      </c>
      <c r="E62" s="32" t="s">
        <v>1324</v>
      </c>
      <c r="F62" s="32" t="s">
        <v>1992</v>
      </c>
      <c r="G62" s="32" t="s">
        <v>1324</v>
      </c>
      <c r="H62" s="32" t="s">
        <v>1324</v>
      </c>
      <c r="I62" s="32" t="s">
        <v>1993</v>
      </c>
      <c r="J62" s="32" t="s">
        <v>193</v>
      </c>
      <c r="K62" s="32" t="s">
        <v>1324</v>
      </c>
      <c r="L62" s="32" t="s">
        <v>1324</v>
      </c>
      <c r="M62" s="32" t="s">
        <v>2364</v>
      </c>
      <c r="N62" s="32" t="s">
        <v>38</v>
      </c>
      <c r="O62" s="32" t="s">
        <v>1324</v>
      </c>
      <c r="P62" s="32" t="s">
        <v>1324</v>
      </c>
      <c r="Q62" s="32" t="s">
        <v>1324</v>
      </c>
      <c r="R62" s="32" t="s">
        <v>1324</v>
      </c>
      <c r="S62" s="32" t="s">
        <v>1324</v>
      </c>
      <c r="T62" s="32" t="s">
        <v>4161</v>
      </c>
      <c r="U62" s="32" t="s">
        <v>4162</v>
      </c>
      <c r="V62" s="32" t="s">
        <v>1994</v>
      </c>
      <c r="W62" s="32" t="s">
        <v>4163</v>
      </c>
      <c r="X62" s="32" t="s">
        <v>4164</v>
      </c>
      <c r="Y62" s="32" t="s">
        <v>4165</v>
      </c>
      <c r="Z62" s="32" t="s">
        <v>4166</v>
      </c>
      <c r="AA62" s="32" t="s">
        <v>5159</v>
      </c>
      <c r="AB62" s="32" t="s">
        <v>4168</v>
      </c>
      <c r="AC62" s="32" t="s">
        <v>4169</v>
      </c>
      <c r="AD62" s="32" t="s">
        <v>4170</v>
      </c>
      <c r="AE62" s="32" t="s">
        <v>4171</v>
      </c>
      <c r="AF62" s="32" t="s">
        <v>1324</v>
      </c>
      <c r="AG62" s="32">
        <v>43.0</v>
      </c>
      <c r="AH62" s="32">
        <v>33.0</v>
      </c>
      <c r="AI62" s="32">
        <v>35.0</v>
      </c>
      <c r="AJ62" s="32">
        <v>3.0</v>
      </c>
      <c r="AK62" s="32">
        <v>122.0</v>
      </c>
      <c r="AL62" s="32" t="s">
        <v>2530</v>
      </c>
      <c r="AM62" s="32" t="s">
        <v>2509</v>
      </c>
      <c r="AN62" s="32" t="s">
        <v>2646</v>
      </c>
      <c r="AO62" s="32" t="s">
        <v>4172</v>
      </c>
      <c r="AP62" s="32" t="s">
        <v>4173</v>
      </c>
      <c r="AQ62" s="32" t="s">
        <v>1324</v>
      </c>
      <c r="AR62" s="32" t="s">
        <v>4174</v>
      </c>
      <c r="AS62" s="32" t="s">
        <v>4175</v>
      </c>
      <c r="AT62" s="32" t="s">
        <v>2908</v>
      </c>
      <c r="AU62" s="32">
        <v>2012.0</v>
      </c>
      <c r="AV62" s="32">
        <v>37.0</v>
      </c>
      <c r="AW62" s="32" t="s">
        <v>1324</v>
      </c>
      <c r="AX62" s="32" t="s">
        <v>1324</v>
      </c>
      <c r="AY62" s="32" t="s">
        <v>1324</v>
      </c>
      <c r="AZ62" s="32" t="s">
        <v>1324</v>
      </c>
      <c r="BA62" s="32" t="s">
        <v>1324</v>
      </c>
      <c r="BB62" s="32">
        <v>107.0</v>
      </c>
      <c r="BC62" s="32">
        <v>114.0</v>
      </c>
      <c r="BD62" s="32" t="s">
        <v>1324</v>
      </c>
      <c r="BE62" s="32" t="s">
        <v>1995</v>
      </c>
      <c r="BF62" s="38" t="str">
        <f>HYPERLINK("http://dx.doi.org/10.1016/j.jclepro.2012.06.016","http://dx.doi.org/10.1016/j.jclepro.2012.06.016")</f>
        <v>http://dx.doi.org/10.1016/j.jclepro.2012.06.016</v>
      </c>
      <c r="BG62" s="32" t="s">
        <v>1324</v>
      </c>
      <c r="BH62" s="32" t="s">
        <v>1324</v>
      </c>
      <c r="BI62" s="32">
        <v>8.0</v>
      </c>
      <c r="BJ62" s="32" t="s">
        <v>197</v>
      </c>
      <c r="BK62" s="32" t="s">
        <v>2878</v>
      </c>
      <c r="BL62" s="32" t="s">
        <v>4176</v>
      </c>
      <c r="BM62" s="32" t="s">
        <v>4177</v>
      </c>
      <c r="BN62" s="32" t="s">
        <v>1324</v>
      </c>
      <c r="BO62" s="32" t="s">
        <v>2715</v>
      </c>
      <c r="BP62" s="32" t="s">
        <v>1324</v>
      </c>
      <c r="BQ62" s="32" t="s">
        <v>1324</v>
      </c>
      <c r="BR62" s="32" t="s">
        <v>5042</v>
      </c>
      <c r="BS62" s="32" t="s">
        <v>4178</v>
      </c>
      <c r="BT62" s="32" t="s">
        <v>1329</v>
      </c>
      <c r="BU62" s="32" t="s">
        <v>1444</v>
      </c>
      <c r="BV62" s="32" t="s">
        <v>5160</v>
      </c>
      <c r="BW62" s="32" t="s">
        <v>1446</v>
      </c>
      <c r="BX62" s="32" t="s">
        <v>5106</v>
      </c>
      <c r="BY62" s="32" t="s">
        <v>1328</v>
      </c>
      <c r="BZ62" s="32" t="s">
        <v>1328</v>
      </c>
      <c r="CA62" s="32" t="s">
        <v>1328</v>
      </c>
      <c r="CB62" s="32" t="s">
        <v>1336</v>
      </c>
      <c r="CC62" s="32" t="s">
        <v>1336</v>
      </c>
      <c r="CD62" s="39" t="s">
        <v>5050</v>
      </c>
      <c r="CE62" s="32" t="s">
        <v>1404</v>
      </c>
      <c r="CF62" s="32" t="str">
        <f>HYPERLINK("https%3A%2F%2Fwww.webofscience.com%2Fwos%2Fwoscc%2Ffull-record%2FWOS:000309375200010","View Full Record in Web of Science")</f>
        <v>View Full Record in Web of Science</v>
      </c>
    </row>
    <row r="63" ht="12.75" customHeight="1">
      <c r="A63" s="32" t="s">
        <v>26</v>
      </c>
      <c r="B63" s="32" t="s">
        <v>3747</v>
      </c>
      <c r="C63" s="32" t="s">
        <v>1324</v>
      </c>
      <c r="D63" s="32" t="s">
        <v>1324</v>
      </c>
      <c r="E63" s="32" t="s">
        <v>1324</v>
      </c>
      <c r="F63" s="32" t="s">
        <v>1677</v>
      </c>
      <c r="G63" s="32" t="s">
        <v>1324</v>
      </c>
      <c r="H63" s="32" t="s">
        <v>1324</v>
      </c>
      <c r="I63" s="32" t="s">
        <v>1678</v>
      </c>
      <c r="J63" s="32" t="s">
        <v>126</v>
      </c>
      <c r="K63" s="32" t="s">
        <v>1324</v>
      </c>
      <c r="L63" s="32" t="s">
        <v>1324</v>
      </c>
      <c r="M63" s="32" t="s">
        <v>2364</v>
      </c>
      <c r="N63" s="32" t="s">
        <v>38</v>
      </c>
      <c r="O63" s="32" t="s">
        <v>1324</v>
      </c>
      <c r="P63" s="32" t="s">
        <v>1324</v>
      </c>
      <c r="Q63" s="32" t="s">
        <v>1324</v>
      </c>
      <c r="R63" s="32" t="s">
        <v>1324</v>
      </c>
      <c r="S63" s="32" t="s">
        <v>1324</v>
      </c>
      <c r="T63" s="32" t="s">
        <v>3748</v>
      </c>
      <c r="U63" s="32" t="s">
        <v>3749</v>
      </c>
      <c r="V63" s="32" t="s">
        <v>3750</v>
      </c>
      <c r="W63" s="32" t="s">
        <v>3751</v>
      </c>
      <c r="X63" s="32" t="s">
        <v>5161</v>
      </c>
      <c r="Y63" s="32" t="s">
        <v>3753</v>
      </c>
      <c r="Z63" s="32" t="s">
        <v>3754</v>
      </c>
      <c r="AA63" s="32" t="s">
        <v>5162</v>
      </c>
      <c r="AB63" s="32" t="s">
        <v>5163</v>
      </c>
      <c r="AC63" s="32" t="s">
        <v>3757</v>
      </c>
      <c r="AD63" s="32" t="s">
        <v>3758</v>
      </c>
      <c r="AE63" s="32" t="s">
        <v>3759</v>
      </c>
      <c r="AF63" s="32" t="s">
        <v>1324</v>
      </c>
      <c r="AG63" s="32">
        <v>65.0</v>
      </c>
      <c r="AH63" s="32">
        <v>41.0</v>
      </c>
      <c r="AI63" s="32">
        <v>46.0</v>
      </c>
      <c r="AJ63" s="32">
        <v>4.0</v>
      </c>
      <c r="AK63" s="32">
        <v>128.0</v>
      </c>
      <c r="AL63" s="32" t="s">
        <v>2464</v>
      </c>
      <c r="AM63" s="32" t="s">
        <v>2465</v>
      </c>
      <c r="AN63" s="32" t="s">
        <v>2466</v>
      </c>
      <c r="AO63" s="32" t="s">
        <v>3025</v>
      </c>
      <c r="AP63" s="32" t="s">
        <v>3026</v>
      </c>
      <c r="AQ63" s="32" t="s">
        <v>1324</v>
      </c>
      <c r="AR63" s="32" t="s">
        <v>3027</v>
      </c>
      <c r="AS63" s="32" t="s">
        <v>3028</v>
      </c>
      <c r="AT63" s="32" t="s">
        <v>2515</v>
      </c>
      <c r="AU63" s="32">
        <v>2014.0</v>
      </c>
      <c r="AV63" s="32">
        <v>59.0</v>
      </c>
      <c r="AW63" s="32">
        <v>8.0</v>
      </c>
      <c r="AX63" s="32" t="s">
        <v>1324</v>
      </c>
      <c r="AY63" s="32" t="s">
        <v>1324</v>
      </c>
      <c r="AZ63" s="32" t="s">
        <v>1324</v>
      </c>
      <c r="BA63" s="32" t="s">
        <v>1324</v>
      </c>
      <c r="BB63" s="32">
        <v>1755.0</v>
      </c>
      <c r="BC63" s="32">
        <v>1767.0</v>
      </c>
      <c r="BD63" s="32" t="s">
        <v>1324</v>
      </c>
      <c r="BE63" s="32" t="s">
        <v>1680</v>
      </c>
      <c r="BF63" s="38" t="str">
        <f>HYPERLINK("http://dx.doi.org/10.1111/fwb.12380","http://dx.doi.org/10.1111/fwb.12380")</f>
        <v>http://dx.doi.org/10.1111/fwb.12380</v>
      </c>
      <c r="BG63" s="32" t="s">
        <v>1324</v>
      </c>
      <c r="BH63" s="32" t="s">
        <v>1324</v>
      </c>
      <c r="BI63" s="32">
        <v>13.0</v>
      </c>
      <c r="BJ63" s="32" t="s">
        <v>130</v>
      </c>
      <c r="BK63" s="32" t="s">
        <v>2407</v>
      </c>
      <c r="BL63" s="32" t="s">
        <v>2516</v>
      </c>
      <c r="BM63" s="32" t="s">
        <v>3760</v>
      </c>
      <c r="BN63" s="32" t="s">
        <v>1324</v>
      </c>
      <c r="BO63" s="32" t="s">
        <v>1324</v>
      </c>
      <c r="BP63" s="32" t="s">
        <v>1324</v>
      </c>
      <c r="BQ63" s="32" t="s">
        <v>1324</v>
      </c>
      <c r="BR63" s="32" t="s">
        <v>5042</v>
      </c>
      <c r="BS63" s="32" t="s">
        <v>3761</v>
      </c>
      <c r="BT63" s="32" t="s">
        <v>1329</v>
      </c>
      <c r="BU63" s="32" t="s">
        <v>1333</v>
      </c>
      <c r="BV63" s="32" t="s">
        <v>5066</v>
      </c>
      <c r="BW63" s="32" t="s">
        <v>1530</v>
      </c>
      <c r="BX63" s="32" t="s">
        <v>5078</v>
      </c>
      <c r="BY63" s="32" t="s">
        <v>1328</v>
      </c>
      <c r="BZ63" s="32" t="s">
        <v>1336</v>
      </c>
      <c r="CA63" s="32" t="s">
        <v>1328</v>
      </c>
      <c r="CB63" s="32" t="s">
        <v>1336</v>
      </c>
      <c r="CC63" s="32" t="s">
        <v>1328</v>
      </c>
      <c r="CD63" s="39" t="s">
        <v>5152</v>
      </c>
      <c r="CE63" s="32" t="s">
        <v>1350</v>
      </c>
      <c r="CF63" s="32" t="str">
        <f>HYPERLINK("https%3A%2F%2Fwww.webofscience.com%2Fwos%2Fwoscc%2Ffull-record%2FWOS:000339385100016","View Full Record in Web of Science")</f>
        <v>View Full Record in Web of Science</v>
      </c>
    </row>
    <row r="64" ht="12.75" customHeight="1">
      <c r="A64" s="32" t="s">
        <v>26</v>
      </c>
      <c r="B64" s="32" t="s">
        <v>2757</v>
      </c>
      <c r="C64" s="32" t="s">
        <v>1324</v>
      </c>
      <c r="D64" s="32" t="s">
        <v>1324</v>
      </c>
      <c r="E64" s="32" t="s">
        <v>1324</v>
      </c>
      <c r="F64" s="32" t="s">
        <v>1396</v>
      </c>
      <c r="G64" s="32" t="s">
        <v>1324</v>
      </c>
      <c r="H64" s="32" t="s">
        <v>1324</v>
      </c>
      <c r="I64" s="32" t="s">
        <v>1398</v>
      </c>
      <c r="J64" s="32" t="s">
        <v>1397</v>
      </c>
      <c r="K64" s="32" t="s">
        <v>1324</v>
      </c>
      <c r="L64" s="32" t="s">
        <v>1324</v>
      </c>
      <c r="M64" s="32" t="s">
        <v>2364</v>
      </c>
      <c r="N64" s="32" t="s">
        <v>38</v>
      </c>
      <c r="O64" s="32" t="s">
        <v>1324</v>
      </c>
      <c r="P64" s="32" t="s">
        <v>1324</v>
      </c>
      <c r="Q64" s="32" t="s">
        <v>1324</v>
      </c>
      <c r="R64" s="32" t="s">
        <v>1324</v>
      </c>
      <c r="S64" s="32" t="s">
        <v>1324</v>
      </c>
      <c r="T64" s="32" t="s">
        <v>2758</v>
      </c>
      <c r="U64" s="32" t="s">
        <v>2759</v>
      </c>
      <c r="V64" s="32" t="s">
        <v>1399</v>
      </c>
      <c r="W64" s="32" t="s">
        <v>2760</v>
      </c>
      <c r="X64" s="32" t="s">
        <v>2761</v>
      </c>
      <c r="Y64" s="32" t="s">
        <v>2762</v>
      </c>
      <c r="Z64" s="32" t="s">
        <v>2763</v>
      </c>
      <c r="AA64" s="32" t="s">
        <v>5164</v>
      </c>
      <c r="AB64" s="32" t="s">
        <v>2765</v>
      </c>
      <c r="AC64" s="32" t="s">
        <v>2766</v>
      </c>
      <c r="AD64" s="32" t="s">
        <v>2767</v>
      </c>
      <c r="AE64" s="32" t="s">
        <v>2768</v>
      </c>
      <c r="AF64" s="32" t="s">
        <v>1324</v>
      </c>
      <c r="AG64" s="32">
        <v>64.0</v>
      </c>
      <c r="AH64" s="32">
        <v>17.0</v>
      </c>
      <c r="AI64" s="32">
        <v>20.0</v>
      </c>
      <c r="AJ64" s="32">
        <v>1.0</v>
      </c>
      <c r="AK64" s="32">
        <v>55.0</v>
      </c>
      <c r="AL64" s="32" t="s">
        <v>2769</v>
      </c>
      <c r="AM64" s="32" t="s">
        <v>2770</v>
      </c>
      <c r="AN64" s="32" t="s">
        <v>2771</v>
      </c>
      <c r="AO64" s="32" t="s">
        <v>2772</v>
      </c>
      <c r="AP64" s="32" t="s">
        <v>2773</v>
      </c>
      <c r="AQ64" s="32" t="s">
        <v>1324</v>
      </c>
      <c r="AR64" s="32" t="s">
        <v>2774</v>
      </c>
      <c r="AS64" s="32" t="s">
        <v>2775</v>
      </c>
      <c r="AT64" s="32" t="s">
        <v>2776</v>
      </c>
      <c r="AU64" s="32">
        <v>2018.0</v>
      </c>
      <c r="AV64" s="32">
        <v>590.0</v>
      </c>
      <c r="AW64" s="32" t="s">
        <v>1324</v>
      </c>
      <c r="AX64" s="32" t="s">
        <v>1324</v>
      </c>
      <c r="AY64" s="32" t="s">
        <v>1324</v>
      </c>
      <c r="AZ64" s="32" t="s">
        <v>1324</v>
      </c>
      <c r="BA64" s="32" t="s">
        <v>1324</v>
      </c>
      <c r="BB64" s="32">
        <v>201.0</v>
      </c>
      <c r="BC64" s="32">
        <v>209.0</v>
      </c>
      <c r="BD64" s="32" t="s">
        <v>1324</v>
      </c>
      <c r="BE64" s="32" t="s">
        <v>1400</v>
      </c>
      <c r="BF64" s="38" t="str">
        <f>HYPERLINK("http://dx.doi.org/10.3354/meps12462","http://dx.doi.org/10.3354/meps12462")</f>
        <v>http://dx.doi.org/10.3354/meps12462</v>
      </c>
      <c r="BG64" s="32" t="s">
        <v>1324</v>
      </c>
      <c r="BH64" s="32" t="s">
        <v>1324</v>
      </c>
      <c r="BI64" s="32">
        <v>9.0</v>
      </c>
      <c r="BJ64" s="32" t="s">
        <v>2447</v>
      </c>
      <c r="BK64" s="32" t="s">
        <v>2407</v>
      </c>
      <c r="BL64" s="32" t="s">
        <v>2449</v>
      </c>
      <c r="BM64" s="32" t="s">
        <v>2777</v>
      </c>
      <c r="BN64" s="32" t="s">
        <v>1324</v>
      </c>
      <c r="BO64" s="32" t="s">
        <v>1324</v>
      </c>
      <c r="BP64" s="32" t="s">
        <v>1324</v>
      </c>
      <c r="BQ64" s="32" t="s">
        <v>1324</v>
      </c>
      <c r="BR64" s="32" t="s">
        <v>5042</v>
      </c>
      <c r="BS64" s="32" t="s">
        <v>2778</v>
      </c>
      <c r="BT64" s="32" t="s">
        <v>1329</v>
      </c>
      <c r="BU64" s="32" t="s">
        <v>1360</v>
      </c>
      <c r="BV64" s="32" t="s">
        <v>5051</v>
      </c>
      <c r="BW64" s="32" t="s">
        <v>1349</v>
      </c>
      <c r="BX64" s="32" t="s">
        <v>5062</v>
      </c>
      <c r="BY64" s="32" t="s">
        <v>1328</v>
      </c>
      <c r="BZ64" s="32" t="s">
        <v>1336</v>
      </c>
      <c r="CA64" s="32" t="s">
        <v>1328</v>
      </c>
      <c r="CB64" s="32" t="s">
        <v>1336</v>
      </c>
      <c r="CC64" s="32" t="s">
        <v>1336</v>
      </c>
      <c r="CD64" s="39" t="s">
        <v>5070</v>
      </c>
      <c r="CE64" s="32" t="s">
        <v>1404</v>
      </c>
      <c r="CF64" s="32" t="str">
        <f>HYPERLINK("https%3A%2F%2Fwww.webofscience.com%2Fwos%2Fwoscc%2Ffull-record%2FWOS:000428817200014","View Full Record in Web of Science")</f>
        <v>View Full Record in Web of Science</v>
      </c>
    </row>
    <row r="65" ht="12.75" customHeight="1">
      <c r="A65" s="32" t="s">
        <v>26</v>
      </c>
      <c r="B65" s="32" t="s">
        <v>4036</v>
      </c>
      <c r="C65" s="32" t="s">
        <v>1324</v>
      </c>
      <c r="D65" s="32" t="s">
        <v>1324</v>
      </c>
      <c r="E65" s="32" t="s">
        <v>1324</v>
      </c>
      <c r="F65" s="32" t="s">
        <v>1581</v>
      </c>
      <c r="G65" s="32" t="s">
        <v>1324</v>
      </c>
      <c r="H65" s="32" t="s">
        <v>1324</v>
      </c>
      <c r="I65" s="32" t="s">
        <v>1582</v>
      </c>
      <c r="J65" s="32" t="s">
        <v>1575</v>
      </c>
      <c r="K65" s="32" t="s">
        <v>1324</v>
      </c>
      <c r="L65" s="32" t="s">
        <v>1324</v>
      </c>
      <c r="M65" s="32" t="s">
        <v>2364</v>
      </c>
      <c r="N65" s="32" t="s">
        <v>38</v>
      </c>
      <c r="O65" s="32" t="s">
        <v>1324</v>
      </c>
      <c r="P65" s="32" t="s">
        <v>1324</v>
      </c>
      <c r="Q65" s="32" t="s">
        <v>1324</v>
      </c>
      <c r="R65" s="32" t="s">
        <v>1324</v>
      </c>
      <c r="S65" s="32" t="s">
        <v>1324</v>
      </c>
      <c r="T65" s="32" t="s">
        <v>1324</v>
      </c>
      <c r="U65" s="32" t="s">
        <v>4037</v>
      </c>
      <c r="V65" s="32" t="s">
        <v>1583</v>
      </c>
      <c r="W65" s="32" t="s">
        <v>4038</v>
      </c>
      <c r="X65" s="32" t="s">
        <v>5165</v>
      </c>
      <c r="Y65" s="32" t="s">
        <v>4040</v>
      </c>
      <c r="Z65" s="32" t="s">
        <v>4041</v>
      </c>
      <c r="AA65" s="32" t="s">
        <v>5166</v>
      </c>
      <c r="AB65" s="32" t="s">
        <v>5167</v>
      </c>
      <c r="AC65" s="32" t="s">
        <v>4044</v>
      </c>
      <c r="AD65" s="32" t="s">
        <v>4045</v>
      </c>
      <c r="AE65" s="32" t="s">
        <v>4046</v>
      </c>
      <c r="AF65" s="32" t="s">
        <v>1324</v>
      </c>
      <c r="AG65" s="32">
        <v>67.0</v>
      </c>
      <c r="AH65" s="32">
        <v>16.0</v>
      </c>
      <c r="AI65" s="32">
        <v>17.0</v>
      </c>
      <c r="AJ65" s="32">
        <v>2.0</v>
      </c>
      <c r="AK65" s="32">
        <v>107.0</v>
      </c>
      <c r="AL65" s="32" t="s">
        <v>2464</v>
      </c>
      <c r="AM65" s="32" t="s">
        <v>2465</v>
      </c>
      <c r="AN65" s="32" t="s">
        <v>2466</v>
      </c>
      <c r="AO65" s="32" t="s">
        <v>4047</v>
      </c>
      <c r="AP65" s="32" t="s">
        <v>4048</v>
      </c>
      <c r="AQ65" s="32" t="s">
        <v>1324</v>
      </c>
      <c r="AR65" s="32" t="s">
        <v>1575</v>
      </c>
      <c r="AS65" s="32" t="s">
        <v>4049</v>
      </c>
      <c r="AT65" s="32" t="s">
        <v>2632</v>
      </c>
      <c r="AU65" s="32">
        <v>2013.0</v>
      </c>
      <c r="AV65" s="32">
        <v>122.0</v>
      </c>
      <c r="AW65" s="32">
        <v>6.0</v>
      </c>
      <c r="AX65" s="32" t="s">
        <v>1324</v>
      </c>
      <c r="AY65" s="32" t="s">
        <v>1324</v>
      </c>
      <c r="AZ65" s="32" t="s">
        <v>1324</v>
      </c>
      <c r="BA65" s="32" t="s">
        <v>1324</v>
      </c>
      <c r="BB65" s="32">
        <v>835.0</v>
      </c>
      <c r="BC65" s="32">
        <v>844.0</v>
      </c>
      <c r="BD65" s="32" t="s">
        <v>1324</v>
      </c>
      <c r="BE65" s="32" t="s">
        <v>1584</v>
      </c>
      <c r="BF65" s="38" t="str">
        <f>HYPERLINK("http://dx.doi.org/10.1111/j.1600-0706.2012.19858.x","http://dx.doi.org/10.1111/j.1600-0706.2012.19858.x")</f>
        <v>http://dx.doi.org/10.1111/j.1600-0706.2012.19858.x</v>
      </c>
      <c r="BG65" s="32" t="s">
        <v>1324</v>
      </c>
      <c r="BH65" s="32" t="s">
        <v>1324</v>
      </c>
      <c r="BI65" s="32">
        <v>10.0</v>
      </c>
      <c r="BJ65" s="32" t="s">
        <v>817</v>
      </c>
      <c r="BK65" s="32" t="s">
        <v>2407</v>
      </c>
      <c r="BL65" s="32" t="s">
        <v>2472</v>
      </c>
      <c r="BM65" s="32" t="s">
        <v>4050</v>
      </c>
      <c r="BN65" s="32" t="s">
        <v>1324</v>
      </c>
      <c r="BO65" s="32" t="s">
        <v>1324</v>
      </c>
      <c r="BP65" s="32" t="s">
        <v>1324</v>
      </c>
      <c r="BQ65" s="32" t="s">
        <v>1324</v>
      </c>
      <c r="BR65" s="32" t="s">
        <v>5042</v>
      </c>
      <c r="BS65" s="32" t="s">
        <v>4051</v>
      </c>
      <c r="BT65" s="32" t="s">
        <v>1329</v>
      </c>
      <c r="BU65" s="32" t="s">
        <v>1333</v>
      </c>
      <c r="BV65" s="32" t="s">
        <v>5066</v>
      </c>
      <c r="BW65" s="32" t="s">
        <v>1530</v>
      </c>
      <c r="BX65" s="32" t="s">
        <v>5078</v>
      </c>
      <c r="BY65" s="32" t="s">
        <v>1328</v>
      </c>
      <c r="BZ65" s="32" t="s">
        <v>1336</v>
      </c>
      <c r="CA65" s="32" t="s">
        <v>1336</v>
      </c>
      <c r="CB65" s="32" t="s">
        <v>1336</v>
      </c>
      <c r="CC65" s="32" t="s">
        <v>1328</v>
      </c>
      <c r="CD65" s="39" t="s">
        <v>5123</v>
      </c>
      <c r="CE65" s="32" t="s">
        <v>1350</v>
      </c>
      <c r="CF65" s="32" t="str">
        <f>HYPERLINK("https%3A%2F%2Fwww.webofscience.com%2Fwos%2Fwoscc%2Ffull-record%2FWOS:000319408300004","View Full Record in Web of Science")</f>
        <v>View Full Record in Web of Science</v>
      </c>
    </row>
    <row r="66" ht="12.75" customHeight="1">
      <c r="A66" s="32" t="s">
        <v>26</v>
      </c>
      <c r="B66" s="32" t="s">
        <v>4307</v>
      </c>
      <c r="C66" s="32" t="s">
        <v>1324</v>
      </c>
      <c r="D66" s="32" t="s">
        <v>1324</v>
      </c>
      <c r="E66" s="32" t="s">
        <v>1324</v>
      </c>
      <c r="F66" s="32" t="s">
        <v>1626</v>
      </c>
      <c r="G66" s="32" t="s">
        <v>1324</v>
      </c>
      <c r="H66" s="32" t="s">
        <v>1324</v>
      </c>
      <c r="I66" s="32" t="s">
        <v>1627</v>
      </c>
      <c r="J66" s="32" t="s">
        <v>774</v>
      </c>
      <c r="K66" s="32" t="s">
        <v>1324</v>
      </c>
      <c r="L66" s="32" t="s">
        <v>1324</v>
      </c>
      <c r="M66" s="32" t="s">
        <v>2364</v>
      </c>
      <c r="N66" s="32" t="s">
        <v>38</v>
      </c>
      <c r="O66" s="32" t="s">
        <v>1324</v>
      </c>
      <c r="P66" s="32" t="s">
        <v>1324</v>
      </c>
      <c r="Q66" s="32" t="s">
        <v>1324</v>
      </c>
      <c r="R66" s="32" t="s">
        <v>1324</v>
      </c>
      <c r="S66" s="32" t="s">
        <v>1324</v>
      </c>
      <c r="T66" s="32" t="s">
        <v>4308</v>
      </c>
      <c r="U66" s="32" t="s">
        <v>4309</v>
      </c>
      <c r="V66" s="32" t="s">
        <v>1628</v>
      </c>
      <c r="W66" s="32" t="s">
        <v>4310</v>
      </c>
      <c r="X66" s="32" t="s">
        <v>4311</v>
      </c>
      <c r="Y66" s="32" t="s">
        <v>4312</v>
      </c>
      <c r="Z66" s="32" t="s">
        <v>4313</v>
      </c>
      <c r="AA66" s="32" t="s">
        <v>5168</v>
      </c>
      <c r="AB66" s="32" t="s">
        <v>5169</v>
      </c>
      <c r="AC66" s="32" t="s">
        <v>4316</v>
      </c>
      <c r="AD66" s="32" t="s">
        <v>4317</v>
      </c>
      <c r="AE66" s="32" t="s">
        <v>4318</v>
      </c>
      <c r="AF66" s="32" t="s">
        <v>1324</v>
      </c>
      <c r="AG66" s="32">
        <v>76.0</v>
      </c>
      <c r="AH66" s="32">
        <v>128.0</v>
      </c>
      <c r="AI66" s="32">
        <v>153.0</v>
      </c>
      <c r="AJ66" s="32">
        <v>12.0</v>
      </c>
      <c r="AK66" s="32">
        <v>378.0</v>
      </c>
      <c r="AL66" s="32" t="s">
        <v>2464</v>
      </c>
      <c r="AM66" s="32" t="s">
        <v>2465</v>
      </c>
      <c r="AN66" s="32" t="s">
        <v>2466</v>
      </c>
      <c r="AO66" s="32" t="s">
        <v>2923</v>
      </c>
      <c r="AP66" s="32" t="s">
        <v>2924</v>
      </c>
      <c r="AQ66" s="32" t="s">
        <v>1324</v>
      </c>
      <c r="AR66" s="32" t="s">
        <v>2925</v>
      </c>
      <c r="AS66" s="32" t="s">
        <v>2926</v>
      </c>
      <c r="AT66" s="32" t="s">
        <v>2818</v>
      </c>
      <c r="AU66" s="32">
        <v>2012.0</v>
      </c>
      <c r="AV66" s="32">
        <v>18.0</v>
      </c>
      <c r="AW66" s="32">
        <v>2.0</v>
      </c>
      <c r="AX66" s="32" t="s">
        <v>1324</v>
      </c>
      <c r="AY66" s="32" t="s">
        <v>1324</v>
      </c>
      <c r="AZ66" s="32" t="s">
        <v>1324</v>
      </c>
      <c r="BA66" s="32" t="s">
        <v>1324</v>
      </c>
      <c r="BB66" s="32">
        <v>504.0</v>
      </c>
      <c r="BC66" s="32">
        <v>514.0</v>
      </c>
      <c r="BD66" s="32" t="s">
        <v>1324</v>
      </c>
      <c r="BE66" s="32" t="s">
        <v>1629</v>
      </c>
      <c r="BF66" s="38" t="str">
        <f>HYPERLINK("http://dx.doi.org/10.1111/j.1365-2486.2011.02540.x","http://dx.doi.org/10.1111/j.1365-2486.2011.02540.x")</f>
        <v>http://dx.doi.org/10.1111/j.1365-2486.2011.02540.x</v>
      </c>
      <c r="BG66" s="32" t="s">
        <v>1324</v>
      </c>
      <c r="BH66" s="32" t="s">
        <v>1324</v>
      </c>
      <c r="BI66" s="32">
        <v>11.0</v>
      </c>
      <c r="BJ66" s="32" t="s">
        <v>255</v>
      </c>
      <c r="BK66" s="32" t="s">
        <v>2407</v>
      </c>
      <c r="BL66" s="32" t="s">
        <v>2577</v>
      </c>
      <c r="BM66" s="32" t="s">
        <v>4319</v>
      </c>
      <c r="BN66" s="32" t="s">
        <v>1324</v>
      </c>
      <c r="BO66" s="32" t="s">
        <v>1324</v>
      </c>
      <c r="BP66" s="32" t="s">
        <v>1324</v>
      </c>
      <c r="BQ66" s="32" t="s">
        <v>1324</v>
      </c>
      <c r="BR66" s="32" t="s">
        <v>5042</v>
      </c>
      <c r="BS66" s="32" t="s">
        <v>4320</v>
      </c>
      <c r="BT66" s="32" t="s">
        <v>1631</v>
      </c>
      <c r="BU66" s="32" t="s">
        <v>1333</v>
      </c>
      <c r="BV66" s="32" t="s">
        <v>5051</v>
      </c>
      <c r="BW66" s="32" t="s">
        <v>1530</v>
      </c>
      <c r="BX66" s="32" t="s">
        <v>5078</v>
      </c>
      <c r="BY66" s="32" t="s">
        <v>1328</v>
      </c>
      <c r="BZ66" s="32" t="s">
        <v>1336</v>
      </c>
      <c r="CA66" s="32" t="s">
        <v>1328</v>
      </c>
      <c r="CB66" s="32" t="s">
        <v>1336</v>
      </c>
      <c r="CC66" s="32" t="s">
        <v>1328</v>
      </c>
      <c r="CD66" s="39" t="s">
        <v>5152</v>
      </c>
      <c r="CE66" s="32" t="s">
        <v>1350</v>
      </c>
      <c r="CF66" s="32" t="str">
        <f>HYPERLINK("https%3A%2F%2Fwww.webofscience.com%2Fwos%2Fwoscc%2Ffull-record%2FWOS:000299042500010","View Full Record in Web of Science")</f>
        <v>View Full Record in Web of Science</v>
      </c>
    </row>
    <row r="67" ht="12.75" customHeight="1">
      <c r="A67" s="32" t="s">
        <v>26</v>
      </c>
      <c r="B67" s="32" t="s">
        <v>3116</v>
      </c>
      <c r="C67" s="32" t="s">
        <v>1324</v>
      </c>
      <c r="D67" s="32" t="s">
        <v>1324</v>
      </c>
      <c r="E67" s="32" t="s">
        <v>1324</v>
      </c>
      <c r="F67" s="32" t="s">
        <v>1842</v>
      </c>
      <c r="G67" s="32" t="s">
        <v>1324</v>
      </c>
      <c r="H67" s="32" t="s">
        <v>1324</v>
      </c>
      <c r="I67" s="32" t="s">
        <v>1843</v>
      </c>
      <c r="J67" s="32" t="s">
        <v>507</v>
      </c>
      <c r="K67" s="32" t="s">
        <v>1324</v>
      </c>
      <c r="L67" s="32" t="s">
        <v>1324</v>
      </c>
      <c r="M67" s="32" t="s">
        <v>2364</v>
      </c>
      <c r="N67" s="32" t="s">
        <v>38</v>
      </c>
      <c r="O67" s="32" t="s">
        <v>1324</v>
      </c>
      <c r="P67" s="32" t="s">
        <v>1324</v>
      </c>
      <c r="Q67" s="32" t="s">
        <v>1324</v>
      </c>
      <c r="R67" s="32" t="s">
        <v>1324</v>
      </c>
      <c r="S67" s="32" t="s">
        <v>1324</v>
      </c>
      <c r="T67" s="32" t="s">
        <v>1324</v>
      </c>
      <c r="U67" s="32" t="s">
        <v>3117</v>
      </c>
      <c r="V67" s="32" t="s">
        <v>1844</v>
      </c>
      <c r="W67" s="32" t="s">
        <v>3118</v>
      </c>
      <c r="X67" s="32" t="s">
        <v>3119</v>
      </c>
      <c r="Y67" s="32" t="s">
        <v>3120</v>
      </c>
      <c r="Z67" s="32" t="s">
        <v>3121</v>
      </c>
      <c r="AA67" s="32" t="s">
        <v>5170</v>
      </c>
      <c r="AB67" s="32" t="s">
        <v>5171</v>
      </c>
      <c r="AC67" s="32" t="s">
        <v>1324</v>
      </c>
      <c r="AD67" s="32" t="s">
        <v>1324</v>
      </c>
      <c r="AE67" s="32" t="s">
        <v>1324</v>
      </c>
      <c r="AF67" s="32" t="s">
        <v>1324</v>
      </c>
      <c r="AG67" s="32">
        <v>52.0</v>
      </c>
      <c r="AH67" s="32">
        <v>146.0</v>
      </c>
      <c r="AI67" s="32">
        <v>155.0</v>
      </c>
      <c r="AJ67" s="32">
        <v>10.0</v>
      </c>
      <c r="AK67" s="32">
        <v>200.0</v>
      </c>
      <c r="AL67" s="32" t="s">
        <v>3124</v>
      </c>
      <c r="AM67" s="32" t="s">
        <v>2792</v>
      </c>
      <c r="AN67" s="32" t="s">
        <v>3125</v>
      </c>
      <c r="AO67" s="32" t="s">
        <v>3126</v>
      </c>
      <c r="AP67" s="32" t="s">
        <v>3127</v>
      </c>
      <c r="AQ67" s="32" t="s">
        <v>1324</v>
      </c>
      <c r="AR67" s="32" t="s">
        <v>3128</v>
      </c>
      <c r="AS67" s="32" t="s">
        <v>3129</v>
      </c>
      <c r="AT67" s="32" t="s">
        <v>3130</v>
      </c>
      <c r="AU67" s="32">
        <v>2017.0</v>
      </c>
      <c r="AV67" s="32">
        <v>51.0</v>
      </c>
      <c r="AW67" s="32">
        <v>6.0</v>
      </c>
      <c r="AX67" s="32" t="s">
        <v>1324</v>
      </c>
      <c r="AY67" s="32" t="s">
        <v>1324</v>
      </c>
      <c r="AZ67" s="32" t="s">
        <v>1324</v>
      </c>
      <c r="BA67" s="32" t="s">
        <v>1324</v>
      </c>
      <c r="BB67" s="32">
        <v>3298.0</v>
      </c>
      <c r="BC67" s="32">
        <v>3306.0</v>
      </c>
      <c r="BD67" s="32" t="s">
        <v>1324</v>
      </c>
      <c r="BE67" s="32" t="s">
        <v>1845</v>
      </c>
      <c r="BF67" s="38" t="str">
        <f>HYPERLINK("http://dx.doi.org/10.1021/acs.est.6b05296","http://dx.doi.org/10.1021/acs.est.6b05296")</f>
        <v>http://dx.doi.org/10.1021/acs.est.6b05296</v>
      </c>
      <c r="BG67" s="32" t="s">
        <v>1324</v>
      </c>
      <c r="BH67" s="32" t="s">
        <v>1324</v>
      </c>
      <c r="BI67" s="32">
        <v>9.0</v>
      </c>
      <c r="BJ67" s="32" t="s">
        <v>511</v>
      </c>
      <c r="BK67" s="32" t="s">
        <v>2878</v>
      </c>
      <c r="BL67" s="32" t="s">
        <v>3131</v>
      </c>
      <c r="BM67" s="32" t="s">
        <v>3132</v>
      </c>
      <c r="BN67" s="32">
        <v>2.8072521E7</v>
      </c>
      <c r="BO67" s="32" t="s">
        <v>1324</v>
      </c>
      <c r="BP67" s="32" t="s">
        <v>1324</v>
      </c>
      <c r="BQ67" s="32" t="s">
        <v>1324</v>
      </c>
      <c r="BR67" s="32" t="s">
        <v>5042</v>
      </c>
      <c r="BS67" s="32" t="s">
        <v>3133</v>
      </c>
      <c r="BT67" s="32" t="s">
        <v>1329</v>
      </c>
      <c r="BU67" s="32" t="s">
        <v>1444</v>
      </c>
      <c r="BV67" s="32" t="s">
        <v>5048</v>
      </c>
      <c r="BW67" s="32" t="s">
        <v>1362</v>
      </c>
      <c r="BX67" s="32" t="s">
        <v>5044</v>
      </c>
      <c r="BY67" s="32" t="s">
        <v>1328</v>
      </c>
      <c r="BZ67" s="32" t="s">
        <v>1328</v>
      </c>
      <c r="CA67" s="32" t="s">
        <v>1336</v>
      </c>
      <c r="CB67" s="32" t="s">
        <v>1336</v>
      </c>
      <c r="CC67" s="32" t="s">
        <v>1336</v>
      </c>
      <c r="CD67" s="39" t="s">
        <v>5055</v>
      </c>
      <c r="CE67" s="32" t="s">
        <v>1350</v>
      </c>
      <c r="CF67" s="32" t="str">
        <f>HYPERLINK("https%3A%2F%2Fwww.webofscience.com%2Fwos%2Fwoscc%2Ffull-record%2FWOS:000397477900021","View Full Record in Web of Science")</f>
        <v>View Full Record in Web of Science</v>
      </c>
    </row>
    <row r="68" ht="12.75" customHeight="1">
      <c r="A68" s="32" t="s">
        <v>26</v>
      </c>
      <c r="B68" s="32" t="s">
        <v>3806</v>
      </c>
      <c r="C68" s="32" t="s">
        <v>1324</v>
      </c>
      <c r="D68" s="32" t="s">
        <v>1324</v>
      </c>
      <c r="E68" s="32" t="s">
        <v>1324</v>
      </c>
      <c r="F68" s="32" t="s">
        <v>2194</v>
      </c>
      <c r="G68" s="32" t="s">
        <v>1324</v>
      </c>
      <c r="H68" s="32" t="s">
        <v>1324</v>
      </c>
      <c r="I68" s="32" t="s">
        <v>2195</v>
      </c>
      <c r="J68" s="32" t="s">
        <v>468</v>
      </c>
      <c r="K68" s="32" t="s">
        <v>1324</v>
      </c>
      <c r="L68" s="32" t="s">
        <v>1324</v>
      </c>
      <c r="M68" s="32" t="s">
        <v>2364</v>
      </c>
      <c r="N68" s="32" t="s">
        <v>38</v>
      </c>
      <c r="O68" s="32" t="s">
        <v>1324</v>
      </c>
      <c r="P68" s="32" t="s">
        <v>1324</v>
      </c>
      <c r="Q68" s="32" t="s">
        <v>1324</v>
      </c>
      <c r="R68" s="32" t="s">
        <v>1324</v>
      </c>
      <c r="S68" s="32" t="s">
        <v>1324</v>
      </c>
      <c r="T68" s="32" t="s">
        <v>3807</v>
      </c>
      <c r="U68" s="32" t="s">
        <v>3808</v>
      </c>
      <c r="V68" s="32" t="s">
        <v>2196</v>
      </c>
      <c r="W68" s="32" t="s">
        <v>3809</v>
      </c>
      <c r="X68" s="32" t="s">
        <v>3810</v>
      </c>
      <c r="Y68" s="32" t="s">
        <v>3811</v>
      </c>
      <c r="Z68" s="32" t="s">
        <v>3812</v>
      </c>
      <c r="AA68" s="32" t="s">
        <v>5172</v>
      </c>
      <c r="AB68" s="32" t="s">
        <v>5173</v>
      </c>
      <c r="AC68" s="32" t="s">
        <v>3815</v>
      </c>
      <c r="AD68" s="32" t="s">
        <v>3816</v>
      </c>
      <c r="AE68" s="32" t="s">
        <v>3817</v>
      </c>
      <c r="AF68" s="32" t="s">
        <v>1324</v>
      </c>
      <c r="AG68" s="32">
        <v>63.0</v>
      </c>
      <c r="AH68" s="32">
        <v>32.0</v>
      </c>
      <c r="AI68" s="32">
        <v>43.0</v>
      </c>
      <c r="AJ68" s="32">
        <v>2.0</v>
      </c>
      <c r="AK68" s="32">
        <v>82.0</v>
      </c>
      <c r="AL68" s="32" t="s">
        <v>3818</v>
      </c>
      <c r="AM68" s="32" t="s">
        <v>3819</v>
      </c>
      <c r="AN68" s="32" t="s">
        <v>3820</v>
      </c>
      <c r="AO68" s="32" t="s">
        <v>3821</v>
      </c>
      <c r="AP68" s="32" t="s">
        <v>3822</v>
      </c>
      <c r="AQ68" s="32" t="s">
        <v>1324</v>
      </c>
      <c r="AR68" s="32" t="s">
        <v>3823</v>
      </c>
      <c r="AS68" s="32" t="s">
        <v>3824</v>
      </c>
      <c r="AT68" s="32" t="s">
        <v>2734</v>
      </c>
      <c r="AU68" s="32">
        <v>2014.0</v>
      </c>
      <c r="AV68" s="32">
        <v>225.0</v>
      </c>
      <c r="AW68" s="32">
        <v>4.0</v>
      </c>
      <c r="AX68" s="32" t="s">
        <v>1324</v>
      </c>
      <c r="AY68" s="32" t="s">
        <v>1324</v>
      </c>
      <c r="AZ68" s="32" t="s">
        <v>1324</v>
      </c>
      <c r="BA68" s="32" t="s">
        <v>1324</v>
      </c>
      <c r="BB68" s="32" t="s">
        <v>1324</v>
      </c>
      <c r="BC68" s="32" t="s">
        <v>1324</v>
      </c>
      <c r="BD68" s="32">
        <v>1925.0</v>
      </c>
      <c r="BE68" s="32" t="s">
        <v>2197</v>
      </c>
      <c r="BF68" s="38" t="str">
        <f>HYPERLINK("http://dx.doi.org/10.1007/s11270-014-1925-x","http://dx.doi.org/10.1007/s11270-014-1925-x")</f>
        <v>http://dx.doi.org/10.1007/s11270-014-1925-x</v>
      </c>
      <c r="BG68" s="32" t="s">
        <v>1324</v>
      </c>
      <c r="BH68" s="32" t="s">
        <v>1324</v>
      </c>
      <c r="BI68" s="32">
        <v>15.0</v>
      </c>
      <c r="BJ68" s="32" t="s">
        <v>472</v>
      </c>
      <c r="BK68" s="32" t="s">
        <v>2407</v>
      </c>
      <c r="BL68" s="32" t="s">
        <v>3825</v>
      </c>
      <c r="BM68" s="32" t="s">
        <v>3826</v>
      </c>
      <c r="BN68" s="32" t="s">
        <v>1324</v>
      </c>
      <c r="BO68" s="32" t="s">
        <v>1324</v>
      </c>
      <c r="BP68" s="32" t="s">
        <v>1324</v>
      </c>
      <c r="BQ68" s="32" t="s">
        <v>1324</v>
      </c>
      <c r="BR68" s="32" t="s">
        <v>5042</v>
      </c>
      <c r="BS68" s="32" t="s">
        <v>3827</v>
      </c>
      <c r="BT68" s="32" t="s">
        <v>1329</v>
      </c>
      <c r="BU68" s="32" t="s">
        <v>1333</v>
      </c>
      <c r="BV68" s="32" t="s">
        <v>5051</v>
      </c>
      <c r="BW68" s="32" t="s">
        <v>1362</v>
      </c>
      <c r="BX68" s="32" t="s">
        <v>5044</v>
      </c>
      <c r="BY68" s="32" t="s">
        <v>1336</v>
      </c>
      <c r="BZ68" s="32" t="s">
        <v>1328</v>
      </c>
      <c r="CA68" s="32" t="s">
        <v>1328</v>
      </c>
      <c r="CB68" s="32" t="s">
        <v>1336</v>
      </c>
      <c r="CC68" s="32" t="s">
        <v>1336</v>
      </c>
      <c r="CD68" s="39" t="s">
        <v>5045</v>
      </c>
      <c r="CE68" s="32" t="s">
        <v>1395</v>
      </c>
      <c r="CF68" s="32" t="str">
        <f>HYPERLINK("https%3A%2F%2Fwww.webofscience.com%2Fwos%2Fwoscc%2Ffull-record%2FWOS:000334578300016","View Full Record in Web of Science")</f>
        <v>View Full Record in Web of Science</v>
      </c>
    </row>
    <row r="69" ht="12.75" customHeight="1">
      <c r="A69" s="32" t="s">
        <v>26</v>
      </c>
      <c r="B69" s="32" t="s">
        <v>3361</v>
      </c>
      <c r="C69" s="32" t="s">
        <v>1324</v>
      </c>
      <c r="D69" s="32" t="s">
        <v>1324</v>
      </c>
      <c r="E69" s="32" t="s">
        <v>1324</v>
      </c>
      <c r="F69" s="32" t="s">
        <v>2210</v>
      </c>
      <c r="G69" s="32" t="s">
        <v>1324</v>
      </c>
      <c r="H69" s="32" t="s">
        <v>1324</v>
      </c>
      <c r="I69" s="32" t="s">
        <v>2211</v>
      </c>
      <c r="J69" s="32" t="s">
        <v>1824</v>
      </c>
      <c r="K69" s="32" t="s">
        <v>1324</v>
      </c>
      <c r="L69" s="32" t="s">
        <v>1324</v>
      </c>
      <c r="M69" s="32" t="s">
        <v>2364</v>
      </c>
      <c r="N69" s="32" t="s">
        <v>38</v>
      </c>
      <c r="O69" s="32" t="s">
        <v>1324</v>
      </c>
      <c r="P69" s="32" t="s">
        <v>1324</v>
      </c>
      <c r="Q69" s="32" t="s">
        <v>1324</v>
      </c>
      <c r="R69" s="32" t="s">
        <v>1324</v>
      </c>
      <c r="S69" s="32" t="s">
        <v>1324</v>
      </c>
      <c r="T69" s="32" t="s">
        <v>3362</v>
      </c>
      <c r="U69" s="32" t="s">
        <v>3363</v>
      </c>
      <c r="V69" s="32" t="s">
        <v>2212</v>
      </c>
      <c r="W69" s="32" t="s">
        <v>3364</v>
      </c>
      <c r="X69" s="32" t="s">
        <v>5174</v>
      </c>
      <c r="Y69" s="32" t="s">
        <v>3366</v>
      </c>
      <c r="Z69" s="32" t="s">
        <v>3367</v>
      </c>
      <c r="AA69" s="32" t="s">
        <v>5175</v>
      </c>
      <c r="AB69" s="32" t="s">
        <v>5176</v>
      </c>
      <c r="AC69" s="32" t="s">
        <v>5177</v>
      </c>
      <c r="AD69" s="32" t="s">
        <v>3371</v>
      </c>
      <c r="AE69" s="32" t="s">
        <v>3372</v>
      </c>
      <c r="AF69" s="32" t="s">
        <v>1324</v>
      </c>
      <c r="AG69" s="32">
        <v>185.0</v>
      </c>
      <c r="AH69" s="32">
        <v>112.0</v>
      </c>
      <c r="AI69" s="32">
        <v>119.0</v>
      </c>
      <c r="AJ69" s="32">
        <v>1.0</v>
      </c>
      <c r="AK69" s="32">
        <v>152.0</v>
      </c>
      <c r="AL69" s="32" t="s">
        <v>3250</v>
      </c>
      <c r="AM69" s="32" t="s">
        <v>3251</v>
      </c>
      <c r="AN69" s="32" t="s">
        <v>3252</v>
      </c>
      <c r="AO69" s="32" t="s">
        <v>3253</v>
      </c>
      <c r="AP69" s="32" t="s">
        <v>3254</v>
      </c>
      <c r="AQ69" s="32" t="s">
        <v>1324</v>
      </c>
      <c r="AR69" s="32" t="s">
        <v>3255</v>
      </c>
      <c r="AS69" s="32" t="s">
        <v>3256</v>
      </c>
      <c r="AT69" s="32" t="s">
        <v>2632</v>
      </c>
      <c r="AU69" s="32">
        <v>2016.0</v>
      </c>
      <c r="AV69" s="32">
        <v>25.0</v>
      </c>
      <c r="AW69" s="32">
        <v>7.0</v>
      </c>
      <c r="AX69" s="32" t="s">
        <v>1324</v>
      </c>
      <c r="AY69" s="32" t="s">
        <v>1324</v>
      </c>
      <c r="AZ69" s="32" t="s">
        <v>3257</v>
      </c>
      <c r="BA69" s="32" t="s">
        <v>1324</v>
      </c>
      <c r="BB69" s="32">
        <v>1319.0</v>
      </c>
      <c r="BC69" s="32">
        <v>1348.0</v>
      </c>
      <c r="BD69" s="32" t="s">
        <v>1324</v>
      </c>
      <c r="BE69" s="32" t="s">
        <v>2213</v>
      </c>
      <c r="BF69" s="38" t="str">
        <f>HYPERLINK("http://dx.doi.org/10.1007/s10531-016-1141-7","http://dx.doi.org/10.1007/s10531-016-1141-7")</f>
        <v>http://dx.doi.org/10.1007/s10531-016-1141-7</v>
      </c>
      <c r="BG69" s="32" t="s">
        <v>1324</v>
      </c>
      <c r="BH69" s="32" t="s">
        <v>1324</v>
      </c>
      <c r="BI69" s="32">
        <v>30.0</v>
      </c>
      <c r="BJ69" s="32" t="s">
        <v>255</v>
      </c>
      <c r="BK69" s="32" t="s">
        <v>2407</v>
      </c>
      <c r="BL69" s="32" t="s">
        <v>2577</v>
      </c>
      <c r="BM69" s="32" t="s">
        <v>3373</v>
      </c>
      <c r="BN69" s="32" t="s">
        <v>1324</v>
      </c>
      <c r="BO69" s="32" t="s">
        <v>2579</v>
      </c>
      <c r="BP69" s="32" t="s">
        <v>1324</v>
      </c>
      <c r="BQ69" s="32" t="s">
        <v>1324</v>
      </c>
      <c r="BR69" s="32" t="s">
        <v>5042</v>
      </c>
      <c r="BS69" s="32" t="s">
        <v>3374</v>
      </c>
      <c r="BT69" s="32" t="s">
        <v>1329</v>
      </c>
      <c r="BU69" s="32" t="s">
        <v>1660</v>
      </c>
      <c r="BV69" s="32" t="s">
        <v>5066</v>
      </c>
      <c r="BW69" s="32" t="s">
        <v>1349</v>
      </c>
      <c r="BX69" s="32" t="s">
        <v>5062</v>
      </c>
      <c r="BY69" s="32" t="s">
        <v>1328</v>
      </c>
      <c r="BZ69" s="32" t="s">
        <v>1328</v>
      </c>
      <c r="CA69" s="32" t="s">
        <v>1328</v>
      </c>
      <c r="CB69" s="32" t="s">
        <v>1328</v>
      </c>
      <c r="CC69" s="32" t="s">
        <v>1328</v>
      </c>
      <c r="CD69" s="39" t="s">
        <v>5107</v>
      </c>
      <c r="CE69" s="32" t="s">
        <v>1395</v>
      </c>
      <c r="CF69" s="32" t="str">
        <f>HYPERLINK("https%3A%2F%2Fwww.webofscience.com%2Fwos%2Fwoscc%2Ffull-record%2FWOS:000379006400008","View Full Record in Web of Science")</f>
        <v>View Full Record in Web of Science</v>
      </c>
    </row>
    <row r="70" ht="12.75" customHeight="1">
      <c r="A70" s="32" t="s">
        <v>26</v>
      </c>
      <c r="B70" s="32" t="s">
        <v>3390</v>
      </c>
      <c r="C70" s="32" t="s">
        <v>1324</v>
      </c>
      <c r="D70" s="32" t="s">
        <v>1324</v>
      </c>
      <c r="E70" s="32" t="s">
        <v>1324</v>
      </c>
      <c r="F70" s="32" t="s">
        <v>1975</v>
      </c>
      <c r="G70" s="32" t="s">
        <v>1324</v>
      </c>
      <c r="H70" s="32" t="s">
        <v>1324</v>
      </c>
      <c r="I70" s="32" t="s">
        <v>1977</v>
      </c>
      <c r="J70" s="32" t="s">
        <v>1976</v>
      </c>
      <c r="K70" s="32" t="s">
        <v>1324</v>
      </c>
      <c r="L70" s="32" t="s">
        <v>1324</v>
      </c>
      <c r="M70" s="32" t="s">
        <v>2364</v>
      </c>
      <c r="N70" s="32" t="s">
        <v>38</v>
      </c>
      <c r="O70" s="32" t="s">
        <v>1324</v>
      </c>
      <c r="P70" s="32" t="s">
        <v>1324</v>
      </c>
      <c r="Q70" s="32" t="s">
        <v>1324</v>
      </c>
      <c r="R70" s="32" t="s">
        <v>1324</v>
      </c>
      <c r="S70" s="32" t="s">
        <v>1324</v>
      </c>
      <c r="T70" s="32" t="s">
        <v>3391</v>
      </c>
      <c r="U70" s="32" t="s">
        <v>3392</v>
      </c>
      <c r="V70" s="32" t="s">
        <v>1978</v>
      </c>
      <c r="W70" s="32" t="s">
        <v>3393</v>
      </c>
      <c r="X70" s="32" t="s">
        <v>3394</v>
      </c>
      <c r="Y70" s="32" t="s">
        <v>3395</v>
      </c>
      <c r="Z70" s="32" t="s">
        <v>3396</v>
      </c>
      <c r="AA70" s="32" t="s">
        <v>5178</v>
      </c>
      <c r="AB70" s="32" t="s">
        <v>5179</v>
      </c>
      <c r="AC70" s="32" t="s">
        <v>5180</v>
      </c>
      <c r="AD70" s="32" t="s">
        <v>5181</v>
      </c>
      <c r="AE70" s="32" t="s">
        <v>3401</v>
      </c>
      <c r="AF70" s="32" t="s">
        <v>1324</v>
      </c>
      <c r="AG70" s="32">
        <v>60.0</v>
      </c>
      <c r="AH70" s="32">
        <v>93.0</v>
      </c>
      <c r="AI70" s="32">
        <v>101.0</v>
      </c>
      <c r="AJ70" s="32">
        <v>0.0</v>
      </c>
      <c r="AK70" s="32">
        <v>63.0</v>
      </c>
      <c r="AL70" s="32" t="s">
        <v>2530</v>
      </c>
      <c r="AM70" s="32" t="s">
        <v>2509</v>
      </c>
      <c r="AN70" s="32" t="s">
        <v>2646</v>
      </c>
      <c r="AO70" s="32" t="s">
        <v>3402</v>
      </c>
      <c r="AP70" s="32" t="s">
        <v>1324</v>
      </c>
      <c r="AQ70" s="32" t="s">
        <v>1324</v>
      </c>
      <c r="AR70" s="32" t="s">
        <v>3403</v>
      </c>
      <c r="AS70" s="32" t="s">
        <v>3404</v>
      </c>
      <c r="AT70" s="32" t="s">
        <v>2818</v>
      </c>
      <c r="AU70" s="32">
        <v>2016.0</v>
      </c>
      <c r="AV70" s="32">
        <v>42.0</v>
      </c>
      <c r="AW70" s="32">
        <v>1.0</v>
      </c>
      <c r="AX70" s="32" t="s">
        <v>1324</v>
      </c>
      <c r="AY70" s="32" t="s">
        <v>1324</v>
      </c>
      <c r="AZ70" s="32" t="s">
        <v>1324</v>
      </c>
      <c r="BA70" s="32" t="s">
        <v>1324</v>
      </c>
      <c r="BB70" s="32">
        <v>6.0</v>
      </c>
      <c r="BC70" s="32">
        <v>17.0</v>
      </c>
      <c r="BD70" s="32" t="s">
        <v>1324</v>
      </c>
      <c r="BE70" s="32" t="s">
        <v>1979</v>
      </c>
      <c r="BF70" s="38" t="str">
        <f>HYPERLINK("http://dx.doi.org/10.1016/j.jglr.2015.11.006","http://dx.doi.org/10.1016/j.jglr.2015.11.006")</f>
        <v>http://dx.doi.org/10.1016/j.jglr.2015.11.006</v>
      </c>
      <c r="BG70" s="32" t="s">
        <v>1324</v>
      </c>
      <c r="BH70" s="32" t="s">
        <v>1324</v>
      </c>
      <c r="BI70" s="32">
        <v>12.0</v>
      </c>
      <c r="BJ70" s="32" t="s">
        <v>3405</v>
      </c>
      <c r="BK70" s="32" t="s">
        <v>2407</v>
      </c>
      <c r="BL70" s="32" t="s">
        <v>2516</v>
      </c>
      <c r="BM70" s="32" t="s">
        <v>3406</v>
      </c>
      <c r="BN70" s="32" t="s">
        <v>1324</v>
      </c>
      <c r="BO70" s="32" t="s">
        <v>2496</v>
      </c>
      <c r="BP70" s="32" t="s">
        <v>1324</v>
      </c>
      <c r="BQ70" s="32" t="s">
        <v>1324</v>
      </c>
      <c r="BR70" s="32" t="s">
        <v>5042</v>
      </c>
      <c r="BS70" s="32" t="s">
        <v>3407</v>
      </c>
      <c r="BT70" s="32" t="s">
        <v>1329</v>
      </c>
      <c r="BU70" s="32" t="s">
        <v>1333</v>
      </c>
      <c r="BV70" s="32" t="s">
        <v>5066</v>
      </c>
      <c r="BW70" s="32" t="s">
        <v>1530</v>
      </c>
      <c r="BX70" s="32" t="s">
        <v>5078</v>
      </c>
      <c r="BY70" s="32" t="s">
        <v>1328</v>
      </c>
      <c r="BZ70" s="32" t="s">
        <v>1336</v>
      </c>
      <c r="CA70" s="32" t="s">
        <v>1336</v>
      </c>
      <c r="CB70" s="32" t="s">
        <v>1336</v>
      </c>
      <c r="CC70" s="32" t="s">
        <v>1328</v>
      </c>
      <c r="CD70" s="39" t="s">
        <v>5123</v>
      </c>
      <c r="CE70" s="32" t="s">
        <v>1404</v>
      </c>
      <c r="CF70" s="32" t="str">
        <f>HYPERLINK("https%3A%2F%2Fwww.webofscience.com%2Fwos%2Fwoscc%2Ffull-record%2FWOS:000370115500002","View Full Record in Web of Science")</f>
        <v>View Full Record in Web of Science</v>
      </c>
    </row>
    <row r="71" ht="12.75" customHeight="1">
      <c r="A71" s="32" t="s">
        <v>26</v>
      </c>
      <c r="B71" s="32" t="s">
        <v>2476</v>
      </c>
      <c r="C71" s="32" t="s">
        <v>1324</v>
      </c>
      <c r="D71" s="32" t="s">
        <v>1324</v>
      </c>
      <c r="E71" s="32" t="s">
        <v>1324</v>
      </c>
      <c r="F71" s="32" t="s">
        <v>2007</v>
      </c>
      <c r="G71" s="32" t="s">
        <v>1324</v>
      </c>
      <c r="H71" s="32" t="s">
        <v>1324</v>
      </c>
      <c r="I71" s="32" t="s">
        <v>2009</v>
      </c>
      <c r="J71" s="32" t="s">
        <v>2008</v>
      </c>
      <c r="K71" s="32" t="s">
        <v>1324</v>
      </c>
      <c r="L71" s="32" t="s">
        <v>1324</v>
      </c>
      <c r="M71" s="32" t="s">
        <v>2364</v>
      </c>
      <c r="N71" s="32" t="s">
        <v>38</v>
      </c>
      <c r="O71" s="32" t="s">
        <v>1324</v>
      </c>
      <c r="P71" s="32" t="s">
        <v>1324</v>
      </c>
      <c r="Q71" s="32" t="s">
        <v>1324</v>
      </c>
      <c r="R71" s="32" t="s">
        <v>1324</v>
      </c>
      <c r="S71" s="32" t="s">
        <v>1324</v>
      </c>
      <c r="T71" s="32" t="s">
        <v>2477</v>
      </c>
      <c r="U71" s="32" t="s">
        <v>2478</v>
      </c>
      <c r="V71" s="32" t="s">
        <v>2010</v>
      </c>
      <c r="W71" s="32" t="s">
        <v>2479</v>
      </c>
      <c r="X71" s="32" t="s">
        <v>2480</v>
      </c>
      <c r="Y71" s="32" t="s">
        <v>2481</v>
      </c>
      <c r="Z71" s="32" t="s">
        <v>2482</v>
      </c>
      <c r="AA71" s="32" t="s">
        <v>1324</v>
      </c>
      <c r="AB71" s="32" t="s">
        <v>5182</v>
      </c>
      <c r="AC71" s="32" t="s">
        <v>2484</v>
      </c>
      <c r="AD71" s="32" t="s">
        <v>2484</v>
      </c>
      <c r="AE71" s="32" t="s">
        <v>2485</v>
      </c>
      <c r="AF71" s="32" t="s">
        <v>1324</v>
      </c>
      <c r="AG71" s="32">
        <v>63.0</v>
      </c>
      <c r="AH71" s="32">
        <v>15.0</v>
      </c>
      <c r="AI71" s="32">
        <v>19.0</v>
      </c>
      <c r="AJ71" s="32">
        <v>0.0</v>
      </c>
      <c r="AK71" s="32">
        <v>35.0</v>
      </c>
      <c r="AL71" s="32" t="s">
        <v>2486</v>
      </c>
      <c r="AM71" s="32" t="s">
        <v>2487</v>
      </c>
      <c r="AN71" s="32" t="s">
        <v>2488</v>
      </c>
      <c r="AO71" s="32" t="s">
        <v>2489</v>
      </c>
      <c r="AP71" s="32" t="s">
        <v>2490</v>
      </c>
      <c r="AQ71" s="32" t="s">
        <v>1324</v>
      </c>
      <c r="AR71" s="32" t="s">
        <v>2491</v>
      </c>
      <c r="AS71" s="32" t="s">
        <v>2492</v>
      </c>
      <c r="AT71" s="32" t="s">
        <v>2493</v>
      </c>
      <c r="AU71" s="32">
        <v>2018.0</v>
      </c>
      <c r="AV71" s="32">
        <v>422.0</v>
      </c>
      <c r="AW71" s="32" t="s">
        <v>1324</v>
      </c>
      <c r="AX71" s="32" t="s">
        <v>1324</v>
      </c>
      <c r="AY71" s="32" t="s">
        <v>1324</v>
      </c>
      <c r="AZ71" s="32" t="s">
        <v>1324</v>
      </c>
      <c r="BA71" s="32" t="s">
        <v>1324</v>
      </c>
      <c r="BB71" s="32">
        <v>137.0</v>
      </c>
      <c r="BC71" s="32">
        <v>146.0</v>
      </c>
      <c r="BD71" s="32" t="s">
        <v>1324</v>
      </c>
      <c r="BE71" s="32" t="s">
        <v>2011</v>
      </c>
      <c r="BF71" s="38" t="str">
        <f>HYPERLINK("http://dx.doi.org/10.1016/j.foreco.2018.04.012","http://dx.doi.org/10.1016/j.foreco.2018.04.012")</f>
        <v>http://dx.doi.org/10.1016/j.foreco.2018.04.012</v>
      </c>
      <c r="BG71" s="32" t="s">
        <v>1324</v>
      </c>
      <c r="BH71" s="32" t="s">
        <v>1324</v>
      </c>
      <c r="BI71" s="32">
        <v>10.0</v>
      </c>
      <c r="BJ71" s="32" t="s">
        <v>2494</v>
      </c>
      <c r="BK71" s="32" t="s">
        <v>2407</v>
      </c>
      <c r="BL71" s="32" t="s">
        <v>2494</v>
      </c>
      <c r="BM71" s="32" t="s">
        <v>2495</v>
      </c>
      <c r="BN71" s="32" t="s">
        <v>1324</v>
      </c>
      <c r="BO71" s="32" t="s">
        <v>2496</v>
      </c>
      <c r="BP71" s="32" t="s">
        <v>1324</v>
      </c>
      <c r="BQ71" s="32" t="s">
        <v>1324</v>
      </c>
      <c r="BR71" s="32" t="s">
        <v>5042</v>
      </c>
      <c r="BS71" s="32" t="s">
        <v>2497</v>
      </c>
      <c r="BT71" s="32" t="s">
        <v>1329</v>
      </c>
      <c r="BU71" s="32" t="s">
        <v>1360</v>
      </c>
      <c r="BV71" s="32" t="s">
        <v>5051</v>
      </c>
      <c r="BW71" s="32" t="s">
        <v>1362</v>
      </c>
      <c r="BX71" s="32" t="s">
        <v>5044</v>
      </c>
      <c r="BY71" s="32" t="s">
        <v>1328</v>
      </c>
      <c r="BZ71" s="32" t="s">
        <v>1328</v>
      </c>
      <c r="CA71" s="32" t="s">
        <v>1328</v>
      </c>
      <c r="CB71" s="32" t="s">
        <v>1336</v>
      </c>
      <c r="CC71" s="32" t="s">
        <v>1336</v>
      </c>
      <c r="CD71" s="39" t="s">
        <v>5050</v>
      </c>
      <c r="CE71" s="32" t="s">
        <v>1404</v>
      </c>
      <c r="CF71" s="32" t="str">
        <f>HYPERLINK("https%3A%2F%2Fwww.webofscience.com%2Fwos%2Fwoscc%2Ffull-record%2FWOS:000433653900015","View Full Record in Web of Science")</f>
        <v>View Full Record in Web of Science</v>
      </c>
    </row>
    <row r="72" ht="12.75" customHeight="1">
      <c r="A72" s="32" t="s">
        <v>26</v>
      </c>
      <c r="B72" s="32" t="s">
        <v>2717</v>
      </c>
      <c r="C72" s="32" t="s">
        <v>1324</v>
      </c>
      <c r="D72" s="32" t="s">
        <v>1324</v>
      </c>
      <c r="E72" s="32" t="s">
        <v>1324</v>
      </c>
      <c r="F72" s="32" t="s">
        <v>1340</v>
      </c>
      <c r="G72" s="32" t="s">
        <v>1324</v>
      </c>
      <c r="H72" s="32" t="s">
        <v>1324</v>
      </c>
      <c r="I72" s="32" t="s">
        <v>1342</v>
      </c>
      <c r="J72" s="32" t="s">
        <v>1341</v>
      </c>
      <c r="K72" s="32" t="s">
        <v>1324</v>
      </c>
      <c r="L72" s="32" t="s">
        <v>1324</v>
      </c>
      <c r="M72" s="32" t="s">
        <v>2364</v>
      </c>
      <c r="N72" s="32" t="s">
        <v>38</v>
      </c>
      <c r="O72" s="32" t="s">
        <v>1324</v>
      </c>
      <c r="P72" s="32" t="s">
        <v>1324</v>
      </c>
      <c r="Q72" s="32" t="s">
        <v>1324</v>
      </c>
      <c r="R72" s="32" t="s">
        <v>1324</v>
      </c>
      <c r="S72" s="32" t="s">
        <v>1324</v>
      </c>
      <c r="T72" s="32" t="s">
        <v>1324</v>
      </c>
      <c r="U72" s="32" t="s">
        <v>2718</v>
      </c>
      <c r="V72" s="32" t="s">
        <v>1343</v>
      </c>
      <c r="W72" s="32" t="s">
        <v>2719</v>
      </c>
      <c r="X72" s="32" t="s">
        <v>2720</v>
      </c>
      <c r="Y72" s="32" t="s">
        <v>2721</v>
      </c>
      <c r="Z72" s="32" t="s">
        <v>2722</v>
      </c>
      <c r="AA72" s="32" t="s">
        <v>5183</v>
      </c>
      <c r="AB72" s="32" t="s">
        <v>5184</v>
      </c>
      <c r="AC72" s="32" t="s">
        <v>2725</v>
      </c>
      <c r="AD72" s="32" t="s">
        <v>2725</v>
      </c>
      <c r="AE72" s="32" t="s">
        <v>2726</v>
      </c>
      <c r="AF72" s="32" t="s">
        <v>1324</v>
      </c>
      <c r="AG72" s="32">
        <v>65.0</v>
      </c>
      <c r="AH72" s="32">
        <v>30.0</v>
      </c>
      <c r="AI72" s="32">
        <v>35.0</v>
      </c>
      <c r="AJ72" s="32">
        <v>0.0</v>
      </c>
      <c r="AK72" s="32">
        <v>96.0</v>
      </c>
      <c r="AL72" s="32" t="s">
        <v>2727</v>
      </c>
      <c r="AM72" s="32" t="s">
        <v>2728</v>
      </c>
      <c r="AN72" s="32" t="s">
        <v>2729</v>
      </c>
      <c r="AO72" s="32" t="s">
        <v>2730</v>
      </c>
      <c r="AP72" s="32" t="s">
        <v>2731</v>
      </c>
      <c r="AQ72" s="32" t="s">
        <v>1324</v>
      </c>
      <c r="AR72" s="32" t="s">
        <v>2732</v>
      </c>
      <c r="AS72" s="32" t="s">
        <v>2733</v>
      </c>
      <c r="AT72" s="32" t="s">
        <v>2734</v>
      </c>
      <c r="AU72" s="32">
        <v>2018.0</v>
      </c>
      <c r="AV72" s="32">
        <v>94.0</v>
      </c>
      <c r="AW72" s="32">
        <v>2.0</v>
      </c>
      <c r="AX72" s="32" t="s">
        <v>1324</v>
      </c>
      <c r="AY72" s="32" t="s">
        <v>1324</v>
      </c>
      <c r="AZ72" s="32" t="s">
        <v>1324</v>
      </c>
      <c r="BA72" s="32" t="s">
        <v>1324</v>
      </c>
      <c r="BB72" s="32">
        <v>213.0</v>
      </c>
      <c r="BC72" s="32">
        <v>228.0</v>
      </c>
      <c r="BD72" s="32" t="s">
        <v>1324</v>
      </c>
      <c r="BE72" s="32" t="s">
        <v>1344</v>
      </c>
      <c r="BF72" s="38" t="str">
        <f>HYPERLINK("http://dx.doi.org/10.5343/bms.2017.1061","http://dx.doi.org/10.5343/bms.2017.1061")</f>
        <v>http://dx.doi.org/10.5343/bms.2017.1061</v>
      </c>
      <c r="BG72" s="32" t="s">
        <v>1324</v>
      </c>
      <c r="BH72" s="32" t="s">
        <v>1324</v>
      </c>
      <c r="BI72" s="32">
        <v>16.0</v>
      </c>
      <c r="BJ72" s="32" t="s">
        <v>231</v>
      </c>
      <c r="BK72" s="32" t="s">
        <v>2407</v>
      </c>
      <c r="BL72" s="32" t="s">
        <v>231</v>
      </c>
      <c r="BM72" s="32" t="s">
        <v>2735</v>
      </c>
      <c r="BN72" s="32" t="s">
        <v>1324</v>
      </c>
      <c r="BO72" s="32" t="s">
        <v>2736</v>
      </c>
      <c r="BP72" s="32" t="s">
        <v>1324</v>
      </c>
      <c r="BQ72" s="32" t="s">
        <v>1324</v>
      </c>
      <c r="BR72" s="32" t="s">
        <v>5042</v>
      </c>
      <c r="BS72" s="32" t="s">
        <v>2737</v>
      </c>
      <c r="BT72" s="32" t="s">
        <v>1329</v>
      </c>
      <c r="BU72" s="32" t="s">
        <v>1333</v>
      </c>
      <c r="BV72" s="32" t="s">
        <v>5051</v>
      </c>
      <c r="BW72" s="32" t="s">
        <v>1349</v>
      </c>
      <c r="BX72" s="32" t="s">
        <v>5062</v>
      </c>
      <c r="BY72" s="32" t="s">
        <v>1328</v>
      </c>
      <c r="BZ72" s="32" t="s">
        <v>1336</v>
      </c>
      <c r="CA72" s="32" t="s">
        <v>1328</v>
      </c>
      <c r="CB72" s="32" t="s">
        <v>1336</v>
      </c>
      <c r="CC72" s="32" t="s">
        <v>1328</v>
      </c>
      <c r="CD72" s="39" t="s">
        <v>5152</v>
      </c>
      <c r="CE72" s="32" t="s">
        <v>1350</v>
      </c>
      <c r="CF72" s="32" t="str">
        <f>HYPERLINK("https%3A%2F%2Fwww.webofscience.com%2Fwos%2Fwoscc%2Ffull-record%2FWOS:000439017000005","View Full Record in Web of Science")</f>
        <v>View Full Record in Web of Science</v>
      </c>
    </row>
    <row r="73" ht="12.75" customHeight="1">
      <c r="A73" s="32" t="s">
        <v>26</v>
      </c>
      <c r="B73" s="32" t="s">
        <v>2519</v>
      </c>
      <c r="C73" s="32" t="s">
        <v>1324</v>
      </c>
      <c r="D73" s="32" t="s">
        <v>1324</v>
      </c>
      <c r="E73" s="32" t="s">
        <v>1324</v>
      </c>
      <c r="F73" s="32" t="s">
        <v>1964</v>
      </c>
      <c r="G73" s="32" t="s">
        <v>1324</v>
      </c>
      <c r="H73" s="32" t="s">
        <v>1324</v>
      </c>
      <c r="I73" s="32" t="s">
        <v>1966</v>
      </c>
      <c r="J73" s="32" t="s">
        <v>1965</v>
      </c>
      <c r="K73" s="32" t="s">
        <v>1324</v>
      </c>
      <c r="L73" s="32" t="s">
        <v>1324</v>
      </c>
      <c r="M73" s="32" t="s">
        <v>2364</v>
      </c>
      <c r="N73" s="32" t="s">
        <v>38</v>
      </c>
      <c r="O73" s="32" t="s">
        <v>1324</v>
      </c>
      <c r="P73" s="32" t="s">
        <v>1324</v>
      </c>
      <c r="Q73" s="32" t="s">
        <v>1324</v>
      </c>
      <c r="R73" s="32" t="s">
        <v>1324</v>
      </c>
      <c r="S73" s="32" t="s">
        <v>1324</v>
      </c>
      <c r="T73" s="32" t="s">
        <v>2520</v>
      </c>
      <c r="U73" s="32" t="s">
        <v>2521</v>
      </c>
      <c r="V73" s="32" t="s">
        <v>1967</v>
      </c>
      <c r="W73" s="32" t="s">
        <v>2522</v>
      </c>
      <c r="X73" s="32" t="s">
        <v>2523</v>
      </c>
      <c r="Y73" s="32" t="s">
        <v>2524</v>
      </c>
      <c r="Z73" s="32" t="s">
        <v>2525</v>
      </c>
      <c r="AA73" s="32" t="s">
        <v>1324</v>
      </c>
      <c r="AB73" s="32" t="s">
        <v>2526</v>
      </c>
      <c r="AC73" s="32" t="s">
        <v>2527</v>
      </c>
      <c r="AD73" s="32" t="s">
        <v>2528</v>
      </c>
      <c r="AE73" s="32" t="s">
        <v>2529</v>
      </c>
      <c r="AF73" s="32" t="s">
        <v>1324</v>
      </c>
      <c r="AG73" s="32">
        <v>93.0</v>
      </c>
      <c r="AH73" s="32">
        <v>2.0</v>
      </c>
      <c r="AI73" s="32">
        <v>3.0</v>
      </c>
      <c r="AJ73" s="32">
        <v>0.0</v>
      </c>
      <c r="AK73" s="32">
        <v>29.0</v>
      </c>
      <c r="AL73" s="32" t="s">
        <v>2530</v>
      </c>
      <c r="AM73" s="32" t="s">
        <v>2531</v>
      </c>
      <c r="AN73" s="32" t="s">
        <v>2532</v>
      </c>
      <c r="AO73" s="32" t="s">
        <v>2533</v>
      </c>
      <c r="AP73" s="32" t="s">
        <v>2534</v>
      </c>
      <c r="AQ73" s="32" t="s">
        <v>1324</v>
      </c>
      <c r="AR73" s="32" t="s">
        <v>2535</v>
      </c>
      <c r="AS73" s="32" t="s">
        <v>2536</v>
      </c>
      <c r="AT73" s="32" t="s">
        <v>2515</v>
      </c>
      <c r="AU73" s="32">
        <v>2018.0</v>
      </c>
      <c r="AV73" s="32">
        <v>139.0</v>
      </c>
      <c r="AW73" s="32" t="s">
        <v>1324</v>
      </c>
      <c r="AX73" s="32" t="s">
        <v>1324</v>
      </c>
      <c r="AY73" s="32" t="s">
        <v>1324</v>
      </c>
      <c r="AZ73" s="32" t="s">
        <v>1324</v>
      </c>
      <c r="BA73" s="32" t="s">
        <v>1324</v>
      </c>
      <c r="BB73" s="32">
        <v>79.0</v>
      </c>
      <c r="BC73" s="32">
        <v>86.0</v>
      </c>
      <c r="BD73" s="32" t="s">
        <v>1324</v>
      </c>
      <c r="BE73" s="32" t="s">
        <v>1968</v>
      </c>
      <c r="BF73" s="38" t="str">
        <f>HYPERLINK("http://dx.doi.org/10.1016/j.marenvres.2018.05.008","http://dx.doi.org/10.1016/j.marenvres.2018.05.008")</f>
        <v>http://dx.doi.org/10.1016/j.marenvres.2018.05.008</v>
      </c>
      <c r="BG73" s="32" t="s">
        <v>1324</v>
      </c>
      <c r="BH73" s="32" t="s">
        <v>1324</v>
      </c>
      <c r="BI73" s="32">
        <v>8.0</v>
      </c>
      <c r="BJ73" s="32" t="s">
        <v>2537</v>
      </c>
      <c r="BK73" s="32" t="s">
        <v>2407</v>
      </c>
      <c r="BL73" s="32" t="s">
        <v>2538</v>
      </c>
      <c r="BM73" s="32" t="s">
        <v>2539</v>
      </c>
      <c r="BN73" s="32">
        <v>2.9773316E7</v>
      </c>
      <c r="BO73" s="32" t="s">
        <v>1324</v>
      </c>
      <c r="BP73" s="32" t="s">
        <v>1324</v>
      </c>
      <c r="BQ73" s="32" t="s">
        <v>1324</v>
      </c>
      <c r="BR73" s="32" t="s">
        <v>5042</v>
      </c>
      <c r="BS73" s="32" t="s">
        <v>2540</v>
      </c>
      <c r="BT73" s="32" t="s">
        <v>1329</v>
      </c>
      <c r="BU73" s="32" t="s">
        <v>1333</v>
      </c>
      <c r="BV73" s="32" t="s">
        <v>5051</v>
      </c>
      <c r="BW73" s="32" t="s">
        <v>1349</v>
      </c>
      <c r="BX73" s="32" t="s">
        <v>5062</v>
      </c>
      <c r="BY73" s="32" t="s">
        <v>1336</v>
      </c>
      <c r="BZ73" s="32" t="s">
        <v>1336</v>
      </c>
      <c r="CA73" s="32" t="s">
        <v>1328</v>
      </c>
      <c r="CB73" s="32" t="s">
        <v>1336</v>
      </c>
      <c r="CC73" s="32" t="s">
        <v>1328</v>
      </c>
      <c r="CD73" s="39" t="s">
        <v>5185</v>
      </c>
      <c r="CE73" s="32" t="s">
        <v>1350</v>
      </c>
      <c r="CF73" s="32" t="str">
        <f>HYPERLINK("https%3A%2F%2Fwww.webofscience.com%2Fwos%2Fwoscc%2Ffull-record%2FWOS:000436911600009","View Full Record in Web of Science")</f>
        <v>View Full Record in Web of Science</v>
      </c>
    </row>
    <row r="74" ht="12.75" customHeight="1">
      <c r="A74" s="32" t="s">
        <v>26</v>
      </c>
      <c r="B74" s="32" t="s">
        <v>2899</v>
      </c>
      <c r="C74" s="32" t="s">
        <v>1324</v>
      </c>
      <c r="D74" s="32" t="s">
        <v>1324</v>
      </c>
      <c r="E74" s="32" t="s">
        <v>1324</v>
      </c>
      <c r="F74" s="32" t="s">
        <v>1970</v>
      </c>
      <c r="G74" s="32" t="s">
        <v>1324</v>
      </c>
      <c r="H74" s="32" t="s">
        <v>1324</v>
      </c>
      <c r="I74" s="32" t="s">
        <v>1971</v>
      </c>
      <c r="J74" s="32" t="s">
        <v>168</v>
      </c>
      <c r="K74" s="32" t="s">
        <v>1324</v>
      </c>
      <c r="L74" s="32" t="s">
        <v>1324</v>
      </c>
      <c r="M74" s="32" t="s">
        <v>2364</v>
      </c>
      <c r="N74" s="32" t="s">
        <v>38</v>
      </c>
      <c r="O74" s="32" t="s">
        <v>1324</v>
      </c>
      <c r="P74" s="32" t="s">
        <v>1324</v>
      </c>
      <c r="Q74" s="32" t="s">
        <v>1324</v>
      </c>
      <c r="R74" s="32" t="s">
        <v>1324</v>
      </c>
      <c r="S74" s="32" t="s">
        <v>1324</v>
      </c>
      <c r="T74" s="32" t="s">
        <v>2900</v>
      </c>
      <c r="U74" s="32" t="s">
        <v>2901</v>
      </c>
      <c r="V74" s="32" t="s">
        <v>1972</v>
      </c>
      <c r="W74" s="32" t="s">
        <v>2902</v>
      </c>
      <c r="X74" s="32" t="s">
        <v>1324</v>
      </c>
      <c r="Y74" s="32" t="s">
        <v>2903</v>
      </c>
      <c r="Z74" s="32" t="s">
        <v>2904</v>
      </c>
      <c r="AA74" s="32" t="s">
        <v>1324</v>
      </c>
      <c r="AB74" s="32" t="s">
        <v>1324</v>
      </c>
      <c r="AC74" s="32" t="s">
        <v>1324</v>
      </c>
      <c r="AD74" s="32" t="s">
        <v>1324</v>
      </c>
      <c r="AE74" s="32" t="s">
        <v>1324</v>
      </c>
      <c r="AF74" s="32" t="s">
        <v>1324</v>
      </c>
      <c r="AG74" s="32">
        <v>47.0</v>
      </c>
      <c r="AH74" s="32">
        <v>24.0</v>
      </c>
      <c r="AI74" s="32">
        <v>27.0</v>
      </c>
      <c r="AJ74" s="32">
        <v>0.0</v>
      </c>
      <c r="AK74" s="32">
        <v>62.0</v>
      </c>
      <c r="AL74" s="32" t="s">
        <v>2530</v>
      </c>
      <c r="AM74" s="32" t="s">
        <v>2509</v>
      </c>
      <c r="AN74" s="32" t="s">
        <v>2646</v>
      </c>
      <c r="AO74" s="32" t="s">
        <v>2905</v>
      </c>
      <c r="AP74" s="32" t="s">
        <v>2906</v>
      </c>
      <c r="AQ74" s="32" t="s">
        <v>1324</v>
      </c>
      <c r="AR74" s="32" t="s">
        <v>168</v>
      </c>
      <c r="AS74" s="32" t="s">
        <v>2907</v>
      </c>
      <c r="AT74" s="32" t="s">
        <v>2908</v>
      </c>
      <c r="AU74" s="32">
        <v>2017.0</v>
      </c>
      <c r="AV74" s="32">
        <v>69.0</v>
      </c>
      <c r="AW74" s="32" t="s">
        <v>1324</v>
      </c>
      <c r="AX74" s="32" t="s">
        <v>1324</v>
      </c>
      <c r="AY74" s="32" t="s">
        <v>1324</v>
      </c>
      <c r="AZ74" s="32" t="s">
        <v>1324</v>
      </c>
      <c r="BA74" s="32" t="s">
        <v>1324</v>
      </c>
      <c r="BB74" s="32">
        <v>408.0</v>
      </c>
      <c r="BC74" s="32">
        <v>416.0</v>
      </c>
      <c r="BD74" s="32" t="s">
        <v>1324</v>
      </c>
      <c r="BE74" s="32" t="s">
        <v>1973</v>
      </c>
      <c r="BF74" s="38" t="str">
        <f>HYPERLINK("http://dx.doi.org/10.1016/j.landusepol.2017.09.045","http://dx.doi.org/10.1016/j.landusepol.2017.09.045")</f>
        <v>http://dx.doi.org/10.1016/j.landusepol.2017.09.045</v>
      </c>
      <c r="BG74" s="32" t="s">
        <v>1324</v>
      </c>
      <c r="BH74" s="32" t="s">
        <v>1324</v>
      </c>
      <c r="BI74" s="32">
        <v>9.0</v>
      </c>
      <c r="BJ74" s="32" t="s">
        <v>172</v>
      </c>
      <c r="BK74" s="32" t="s">
        <v>2652</v>
      </c>
      <c r="BL74" s="32" t="s">
        <v>2472</v>
      </c>
      <c r="BM74" s="32" t="s">
        <v>2909</v>
      </c>
      <c r="BN74" s="32" t="s">
        <v>1324</v>
      </c>
      <c r="BO74" s="32" t="s">
        <v>1324</v>
      </c>
      <c r="BP74" s="32" t="s">
        <v>1324</v>
      </c>
      <c r="BQ74" s="32" t="s">
        <v>1324</v>
      </c>
      <c r="BR74" s="32" t="s">
        <v>5042</v>
      </c>
      <c r="BS74" s="32" t="s">
        <v>2910</v>
      </c>
      <c r="BT74" s="32" t="s">
        <v>1443</v>
      </c>
      <c r="BU74" s="32" t="s">
        <v>1660</v>
      </c>
      <c r="BV74" s="32" t="s">
        <v>5066</v>
      </c>
      <c r="BW74" s="32" t="s">
        <v>1446</v>
      </c>
      <c r="BX74" s="32" t="s">
        <v>5106</v>
      </c>
      <c r="BY74" s="32" t="s">
        <v>1336</v>
      </c>
      <c r="BZ74" s="32" t="s">
        <v>1328</v>
      </c>
      <c r="CA74" s="32" t="s">
        <v>1328</v>
      </c>
      <c r="CB74" s="32" t="s">
        <v>1336</v>
      </c>
      <c r="CC74" s="32" t="s">
        <v>1336</v>
      </c>
      <c r="CD74" s="39" t="s">
        <v>5045</v>
      </c>
      <c r="CE74" s="32" t="s">
        <v>1395</v>
      </c>
      <c r="CF74" s="32" t="str">
        <f>HYPERLINK("https%3A%2F%2Fwww.webofscience.com%2Fwos%2Fwoscc%2Ffull-record%2FWOS:000414881200040","View Full Record in Web of Science")</f>
        <v>View Full Record in Web of Science</v>
      </c>
    </row>
    <row r="75" ht="12.75" customHeight="1">
      <c r="A75" s="32" t="s">
        <v>26</v>
      </c>
      <c r="B75" s="32" t="s">
        <v>3031</v>
      </c>
      <c r="C75" s="32" t="s">
        <v>1324</v>
      </c>
      <c r="D75" s="32" t="s">
        <v>1324</v>
      </c>
      <c r="E75" s="32" t="s">
        <v>1324</v>
      </c>
      <c r="F75" s="32" t="s">
        <v>1909</v>
      </c>
      <c r="G75" s="32" t="s">
        <v>1324</v>
      </c>
      <c r="H75" s="32" t="s">
        <v>1324</v>
      </c>
      <c r="I75" s="32" t="s">
        <v>1910</v>
      </c>
      <c r="J75" s="32" t="s">
        <v>64</v>
      </c>
      <c r="K75" s="32" t="s">
        <v>1324</v>
      </c>
      <c r="L75" s="32" t="s">
        <v>1324</v>
      </c>
      <c r="M75" s="32" t="s">
        <v>2364</v>
      </c>
      <c r="N75" s="32" t="s">
        <v>38</v>
      </c>
      <c r="O75" s="32" t="s">
        <v>1324</v>
      </c>
      <c r="P75" s="32" t="s">
        <v>1324</v>
      </c>
      <c r="Q75" s="32" t="s">
        <v>1324</v>
      </c>
      <c r="R75" s="32" t="s">
        <v>1324</v>
      </c>
      <c r="S75" s="32" t="s">
        <v>1324</v>
      </c>
      <c r="T75" s="32" t="s">
        <v>3032</v>
      </c>
      <c r="U75" s="32" t="s">
        <v>3033</v>
      </c>
      <c r="V75" s="32" t="s">
        <v>1911</v>
      </c>
      <c r="W75" s="32" t="s">
        <v>3034</v>
      </c>
      <c r="X75" s="32" t="s">
        <v>3035</v>
      </c>
      <c r="Y75" s="32" t="s">
        <v>3036</v>
      </c>
      <c r="Z75" s="32" t="s">
        <v>3037</v>
      </c>
      <c r="AA75" s="32" t="s">
        <v>5186</v>
      </c>
      <c r="AB75" s="32" t="s">
        <v>5187</v>
      </c>
      <c r="AC75" s="32" t="s">
        <v>3040</v>
      </c>
      <c r="AD75" s="32" t="s">
        <v>3041</v>
      </c>
      <c r="AE75" s="32" t="s">
        <v>3042</v>
      </c>
      <c r="AF75" s="32" t="s">
        <v>1324</v>
      </c>
      <c r="AG75" s="32">
        <v>60.0</v>
      </c>
      <c r="AH75" s="32">
        <v>35.0</v>
      </c>
      <c r="AI75" s="32">
        <v>39.0</v>
      </c>
      <c r="AJ75" s="32">
        <v>2.0</v>
      </c>
      <c r="AK75" s="32">
        <v>150.0</v>
      </c>
      <c r="AL75" s="32" t="s">
        <v>3043</v>
      </c>
      <c r="AM75" s="32" t="s">
        <v>2487</v>
      </c>
      <c r="AN75" s="32" t="s">
        <v>3044</v>
      </c>
      <c r="AO75" s="32" t="s">
        <v>3045</v>
      </c>
      <c r="AP75" s="32" t="s">
        <v>3046</v>
      </c>
      <c r="AQ75" s="32" t="s">
        <v>1324</v>
      </c>
      <c r="AR75" s="32" t="s">
        <v>3047</v>
      </c>
      <c r="AS75" s="32" t="s">
        <v>3048</v>
      </c>
      <c r="AT75" s="32" t="s">
        <v>3049</v>
      </c>
      <c r="AU75" s="32">
        <v>2017.0</v>
      </c>
      <c r="AV75" s="32">
        <v>589.0</v>
      </c>
      <c r="AW75" s="32" t="s">
        <v>1324</v>
      </c>
      <c r="AX75" s="32" t="s">
        <v>1324</v>
      </c>
      <c r="AY75" s="32" t="s">
        <v>1324</v>
      </c>
      <c r="AZ75" s="32" t="s">
        <v>1324</v>
      </c>
      <c r="BA75" s="32" t="s">
        <v>1324</v>
      </c>
      <c r="BB75" s="32">
        <v>73.0</v>
      </c>
      <c r="BC75" s="32">
        <v>88.0</v>
      </c>
      <c r="BD75" s="32" t="s">
        <v>1324</v>
      </c>
      <c r="BE75" s="32" t="s">
        <v>1912</v>
      </c>
      <c r="BF75" s="38" t="str">
        <f>HYPERLINK("http://dx.doi.org/10.1016/j.scitotenv.2017.02.210","http://dx.doi.org/10.1016/j.scitotenv.2017.02.210")</f>
        <v>http://dx.doi.org/10.1016/j.scitotenv.2017.02.210</v>
      </c>
      <c r="BG75" s="32" t="s">
        <v>1324</v>
      </c>
      <c r="BH75" s="32" t="s">
        <v>1324</v>
      </c>
      <c r="BI75" s="32">
        <v>16.0</v>
      </c>
      <c r="BJ75" s="32" t="s">
        <v>68</v>
      </c>
      <c r="BK75" s="32" t="s">
        <v>2407</v>
      </c>
      <c r="BL75" s="32" t="s">
        <v>2472</v>
      </c>
      <c r="BM75" s="32" t="s">
        <v>3050</v>
      </c>
      <c r="BN75" s="32">
        <v>2.8264774E7</v>
      </c>
      <c r="BO75" s="32" t="s">
        <v>1324</v>
      </c>
      <c r="BP75" s="32" t="s">
        <v>1324</v>
      </c>
      <c r="BQ75" s="32" t="s">
        <v>1324</v>
      </c>
      <c r="BR75" s="32" t="s">
        <v>5042</v>
      </c>
      <c r="BS75" s="32" t="s">
        <v>3051</v>
      </c>
      <c r="BT75" s="32" t="s">
        <v>1329</v>
      </c>
      <c r="BU75" s="32" t="s">
        <v>1333</v>
      </c>
      <c r="BV75" s="32" t="s">
        <v>5054</v>
      </c>
      <c r="BW75" s="32" t="s">
        <v>1464</v>
      </c>
      <c r="BX75" s="32" t="s">
        <v>5049</v>
      </c>
      <c r="BY75" s="32" t="s">
        <v>1328</v>
      </c>
      <c r="BZ75" s="32" t="s">
        <v>1328</v>
      </c>
      <c r="CA75" s="32" t="s">
        <v>1336</v>
      </c>
      <c r="CB75" s="32" t="s">
        <v>1336</v>
      </c>
      <c r="CC75" s="32" t="s">
        <v>1336</v>
      </c>
      <c r="CD75" s="39" t="s">
        <v>5055</v>
      </c>
      <c r="CE75" s="32" t="s">
        <v>1350</v>
      </c>
      <c r="CF75" s="32" t="str">
        <f>HYPERLINK("https%3A%2F%2Fwww.webofscience.com%2Fwos%2Fwoscc%2Ffull-record%2FWOS:000399848100008","View Full Record in Web of Science")</f>
        <v>View Full Record in Web of Science</v>
      </c>
    </row>
    <row r="76" ht="12.75" customHeight="1">
      <c r="A76" s="32" t="s">
        <v>26</v>
      </c>
      <c r="B76" s="32" t="s">
        <v>2738</v>
      </c>
      <c r="C76" s="32" t="s">
        <v>1324</v>
      </c>
      <c r="D76" s="32" t="s">
        <v>1324</v>
      </c>
      <c r="E76" s="32" t="s">
        <v>1324</v>
      </c>
      <c r="F76" s="32" t="s">
        <v>1693</v>
      </c>
      <c r="G76" s="32" t="s">
        <v>1324</v>
      </c>
      <c r="H76" s="32" t="s">
        <v>1324</v>
      </c>
      <c r="I76" s="32" t="s">
        <v>1694</v>
      </c>
      <c r="J76" s="32" t="s">
        <v>1593</v>
      </c>
      <c r="K76" s="32" t="s">
        <v>1324</v>
      </c>
      <c r="L76" s="32" t="s">
        <v>1324</v>
      </c>
      <c r="M76" s="32" t="s">
        <v>2364</v>
      </c>
      <c r="N76" s="32" t="s">
        <v>38</v>
      </c>
      <c r="O76" s="32" t="s">
        <v>1324</v>
      </c>
      <c r="P76" s="32" t="s">
        <v>1324</v>
      </c>
      <c r="Q76" s="32" t="s">
        <v>1324</v>
      </c>
      <c r="R76" s="32" t="s">
        <v>1324</v>
      </c>
      <c r="S76" s="32" t="s">
        <v>1324</v>
      </c>
      <c r="T76" s="32" t="s">
        <v>2739</v>
      </c>
      <c r="U76" s="32" t="s">
        <v>2740</v>
      </c>
      <c r="V76" s="32" t="s">
        <v>2741</v>
      </c>
      <c r="W76" s="32" t="s">
        <v>2742</v>
      </c>
      <c r="X76" s="32" t="s">
        <v>2743</v>
      </c>
      <c r="Y76" s="32" t="s">
        <v>2744</v>
      </c>
      <c r="Z76" s="32" t="s">
        <v>2745</v>
      </c>
      <c r="AA76" s="32" t="s">
        <v>5188</v>
      </c>
      <c r="AB76" s="32" t="s">
        <v>5189</v>
      </c>
      <c r="AC76" s="32" t="s">
        <v>2748</v>
      </c>
      <c r="AD76" s="32" t="s">
        <v>2749</v>
      </c>
      <c r="AE76" s="32" t="s">
        <v>2750</v>
      </c>
      <c r="AF76" s="32" t="s">
        <v>1324</v>
      </c>
      <c r="AG76" s="32">
        <v>86.0</v>
      </c>
      <c r="AH76" s="32">
        <v>28.0</v>
      </c>
      <c r="AI76" s="32">
        <v>42.0</v>
      </c>
      <c r="AJ76" s="32">
        <v>1.0</v>
      </c>
      <c r="AK76" s="32">
        <v>181.0</v>
      </c>
      <c r="AL76" s="32" t="s">
        <v>2464</v>
      </c>
      <c r="AM76" s="32" t="s">
        <v>2465</v>
      </c>
      <c r="AN76" s="32" t="s">
        <v>2466</v>
      </c>
      <c r="AO76" s="32" t="s">
        <v>2751</v>
      </c>
      <c r="AP76" s="32" t="s">
        <v>2752</v>
      </c>
      <c r="AQ76" s="32" t="s">
        <v>1324</v>
      </c>
      <c r="AR76" s="32" t="s">
        <v>2753</v>
      </c>
      <c r="AS76" s="32" t="s">
        <v>2754</v>
      </c>
      <c r="AT76" s="32" t="s">
        <v>2734</v>
      </c>
      <c r="AU76" s="32">
        <v>2018.0</v>
      </c>
      <c r="AV76" s="32">
        <v>24.0</v>
      </c>
      <c r="AW76" s="32">
        <v>4.0</v>
      </c>
      <c r="AX76" s="32" t="s">
        <v>1324</v>
      </c>
      <c r="AY76" s="32" t="s">
        <v>1324</v>
      </c>
      <c r="AZ76" s="32" t="s">
        <v>1324</v>
      </c>
      <c r="BA76" s="32" t="s">
        <v>1324</v>
      </c>
      <c r="BB76" s="32">
        <v>497.0</v>
      </c>
      <c r="BC76" s="32">
        <v>508.0</v>
      </c>
      <c r="BD76" s="32" t="s">
        <v>1324</v>
      </c>
      <c r="BE76" s="32" t="s">
        <v>1696</v>
      </c>
      <c r="BF76" s="38" t="str">
        <f>HYPERLINK("http://dx.doi.org/10.1111/ddi.12693","http://dx.doi.org/10.1111/ddi.12693")</f>
        <v>http://dx.doi.org/10.1111/ddi.12693</v>
      </c>
      <c r="BG76" s="32" t="s">
        <v>1324</v>
      </c>
      <c r="BH76" s="32" t="s">
        <v>1324</v>
      </c>
      <c r="BI76" s="32">
        <v>12.0</v>
      </c>
      <c r="BJ76" s="32" t="s">
        <v>1124</v>
      </c>
      <c r="BK76" s="32" t="s">
        <v>2407</v>
      </c>
      <c r="BL76" s="32" t="s">
        <v>2577</v>
      </c>
      <c r="BM76" s="32" t="s">
        <v>2755</v>
      </c>
      <c r="BN76" s="32" t="s">
        <v>1324</v>
      </c>
      <c r="BO76" s="32" t="s">
        <v>2736</v>
      </c>
      <c r="BP76" s="32" t="s">
        <v>1324</v>
      </c>
      <c r="BQ76" s="32" t="s">
        <v>1324</v>
      </c>
      <c r="BR76" s="32" t="s">
        <v>5042</v>
      </c>
      <c r="BS76" s="32" t="s">
        <v>2756</v>
      </c>
      <c r="BT76" s="32" t="s">
        <v>1329</v>
      </c>
      <c r="BU76" s="32" t="s">
        <v>1333</v>
      </c>
      <c r="BV76" s="32" t="s">
        <v>5051</v>
      </c>
      <c r="BW76" s="32" t="s">
        <v>1362</v>
      </c>
      <c r="BX76" s="32" t="s">
        <v>5044</v>
      </c>
      <c r="BY76" s="32" t="s">
        <v>1328</v>
      </c>
      <c r="BZ76" s="32" t="s">
        <v>1336</v>
      </c>
      <c r="CA76" s="32" t="s">
        <v>1336</v>
      </c>
      <c r="CB76" s="32" t="s">
        <v>1328</v>
      </c>
      <c r="CC76" s="32" t="s">
        <v>1336</v>
      </c>
      <c r="CD76" s="39" t="s">
        <v>5128</v>
      </c>
      <c r="CE76" s="32" t="s">
        <v>1350</v>
      </c>
      <c r="CF76" s="32" t="str">
        <f>HYPERLINK("https%3A%2F%2Fwww.webofscience.com%2Fwos%2Fwoscc%2Ffull-record%2FWOS:000427246300007","View Full Record in Web of Science")</f>
        <v>View Full Record in Web of Science</v>
      </c>
    </row>
    <row r="77" ht="12.75" customHeight="1">
      <c r="A77" s="32" t="s">
        <v>26</v>
      </c>
      <c r="B77" s="32" t="s">
        <v>2560</v>
      </c>
      <c r="C77" s="32" t="s">
        <v>1324</v>
      </c>
      <c r="D77" s="32" t="s">
        <v>1324</v>
      </c>
      <c r="E77" s="32" t="s">
        <v>1324</v>
      </c>
      <c r="F77" s="32" t="s">
        <v>1709</v>
      </c>
      <c r="G77" s="32" t="s">
        <v>1324</v>
      </c>
      <c r="H77" s="32" t="s">
        <v>1324</v>
      </c>
      <c r="I77" s="32" t="s">
        <v>1710</v>
      </c>
      <c r="J77" s="32" t="s">
        <v>1151</v>
      </c>
      <c r="K77" s="32" t="s">
        <v>1324</v>
      </c>
      <c r="L77" s="32" t="s">
        <v>1324</v>
      </c>
      <c r="M77" s="32" t="s">
        <v>2364</v>
      </c>
      <c r="N77" s="32" t="s">
        <v>38</v>
      </c>
      <c r="O77" s="32" t="s">
        <v>1324</v>
      </c>
      <c r="P77" s="32" t="s">
        <v>1324</v>
      </c>
      <c r="Q77" s="32" t="s">
        <v>1324</v>
      </c>
      <c r="R77" s="32" t="s">
        <v>1324</v>
      </c>
      <c r="S77" s="32" t="s">
        <v>1324</v>
      </c>
      <c r="T77" s="32" t="s">
        <v>2561</v>
      </c>
      <c r="U77" s="32" t="s">
        <v>2562</v>
      </c>
      <c r="V77" s="32" t="s">
        <v>2563</v>
      </c>
      <c r="W77" s="32" t="s">
        <v>2564</v>
      </c>
      <c r="X77" s="32" t="s">
        <v>2565</v>
      </c>
      <c r="Y77" s="32" t="s">
        <v>2566</v>
      </c>
      <c r="Z77" s="32" t="s">
        <v>2567</v>
      </c>
      <c r="AA77" s="32" t="s">
        <v>5190</v>
      </c>
      <c r="AB77" s="32" t="s">
        <v>5191</v>
      </c>
      <c r="AC77" s="32" t="s">
        <v>2570</v>
      </c>
      <c r="AD77" s="32" t="s">
        <v>2571</v>
      </c>
      <c r="AE77" s="32" t="s">
        <v>2572</v>
      </c>
      <c r="AF77" s="32" t="s">
        <v>1324</v>
      </c>
      <c r="AG77" s="32">
        <v>62.0</v>
      </c>
      <c r="AH77" s="32">
        <v>29.0</v>
      </c>
      <c r="AI77" s="32">
        <v>32.0</v>
      </c>
      <c r="AJ77" s="32">
        <v>1.0</v>
      </c>
      <c r="AK77" s="32">
        <v>49.0</v>
      </c>
      <c r="AL77" s="32" t="s">
        <v>2464</v>
      </c>
      <c r="AM77" s="32" t="s">
        <v>2465</v>
      </c>
      <c r="AN77" s="32" t="s">
        <v>2466</v>
      </c>
      <c r="AO77" s="32" t="s">
        <v>2573</v>
      </c>
      <c r="AP77" s="32" t="s">
        <v>2574</v>
      </c>
      <c r="AQ77" s="32" t="s">
        <v>1324</v>
      </c>
      <c r="AR77" s="32" t="s">
        <v>2575</v>
      </c>
      <c r="AS77" s="32" t="s">
        <v>2576</v>
      </c>
      <c r="AT77" s="32" t="s">
        <v>2557</v>
      </c>
      <c r="AU77" s="32">
        <v>2018.0</v>
      </c>
      <c r="AV77" s="32">
        <v>55.0</v>
      </c>
      <c r="AW77" s="32">
        <v>4.0</v>
      </c>
      <c r="AX77" s="32" t="s">
        <v>1324</v>
      </c>
      <c r="AY77" s="32" t="s">
        <v>1324</v>
      </c>
      <c r="AZ77" s="32" t="s">
        <v>1324</v>
      </c>
      <c r="BA77" s="32" t="s">
        <v>1324</v>
      </c>
      <c r="BB77" s="32">
        <v>1626.0</v>
      </c>
      <c r="BC77" s="32">
        <v>1636.0</v>
      </c>
      <c r="BD77" s="32" t="s">
        <v>1324</v>
      </c>
      <c r="BE77" s="32" t="s">
        <v>1712</v>
      </c>
      <c r="BF77" s="38" t="str">
        <f>HYPERLINK("http://dx.doi.org/10.1111/1365-2664.13137","http://dx.doi.org/10.1111/1365-2664.13137")</f>
        <v>http://dx.doi.org/10.1111/1365-2664.13137</v>
      </c>
      <c r="BG77" s="32" t="s">
        <v>1324</v>
      </c>
      <c r="BH77" s="32" t="s">
        <v>1324</v>
      </c>
      <c r="BI77" s="32">
        <v>11.0</v>
      </c>
      <c r="BJ77" s="32" t="s">
        <v>1124</v>
      </c>
      <c r="BK77" s="32" t="s">
        <v>2407</v>
      </c>
      <c r="BL77" s="32" t="s">
        <v>2577</v>
      </c>
      <c r="BM77" s="32" t="s">
        <v>2578</v>
      </c>
      <c r="BN77" s="32" t="s">
        <v>1324</v>
      </c>
      <c r="BO77" s="32" t="s">
        <v>2579</v>
      </c>
      <c r="BP77" s="32" t="s">
        <v>1324</v>
      </c>
      <c r="BQ77" s="32" t="s">
        <v>1324</v>
      </c>
      <c r="BR77" s="32" t="s">
        <v>5042</v>
      </c>
      <c r="BS77" s="32" t="s">
        <v>2580</v>
      </c>
      <c r="BT77" s="32" t="s">
        <v>1329</v>
      </c>
      <c r="BU77" s="32" t="s">
        <v>1333</v>
      </c>
      <c r="BV77" s="32" t="s">
        <v>5054</v>
      </c>
      <c r="BW77" s="32" t="s">
        <v>1362</v>
      </c>
      <c r="BX77" s="32" t="s">
        <v>5044</v>
      </c>
      <c r="BY77" s="32" t="s">
        <v>1336</v>
      </c>
      <c r="BZ77" s="32" t="s">
        <v>1336</v>
      </c>
      <c r="CA77" s="32" t="s">
        <v>1328</v>
      </c>
      <c r="CB77" s="32" t="s">
        <v>1336</v>
      </c>
      <c r="CC77" s="32" t="s">
        <v>1336</v>
      </c>
      <c r="CD77" s="39" t="s">
        <v>5192</v>
      </c>
      <c r="CE77" s="32" t="s">
        <v>1350</v>
      </c>
      <c r="CF77" s="32" t="str">
        <f>HYPERLINK("https%3A%2F%2Fwww.webofscience.com%2Fwos%2Fwoscc%2Ffull-record%2FWOS:000434970200007","View Full Record in Web of Science")</f>
        <v>View Full Record in Web of Science</v>
      </c>
    </row>
    <row r="78" ht="12.75" customHeight="1">
      <c r="A78" s="32" t="s">
        <v>26</v>
      </c>
      <c r="B78" s="32" t="s">
        <v>2694</v>
      </c>
      <c r="C78" s="32" t="s">
        <v>1324</v>
      </c>
      <c r="D78" s="32" t="s">
        <v>1324</v>
      </c>
      <c r="E78" s="32" t="s">
        <v>1324</v>
      </c>
      <c r="F78" s="32" t="s">
        <v>1510</v>
      </c>
      <c r="G78" s="32" t="s">
        <v>1324</v>
      </c>
      <c r="H78" s="32" t="s">
        <v>1324</v>
      </c>
      <c r="I78" s="32" t="s">
        <v>1512</v>
      </c>
      <c r="J78" s="32" t="s">
        <v>1511</v>
      </c>
      <c r="K78" s="32" t="s">
        <v>1324</v>
      </c>
      <c r="L78" s="32" t="s">
        <v>1324</v>
      </c>
      <c r="M78" s="32" t="s">
        <v>2364</v>
      </c>
      <c r="N78" s="32" t="s">
        <v>38</v>
      </c>
      <c r="O78" s="32" t="s">
        <v>1324</v>
      </c>
      <c r="P78" s="32" t="s">
        <v>1324</v>
      </c>
      <c r="Q78" s="32" t="s">
        <v>1324</v>
      </c>
      <c r="R78" s="32" t="s">
        <v>1324</v>
      </c>
      <c r="S78" s="32" t="s">
        <v>1324</v>
      </c>
      <c r="T78" s="32" t="s">
        <v>2695</v>
      </c>
      <c r="U78" s="32" t="s">
        <v>2696</v>
      </c>
      <c r="V78" s="32" t="s">
        <v>1513</v>
      </c>
      <c r="W78" s="32" t="s">
        <v>2697</v>
      </c>
      <c r="X78" s="32" t="s">
        <v>5193</v>
      </c>
      <c r="Y78" s="32" t="s">
        <v>2699</v>
      </c>
      <c r="Z78" s="32" t="s">
        <v>2700</v>
      </c>
      <c r="AA78" s="32" t="s">
        <v>2701</v>
      </c>
      <c r="AB78" s="32" t="s">
        <v>1324</v>
      </c>
      <c r="AC78" s="32" t="s">
        <v>2702</v>
      </c>
      <c r="AD78" s="32" t="s">
        <v>2703</v>
      </c>
      <c r="AE78" s="32" t="s">
        <v>2704</v>
      </c>
      <c r="AF78" s="32" t="s">
        <v>1324</v>
      </c>
      <c r="AG78" s="32">
        <v>33.0</v>
      </c>
      <c r="AH78" s="32">
        <v>6.0</v>
      </c>
      <c r="AI78" s="32">
        <v>7.0</v>
      </c>
      <c r="AJ78" s="32">
        <v>0.0</v>
      </c>
      <c r="AK78" s="32">
        <v>28.0</v>
      </c>
      <c r="AL78" s="32" t="s">
        <v>2705</v>
      </c>
      <c r="AM78" s="32" t="s">
        <v>2706</v>
      </c>
      <c r="AN78" s="32" t="s">
        <v>2707</v>
      </c>
      <c r="AO78" s="32" t="s">
        <v>2708</v>
      </c>
      <c r="AP78" s="32" t="s">
        <v>1324</v>
      </c>
      <c r="AQ78" s="32" t="s">
        <v>1324</v>
      </c>
      <c r="AR78" s="32" t="s">
        <v>2709</v>
      </c>
      <c r="AS78" s="32" t="s">
        <v>2710</v>
      </c>
      <c r="AT78" s="32" t="s">
        <v>2711</v>
      </c>
      <c r="AU78" s="32">
        <v>2018.0</v>
      </c>
      <c r="AV78" s="32">
        <v>11.0</v>
      </c>
      <c r="AW78" s="32" t="s">
        <v>1324</v>
      </c>
      <c r="AX78" s="32" t="s">
        <v>1324</v>
      </c>
      <c r="AY78" s="32" t="s">
        <v>1324</v>
      </c>
      <c r="AZ78" s="32" t="s">
        <v>1324</v>
      </c>
      <c r="BA78" s="32" t="s">
        <v>1324</v>
      </c>
      <c r="BB78" s="32" t="s">
        <v>1324</v>
      </c>
      <c r="BC78" s="32" t="s">
        <v>1324</v>
      </c>
      <c r="BD78" s="32" t="s">
        <v>1324</v>
      </c>
      <c r="BE78" s="32" t="s">
        <v>1514</v>
      </c>
      <c r="BF78" s="38" t="str">
        <f>HYPERLINK("http://dx.doi.org/10.1177/1940082918769460","http://dx.doi.org/10.1177/1940082918769460")</f>
        <v>http://dx.doi.org/10.1177/1940082918769460</v>
      </c>
      <c r="BG78" s="32" t="s">
        <v>1324</v>
      </c>
      <c r="BH78" s="32" t="s">
        <v>1324</v>
      </c>
      <c r="BI78" s="32">
        <v>8.0</v>
      </c>
      <c r="BJ78" s="32" t="s">
        <v>2712</v>
      </c>
      <c r="BK78" s="32" t="s">
        <v>2407</v>
      </c>
      <c r="BL78" s="32" t="s">
        <v>2713</v>
      </c>
      <c r="BM78" s="32" t="s">
        <v>2714</v>
      </c>
      <c r="BN78" s="32" t="s">
        <v>1324</v>
      </c>
      <c r="BO78" s="32" t="s">
        <v>2715</v>
      </c>
      <c r="BP78" s="32" t="s">
        <v>1324</v>
      </c>
      <c r="BQ78" s="32" t="s">
        <v>1324</v>
      </c>
      <c r="BR78" s="32" t="s">
        <v>5042</v>
      </c>
      <c r="BS78" s="32" t="s">
        <v>2716</v>
      </c>
      <c r="BT78" s="32" t="s">
        <v>1329</v>
      </c>
      <c r="BU78" s="32" t="s">
        <v>1333</v>
      </c>
      <c r="BV78" s="32" t="s">
        <v>5054</v>
      </c>
      <c r="BW78" s="32" t="s">
        <v>1362</v>
      </c>
      <c r="BX78" s="32" t="s">
        <v>5044</v>
      </c>
      <c r="BY78" s="32" t="s">
        <v>1336</v>
      </c>
      <c r="BZ78" s="32" t="s">
        <v>1328</v>
      </c>
      <c r="CA78" s="32" t="s">
        <v>1336</v>
      </c>
      <c r="CB78" s="32" t="s">
        <v>1336</v>
      </c>
      <c r="CC78" s="32" t="s">
        <v>1336</v>
      </c>
      <c r="CD78" s="39" t="s">
        <v>5082</v>
      </c>
      <c r="CE78" s="32" t="s">
        <v>1350</v>
      </c>
      <c r="CF78" s="32" t="str">
        <f>HYPERLINK("https%3A%2F%2Fwww.webofscience.com%2Fwos%2Fwoscc%2Ffull-record%2FWOS:000437507600001","View Full Record in Web of Science")</f>
        <v>View Full Record in Web of Science</v>
      </c>
    </row>
    <row r="79" ht="12.75" customHeight="1">
      <c r="A79" s="32" t="s">
        <v>26</v>
      </c>
      <c r="B79" s="32" t="s">
        <v>4794</v>
      </c>
      <c r="C79" s="32" t="s">
        <v>1324</v>
      </c>
      <c r="D79" s="32" t="s">
        <v>1324</v>
      </c>
      <c r="E79" s="32" t="s">
        <v>1324</v>
      </c>
      <c r="F79" s="32" t="s">
        <v>1878</v>
      </c>
      <c r="G79" s="32" t="s">
        <v>1324</v>
      </c>
      <c r="H79" s="32" t="s">
        <v>1324</v>
      </c>
      <c r="I79" s="32" t="s">
        <v>4795</v>
      </c>
      <c r="J79" s="32" t="s">
        <v>1873</v>
      </c>
      <c r="K79" s="32" t="s">
        <v>1324</v>
      </c>
      <c r="L79" s="32" t="s">
        <v>1324</v>
      </c>
      <c r="M79" s="32" t="s">
        <v>2364</v>
      </c>
      <c r="N79" s="32" t="s">
        <v>38</v>
      </c>
      <c r="O79" s="32" t="s">
        <v>1324</v>
      </c>
      <c r="P79" s="32" t="s">
        <v>1324</v>
      </c>
      <c r="Q79" s="32" t="s">
        <v>1324</v>
      </c>
      <c r="R79" s="32" t="s">
        <v>1324</v>
      </c>
      <c r="S79" s="32" t="s">
        <v>1324</v>
      </c>
      <c r="T79" s="32" t="s">
        <v>4796</v>
      </c>
      <c r="U79" s="32" t="s">
        <v>4797</v>
      </c>
      <c r="V79" s="32" t="s">
        <v>1880</v>
      </c>
      <c r="W79" s="32" t="s">
        <v>4798</v>
      </c>
      <c r="X79" s="32" t="s">
        <v>4799</v>
      </c>
      <c r="Y79" s="32" t="s">
        <v>4800</v>
      </c>
      <c r="Z79" s="32" t="s">
        <v>4801</v>
      </c>
      <c r="AA79" s="32" t="s">
        <v>5194</v>
      </c>
      <c r="AB79" s="32" t="s">
        <v>1324</v>
      </c>
      <c r="AC79" s="32" t="s">
        <v>1324</v>
      </c>
      <c r="AD79" s="32" t="s">
        <v>1324</v>
      </c>
      <c r="AE79" s="32" t="s">
        <v>1324</v>
      </c>
      <c r="AF79" s="32" t="s">
        <v>1324</v>
      </c>
      <c r="AG79" s="32">
        <v>23.0</v>
      </c>
      <c r="AH79" s="32">
        <v>28.0</v>
      </c>
      <c r="AI79" s="32">
        <v>33.0</v>
      </c>
      <c r="AJ79" s="32">
        <v>0.0</v>
      </c>
      <c r="AK79" s="32">
        <v>31.0</v>
      </c>
      <c r="AL79" s="32" t="s">
        <v>4188</v>
      </c>
      <c r="AM79" s="32" t="s">
        <v>3872</v>
      </c>
      <c r="AN79" s="32" t="s">
        <v>4298</v>
      </c>
      <c r="AO79" s="32" t="s">
        <v>4191</v>
      </c>
      <c r="AP79" s="32" t="s">
        <v>4192</v>
      </c>
      <c r="AQ79" s="32" t="s">
        <v>1324</v>
      </c>
      <c r="AR79" s="32" t="s">
        <v>1873</v>
      </c>
      <c r="AS79" s="32" t="s">
        <v>4193</v>
      </c>
      <c r="AT79" s="32" t="s">
        <v>2734</v>
      </c>
      <c r="AU79" s="32">
        <v>2007.0</v>
      </c>
      <c r="AV79" s="32">
        <v>41.0</v>
      </c>
      <c r="AW79" s="32">
        <v>2.0</v>
      </c>
      <c r="AX79" s="32" t="s">
        <v>1324</v>
      </c>
      <c r="AY79" s="32" t="s">
        <v>1324</v>
      </c>
      <c r="AZ79" s="32" t="s">
        <v>1324</v>
      </c>
      <c r="BA79" s="32" t="s">
        <v>1324</v>
      </c>
      <c r="BB79" s="32">
        <v>263.0</v>
      </c>
      <c r="BC79" s="32">
        <v>271.0</v>
      </c>
      <c r="BD79" s="32" t="s">
        <v>1324</v>
      </c>
      <c r="BE79" s="32" t="s">
        <v>1881</v>
      </c>
      <c r="BF79" s="38" t="str">
        <f>HYPERLINK("http://dx.doi.org/10.1017/S0030605307001883","http://dx.doi.org/10.1017/S0030605307001883")</f>
        <v>http://dx.doi.org/10.1017/S0030605307001883</v>
      </c>
      <c r="BG79" s="32" t="s">
        <v>1324</v>
      </c>
      <c r="BH79" s="32" t="s">
        <v>1324</v>
      </c>
      <c r="BI79" s="32">
        <v>9.0</v>
      </c>
      <c r="BJ79" s="32" t="s">
        <v>1124</v>
      </c>
      <c r="BK79" s="32" t="s">
        <v>2407</v>
      </c>
      <c r="BL79" s="32" t="s">
        <v>2577</v>
      </c>
      <c r="BM79" s="32" t="s">
        <v>4803</v>
      </c>
      <c r="BN79" s="32" t="s">
        <v>1324</v>
      </c>
      <c r="BO79" s="32" t="s">
        <v>2715</v>
      </c>
      <c r="BP79" s="32" t="s">
        <v>1324</v>
      </c>
      <c r="BQ79" s="32" t="s">
        <v>1324</v>
      </c>
      <c r="BR79" s="32" t="s">
        <v>5042</v>
      </c>
      <c r="BS79" s="32" t="s">
        <v>4804</v>
      </c>
      <c r="BT79" s="32" t="s">
        <v>1329</v>
      </c>
      <c r="BU79" s="32" t="s">
        <v>1333</v>
      </c>
      <c r="BV79" s="32" t="s">
        <v>5043</v>
      </c>
      <c r="BW79" s="32" t="s">
        <v>1362</v>
      </c>
      <c r="BX79" s="32" t="s">
        <v>5044</v>
      </c>
      <c r="BY79" s="32" t="s">
        <v>1336</v>
      </c>
      <c r="BZ79" s="32" t="s">
        <v>1336</v>
      </c>
      <c r="CA79" s="32" t="s">
        <v>1328</v>
      </c>
      <c r="CB79" s="32" t="s">
        <v>1336</v>
      </c>
      <c r="CC79" s="32" t="s">
        <v>1336</v>
      </c>
      <c r="CD79" s="39" t="s">
        <v>5192</v>
      </c>
      <c r="CE79" s="32" t="s">
        <v>1395</v>
      </c>
      <c r="CF79" s="32" t="str">
        <f>HYPERLINK("https%3A%2F%2Fwww.webofscience.com%2Fwos%2Fwoscc%2Ffull-record%2FWOS:000247440700024","View Full Record in Web of Science")</f>
        <v>View Full Record in Web of Science</v>
      </c>
    </row>
    <row r="80" ht="12.75" customHeight="1">
      <c r="A80" s="32" t="s">
        <v>2433</v>
      </c>
      <c r="B80" s="32" t="s">
        <v>4321</v>
      </c>
      <c r="C80" s="32" t="s">
        <v>1324</v>
      </c>
      <c r="D80" s="32" t="s">
        <v>4321</v>
      </c>
      <c r="E80" s="32" t="s">
        <v>1324</v>
      </c>
      <c r="F80" s="32" t="s">
        <v>2159</v>
      </c>
      <c r="G80" s="32" t="s">
        <v>1324</v>
      </c>
      <c r="H80" s="32" t="s">
        <v>1324</v>
      </c>
      <c r="I80" s="32" t="s">
        <v>2161</v>
      </c>
      <c r="J80" s="32" t="s">
        <v>2160</v>
      </c>
      <c r="K80" s="32" t="s">
        <v>4322</v>
      </c>
      <c r="L80" s="32" t="s">
        <v>1324</v>
      </c>
      <c r="M80" s="32" t="s">
        <v>2364</v>
      </c>
      <c r="N80" s="32" t="s">
        <v>2437</v>
      </c>
      <c r="O80" s="32" t="s">
        <v>1324</v>
      </c>
      <c r="P80" s="32" t="s">
        <v>1324</v>
      </c>
      <c r="Q80" s="32" t="s">
        <v>1324</v>
      </c>
      <c r="R80" s="32" t="s">
        <v>1324</v>
      </c>
      <c r="S80" s="32" t="s">
        <v>1324</v>
      </c>
      <c r="T80" s="32" t="s">
        <v>4323</v>
      </c>
      <c r="U80" s="32" t="s">
        <v>4324</v>
      </c>
      <c r="V80" s="32" t="s">
        <v>4325</v>
      </c>
      <c r="W80" s="32" t="s">
        <v>4326</v>
      </c>
      <c r="X80" s="32" t="s">
        <v>4327</v>
      </c>
      <c r="Y80" s="32" t="s">
        <v>4328</v>
      </c>
      <c r="Z80" s="32" t="s">
        <v>1324</v>
      </c>
      <c r="AA80" s="32" t="s">
        <v>4329</v>
      </c>
      <c r="AB80" s="32" t="s">
        <v>4330</v>
      </c>
      <c r="AC80" s="32" t="s">
        <v>1324</v>
      </c>
      <c r="AD80" s="32" t="s">
        <v>1324</v>
      </c>
      <c r="AE80" s="32" t="s">
        <v>1324</v>
      </c>
      <c r="AF80" s="32" t="s">
        <v>1324</v>
      </c>
      <c r="AG80" s="32">
        <v>16.0</v>
      </c>
      <c r="AH80" s="32">
        <v>29.0</v>
      </c>
      <c r="AI80" s="32">
        <v>35.0</v>
      </c>
      <c r="AJ80" s="32">
        <v>0.0</v>
      </c>
      <c r="AK80" s="32">
        <v>7.0</v>
      </c>
      <c r="AL80" s="32" t="s">
        <v>3043</v>
      </c>
      <c r="AM80" s="32" t="s">
        <v>2487</v>
      </c>
      <c r="AN80" s="32" t="s">
        <v>4331</v>
      </c>
      <c r="AO80" s="32" t="s">
        <v>1324</v>
      </c>
      <c r="AP80" s="32" t="s">
        <v>1324</v>
      </c>
      <c r="AQ80" s="32" t="s">
        <v>4332</v>
      </c>
      <c r="AR80" s="32" t="s">
        <v>4333</v>
      </c>
      <c r="AS80" s="32" t="s">
        <v>1324</v>
      </c>
      <c r="AT80" s="32" t="s">
        <v>1324</v>
      </c>
      <c r="AU80" s="32">
        <v>2012.0</v>
      </c>
      <c r="AV80" s="32" t="s">
        <v>1324</v>
      </c>
      <c r="AW80" s="32" t="s">
        <v>1324</v>
      </c>
      <c r="AX80" s="32" t="s">
        <v>1324</v>
      </c>
      <c r="AY80" s="32" t="s">
        <v>1324</v>
      </c>
      <c r="AZ80" s="32" t="s">
        <v>1324</v>
      </c>
      <c r="BA80" s="32" t="s">
        <v>1324</v>
      </c>
      <c r="BB80" s="32">
        <v>871.0</v>
      </c>
      <c r="BC80" s="32">
        <v>890.0</v>
      </c>
      <c r="BD80" s="32" t="s">
        <v>1324</v>
      </c>
      <c r="BE80" s="32" t="s">
        <v>2163</v>
      </c>
      <c r="BF80" s="38" t="str">
        <f>HYPERLINK("http://dx.doi.org/10.1016/B978-0-12-385140-6.00064-5","http://dx.doi.org/10.1016/B978-0-12-385140-6.00064-5")</f>
        <v>http://dx.doi.org/10.1016/B978-0-12-385140-6.00064-5</v>
      </c>
      <c r="BG80" s="32" t="s">
        <v>1324</v>
      </c>
      <c r="BH80" s="32" t="s">
        <v>1324</v>
      </c>
      <c r="BI80" s="32">
        <v>20.0</v>
      </c>
      <c r="BJ80" s="32" t="s">
        <v>59</v>
      </c>
      <c r="BK80" s="32" t="s">
        <v>2448</v>
      </c>
      <c r="BL80" s="32" t="s">
        <v>4105</v>
      </c>
      <c r="BM80" s="32" t="s">
        <v>4334</v>
      </c>
      <c r="BN80" s="32" t="s">
        <v>1324</v>
      </c>
      <c r="BO80" s="32" t="s">
        <v>1324</v>
      </c>
      <c r="BP80" s="32" t="s">
        <v>1324</v>
      </c>
      <c r="BQ80" s="32" t="s">
        <v>1324</v>
      </c>
      <c r="BR80" s="32" t="s">
        <v>5042</v>
      </c>
      <c r="BS80" s="32" t="s">
        <v>4335</v>
      </c>
      <c r="BT80" s="32" t="s">
        <v>1463</v>
      </c>
      <c r="BU80" s="32" t="s">
        <v>1444</v>
      </c>
      <c r="BV80" s="32" t="s">
        <v>5048</v>
      </c>
      <c r="BW80" s="32" t="s">
        <v>1349</v>
      </c>
      <c r="BX80" s="32" t="s">
        <v>5062</v>
      </c>
      <c r="BY80" s="32" t="s">
        <v>1328</v>
      </c>
      <c r="BZ80" s="32" t="s">
        <v>1328</v>
      </c>
      <c r="CA80" s="32" t="s">
        <v>1328</v>
      </c>
      <c r="CB80" s="32" t="s">
        <v>1328</v>
      </c>
      <c r="CC80" s="32" t="s">
        <v>1328</v>
      </c>
      <c r="CD80" s="39" t="s">
        <v>5107</v>
      </c>
      <c r="CE80" s="32" t="s">
        <v>1395</v>
      </c>
      <c r="CF80" s="32" t="str">
        <f>HYPERLINK("https%3A%2F%2Fwww.webofscience.com%2Fwos%2Fwoscc%2Ffull-record%2FWOS:000322237000066","View Full Record in Web of Science")</f>
        <v>View Full Record in Web of Science</v>
      </c>
    </row>
    <row r="81" ht="12.75" customHeight="1">
      <c r="A81" s="32" t="s">
        <v>26</v>
      </c>
      <c r="B81" s="32" t="s">
        <v>4762</v>
      </c>
      <c r="C81" s="32" t="s">
        <v>1324</v>
      </c>
      <c r="D81" s="32" t="s">
        <v>1324</v>
      </c>
      <c r="E81" s="32" t="s">
        <v>1324</v>
      </c>
      <c r="F81" s="32" t="s">
        <v>2220</v>
      </c>
      <c r="G81" s="32" t="s">
        <v>1324</v>
      </c>
      <c r="H81" s="32" t="s">
        <v>1324</v>
      </c>
      <c r="I81" s="32" t="s">
        <v>2222</v>
      </c>
      <c r="J81" s="32" t="s">
        <v>2221</v>
      </c>
      <c r="K81" s="32" t="s">
        <v>1324</v>
      </c>
      <c r="L81" s="32" t="s">
        <v>1324</v>
      </c>
      <c r="M81" s="32" t="s">
        <v>2364</v>
      </c>
      <c r="N81" s="32" t="s">
        <v>38</v>
      </c>
      <c r="O81" s="32" t="s">
        <v>1324</v>
      </c>
      <c r="P81" s="32" t="s">
        <v>1324</v>
      </c>
      <c r="Q81" s="32" t="s">
        <v>1324</v>
      </c>
      <c r="R81" s="32" t="s">
        <v>1324</v>
      </c>
      <c r="S81" s="32" t="s">
        <v>1324</v>
      </c>
      <c r="T81" s="32" t="s">
        <v>4763</v>
      </c>
      <c r="U81" s="32" t="s">
        <v>4764</v>
      </c>
      <c r="V81" s="32" t="s">
        <v>2223</v>
      </c>
      <c r="W81" s="32" t="s">
        <v>4765</v>
      </c>
      <c r="X81" s="32" t="s">
        <v>4766</v>
      </c>
      <c r="Y81" s="32" t="s">
        <v>4767</v>
      </c>
      <c r="Z81" s="32" t="s">
        <v>4768</v>
      </c>
      <c r="AA81" s="32" t="s">
        <v>1324</v>
      </c>
      <c r="AB81" s="32" t="s">
        <v>5195</v>
      </c>
      <c r="AC81" s="32" t="s">
        <v>1324</v>
      </c>
      <c r="AD81" s="32" t="s">
        <v>1324</v>
      </c>
      <c r="AE81" s="32" t="s">
        <v>1324</v>
      </c>
      <c r="AF81" s="32" t="s">
        <v>1324</v>
      </c>
      <c r="AG81" s="32">
        <v>37.0</v>
      </c>
      <c r="AH81" s="32">
        <v>392.0</v>
      </c>
      <c r="AI81" s="32">
        <v>462.0</v>
      </c>
      <c r="AJ81" s="32">
        <v>5.0</v>
      </c>
      <c r="AK81" s="32">
        <v>223.0</v>
      </c>
      <c r="AL81" s="32" t="s">
        <v>3250</v>
      </c>
      <c r="AM81" s="32" t="s">
        <v>3251</v>
      </c>
      <c r="AN81" s="32" t="s">
        <v>3252</v>
      </c>
      <c r="AO81" s="32" t="s">
        <v>4770</v>
      </c>
      <c r="AP81" s="32" t="s">
        <v>4771</v>
      </c>
      <c r="AQ81" s="32" t="s">
        <v>1324</v>
      </c>
      <c r="AR81" s="32" t="s">
        <v>4772</v>
      </c>
      <c r="AS81" s="32" t="s">
        <v>4773</v>
      </c>
      <c r="AT81" s="32" t="s">
        <v>2734</v>
      </c>
      <c r="AU81" s="32">
        <v>2008.0</v>
      </c>
      <c r="AV81" s="32">
        <v>10.0</v>
      </c>
      <c r="AW81" s="32">
        <v>4.0</v>
      </c>
      <c r="AX81" s="32" t="s">
        <v>1324</v>
      </c>
      <c r="AY81" s="32" t="s">
        <v>1324</v>
      </c>
      <c r="AZ81" s="32" t="s">
        <v>1324</v>
      </c>
      <c r="BA81" s="32" t="s">
        <v>1324</v>
      </c>
      <c r="BB81" s="32">
        <v>391.0</v>
      </c>
      <c r="BC81" s="32">
        <v>398.0</v>
      </c>
      <c r="BD81" s="32" t="s">
        <v>1324</v>
      </c>
      <c r="BE81" s="32" t="s">
        <v>2224</v>
      </c>
      <c r="BF81" s="38" t="str">
        <f>HYPERLINK("http://dx.doi.org/10.1007/s10530-007-9138-5","http://dx.doi.org/10.1007/s10530-007-9138-5")</f>
        <v>http://dx.doi.org/10.1007/s10530-007-9138-5</v>
      </c>
      <c r="BG81" s="32" t="s">
        <v>1324</v>
      </c>
      <c r="BH81" s="32" t="s">
        <v>1324</v>
      </c>
      <c r="BI81" s="32">
        <v>8.0</v>
      </c>
      <c r="BJ81" s="32" t="s">
        <v>1124</v>
      </c>
      <c r="BK81" s="32" t="s">
        <v>2878</v>
      </c>
      <c r="BL81" s="32" t="s">
        <v>2577</v>
      </c>
      <c r="BM81" s="32" t="s">
        <v>4774</v>
      </c>
      <c r="BN81" s="32" t="s">
        <v>1324</v>
      </c>
      <c r="BO81" s="32" t="s">
        <v>1324</v>
      </c>
      <c r="BP81" s="32" t="s">
        <v>1324</v>
      </c>
      <c r="BQ81" s="32" t="s">
        <v>1324</v>
      </c>
      <c r="BR81" s="32" t="s">
        <v>5042</v>
      </c>
      <c r="BS81" s="32" t="s">
        <v>4775</v>
      </c>
      <c r="BT81" s="32" t="s">
        <v>1329</v>
      </c>
      <c r="BU81" s="32" t="s">
        <v>1444</v>
      </c>
      <c r="BV81" s="32" t="s">
        <v>5048</v>
      </c>
      <c r="BW81" s="32" t="s">
        <v>1446</v>
      </c>
      <c r="BX81" s="32" t="s">
        <v>5106</v>
      </c>
      <c r="BY81" s="32" t="s">
        <v>1336</v>
      </c>
      <c r="BZ81" s="32" t="s">
        <v>1328</v>
      </c>
      <c r="CA81" s="32" t="s">
        <v>1336</v>
      </c>
      <c r="CB81" s="32" t="s">
        <v>1328</v>
      </c>
      <c r="CC81" s="32" t="s">
        <v>1336</v>
      </c>
      <c r="CD81" s="39" t="s">
        <v>5196</v>
      </c>
      <c r="CE81" s="32" t="s">
        <v>1350</v>
      </c>
      <c r="CF81" s="32" t="str">
        <f>HYPERLINK("https%3A%2F%2Fwww.webofscience.com%2Fwos%2Fwoscc%2Ffull-record%2FWOS:000254086900002","View Full Record in Web of Science")</f>
        <v>View Full Record in Web of Science</v>
      </c>
    </row>
    <row r="82" ht="12.75" customHeight="1">
      <c r="A82" s="32" t="s">
        <v>26</v>
      </c>
      <c r="B82" s="32" t="s">
        <v>4581</v>
      </c>
      <c r="C82" s="32" t="s">
        <v>1324</v>
      </c>
      <c r="D82" s="32" t="s">
        <v>1324</v>
      </c>
      <c r="E82" s="32" t="s">
        <v>1324</v>
      </c>
      <c r="F82" s="32" t="s">
        <v>1592</v>
      </c>
      <c r="G82" s="32" t="s">
        <v>1324</v>
      </c>
      <c r="H82" s="32" t="s">
        <v>1324</v>
      </c>
      <c r="I82" s="32" t="s">
        <v>1594</v>
      </c>
      <c r="J82" s="32" t="s">
        <v>1593</v>
      </c>
      <c r="K82" s="32" t="s">
        <v>1324</v>
      </c>
      <c r="L82" s="32" t="s">
        <v>1324</v>
      </c>
      <c r="M82" s="32" t="s">
        <v>2364</v>
      </c>
      <c r="N82" s="32" t="s">
        <v>38</v>
      </c>
      <c r="O82" s="32" t="s">
        <v>1324</v>
      </c>
      <c r="P82" s="32" t="s">
        <v>1324</v>
      </c>
      <c r="Q82" s="32" t="s">
        <v>1324</v>
      </c>
      <c r="R82" s="32" t="s">
        <v>1324</v>
      </c>
      <c r="S82" s="32" t="s">
        <v>1324</v>
      </c>
      <c r="T82" s="32" t="s">
        <v>4582</v>
      </c>
      <c r="U82" s="32" t="s">
        <v>4583</v>
      </c>
      <c r="V82" s="32" t="s">
        <v>4584</v>
      </c>
      <c r="W82" s="32" t="s">
        <v>4585</v>
      </c>
      <c r="X82" s="32" t="s">
        <v>4586</v>
      </c>
      <c r="Y82" s="32" t="s">
        <v>4587</v>
      </c>
      <c r="Z82" s="32" t="s">
        <v>4588</v>
      </c>
      <c r="AA82" s="32" t="s">
        <v>5197</v>
      </c>
      <c r="AB82" s="32" t="s">
        <v>5198</v>
      </c>
      <c r="AC82" s="32" t="s">
        <v>4591</v>
      </c>
      <c r="AD82" s="32" t="s">
        <v>4591</v>
      </c>
      <c r="AE82" s="32" t="s">
        <v>4592</v>
      </c>
      <c r="AF82" s="32" t="s">
        <v>1324</v>
      </c>
      <c r="AG82" s="32">
        <v>53.0</v>
      </c>
      <c r="AH82" s="32">
        <v>492.0</v>
      </c>
      <c r="AI82" s="32">
        <v>592.0</v>
      </c>
      <c r="AJ82" s="32">
        <v>8.0</v>
      </c>
      <c r="AK82" s="32">
        <v>413.0</v>
      </c>
      <c r="AL82" s="32" t="s">
        <v>4593</v>
      </c>
      <c r="AM82" s="32" t="s">
        <v>4594</v>
      </c>
      <c r="AN82" s="32" t="s">
        <v>4595</v>
      </c>
      <c r="AO82" s="32" t="s">
        <v>2751</v>
      </c>
      <c r="AP82" s="32" t="s">
        <v>1324</v>
      </c>
      <c r="AQ82" s="32" t="s">
        <v>1324</v>
      </c>
      <c r="AR82" s="32" t="s">
        <v>2753</v>
      </c>
      <c r="AS82" s="32" t="s">
        <v>2754</v>
      </c>
      <c r="AT82" s="32" t="s">
        <v>3208</v>
      </c>
      <c r="AU82" s="32">
        <v>2010.0</v>
      </c>
      <c r="AV82" s="32">
        <v>16.0</v>
      </c>
      <c r="AW82" s="32">
        <v>1.0</v>
      </c>
      <c r="AX82" s="32" t="s">
        <v>1324</v>
      </c>
      <c r="AY82" s="32" t="s">
        <v>1324</v>
      </c>
      <c r="AZ82" s="32" t="s">
        <v>1324</v>
      </c>
      <c r="BA82" s="32" t="s">
        <v>1324</v>
      </c>
      <c r="BB82" s="32">
        <v>95.0</v>
      </c>
      <c r="BC82" s="32">
        <v>108.0</v>
      </c>
      <c r="BD82" s="32" t="s">
        <v>1324</v>
      </c>
      <c r="BE82" s="32" t="s">
        <v>1596</v>
      </c>
      <c r="BF82" s="38" t="str">
        <f>HYPERLINK("http://dx.doi.org/10.1111/j.1472-4642.2009.00633.x","http://dx.doi.org/10.1111/j.1472-4642.2009.00633.x")</f>
        <v>http://dx.doi.org/10.1111/j.1472-4642.2009.00633.x</v>
      </c>
      <c r="BG82" s="32" t="s">
        <v>1324</v>
      </c>
      <c r="BH82" s="32" t="s">
        <v>1324</v>
      </c>
      <c r="BI82" s="32">
        <v>14.0</v>
      </c>
      <c r="BJ82" s="32" t="s">
        <v>1124</v>
      </c>
      <c r="BK82" s="32" t="s">
        <v>2407</v>
      </c>
      <c r="BL82" s="32" t="s">
        <v>2577</v>
      </c>
      <c r="BM82" s="32" t="s">
        <v>4596</v>
      </c>
      <c r="BN82" s="32" t="s">
        <v>1324</v>
      </c>
      <c r="BO82" s="32" t="s">
        <v>2715</v>
      </c>
      <c r="BP82" s="32" t="s">
        <v>1324</v>
      </c>
      <c r="BQ82" s="32" t="s">
        <v>1324</v>
      </c>
      <c r="BR82" s="32" t="s">
        <v>5042</v>
      </c>
      <c r="BS82" s="32" t="s">
        <v>4597</v>
      </c>
      <c r="BT82" s="32" t="s">
        <v>1443</v>
      </c>
      <c r="BU82" s="32" t="s">
        <v>1444</v>
      </c>
      <c r="BV82" s="32" t="s">
        <v>5048</v>
      </c>
      <c r="BW82" s="32" t="s">
        <v>1446</v>
      </c>
      <c r="BX82" s="32" t="s">
        <v>5106</v>
      </c>
      <c r="BY82" s="32" t="s">
        <v>1328</v>
      </c>
      <c r="BZ82" s="32" t="s">
        <v>1328</v>
      </c>
      <c r="CA82" s="32" t="s">
        <v>1328</v>
      </c>
      <c r="CB82" s="32" t="s">
        <v>1328</v>
      </c>
      <c r="CC82" s="32" t="s">
        <v>1328</v>
      </c>
      <c r="CD82" s="39" t="s">
        <v>5107</v>
      </c>
      <c r="CE82" s="32" t="s">
        <v>1395</v>
      </c>
      <c r="CF82" s="32" t="str">
        <f>HYPERLINK("https%3A%2F%2Fwww.webofscience.com%2Fwos%2Fwoscc%2Ffull-record%2FWOS:000273723100010","View Full Record in Web of Science")</f>
        <v>View Full Record in Web of Science</v>
      </c>
    </row>
    <row r="83" ht="12.75" customHeight="1">
      <c r="A83" s="32" t="s">
        <v>26</v>
      </c>
      <c r="B83" s="32" t="s">
        <v>2600</v>
      </c>
      <c r="C83" s="32" t="s">
        <v>1324</v>
      </c>
      <c r="D83" s="32" t="s">
        <v>1324</v>
      </c>
      <c r="E83" s="32" t="s">
        <v>1324</v>
      </c>
      <c r="F83" s="32" t="s">
        <v>2601</v>
      </c>
      <c r="G83" s="32" t="s">
        <v>1324</v>
      </c>
      <c r="H83" s="32" t="s">
        <v>1324</v>
      </c>
      <c r="I83" s="32" t="s">
        <v>2602</v>
      </c>
      <c r="J83" s="32" t="s">
        <v>703</v>
      </c>
      <c r="K83" s="32" t="s">
        <v>1324</v>
      </c>
      <c r="L83" s="32" t="s">
        <v>1324</v>
      </c>
      <c r="M83" s="32" t="s">
        <v>2364</v>
      </c>
      <c r="N83" s="32" t="s">
        <v>38</v>
      </c>
      <c r="O83" s="32" t="s">
        <v>1324</v>
      </c>
      <c r="P83" s="32" t="s">
        <v>1324</v>
      </c>
      <c r="Q83" s="32" t="s">
        <v>1324</v>
      </c>
      <c r="R83" s="32" t="s">
        <v>1324</v>
      </c>
      <c r="S83" s="32" t="s">
        <v>1324</v>
      </c>
      <c r="T83" s="32" t="s">
        <v>2603</v>
      </c>
      <c r="U83" s="32" t="s">
        <v>2604</v>
      </c>
      <c r="V83" s="32" t="s">
        <v>2605</v>
      </c>
      <c r="W83" s="32" t="s">
        <v>2606</v>
      </c>
      <c r="X83" s="32" t="s">
        <v>2607</v>
      </c>
      <c r="Y83" s="32" t="s">
        <v>2608</v>
      </c>
      <c r="Z83" s="32" t="s">
        <v>2609</v>
      </c>
      <c r="AA83" s="32" t="s">
        <v>1324</v>
      </c>
      <c r="AB83" s="32" t="s">
        <v>5199</v>
      </c>
      <c r="AC83" s="32" t="s">
        <v>2611</v>
      </c>
      <c r="AD83" s="32" t="s">
        <v>2612</v>
      </c>
      <c r="AE83" s="32" t="s">
        <v>2613</v>
      </c>
      <c r="AF83" s="32" t="s">
        <v>1324</v>
      </c>
      <c r="AG83" s="32">
        <v>79.0</v>
      </c>
      <c r="AH83" s="32">
        <v>63.0</v>
      </c>
      <c r="AI83" s="32">
        <v>71.0</v>
      </c>
      <c r="AJ83" s="32">
        <v>4.0</v>
      </c>
      <c r="AK83" s="32">
        <v>131.0</v>
      </c>
      <c r="AL83" s="32" t="s">
        <v>2486</v>
      </c>
      <c r="AM83" s="32" t="s">
        <v>2487</v>
      </c>
      <c r="AN83" s="32" t="s">
        <v>2488</v>
      </c>
      <c r="AO83" s="32" t="s">
        <v>2614</v>
      </c>
      <c r="AP83" s="32" t="s">
        <v>2615</v>
      </c>
      <c r="AQ83" s="32" t="s">
        <v>1324</v>
      </c>
      <c r="AR83" s="32" t="s">
        <v>2616</v>
      </c>
      <c r="AS83" s="32" t="s">
        <v>2617</v>
      </c>
      <c r="AT83" s="32" t="s">
        <v>2557</v>
      </c>
      <c r="AU83" s="32">
        <v>2018.0</v>
      </c>
      <c r="AV83" s="32">
        <v>90.0</v>
      </c>
      <c r="AW83" s="32" t="s">
        <v>1324</v>
      </c>
      <c r="AX83" s="32" t="s">
        <v>1324</v>
      </c>
      <c r="AY83" s="32" t="s">
        <v>1324</v>
      </c>
      <c r="AZ83" s="32" t="s">
        <v>1324</v>
      </c>
      <c r="BA83" s="32" t="s">
        <v>1324</v>
      </c>
      <c r="BB83" s="32">
        <v>261.0</v>
      </c>
      <c r="BC83" s="32">
        <v>279.0</v>
      </c>
      <c r="BD83" s="32" t="s">
        <v>1324</v>
      </c>
      <c r="BE83" s="32" t="s">
        <v>2074</v>
      </c>
      <c r="BF83" s="38" t="str">
        <f>HYPERLINK("http://dx.doi.org/10.1016/j.ecolind.2018.03.004","http://dx.doi.org/10.1016/j.ecolind.2018.03.004")</f>
        <v>http://dx.doi.org/10.1016/j.ecolind.2018.03.004</v>
      </c>
      <c r="BG83" s="32" t="s">
        <v>1324</v>
      </c>
      <c r="BH83" s="32" t="s">
        <v>1324</v>
      </c>
      <c r="BI83" s="32">
        <v>19.0</v>
      </c>
      <c r="BJ83" s="32" t="s">
        <v>707</v>
      </c>
      <c r="BK83" s="32" t="s">
        <v>2407</v>
      </c>
      <c r="BL83" s="32" t="s">
        <v>2577</v>
      </c>
      <c r="BM83" s="32" t="s">
        <v>2618</v>
      </c>
      <c r="BN83" s="32" t="s">
        <v>1324</v>
      </c>
      <c r="BO83" s="32" t="s">
        <v>1324</v>
      </c>
      <c r="BP83" s="32" t="s">
        <v>1324</v>
      </c>
      <c r="BQ83" s="32" t="s">
        <v>1324</v>
      </c>
      <c r="BR83" s="32" t="s">
        <v>5042</v>
      </c>
      <c r="BS83" s="32" t="s">
        <v>2619</v>
      </c>
      <c r="BT83" s="32" t="s">
        <v>1329</v>
      </c>
      <c r="BU83" s="32" t="s">
        <v>1333</v>
      </c>
      <c r="BV83" s="32" t="s">
        <v>5054</v>
      </c>
      <c r="BW83" s="32" t="s">
        <v>1530</v>
      </c>
      <c r="BX83" s="32" t="s">
        <v>5078</v>
      </c>
      <c r="BY83" s="32" t="s">
        <v>1336</v>
      </c>
      <c r="BZ83" s="32" t="s">
        <v>1336</v>
      </c>
      <c r="CA83" s="32" t="s">
        <v>1336</v>
      </c>
      <c r="CB83" s="32" t="s">
        <v>1328</v>
      </c>
      <c r="CC83" s="32" t="s">
        <v>1336</v>
      </c>
      <c r="CD83" s="39" t="s">
        <v>5200</v>
      </c>
      <c r="CE83" s="32" t="s">
        <v>1350</v>
      </c>
      <c r="CF83" s="32" t="str">
        <f>HYPERLINK("https%3A%2F%2Fwww.webofscience.com%2Fwos%2Fwoscc%2Ffull-record%2FWOS:000440266100029","View Full Record in Web of Science")</f>
        <v>View Full Record in Web of Science</v>
      </c>
    </row>
    <row r="84" ht="12.75" customHeight="1">
      <c r="A84" s="32" t="s">
        <v>26</v>
      </c>
      <c r="B84" s="32" t="s">
        <v>4023</v>
      </c>
      <c r="C84" s="32" t="s">
        <v>1324</v>
      </c>
      <c r="D84" s="32" t="s">
        <v>1324</v>
      </c>
      <c r="E84" s="32" t="s">
        <v>1324</v>
      </c>
      <c r="F84" s="32" t="s">
        <v>2254</v>
      </c>
      <c r="G84" s="32" t="s">
        <v>1324</v>
      </c>
      <c r="H84" s="32" t="s">
        <v>1324</v>
      </c>
      <c r="I84" s="32" t="s">
        <v>2255</v>
      </c>
      <c r="J84" s="32" t="s">
        <v>2244</v>
      </c>
      <c r="K84" s="32" t="s">
        <v>1324</v>
      </c>
      <c r="L84" s="32" t="s">
        <v>1324</v>
      </c>
      <c r="M84" s="32" t="s">
        <v>2364</v>
      </c>
      <c r="N84" s="32" t="s">
        <v>38</v>
      </c>
      <c r="O84" s="32" t="s">
        <v>1324</v>
      </c>
      <c r="P84" s="32" t="s">
        <v>1324</v>
      </c>
      <c r="Q84" s="32" t="s">
        <v>1324</v>
      </c>
      <c r="R84" s="32" t="s">
        <v>1324</v>
      </c>
      <c r="S84" s="32" t="s">
        <v>1324</v>
      </c>
      <c r="T84" s="32" t="s">
        <v>4024</v>
      </c>
      <c r="U84" s="32" t="s">
        <v>4025</v>
      </c>
      <c r="V84" s="32" t="s">
        <v>2256</v>
      </c>
      <c r="W84" s="32" t="s">
        <v>4026</v>
      </c>
      <c r="X84" s="32" t="s">
        <v>4027</v>
      </c>
      <c r="Y84" s="32" t="s">
        <v>4028</v>
      </c>
      <c r="Z84" s="32" t="s">
        <v>4029</v>
      </c>
      <c r="AA84" s="32" t="s">
        <v>5201</v>
      </c>
      <c r="AB84" s="32" t="s">
        <v>5202</v>
      </c>
      <c r="AC84" s="32" t="s">
        <v>4032</v>
      </c>
      <c r="AD84" s="32" t="s">
        <v>4032</v>
      </c>
      <c r="AE84" s="32" t="s">
        <v>4033</v>
      </c>
      <c r="AF84" s="32" t="s">
        <v>1324</v>
      </c>
      <c r="AG84" s="32">
        <v>56.0</v>
      </c>
      <c r="AH84" s="32">
        <v>65.0</v>
      </c>
      <c r="AI84" s="32">
        <v>77.0</v>
      </c>
      <c r="AJ84" s="32">
        <v>2.0</v>
      </c>
      <c r="AK84" s="32">
        <v>105.0</v>
      </c>
      <c r="AL84" s="32" t="s">
        <v>2464</v>
      </c>
      <c r="AM84" s="32" t="s">
        <v>2465</v>
      </c>
      <c r="AN84" s="32" t="s">
        <v>2466</v>
      </c>
      <c r="AO84" s="32" t="s">
        <v>2814</v>
      </c>
      <c r="AP84" s="32" t="s">
        <v>2815</v>
      </c>
      <c r="AQ84" s="32" t="s">
        <v>1324</v>
      </c>
      <c r="AR84" s="32" t="s">
        <v>2816</v>
      </c>
      <c r="AS84" s="32" t="s">
        <v>2817</v>
      </c>
      <c r="AT84" s="32" t="s">
        <v>2632</v>
      </c>
      <c r="AU84" s="32">
        <v>2013.0</v>
      </c>
      <c r="AV84" s="32">
        <v>23.0</v>
      </c>
      <c r="AW84" s="32">
        <v>3.0</v>
      </c>
      <c r="AX84" s="32" t="s">
        <v>1324</v>
      </c>
      <c r="AY84" s="32" t="s">
        <v>1324</v>
      </c>
      <c r="AZ84" s="32" t="s">
        <v>1324</v>
      </c>
      <c r="BA84" s="32" t="s">
        <v>1324</v>
      </c>
      <c r="BB84" s="32">
        <v>405.0</v>
      </c>
      <c r="BC84" s="32">
        <v>417.0</v>
      </c>
      <c r="BD84" s="32" t="s">
        <v>1324</v>
      </c>
      <c r="BE84" s="32" t="s">
        <v>2257</v>
      </c>
      <c r="BF84" s="38" t="str">
        <f>HYPERLINK("http://dx.doi.org/10.1002/aqc.2345","http://dx.doi.org/10.1002/aqc.2345")</f>
        <v>http://dx.doi.org/10.1002/aqc.2345</v>
      </c>
      <c r="BG84" s="32" t="s">
        <v>1324</v>
      </c>
      <c r="BH84" s="32" t="s">
        <v>1324</v>
      </c>
      <c r="BI84" s="32">
        <v>13.0</v>
      </c>
      <c r="BJ84" s="32" t="s">
        <v>2819</v>
      </c>
      <c r="BK84" s="32" t="s">
        <v>2407</v>
      </c>
      <c r="BL84" s="32" t="s">
        <v>2820</v>
      </c>
      <c r="BM84" s="32" t="s">
        <v>4034</v>
      </c>
      <c r="BN84" s="32" t="s">
        <v>1324</v>
      </c>
      <c r="BO84" s="32" t="s">
        <v>1324</v>
      </c>
      <c r="BP84" s="32" t="s">
        <v>1324</v>
      </c>
      <c r="BQ84" s="32" t="s">
        <v>1324</v>
      </c>
      <c r="BR84" s="32" t="s">
        <v>5042</v>
      </c>
      <c r="BS84" s="32" t="s">
        <v>4035</v>
      </c>
      <c r="BT84" s="32" t="s">
        <v>1329</v>
      </c>
      <c r="BU84" s="32" t="s">
        <v>1333</v>
      </c>
      <c r="BV84" s="32" t="s">
        <v>5066</v>
      </c>
      <c r="BW84" s="32" t="s">
        <v>1530</v>
      </c>
      <c r="BX84" s="32" t="s">
        <v>5078</v>
      </c>
      <c r="BY84" s="32" t="s">
        <v>1336</v>
      </c>
      <c r="BZ84" s="32" t="s">
        <v>1336</v>
      </c>
      <c r="CA84" s="32" t="s">
        <v>1336</v>
      </c>
      <c r="CB84" s="32" t="s">
        <v>1328</v>
      </c>
      <c r="CC84" s="32" t="s">
        <v>1328</v>
      </c>
      <c r="CD84" s="39" t="s">
        <v>5203</v>
      </c>
      <c r="CE84" s="32" t="s">
        <v>1350</v>
      </c>
      <c r="CF84" s="32" t="str">
        <f>HYPERLINK("https%3A%2F%2Fwww.webofscience.com%2Fwos%2Fwoscc%2Ffull-record%2FWOS:000319873700007","View Full Record in Web of Science")</f>
        <v>View Full Record in Web of Science</v>
      </c>
    </row>
    <row r="85" ht="12.75" customHeight="1">
      <c r="A85" s="32" t="s">
        <v>26</v>
      </c>
      <c r="B85" s="32" t="s">
        <v>3493</v>
      </c>
      <c r="C85" s="32" t="s">
        <v>1324</v>
      </c>
      <c r="D85" s="32" t="s">
        <v>1324</v>
      </c>
      <c r="E85" s="32" t="s">
        <v>1324</v>
      </c>
      <c r="F85" s="32" t="s">
        <v>1650</v>
      </c>
      <c r="G85" s="32" t="s">
        <v>1324</v>
      </c>
      <c r="H85" s="32" t="s">
        <v>1324</v>
      </c>
      <c r="I85" s="32" t="s">
        <v>1651</v>
      </c>
      <c r="J85" s="32" t="s">
        <v>774</v>
      </c>
      <c r="K85" s="32" t="s">
        <v>1324</v>
      </c>
      <c r="L85" s="32" t="s">
        <v>1324</v>
      </c>
      <c r="M85" s="32" t="s">
        <v>2364</v>
      </c>
      <c r="N85" s="32" t="s">
        <v>38</v>
      </c>
      <c r="O85" s="32" t="s">
        <v>1324</v>
      </c>
      <c r="P85" s="32" t="s">
        <v>1324</v>
      </c>
      <c r="Q85" s="32" t="s">
        <v>1324</v>
      </c>
      <c r="R85" s="32" t="s">
        <v>1324</v>
      </c>
      <c r="S85" s="32" t="s">
        <v>1324</v>
      </c>
      <c r="T85" s="32" t="s">
        <v>3494</v>
      </c>
      <c r="U85" s="32" t="s">
        <v>3495</v>
      </c>
      <c r="V85" s="32" t="s">
        <v>1652</v>
      </c>
      <c r="W85" s="32" t="s">
        <v>3496</v>
      </c>
      <c r="X85" s="32" t="s">
        <v>3497</v>
      </c>
      <c r="Y85" s="32" t="s">
        <v>3498</v>
      </c>
      <c r="Z85" s="32" t="s">
        <v>3499</v>
      </c>
      <c r="AA85" s="32" t="s">
        <v>3500</v>
      </c>
      <c r="AB85" s="32" t="s">
        <v>3501</v>
      </c>
      <c r="AC85" s="32" t="s">
        <v>1324</v>
      </c>
      <c r="AD85" s="32" t="s">
        <v>1324</v>
      </c>
      <c r="AE85" s="32" t="s">
        <v>1324</v>
      </c>
      <c r="AF85" s="32" t="s">
        <v>1324</v>
      </c>
      <c r="AG85" s="32">
        <v>57.0</v>
      </c>
      <c r="AH85" s="32">
        <v>158.0</v>
      </c>
      <c r="AI85" s="32">
        <v>172.0</v>
      </c>
      <c r="AJ85" s="32">
        <v>2.0</v>
      </c>
      <c r="AK85" s="32">
        <v>225.0</v>
      </c>
      <c r="AL85" s="32" t="s">
        <v>2464</v>
      </c>
      <c r="AM85" s="32" t="s">
        <v>2465</v>
      </c>
      <c r="AN85" s="32" t="s">
        <v>2466</v>
      </c>
      <c r="AO85" s="32" t="s">
        <v>2923</v>
      </c>
      <c r="AP85" s="32" t="s">
        <v>2924</v>
      </c>
      <c r="AQ85" s="32" t="s">
        <v>1324</v>
      </c>
      <c r="AR85" s="32" t="s">
        <v>2925</v>
      </c>
      <c r="AS85" s="32" t="s">
        <v>2926</v>
      </c>
      <c r="AT85" s="32" t="s">
        <v>3208</v>
      </c>
      <c r="AU85" s="32">
        <v>2016.0</v>
      </c>
      <c r="AV85" s="32">
        <v>22.0</v>
      </c>
      <c r="AW85" s="32">
        <v>1.0</v>
      </c>
      <c r="AX85" s="32" t="s">
        <v>1324</v>
      </c>
      <c r="AY85" s="32" t="s">
        <v>1324</v>
      </c>
      <c r="AZ85" s="32" t="s">
        <v>1324</v>
      </c>
      <c r="BA85" s="32" t="s">
        <v>1324</v>
      </c>
      <c r="BB85" s="32">
        <v>228.0</v>
      </c>
      <c r="BC85" s="32">
        <v>236.0</v>
      </c>
      <c r="BD85" s="32" t="s">
        <v>1324</v>
      </c>
      <c r="BE85" s="32" t="s">
        <v>1653</v>
      </c>
      <c r="BF85" s="38" t="str">
        <f>HYPERLINK("http://dx.doi.org/10.1111/gcb.13091","http://dx.doi.org/10.1111/gcb.13091")</f>
        <v>http://dx.doi.org/10.1111/gcb.13091</v>
      </c>
      <c r="BG85" s="32" t="s">
        <v>1324</v>
      </c>
      <c r="BH85" s="32" t="s">
        <v>1324</v>
      </c>
      <c r="BI85" s="32">
        <v>9.0</v>
      </c>
      <c r="BJ85" s="32" t="s">
        <v>255</v>
      </c>
      <c r="BK85" s="32" t="s">
        <v>2407</v>
      </c>
      <c r="BL85" s="32" t="s">
        <v>2577</v>
      </c>
      <c r="BM85" s="32" t="s">
        <v>3502</v>
      </c>
      <c r="BN85" s="32">
        <v>2.6367396E7</v>
      </c>
      <c r="BO85" s="32" t="s">
        <v>1324</v>
      </c>
      <c r="BP85" s="32" t="s">
        <v>1324</v>
      </c>
      <c r="BQ85" s="32" t="s">
        <v>1324</v>
      </c>
      <c r="BR85" s="32" t="s">
        <v>5042</v>
      </c>
      <c r="BS85" s="32" t="s">
        <v>3503</v>
      </c>
      <c r="BT85" s="32" t="s">
        <v>1329</v>
      </c>
      <c r="BU85" s="32" t="s">
        <v>1333</v>
      </c>
      <c r="BV85" s="32" t="s">
        <v>5066</v>
      </c>
      <c r="BW85" s="32" t="s">
        <v>1362</v>
      </c>
      <c r="BX85" s="32" t="s">
        <v>5044</v>
      </c>
      <c r="BY85" s="32" t="s">
        <v>1336</v>
      </c>
      <c r="BZ85" s="32" t="s">
        <v>1328</v>
      </c>
      <c r="CA85" s="32" t="s">
        <v>1336</v>
      </c>
      <c r="CB85" s="32" t="s">
        <v>1328</v>
      </c>
      <c r="CC85" s="32" t="s">
        <v>1336</v>
      </c>
      <c r="CD85" s="39" t="s">
        <v>5196</v>
      </c>
      <c r="CE85" s="32" t="s">
        <v>1404</v>
      </c>
      <c r="CF85" s="32" t="str">
        <f>HYPERLINK("https%3A%2F%2Fwww.webofscience.com%2Fwos%2Fwoscc%2Ffull-record%2FWOS:000367982900018","View Full Record in Web of Science")</f>
        <v>View Full Record in Web of Science</v>
      </c>
    </row>
    <row r="86" ht="12.75" customHeight="1">
      <c r="A86" s="32" t="s">
        <v>26</v>
      </c>
      <c r="B86" s="32" t="s">
        <v>3419</v>
      </c>
      <c r="C86" s="32" t="s">
        <v>1324</v>
      </c>
      <c r="D86" s="32" t="s">
        <v>1324</v>
      </c>
      <c r="E86" s="32" t="s">
        <v>1324</v>
      </c>
      <c r="F86" s="32" t="s">
        <v>1704</v>
      </c>
      <c r="G86" s="32" t="s">
        <v>1324</v>
      </c>
      <c r="H86" s="32" t="s">
        <v>1324</v>
      </c>
      <c r="I86" s="32" t="s">
        <v>1705</v>
      </c>
      <c r="J86" s="32" t="s">
        <v>1587</v>
      </c>
      <c r="K86" s="32" t="s">
        <v>1324</v>
      </c>
      <c r="L86" s="32" t="s">
        <v>1324</v>
      </c>
      <c r="M86" s="32" t="s">
        <v>2364</v>
      </c>
      <c r="N86" s="32" t="s">
        <v>38</v>
      </c>
      <c r="O86" s="32" t="s">
        <v>1324</v>
      </c>
      <c r="P86" s="32" t="s">
        <v>1324</v>
      </c>
      <c r="Q86" s="32" t="s">
        <v>1324</v>
      </c>
      <c r="R86" s="32" t="s">
        <v>1324</v>
      </c>
      <c r="S86" s="32" t="s">
        <v>1324</v>
      </c>
      <c r="T86" s="32" t="s">
        <v>3420</v>
      </c>
      <c r="U86" s="32" t="s">
        <v>3421</v>
      </c>
      <c r="V86" s="32" t="s">
        <v>1706</v>
      </c>
      <c r="W86" s="32" t="s">
        <v>3422</v>
      </c>
      <c r="X86" s="32" t="s">
        <v>3423</v>
      </c>
      <c r="Y86" s="32" t="s">
        <v>3424</v>
      </c>
      <c r="Z86" s="32" t="s">
        <v>3425</v>
      </c>
      <c r="AA86" s="32" t="s">
        <v>5204</v>
      </c>
      <c r="AB86" s="32" t="s">
        <v>5205</v>
      </c>
      <c r="AC86" s="32" t="s">
        <v>3428</v>
      </c>
      <c r="AD86" s="32" t="s">
        <v>3429</v>
      </c>
      <c r="AE86" s="32" t="s">
        <v>3430</v>
      </c>
      <c r="AF86" s="32" t="s">
        <v>1324</v>
      </c>
      <c r="AG86" s="32">
        <v>55.0</v>
      </c>
      <c r="AH86" s="32">
        <v>80.0</v>
      </c>
      <c r="AI86" s="32">
        <v>90.0</v>
      </c>
      <c r="AJ86" s="32">
        <v>1.0</v>
      </c>
      <c r="AK86" s="32">
        <v>113.0</v>
      </c>
      <c r="AL86" s="32" t="s">
        <v>2464</v>
      </c>
      <c r="AM86" s="32" t="s">
        <v>2465</v>
      </c>
      <c r="AN86" s="32" t="s">
        <v>2466</v>
      </c>
      <c r="AO86" s="32" t="s">
        <v>3431</v>
      </c>
      <c r="AP86" s="32" t="s">
        <v>3432</v>
      </c>
      <c r="AQ86" s="32" t="s">
        <v>1324</v>
      </c>
      <c r="AR86" s="32" t="s">
        <v>3433</v>
      </c>
      <c r="AS86" s="32" t="s">
        <v>3434</v>
      </c>
      <c r="AT86" s="32" t="s">
        <v>2818</v>
      </c>
      <c r="AU86" s="32">
        <v>2016.0</v>
      </c>
      <c r="AV86" s="32">
        <v>30.0</v>
      </c>
      <c r="AW86" s="32">
        <v>1.0</v>
      </c>
      <c r="AX86" s="32" t="s">
        <v>1324</v>
      </c>
      <c r="AY86" s="32" t="s">
        <v>1324</v>
      </c>
      <c r="AZ86" s="32" t="s">
        <v>1324</v>
      </c>
      <c r="BA86" s="32" t="s">
        <v>1324</v>
      </c>
      <c r="BB86" s="32">
        <v>142.0</v>
      </c>
      <c r="BC86" s="32">
        <v>153.0</v>
      </c>
      <c r="BD86" s="32" t="s">
        <v>1324</v>
      </c>
      <c r="BE86" s="32" t="s">
        <v>1707</v>
      </c>
      <c r="BF86" s="38" t="str">
        <f>HYPERLINK("http://dx.doi.org/10.1111/cobi.12576","http://dx.doi.org/10.1111/cobi.12576")</f>
        <v>http://dx.doi.org/10.1111/cobi.12576</v>
      </c>
      <c r="BG86" s="32" t="s">
        <v>1324</v>
      </c>
      <c r="BH86" s="32" t="s">
        <v>1324</v>
      </c>
      <c r="BI86" s="32">
        <v>12.0</v>
      </c>
      <c r="BJ86" s="32" t="s">
        <v>255</v>
      </c>
      <c r="BK86" s="32" t="s">
        <v>2407</v>
      </c>
      <c r="BL86" s="32" t="s">
        <v>2577</v>
      </c>
      <c r="BM86" s="32" t="s">
        <v>3435</v>
      </c>
      <c r="BN86" s="32">
        <v>2.613281E7</v>
      </c>
      <c r="BO86" s="32" t="s">
        <v>2715</v>
      </c>
      <c r="BP86" s="32" t="s">
        <v>1324</v>
      </c>
      <c r="BQ86" s="32" t="s">
        <v>1324</v>
      </c>
      <c r="BR86" s="32" t="s">
        <v>5042</v>
      </c>
      <c r="BS86" s="32" t="s">
        <v>3436</v>
      </c>
      <c r="BT86" s="32" t="s">
        <v>1329</v>
      </c>
      <c r="BU86" s="32" t="s">
        <v>1333</v>
      </c>
      <c r="BV86" s="32" t="s">
        <v>5054</v>
      </c>
      <c r="BW86" s="32" t="s">
        <v>1349</v>
      </c>
      <c r="BX86" s="32" t="s">
        <v>5062</v>
      </c>
      <c r="BY86" s="32" t="s">
        <v>1336</v>
      </c>
      <c r="BZ86" s="32" t="s">
        <v>1336</v>
      </c>
      <c r="CA86" s="32" t="s">
        <v>1328</v>
      </c>
      <c r="CB86" s="32" t="s">
        <v>1336</v>
      </c>
      <c r="CC86" s="32" t="s">
        <v>1328</v>
      </c>
      <c r="CD86" s="39" t="s">
        <v>5185</v>
      </c>
      <c r="CE86" s="32" t="s">
        <v>1350</v>
      </c>
      <c r="CF86" s="32" t="str">
        <f>HYPERLINK("https%3A%2F%2Fwww.webofscience.com%2Fwos%2Fwoscc%2Ffull-record%2FWOS:000368938000016","View Full Record in Web of Science")</f>
        <v>View Full Record in Web of Science</v>
      </c>
    </row>
    <row r="87" ht="12.75" customHeight="1">
      <c r="A87" s="32" t="s">
        <v>26</v>
      </c>
      <c r="B87" s="32" t="s">
        <v>1889</v>
      </c>
      <c r="C87" s="32" t="s">
        <v>1324</v>
      </c>
      <c r="D87" s="32" t="s">
        <v>1324</v>
      </c>
      <c r="E87" s="32" t="s">
        <v>1324</v>
      </c>
      <c r="F87" s="32" t="s">
        <v>1889</v>
      </c>
      <c r="G87" s="32" t="s">
        <v>1324</v>
      </c>
      <c r="H87" s="32" t="s">
        <v>1324</v>
      </c>
      <c r="I87" s="32" t="s">
        <v>1890</v>
      </c>
      <c r="J87" s="32" t="s">
        <v>251</v>
      </c>
      <c r="K87" s="32" t="s">
        <v>1324</v>
      </c>
      <c r="L87" s="32" t="s">
        <v>1324</v>
      </c>
      <c r="M87" s="32" t="s">
        <v>2364</v>
      </c>
      <c r="N87" s="32" t="s">
        <v>38</v>
      </c>
      <c r="O87" s="32" t="s">
        <v>1324</v>
      </c>
      <c r="P87" s="32" t="s">
        <v>1324</v>
      </c>
      <c r="Q87" s="32" t="s">
        <v>1324</v>
      </c>
      <c r="R87" s="32" t="s">
        <v>1324</v>
      </c>
      <c r="S87" s="32" t="s">
        <v>1324</v>
      </c>
      <c r="T87" s="32" t="s">
        <v>4934</v>
      </c>
      <c r="U87" s="32" t="s">
        <v>4935</v>
      </c>
      <c r="V87" s="32" t="s">
        <v>1891</v>
      </c>
      <c r="W87" s="32" t="s">
        <v>4936</v>
      </c>
      <c r="X87" s="32" t="s">
        <v>4937</v>
      </c>
      <c r="Y87" s="32" t="s">
        <v>4938</v>
      </c>
      <c r="Z87" s="32" t="s">
        <v>4939</v>
      </c>
      <c r="AA87" s="32" t="s">
        <v>5206</v>
      </c>
      <c r="AB87" s="32" t="s">
        <v>4941</v>
      </c>
      <c r="AC87" s="32" t="s">
        <v>1324</v>
      </c>
      <c r="AD87" s="32" t="s">
        <v>1324</v>
      </c>
      <c r="AE87" s="32" t="s">
        <v>1324</v>
      </c>
      <c r="AF87" s="32" t="s">
        <v>1324</v>
      </c>
      <c r="AG87" s="32">
        <v>35.0</v>
      </c>
      <c r="AH87" s="32">
        <v>205.0</v>
      </c>
      <c r="AI87" s="32">
        <v>254.0</v>
      </c>
      <c r="AJ87" s="32">
        <v>1.0</v>
      </c>
      <c r="AK87" s="32">
        <v>63.0</v>
      </c>
      <c r="AL87" s="32" t="s">
        <v>2530</v>
      </c>
      <c r="AM87" s="32" t="s">
        <v>2531</v>
      </c>
      <c r="AN87" s="32" t="s">
        <v>2532</v>
      </c>
      <c r="AO87" s="32" t="s">
        <v>2939</v>
      </c>
      <c r="AP87" s="32" t="s">
        <v>2940</v>
      </c>
      <c r="AQ87" s="32" t="s">
        <v>1324</v>
      </c>
      <c r="AR87" s="32" t="s">
        <v>2941</v>
      </c>
      <c r="AS87" s="32" t="s">
        <v>2942</v>
      </c>
      <c r="AT87" s="32" t="s">
        <v>2908</v>
      </c>
      <c r="AU87" s="32">
        <v>2003.0</v>
      </c>
      <c r="AV87" s="32">
        <v>114.0</v>
      </c>
      <c r="AW87" s="32">
        <v>3.0</v>
      </c>
      <c r="AX87" s="32" t="s">
        <v>1324</v>
      </c>
      <c r="AY87" s="32" t="s">
        <v>1324</v>
      </c>
      <c r="AZ87" s="32" t="s">
        <v>1324</v>
      </c>
      <c r="BA87" s="32" t="s">
        <v>1324</v>
      </c>
      <c r="BB87" s="32">
        <v>317.0</v>
      </c>
      <c r="BC87" s="32">
        <v>326.0</v>
      </c>
      <c r="BD87" s="32" t="s">
        <v>1324</v>
      </c>
      <c r="BE87" s="32" t="s">
        <v>1892</v>
      </c>
      <c r="BF87" s="38" t="str">
        <f>HYPERLINK("http://dx.doi.org/10.1016/S0006-3207(03)00051-X","http://dx.doi.org/10.1016/S0006-3207(03)00051-X")</f>
        <v>http://dx.doi.org/10.1016/S0006-3207(03)00051-X</v>
      </c>
      <c r="BG87" s="32" t="s">
        <v>1324</v>
      </c>
      <c r="BH87" s="32" t="s">
        <v>1324</v>
      </c>
      <c r="BI87" s="32">
        <v>10.0</v>
      </c>
      <c r="BJ87" s="32" t="s">
        <v>255</v>
      </c>
      <c r="BK87" s="32" t="s">
        <v>2407</v>
      </c>
      <c r="BL87" s="32" t="s">
        <v>2577</v>
      </c>
      <c r="BM87" s="32" t="s">
        <v>4942</v>
      </c>
      <c r="BN87" s="32" t="s">
        <v>1324</v>
      </c>
      <c r="BO87" s="32" t="s">
        <v>1324</v>
      </c>
      <c r="BP87" s="32" t="s">
        <v>1324</v>
      </c>
      <c r="BQ87" s="32" t="s">
        <v>1324</v>
      </c>
      <c r="BR87" s="32" t="s">
        <v>5042</v>
      </c>
      <c r="BS87" s="32" t="s">
        <v>4943</v>
      </c>
      <c r="BT87" s="32" t="s">
        <v>1329</v>
      </c>
      <c r="BU87" s="32" t="s">
        <v>1333</v>
      </c>
      <c r="BV87" s="32" t="s">
        <v>5066</v>
      </c>
      <c r="BW87" s="32" t="s">
        <v>1464</v>
      </c>
      <c r="BX87" s="32" t="s">
        <v>5049</v>
      </c>
      <c r="BY87" s="32" t="s">
        <v>1336</v>
      </c>
      <c r="BZ87" s="32" t="s">
        <v>1328</v>
      </c>
      <c r="CA87" s="32" t="s">
        <v>1336</v>
      </c>
      <c r="CB87" s="32" t="s">
        <v>1328</v>
      </c>
      <c r="CC87" s="32" t="s">
        <v>1336</v>
      </c>
      <c r="CD87" s="39" t="s">
        <v>5196</v>
      </c>
      <c r="CE87" s="32" t="s">
        <v>1350</v>
      </c>
      <c r="CF87" s="32" t="str">
        <f>HYPERLINK("https%3A%2F%2Fwww.webofscience.com%2Fwos%2Fwoscc%2Ffull-record%2FWOS:000185371200002","View Full Record in Web of Science")</f>
        <v>View Full Record in Web of Science</v>
      </c>
    </row>
    <row r="88" ht="12.75" customHeight="1">
      <c r="A88" s="32" t="s">
        <v>26</v>
      </c>
      <c r="B88" s="32" t="s">
        <v>1785</v>
      </c>
      <c r="C88" s="32" t="s">
        <v>1324</v>
      </c>
      <c r="D88" s="32" t="s">
        <v>1324</v>
      </c>
      <c r="E88" s="32" t="s">
        <v>1324</v>
      </c>
      <c r="F88" s="32" t="s">
        <v>1785</v>
      </c>
      <c r="G88" s="32" t="s">
        <v>1324</v>
      </c>
      <c r="H88" s="32" t="s">
        <v>1324</v>
      </c>
      <c r="I88" s="32" t="s">
        <v>1786</v>
      </c>
      <c r="J88" s="32" t="s">
        <v>774</v>
      </c>
      <c r="K88" s="32" t="s">
        <v>1324</v>
      </c>
      <c r="L88" s="32" t="s">
        <v>1324</v>
      </c>
      <c r="M88" s="32" t="s">
        <v>2364</v>
      </c>
      <c r="N88" s="32" t="s">
        <v>38</v>
      </c>
      <c r="O88" s="32" t="s">
        <v>1324</v>
      </c>
      <c r="P88" s="32" t="s">
        <v>1324</v>
      </c>
      <c r="Q88" s="32" t="s">
        <v>1324</v>
      </c>
      <c r="R88" s="32" t="s">
        <v>1324</v>
      </c>
      <c r="S88" s="32" t="s">
        <v>1324</v>
      </c>
      <c r="T88" s="32" t="s">
        <v>4953</v>
      </c>
      <c r="U88" s="32" t="s">
        <v>4954</v>
      </c>
      <c r="V88" s="32" t="s">
        <v>4955</v>
      </c>
      <c r="W88" s="32" t="s">
        <v>4956</v>
      </c>
      <c r="X88" s="32" t="s">
        <v>4957</v>
      </c>
      <c r="Y88" s="32" t="s">
        <v>4958</v>
      </c>
      <c r="Z88" s="32" t="s">
        <v>4959</v>
      </c>
      <c r="AA88" s="32" t="s">
        <v>4960</v>
      </c>
      <c r="AB88" s="32" t="s">
        <v>4961</v>
      </c>
      <c r="AC88" s="32" t="s">
        <v>1324</v>
      </c>
      <c r="AD88" s="32" t="s">
        <v>1324</v>
      </c>
      <c r="AE88" s="32" t="s">
        <v>1324</v>
      </c>
      <c r="AF88" s="32" t="s">
        <v>1324</v>
      </c>
      <c r="AG88" s="32">
        <v>55.0</v>
      </c>
      <c r="AH88" s="32">
        <v>214.0</v>
      </c>
      <c r="AI88" s="32">
        <v>255.0</v>
      </c>
      <c r="AJ88" s="32">
        <v>2.0</v>
      </c>
      <c r="AK88" s="32">
        <v>120.0</v>
      </c>
      <c r="AL88" s="32" t="s">
        <v>2464</v>
      </c>
      <c r="AM88" s="32" t="s">
        <v>2465</v>
      </c>
      <c r="AN88" s="32" t="s">
        <v>2466</v>
      </c>
      <c r="AO88" s="32" t="s">
        <v>2923</v>
      </c>
      <c r="AP88" s="32" t="s">
        <v>2924</v>
      </c>
      <c r="AQ88" s="32" t="s">
        <v>1324</v>
      </c>
      <c r="AR88" s="32" t="s">
        <v>2925</v>
      </c>
      <c r="AS88" s="32" t="s">
        <v>2926</v>
      </c>
      <c r="AT88" s="32" t="s">
        <v>2632</v>
      </c>
      <c r="AU88" s="32">
        <v>2002.0</v>
      </c>
      <c r="AV88" s="32">
        <v>8.0</v>
      </c>
      <c r="AW88" s="32">
        <v>6.0</v>
      </c>
      <c r="AX88" s="32" t="s">
        <v>1324</v>
      </c>
      <c r="AY88" s="32" t="s">
        <v>1324</v>
      </c>
      <c r="AZ88" s="32" t="s">
        <v>1324</v>
      </c>
      <c r="BA88" s="32" t="s">
        <v>1324</v>
      </c>
      <c r="BB88" s="32">
        <v>545.0</v>
      </c>
      <c r="BC88" s="32">
        <v>562.0</v>
      </c>
      <c r="BD88" s="32" t="s">
        <v>1324</v>
      </c>
      <c r="BE88" s="32" t="s">
        <v>1788</v>
      </c>
      <c r="BF88" s="38" t="str">
        <f>HYPERLINK("http://dx.doi.org/10.1046/j.1365-2486.2002.00482.x","http://dx.doi.org/10.1046/j.1365-2486.2002.00482.x")</f>
        <v>http://dx.doi.org/10.1046/j.1365-2486.2002.00482.x</v>
      </c>
      <c r="BG88" s="32" t="s">
        <v>1324</v>
      </c>
      <c r="BH88" s="32" t="s">
        <v>1324</v>
      </c>
      <c r="BI88" s="32">
        <v>18.0</v>
      </c>
      <c r="BJ88" s="32" t="s">
        <v>255</v>
      </c>
      <c r="BK88" s="32" t="s">
        <v>2407</v>
      </c>
      <c r="BL88" s="32" t="s">
        <v>2577</v>
      </c>
      <c r="BM88" s="32" t="s">
        <v>4962</v>
      </c>
      <c r="BN88" s="32" t="s">
        <v>1324</v>
      </c>
      <c r="BO88" s="32" t="s">
        <v>1324</v>
      </c>
      <c r="BP88" s="32" t="s">
        <v>1324</v>
      </c>
      <c r="BQ88" s="32" t="s">
        <v>1324</v>
      </c>
      <c r="BR88" s="32" t="s">
        <v>5042</v>
      </c>
      <c r="BS88" s="32" t="s">
        <v>4963</v>
      </c>
      <c r="BT88" s="32" t="s">
        <v>1329</v>
      </c>
      <c r="BU88" s="32" t="s">
        <v>1360</v>
      </c>
      <c r="BV88" s="32" t="s">
        <v>5051</v>
      </c>
      <c r="BW88" s="32" t="s">
        <v>1362</v>
      </c>
      <c r="BX88" s="32" t="s">
        <v>5044</v>
      </c>
      <c r="BY88" s="32" t="s">
        <v>1336</v>
      </c>
      <c r="BZ88" s="32" t="s">
        <v>1328</v>
      </c>
      <c r="CA88" s="32" t="s">
        <v>1328</v>
      </c>
      <c r="CB88" s="32" t="s">
        <v>1336</v>
      </c>
      <c r="CC88" s="32" t="s">
        <v>1328</v>
      </c>
      <c r="CD88" s="39" t="s">
        <v>5207</v>
      </c>
      <c r="CE88" s="32" t="s">
        <v>1350</v>
      </c>
      <c r="CF88" s="32" t="str">
        <f>HYPERLINK("https%3A%2F%2Fwww.webofscience.com%2Fwos%2Fwoscc%2Ffull-record%2FWOS:000175749000004","View Full Record in Web of Science")</f>
        <v>View Full Record in Web of Science</v>
      </c>
    </row>
    <row r="89" ht="12.75" customHeight="1">
      <c r="A89" s="32" t="s">
        <v>26</v>
      </c>
      <c r="B89" s="32" t="s">
        <v>4635</v>
      </c>
      <c r="C89" s="32" t="s">
        <v>1324</v>
      </c>
      <c r="D89" s="32" t="s">
        <v>1324</v>
      </c>
      <c r="E89" s="32" t="s">
        <v>1324</v>
      </c>
      <c r="F89" s="32" t="s">
        <v>2018</v>
      </c>
      <c r="G89" s="32" t="s">
        <v>1324</v>
      </c>
      <c r="H89" s="32" t="s">
        <v>1324</v>
      </c>
      <c r="I89" s="32" t="s">
        <v>2019</v>
      </c>
      <c r="J89" s="32" t="s">
        <v>2008</v>
      </c>
      <c r="K89" s="32" t="s">
        <v>1324</v>
      </c>
      <c r="L89" s="32" t="s">
        <v>1324</v>
      </c>
      <c r="M89" s="32" t="s">
        <v>2364</v>
      </c>
      <c r="N89" s="32" t="s">
        <v>38</v>
      </c>
      <c r="O89" s="32" t="s">
        <v>1324</v>
      </c>
      <c r="P89" s="32" t="s">
        <v>1324</v>
      </c>
      <c r="Q89" s="32" t="s">
        <v>1324</v>
      </c>
      <c r="R89" s="32" t="s">
        <v>1324</v>
      </c>
      <c r="S89" s="32" t="s">
        <v>1324</v>
      </c>
      <c r="T89" s="32" t="s">
        <v>4636</v>
      </c>
      <c r="U89" s="32" t="s">
        <v>4637</v>
      </c>
      <c r="V89" s="32" t="s">
        <v>2020</v>
      </c>
      <c r="W89" s="32" t="s">
        <v>4638</v>
      </c>
      <c r="X89" s="32" t="s">
        <v>4639</v>
      </c>
      <c r="Y89" s="32" t="s">
        <v>4640</v>
      </c>
      <c r="Z89" s="32" t="s">
        <v>4641</v>
      </c>
      <c r="AA89" s="32" t="s">
        <v>5208</v>
      </c>
      <c r="AB89" s="32" t="s">
        <v>5209</v>
      </c>
      <c r="AC89" s="32" t="s">
        <v>1324</v>
      </c>
      <c r="AD89" s="32" t="s">
        <v>1324</v>
      </c>
      <c r="AE89" s="32" t="s">
        <v>1324</v>
      </c>
      <c r="AF89" s="32" t="s">
        <v>1324</v>
      </c>
      <c r="AG89" s="32">
        <v>49.0</v>
      </c>
      <c r="AH89" s="32">
        <v>16.0</v>
      </c>
      <c r="AI89" s="32">
        <v>19.0</v>
      </c>
      <c r="AJ89" s="32">
        <v>0.0</v>
      </c>
      <c r="AK89" s="32">
        <v>27.0</v>
      </c>
      <c r="AL89" s="32" t="s">
        <v>2486</v>
      </c>
      <c r="AM89" s="32" t="s">
        <v>2487</v>
      </c>
      <c r="AN89" s="32" t="s">
        <v>2488</v>
      </c>
      <c r="AO89" s="32" t="s">
        <v>2489</v>
      </c>
      <c r="AP89" s="32" t="s">
        <v>2490</v>
      </c>
      <c r="AQ89" s="32" t="s">
        <v>1324</v>
      </c>
      <c r="AR89" s="32" t="s">
        <v>2491</v>
      </c>
      <c r="AS89" s="32" t="s">
        <v>2492</v>
      </c>
      <c r="AT89" s="32" t="s">
        <v>2979</v>
      </c>
      <c r="AU89" s="32">
        <v>2009.0</v>
      </c>
      <c r="AV89" s="32">
        <v>258.0</v>
      </c>
      <c r="AW89" s="32">
        <v>7.0</v>
      </c>
      <c r="AX89" s="32" t="s">
        <v>1324</v>
      </c>
      <c r="AY89" s="32" t="s">
        <v>1324</v>
      </c>
      <c r="AZ89" s="32" t="s">
        <v>1324</v>
      </c>
      <c r="BA89" s="32" t="s">
        <v>1324</v>
      </c>
      <c r="BB89" s="32">
        <v>1586.0</v>
      </c>
      <c r="BC89" s="32">
        <v>1593.0</v>
      </c>
      <c r="BD89" s="32" t="s">
        <v>1324</v>
      </c>
      <c r="BE89" s="32" t="s">
        <v>2021</v>
      </c>
      <c r="BF89" s="38" t="str">
        <f>HYPERLINK("http://dx.doi.org/10.1016/j.foreco.2009.07.013","http://dx.doi.org/10.1016/j.foreco.2009.07.013")</f>
        <v>http://dx.doi.org/10.1016/j.foreco.2009.07.013</v>
      </c>
      <c r="BG89" s="32" t="s">
        <v>1324</v>
      </c>
      <c r="BH89" s="32" t="s">
        <v>1324</v>
      </c>
      <c r="BI89" s="32">
        <v>8.0</v>
      </c>
      <c r="BJ89" s="32" t="s">
        <v>2494</v>
      </c>
      <c r="BK89" s="32" t="s">
        <v>2407</v>
      </c>
      <c r="BL89" s="32" t="s">
        <v>2494</v>
      </c>
      <c r="BM89" s="32" t="s">
        <v>4644</v>
      </c>
      <c r="BN89" s="32" t="s">
        <v>1324</v>
      </c>
      <c r="BO89" s="32" t="s">
        <v>1324</v>
      </c>
      <c r="BP89" s="32" t="s">
        <v>1324</v>
      </c>
      <c r="BQ89" s="32" t="s">
        <v>1324</v>
      </c>
      <c r="BR89" s="32" t="s">
        <v>5042</v>
      </c>
      <c r="BS89" s="32" t="s">
        <v>4645</v>
      </c>
      <c r="BT89" s="32" t="s">
        <v>1329</v>
      </c>
      <c r="BU89" s="32" t="s">
        <v>1333</v>
      </c>
      <c r="BV89" s="32" t="s">
        <v>5051</v>
      </c>
      <c r="BW89" s="32" t="s">
        <v>1362</v>
      </c>
      <c r="BX89" s="32" t="s">
        <v>5044</v>
      </c>
      <c r="BY89" s="32" t="s">
        <v>1336</v>
      </c>
      <c r="BZ89" s="32" t="s">
        <v>1328</v>
      </c>
      <c r="CA89" s="32" t="s">
        <v>1336</v>
      </c>
      <c r="CB89" s="32" t="s">
        <v>1328</v>
      </c>
      <c r="CC89" s="32" t="s">
        <v>1336</v>
      </c>
      <c r="CD89" s="39" t="s">
        <v>5196</v>
      </c>
      <c r="CE89" s="32" t="s">
        <v>1350</v>
      </c>
      <c r="CF89" s="32" t="str">
        <f>HYPERLINK("https%3A%2F%2Fwww.webofscience.com%2Fwos%2Fwoscc%2Ffull-record%2FWOS:000270152300065","View Full Record in Web of Science")</f>
        <v>View Full Record in Web of Science</v>
      </c>
    </row>
    <row r="90" ht="12.75" customHeight="1">
      <c r="A90" s="32" t="s">
        <v>26</v>
      </c>
      <c r="B90" s="32" t="s">
        <v>3348</v>
      </c>
      <c r="C90" s="32" t="s">
        <v>1324</v>
      </c>
      <c r="D90" s="32" t="s">
        <v>1324</v>
      </c>
      <c r="E90" s="32" t="s">
        <v>1324</v>
      </c>
      <c r="F90" s="32" t="s">
        <v>2104</v>
      </c>
      <c r="G90" s="32" t="s">
        <v>1324</v>
      </c>
      <c r="H90" s="32" t="s">
        <v>1324</v>
      </c>
      <c r="I90" s="32" t="s">
        <v>2105</v>
      </c>
      <c r="J90" s="32" t="s">
        <v>251</v>
      </c>
      <c r="K90" s="32" t="s">
        <v>1324</v>
      </c>
      <c r="L90" s="32" t="s">
        <v>1324</v>
      </c>
      <c r="M90" s="32" t="s">
        <v>2364</v>
      </c>
      <c r="N90" s="32" t="s">
        <v>38</v>
      </c>
      <c r="O90" s="32" t="s">
        <v>1324</v>
      </c>
      <c r="P90" s="32" t="s">
        <v>1324</v>
      </c>
      <c r="Q90" s="32" t="s">
        <v>1324</v>
      </c>
      <c r="R90" s="32" t="s">
        <v>1324</v>
      </c>
      <c r="S90" s="32" t="s">
        <v>1324</v>
      </c>
      <c r="T90" s="32" t="s">
        <v>3349</v>
      </c>
      <c r="U90" s="32" t="s">
        <v>3350</v>
      </c>
      <c r="V90" s="32" t="s">
        <v>2106</v>
      </c>
      <c r="W90" s="32" t="s">
        <v>3351</v>
      </c>
      <c r="X90" s="32" t="s">
        <v>3352</v>
      </c>
      <c r="Y90" s="32" t="s">
        <v>3353</v>
      </c>
      <c r="Z90" s="32" t="s">
        <v>3354</v>
      </c>
      <c r="AA90" s="32" t="s">
        <v>3355</v>
      </c>
      <c r="AB90" s="32" t="s">
        <v>5210</v>
      </c>
      <c r="AC90" s="32" t="s">
        <v>3357</v>
      </c>
      <c r="AD90" s="32" t="s">
        <v>3357</v>
      </c>
      <c r="AE90" s="32" t="s">
        <v>3358</v>
      </c>
      <c r="AF90" s="32" t="s">
        <v>1324</v>
      </c>
      <c r="AG90" s="32">
        <v>47.0</v>
      </c>
      <c r="AH90" s="32">
        <v>41.0</v>
      </c>
      <c r="AI90" s="32">
        <v>44.0</v>
      </c>
      <c r="AJ90" s="32">
        <v>0.0</v>
      </c>
      <c r="AK90" s="32">
        <v>103.0</v>
      </c>
      <c r="AL90" s="32" t="s">
        <v>2530</v>
      </c>
      <c r="AM90" s="32" t="s">
        <v>2509</v>
      </c>
      <c r="AN90" s="32" t="s">
        <v>2646</v>
      </c>
      <c r="AO90" s="32" t="s">
        <v>2939</v>
      </c>
      <c r="AP90" s="32" t="s">
        <v>2940</v>
      </c>
      <c r="AQ90" s="32" t="s">
        <v>1324</v>
      </c>
      <c r="AR90" s="32" t="s">
        <v>2941</v>
      </c>
      <c r="AS90" s="32" t="s">
        <v>2942</v>
      </c>
      <c r="AT90" s="32" t="s">
        <v>2557</v>
      </c>
      <c r="AU90" s="32">
        <v>2016.0</v>
      </c>
      <c r="AV90" s="32">
        <v>199.0</v>
      </c>
      <c r="AW90" s="32" t="s">
        <v>1324</v>
      </c>
      <c r="AX90" s="32" t="s">
        <v>1324</v>
      </c>
      <c r="AY90" s="32" t="s">
        <v>1324</v>
      </c>
      <c r="AZ90" s="32" t="s">
        <v>1324</v>
      </c>
      <c r="BA90" s="32" t="s">
        <v>1324</v>
      </c>
      <c r="BB90" s="32">
        <v>1.0</v>
      </c>
      <c r="BC90" s="32">
        <v>9.0</v>
      </c>
      <c r="BD90" s="32" t="s">
        <v>1324</v>
      </c>
      <c r="BE90" s="32" t="s">
        <v>2107</v>
      </c>
      <c r="BF90" s="38" t="str">
        <f>HYPERLINK("http://dx.doi.org/10.1016/j.biocon.2016.04.013","http://dx.doi.org/10.1016/j.biocon.2016.04.013")</f>
        <v>http://dx.doi.org/10.1016/j.biocon.2016.04.013</v>
      </c>
      <c r="BG90" s="32" t="s">
        <v>1324</v>
      </c>
      <c r="BH90" s="32" t="s">
        <v>1324</v>
      </c>
      <c r="BI90" s="32">
        <v>9.0</v>
      </c>
      <c r="BJ90" s="32" t="s">
        <v>255</v>
      </c>
      <c r="BK90" s="32" t="s">
        <v>2407</v>
      </c>
      <c r="BL90" s="32" t="s">
        <v>2577</v>
      </c>
      <c r="BM90" s="32" t="s">
        <v>3359</v>
      </c>
      <c r="BN90" s="32" t="s">
        <v>1324</v>
      </c>
      <c r="BO90" s="32" t="s">
        <v>1324</v>
      </c>
      <c r="BP90" s="32" t="s">
        <v>1324</v>
      </c>
      <c r="BQ90" s="32" t="s">
        <v>1324</v>
      </c>
      <c r="BR90" s="32" t="s">
        <v>5042</v>
      </c>
      <c r="BS90" s="32" t="s">
        <v>3360</v>
      </c>
      <c r="BT90" s="32" t="s">
        <v>1329</v>
      </c>
      <c r="BU90" s="32" t="s">
        <v>1333</v>
      </c>
      <c r="BV90" s="32" t="s">
        <v>5043</v>
      </c>
      <c r="BW90" s="32" t="s">
        <v>1362</v>
      </c>
      <c r="BX90" s="32" t="s">
        <v>5044</v>
      </c>
      <c r="BY90" s="32" t="s">
        <v>1336</v>
      </c>
      <c r="BZ90" s="32" t="s">
        <v>1328</v>
      </c>
      <c r="CA90" s="32" t="s">
        <v>1328</v>
      </c>
      <c r="CB90" s="32" t="s">
        <v>1336</v>
      </c>
      <c r="CC90" s="32" t="s">
        <v>1336</v>
      </c>
      <c r="CD90" s="39" t="s">
        <v>5045</v>
      </c>
      <c r="CE90" s="32" t="s">
        <v>1395</v>
      </c>
      <c r="CF90" s="32" t="str">
        <f>HYPERLINK("https%3A%2F%2Fwww.webofscience.com%2Fwos%2Fwoscc%2Ffull-record%2FWOS:000379559600001","View Full Record in Web of Science")</f>
        <v>View Full Record in Web of Science</v>
      </c>
    </row>
    <row r="91" ht="12.75" customHeight="1">
      <c r="A91" s="32" t="s">
        <v>26</v>
      </c>
      <c r="B91" s="32" t="s">
        <v>4241</v>
      </c>
      <c r="C91" s="32" t="s">
        <v>1324</v>
      </c>
      <c r="D91" s="32" t="s">
        <v>1324</v>
      </c>
      <c r="E91" s="32" t="s">
        <v>1324</v>
      </c>
      <c r="F91" s="32" t="s">
        <v>1621</v>
      </c>
      <c r="G91" s="32" t="s">
        <v>1324</v>
      </c>
      <c r="H91" s="32" t="s">
        <v>1324</v>
      </c>
      <c r="I91" s="32" t="s">
        <v>1622</v>
      </c>
      <c r="J91" s="32" t="s">
        <v>774</v>
      </c>
      <c r="K91" s="32" t="s">
        <v>1324</v>
      </c>
      <c r="L91" s="32" t="s">
        <v>1324</v>
      </c>
      <c r="M91" s="32" t="s">
        <v>2364</v>
      </c>
      <c r="N91" s="32" t="s">
        <v>38</v>
      </c>
      <c r="O91" s="32" t="s">
        <v>1324</v>
      </c>
      <c r="P91" s="32" t="s">
        <v>1324</v>
      </c>
      <c r="Q91" s="32" t="s">
        <v>1324</v>
      </c>
      <c r="R91" s="32" t="s">
        <v>1324</v>
      </c>
      <c r="S91" s="32" t="s">
        <v>1324</v>
      </c>
      <c r="T91" s="32" t="s">
        <v>4242</v>
      </c>
      <c r="U91" s="32" t="s">
        <v>4243</v>
      </c>
      <c r="V91" s="32" t="s">
        <v>1623</v>
      </c>
      <c r="W91" s="32" t="s">
        <v>4244</v>
      </c>
      <c r="X91" s="32" t="s">
        <v>4245</v>
      </c>
      <c r="Y91" s="32" t="s">
        <v>4246</v>
      </c>
      <c r="Z91" s="32" t="s">
        <v>4247</v>
      </c>
      <c r="AA91" s="32" t="s">
        <v>5211</v>
      </c>
      <c r="AB91" s="32" t="s">
        <v>4249</v>
      </c>
      <c r="AC91" s="32" t="s">
        <v>4250</v>
      </c>
      <c r="AD91" s="32" t="s">
        <v>4251</v>
      </c>
      <c r="AE91" s="32" t="s">
        <v>4252</v>
      </c>
      <c r="AF91" s="32" t="s">
        <v>1324</v>
      </c>
      <c r="AG91" s="32">
        <v>64.0</v>
      </c>
      <c r="AH91" s="32">
        <v>99.0</v>
      </c>
      <c r="AI91" s="32">
        <v>107.0</v>
      </c>
      <c r="AJ91" s="32">
        <v>0.0</v>
      </c>
      <c r="AK91" s="32">
        <v>176.0</v>
      </c>
      <c r="AL91" s="32" t="s">
        <v>2464</v>
      </c>
      <c r="AM91" s="32" t="s">
        <v>2465</v>
      </c>
      <c r="AN91" s="32" t="s">
        <v>2466</v>
      </c>
      <c r="AO91" s="32" t="s">
        <v>2923</v>
      </c>
      <c r="AP91" s="32" t="s">
        <v>2924</v>
      </c>
      <c r="AQ91" s="32" t="s">
        <v>1324</v>
      </c>
      <c r="AR91" s="32" t="s">
        <v>2925</v>
      </c>
      <c r="AS91" s="32" t="s">
        <v>2926</v>
      </c>
      <c r="AT91" s="32" t="s">
        <v>2557</v>
      </c>
      <c r="AU91" s="32">
        <v>2012.0</v>
      </c>
      <c r="AV91" s="32">
        <v>18.0</v>
      </c>
      <c r="AW91" s="32">
        <v>7.0</v>
      </c>
      <c r="AX91" s="32" t="s">
        <v>1324</v>
      </c>
      <c r="AY91" s="32" t="s">
        <v>1324</v>
      </c>
      <c r="AZ91" s="32" t="s">
        <v>1324</v>
      </c>
      <c r="BA91" s="32" t="s">
        <v>1324</v>
      </c>
      <c r="BB91" s="32">
        <v>2184.0</v>
      </c>
      <c r="BC91" s="32">
        <v>2194.0</v>
      </c>
      <c r="BD91" s="32" t="s">
        <v>1324</v>
      </c>
      <c r="BE91" s="32" t="s">
        <v>1624</v>
      </c>
      <c r="BF91" s="38" t="str">
        <f>HYPERLINK("http://dx.doi.org/10.1111/j.1365-2486.2012.02662.x","http://dx.doi.org/10.1111/j.1365-2486.2012.02662.x")</f>
        <v>http://dx.doi.org/10.1111/j.1365-2486.2012.02662.x</v>
      </c>
      <c r="BG91" s="32" t="s">
        <v>1324</v>
      </c>
      <c r="BH91" s="32" t="s">
        <v>1324</v>
      </c>
      <c r="BI91" s="32">
        <v>11.0</v>
      </c>
      <c r="BJ91" s="32" t="s">
        <v>255</v>
      </c>
      <c r="BK91" s="32" t="s">
        <v>2407</v>
      </c>
      <c r="BL91" s="32" t="s">
        <v>2577</v>
      </c>
      <c r="BM91" s="32" t="s">
        <v>4253</v>
      </c>
      <c r="BN91" s="32" t="s">
        <v>1324</v>
      </c>
      <c r="BO91" s="32" t="s">
        <v>1324</v>
      </c>
      <c r="BP91" s="32" t="s">
        <v>1324</v>
      </c>
      <c r="BQ91" s="32" t="s">
        <v>1324</v>
      </c>
      <c r="BR91" s="32" t="s">
        <v>5042</v>
      </c>
      <c r="BS91" s="32" t="s">
        <v>4254</v>
      </c>
      <c r="BT91" s="32" t="s">
        <v>1329</v>
      </c>
      <c r="BU91" s="32" t="s">
        <v>1333</v>
      </c>
      <c r="BV91" s="32" t="s">
        <v>5066</v>
      </c>
      <c r="BW91" s="32" t="s">
        <v>1530</v>
      </c>
      <c r="BX91" s="32" t="s">
        <v>5078</v>
      </c>
      <c r="BY91" s="32" t="s">
        <v>1336</v>
      </c>
      <c r="BZ91" s="32" t="s">
        <v>1328</v>
      </c>
      <c r="CA91" s="32" t="s">
        <v>1336</v>
      </c>
      <c r="CB91" s="32" t="s">
        <v>1336</v>
      </c>
      <c r="CC91" s="32" t="s">
        <v>1328</v>
      </c>
      <c r="CD91" s="39" t="s">
        <v>5110</v>
      </c>
      <c r="CE91" s="32" t="s">
        <v>1350</v>
      </c>
      <c r="CF91" s="32" t="str">
        <f>HYPERLINK("https%3A%2F%2Fwww.webofscience.com%2Fwos%2Fwoscc%2Ffull-record%2FWOS:000304820300009","View Full Record in Web of Science")</f>
        <v>View Full Record in Web of Science</v>
      </c>
    </row>
    <row r="92" ht="12.75" customHeight="1">
      <c r="A92" s="32" t="s">
        <v>26</v>
      </c>
      <c r="B92" s="32" t="s">
        <v>2385</v>
      </c>
      <c r="C92" s="32" t="s">
        <v>1324</v>
      </c>
      <c r="D92" s="32" t="s">
        <v>1324</v>
      </c>
      <c r="E92" s="32" t="s">
        <v>1324</v>
      </c>
      <c r="F92" s="32" t="s">
        <v>2386</v>
      </c>
      <c r="G92" s="32" t="s">
        <v>1324</v>
      </c>
      <c r="H92" s="32" t="s">
        <v>1324</v>
      </c>
      <c r="I92" s="32" t="s">
        <v>2387</v>
      </c>
      <c r="J92" s="32" t="s">
        <v>2388</v>
      </c>
      <c r="K92" s="32" t="s">
        <v>1324</v>
      </c>
      <c r="L92" s="32" t="s">
        <v>1324</v>
      </c>
      <c r="M92" s="32" t="s">
        <v>2364</v>
      </c>
      <c r="N92" s="32" t="s">
        <v>38</v>
      </c>
      <c r="O92" s="32" t="s">
        <v>1324</v>
      </c>
      <c r="P92" s="32" t="s">
        <v>1324</v>
      </c>
      <c r="Q92" s="32" t="s">
        <v>1324</v>
      </c>
      <c r="R92" s="32" t="s">
        <v>1324</v>
      </c>
      <c r="S92" s="32" t="s">
        <v>1324</v>
      </c>
      <c r="T92" s="32" t="s">
        <v>1324</v>
      </c>
      <c r="U92" s="32" t="s">
        <v>2389</v>
      </c>
      <c r="V92" s="32" t="s">
        <v>2291</v>
      </c>
      <c r="W92" s="32" t="s">
        <v>2390</v>
      </c>
      <c r="X92" s="32" t="s">
        <v>2391</v>
      </c>
      <c r="Y92" s="32" t="s">
        <v>2392</v>
      </c>
      <c r="Z92" s="32" t="s">
        <v>2393</v>
      </c>
      <c r="AA92" s="32" t="s">
        <v>2394</v>
      </c>
      <c r="AB92" s="32" t="s">
        <v>2395</v>
      </c>
      <c r="AC92" s="32" t="s">
        <v>2396</v>
      </c>
      <c r="AD92" s="32" t="s">
        <v>2397</v>
      </c>
      <c r="AE92" s="32" t="s">
        <v>2398</v>
      </c>
      <c r="AF92" s="32" t="s">
        <v>1324</v>
      </c>
      <c r="AG92" s="32">
        <v>82.0</v>
      </c>
      <c r="AH92" s="32">
        <v>60.0</v>
      </c>
      <c r="AI92" s="32">
        <v>72.0</v>
      </c>
      <c r="AJ92" s="32">
        <v>0.0</v>
      </c>
      <c r="AK92" s="32">
        <v>26.0</v>
      </c>
      <c r="AL92" s="32" t="s">
        <v>2399</v>
      </c>
      <c r="AM92" s="32" t="s">
        <v>2400</v>
      </c>
      <c r="AN92" s="32" t="s">
        <v>2401</v>
      </c>
      <c r="AO92" s="32" t="s">
        <v>1324</v>
      </c>
      <c r="AP92" s="32" t="s">
        <v>2402</v>
      </c>
      <c r="AQ92" s="32" t="s">
        <v>1324</v>
      </c>
      <c r="AR92" s="32" t="s">
        <v>2403</v>
      </c>
      <c r="AS92" s="32" t="s">
        <v>2404</v>
      </c>
      <c r="AT92" s="32" t="s">
        <v>1324</v>
      </c>
      <c r="AU92" s="32">
        <v>2006.0</v>
      </c>
      <c r="AV92" s="32">
        <v>2.0</v>
      </c>
      <c r="AW92" s="32" t="s">
        <v>1324</v>
      </c>
      <c r="AX92" s="32" t="s">
        <v>1324</v>
      </c>
      <c r="AY92" s="32" t="s">
        <v>1324</v>
      </c>
      <c r="AZ92" s="32" t="s">
        <v>1324</v>
      </c>
      <c r="BA92" s="32" t="s">
        <v>1324</v>
      </c>
      <c r="BB92" s="32" t="s">
        <v>1324</v>
      </c>
      <c r="BC92" s="32" t="s">
        <v>1324</v>
      </c>
      <c r="BD92" s="32">
        <v>24.0</v>
      </c>
      <c r="BE92" s="32" t="s">
        <v>2405</v>
      </c>
      <c r="BF92" s="38" t="str">
        <f>HYPERLINK("http://dx.doi.org/10.1186/1746-4269-2-24","http://dx.doi.org/10.1186/1746-4269-2-24")</f>
        <v>http://dx.doi.org/10.1186/1746-4269-2-24</v>
      </c>
      <c r="BG92" s="32" t="s">
        <v>1324</v>
      </c>
      <c r="BH92" s="32" t="s">
        <v>1324</v>
      </c>
      <c r="BI92" s="32">
        <v>22.0</v>
      </c>
      <c r="BJ92" s="32" t="s">
        <v>2406</v>
      </c>
      <c r="BK92" s="32" t="s">
        <v>2407</v>
      </c>
      <c r="BL92" s="32" t="s">
        <v>2408</v>
      </c>
      <c r="BM92" s="32" t="s">
        <v>2409</v>
      </c>
      <c r="BN92" s="32">
        <v>1.6681845E7</v>
      </c>
      <c r="BO92" s="32" t="s">
        <v>2410</v>
      </c>
      <c r="BP92" s="32" t="s">
        <v>1324</v>
      </c>
      <c r="BQ92" s="32" t="s">
        <v>1324</v>
      </c>
      <c r="BR92" s="32" t="s">
        <v>5042</v>
      </c>
      <c r="BS92" s="32" t="s">
        <v>2411</v>
      </c>
      <c r="BT92" s="32" t="s">
        <v>1329</v>
      </c>
      <c r="BU92" s="32" t="s">
        <v>1333</v>
      </c>
      <c r="BV92" s="32" t="s">
        <v>5054</v>
      </c>
      <c r="BW92" s="32" t="s">
        <v>1373</v>
      </c>
      <c r="BX92" s="32" t="s">
        <v>5212</v>
      </c>
      <c r="BY92" s="32" t="s">
        <v>1336</v>
      </c>
      <c r="BZ92" s="32" t="s">
        <v>1328</v>
      </c>
      <c r="CA92" s="32" t="s">
        <v>1328</v>
      </c>
      <c r="CB92" s="32" t="s">
        <v>1336</v>
      </c>
      <c r="CC92" s="32" t="s">
        <v>1328</v>
      </c>
      <c r="CD92" s="39" t="s">
        <v>5207</v>
      </c>
      <c r="CE92" s="32" t="s">
        <v>1395</v>
      </c>
      <c r="CF92" s="32" t="str">
        <f>HYPERLINK("https%3A%2F%2Fwww.webofscience.com%2Fwos%2Fwoscc%2Ffull-record%2FWOS:000209091500024","View Full Record in Web of Science")</f>
        <v>View Full Record in Web of Science</v>
      </c>
    </row>
    <row r="93" ht="12.75" customHeight="1">
      <c r="A93" s="32" t="s">
        <v>26</v>
      </c>
      <c r="B93" s="32" t="s">
        <v>3725</v>
      </c>
      <c r="C93" s="32" t="s">
        <v>1324</v>
      </c>
      <c r="D93" s="32" t="s">
        <v>1324</v>
      </c>
      <c r="E93" s="32" t="s">
        <v>1324</v>
      </c>
      <c r="F93" s="32" t="s">
        <v>1730</v>
      </c>
      <c r="G93" s="32" t="s">
        <v>1324</v>
      </c>
      <c r="H93" s="32" t="s">
        <v>1324</v>
      </c>
      <c r="I93" s="32" t="s">
        <v>1732</v>
      </c>
      <c r="J93" s="32" t="s">
        <v>1731</v>
      </c>
      <c r="K93" s="32" t="s">
        <v>1324</v>
      </c>
      <c r="L93" s="32" t="s">
        <v>1324</v>
      </c>
      <c r="M93" s="32" t="s">
        <v>2364</v>
      </c>
      <c r="N93" s="32" t="s">
        <v>38</v>
      </c>
      <c r="O93" s="32" t="s">
        <v>1324</v>
      </c>
      <c r="P93" s="32" t="s">
        <v>1324</v>
      </c>
      <c r="Q93" s="32" t="s">
        <v>1324</v>
      </c>
      <c r="R93" s="32" t="s">
        <v>1324</v>
      </c>
      <c r="S93" s="32" t="s">
        <v>1324</v>
      </c>
      <c r="T93" s="32" t="s">
        <v>3726</v>
      </c>
      <c r="U93" s="32" t="s">
        <v>3727</v>
      </c>
      <c r="V93" s="32" t="s">
        <v>1733</v>
      </c>
      <c r="W93" s="32" t="s">
        <v>3728</v>
      </c>
      <c r="X93" s="32" t="s">
        <v>3729</v>
      </c>
      <c r="Y93" s="32" t="s">
        <v>3730</v>
      </c>
      <c r="Z93" s="32" t="s">
        <v>3731</v>
      </c>
      <c r="AA93" s="32" t="s">
        <v>5213</v>
      </c>
      <c r="AB93" s="32" t="s">
        <v>3733</v>
      </c>
      <c r="AC93" s="32" t="s">
        <v>3734</v>
      </c>
      <c r="AD93" s="32" t="s">
        <v>3735</v>
      </c>
      <c r="AE93" s="32" t="s">
        <v>3736</v>
      </c>
      <c r="AF93" s="32" t="s">
        <v>1324</v>
      </c>
      <c r="AG93" s="32">
        <v>58.0</v>
      </c>
      <c r="AH93" s="32">
        <v>94.0</v>
      </c>
      <c r="AI93" s="32">
        <v>105.0</v>
      </c>
      <c r="AJ93" s="32">
        <v>0.0</v>
      </c>
      <c r="AK93" s="32">
        <v>48.0</v>
      </c>
      <c r="AL93" s="32" t="s">
        <v>3737</v>
      </c>
      <c r="AM93" s="32" t="s">
        <v>2509</v>
      </c>
      <c r="AN93" s="32" t="s">
        <v>3738</v>
      </c>
      <c r="AO93" s="32" t="s">
        <v>3739</v>
      </c>
      <c r="AP93" s="32" t="s">
        <v>3740</v>
      </c>
      <c r="AQ93" s="32" t="s">
        <v>1324</v>
      </c>
      <c r="AR93" s="32" t="s">
        <v>3741</v>
      </c>
      <c r="AS93" s="32" t="s">
        <v>3742</v>
      </c>
      <c r="AT93" s="32" t="s">
        <v>3743</v>
      </c>
      <c r="AU93" s="32">
        <v>2014.0</v>
      </c>
      <c r="AV93" s="32">
        <v>71.0</v>
      </c>
      <c r="AW93" s="32">
        <v>7.0</v>
      </c>
      <c r="AX93" s="32" t="s">
        <v>1324</v>
      </c>
      <c r="AY93" s="32" t="s">
        <v>1324</v>
      </c>
      <c r="AZ93" s="32" t="s">
        <v>1324</v>
      </c>
      <c r="BA93" s="32" t="s">
        <v>1324</v>
      </c>
      <c r="BB93" s="32">
        <v>1593.0</v>
      </c>
      <c r="BC93" s="32">
        <v>1603.0</v>
      </c>
      <c r="BD93" s="32" t="s">
        <v>1324</v>
      </c>
      <c r="BE93" s="32" t="s">
        <v>1734</v>
      </c>
      <c r="BF93" s="38" t="str">
        <f>HYPERLINK("http://dx.doi.org/10.1093/icesjms/fst222","http://dx.doi.org/10.1093/icesjms/fst222")</f>
        <v>http://dx.doi.org/10.1093/icesjms/fst222</v>
      </c>
      <c r="BG93" s="32" t="s">
        <v>1324</v>
      </c>
      <c r="BH93" s="32" t="s">
        <v>1324</v>
      </c>
      <c r="BI93" s="32">
        <v>11.0</v>
      </c>
      <c r="BJ93" s="32" t="s">
        <v>3744</v>
      </c>
      <c r="BK93" s="32" t="s">
        <v>2407</v>
      </c>
      <c r="BL93" s="32" t="s">
        <v>3744</v>
      </c>
      <c r="BM93" s="32" t="s">
        <v>3745</v>
      </c>
      <c r="BN93" s="32" t="s">
        <v>1324</v>
      </c>
      <c r="BO93" s="32" t="s">
        <v>2579</v>
      </c>
      <c r="BP93" s="32" t="s">
        <v>1324</v>
      </c>
      <c r="BQ93" s="32" t="s">
        <v>1324</v>
      </c>
      <c r="BR93" s="32" t="s">
        <v>5042</v>
      </c>
      <c r="BS93" s="32" t="s">
        <v>3746</v>
      </c>
      <c r="BT93" s="32" t="s">
        <v>1329</v>
      </c>
      <c r="BU93" s="32" t="s">
        <v>1333</v>
      </c>
      <c r="BV93" s="32" t="s">
        <v>5066</v>
      </c>
      <c r="BW93" s="32" t="s">
        <v>1349</v>
      </c>
      <c r="BX93" s="32" t="s">
        <v>5062</v>
      </c>
      <c r="BY93" s="32" t="s">
        <v>1328</v>
      </c>
      <c r="BZ93" s="32" t="s">
        <v>1336</v>
      </c>
      <c r="CA93" s="32" t="s">
        <v>1328</v>
      </c>
      <c r="CB93" s="32" t="s">
        <v>1336</v>
      </c>
      <c r="CC93" s="32" t="s">
        <v>1328</v>
      </c>
      <c r="CD93" s="39" t="s">
        <v>5152</v>
      </c>
      <c r="CE93" s="32" t="s">
        <v>1350</v>
      </c>
      <c r="CF93" s="32" t="str">
        <f>HYPERLINK("https%3A%2F%2Fwww.webofscience.com%2Fwos%2Fwoscc%2Ffull-record%2FWOS:000343315900008","View Full Record in Web of Science")</f>
        <v>View Full Record in Web of Science</v>
      </c>
    </row>
    <row r="94" ht="12.75" customHeight="1">
      <c r="A94" s="32" t="s">
        <v>636</v>
      </c>
      <c r="B94" s="32" t="s">
        <v>4776</v>
      </c>
      <c r="C94" s="32" t="s">
        <v>1324</v>
      </c>
      <c r="D94" s="32" t="s">
        <v>4777</v>
      </c>
      <c r="E94" s="32" t="s">
        <v>1324</v>
      </c>
      <c r="F94" s="32" t="s">
        <v>2153</v>
      </c>
      <c r="G94" s="32" t="s">
        <v>1324</v>
      </c>
      <c r="H94" s="32" t="s">
        <v>1324</v>
      </c>
      <c r="I94" s="32" t="s">
        <v>2155</v>
      </c>
      <c r="J94" s="32" t="s">
        <v>2154</v>
      </c>
      <c r="K94" s="32" t="s">
        <v>4778</v>
      </c>
      <c r="L94" s="32" t="s">
        <v>1324</v>
      </c>
      <c r="M94" s="32" t="s">
        <v>2364</v>
      </c>
      <c r="N94" s="32" t="s">
        <v>2437</v>
      </c>
      <c r="O94" s="32" t="s">
        <v>1324</v>
      </c>
      <c r="P94" s="32" t="s">
        <v>1324</v>
      </c>
      <c r="Q94" s="32" t="s">
        <v>1324</v>
      </c>
      <c r="R94" s="32" t="s">
        <v>1324</v>
      </c>
      <c r="S94" s="32" t="s">
        <v>1324</v>
      </c>
      <c r="T94" s="32" t="s">
        <v>1324</v>
      </c>
      <c r="U94" s="32" t="s">
        <v>4779</v>
      </c>
      <c r="V94" s="32" t="s">
        <v>4780</v>
      </c>
      <c r="W94" s="32" t="s">
        <v>4781</v>
      </c>
      <c r="X94" s="32" t="s">
        <v>4782</v>
      </c>
      <c r="Y94" s="32" t="s">
        <v>4783</v>
      </c>
      <c r="Z94" s="32" t="s">
        <v>1324</v>
      </c>
      <c r="AA94" s="32" t="s">
        <v>5214</v>
      </c>
      <c r="AB94" s="32" t="s">
        <v>5215</v>
      </c>
      <c r="AC94" s="32" t="s">
        <v>1324</v>
      </c>
      <c r="AD94" s="32" t="s">
        <v>1324</v>
      </c>
      <c r="AE94" s="32" t="s">
        <v>1324</v>
      </c>
      <c r="AF94" s="32" t="s">
        <v>1324</v>
      </c>
      <c r="AG94" s="32">
        <v>169.0</v>
      </c>
      <c r="AH94" s="32">
        <v>165.0</v>
      </c>
      <c r="AI94" s="32">
        <v>207.0</v>
      </c>
      <c r="AJ94" s="32">
        <v>2.0</v>
      </c>
      <c r="AK94" s="32">
        <v>21.0</v>
      </c>
      <c r="AL94" s="32" t="s">
        <v>4786</v>
      </c>
      <c r="AM94" s="32" t="s">
        <v>3483</v>
      </c>
      <c r="AN94" s="32" t="s">
        <v>4787</v>
      </c>
      <c r="AO94" s="32" t="s">
        <v>4788</v>
      </c>
      <c r="AP94" s="32" t="s">
        <v>1324</v>
      </c>
      <c r="AQ94" s="32" t="s">
        <v>4789</v>
      </c>
      <c r="AR94" s="32" t="s">
        <v>4790</v>
      </c>
      <c r="AS94" s="32" t="s">
        <v>4791</v>
      </c>
      <c r="AT94" s="32" t="s">
        <v>1324</v>
      </c>
      <c r="AU94" s="32">
        <v>2008.0</v>
      </c>
      <c r="AV94" s="32" t="s">
        <v>1324</v>
      </c>
      <c r="AW94" s="32" t="s">
        <v>1324</v>
      </c>
      <c r="AX94" s="32" t="s">
        <v>1324</v>
      </c>
      <c r="AY94" s="32" t="s">
        <v>1324</v>
      </c>
      <c r="AZ94" s="32" t="s">
        <v>1324</v>
      </c>
      <c r="BA94" s="32" t="s">
        <v>1324</v>
      </c>
      <c r="BB94" s="32">
        <v>107.0</v>
      </c>
      <c r="BC94" s="32">
        <v>146.0</v>
      </c>
      <c r="BD94" s="32" t="s">
        <v>1324</v>
      </c>
      <c r="BE94" s="32" t="s">
        <v>2157</v>
      </c>
      <c r="BF94" s="38" t="str">
        <f>HYPERLINK("http://dx.doi.org/10.1016/B978-012088449-0.50007-8","http://dx.doi.org/10.1016/B978-012088449-0.50007-8")</f>
        <v>http://dx.doi.org/10.1016/B978-012088449-0.50007-8</v>
      </c>
      <c r="BG94" s="32" t="s">
        <v>1324</v>
      </c>
      <c r="BH94" s="32" t="s">
        <v>1324</v>
      </c>
      <c r="BI94" s="32">
        <v>40.0</v>
      </c>
      <c r="BJ94" s="32" t="s">
        <v>130</v>
      </c>
      <c r="BK94" s="32" t="s">
        <v>2448</v>
      </c>
      <c r="BL94" s="32" t="s">
        <v>2516</v>
      </c>
      <c r="BM94" s="32" t="s">
        <v>4792</v>
      </c>
      <c r="BN94" s="32" t="s">
        <v>1324</v>
      </c>
      <c r="BO94" s="32" t="s">
        <v>1324</v>
      </c>
      <c r="BP94" s="32" t="s">
        <v>1324</v>
      </c>
      <c r="BQ94" s="32" t="s">
        <v>1324</v>
      </c>
      <c r="BR94" s="32" t="s">
        <v>5042</v>
      </c>
      <c r="BS94" s="32" t="s">
        <v>4793</v>
      </c>
      <c r="BT94" s="32" t="s">
        <v>1443</v>
      </c>
      <c r="BU94" s="32" t="s">
        <v>1444</v>
      </c>
      <c r="BV94" s="32" t="s">
        <v>5216</v>
      </c>
      <c r="BW94" s="32" t="s">
        <v>1530</v>
      </c>
      <c r="BX94" s="32" t="s">
        <v>5078</v>
      </c>
      <c r="BY94" s="32" t="s">
        <v>1336</v>
      </c>
      <c r="BZ94" s="32" t="s">
        <v>1328</v>
      </c>
      <c r="CA94" s="32" t="s">
        <v>1328</v>
      </c>
      <c r="CB94" s="32" t="s">
        <v>1328</v>
      </c>
      <c r="CC94" s="32" t="s">
        <v>1328</v>
      </c>
      <c r="CD94" s="39" t="s">
        <v>5217</v>
      </c>
      <c r="CE94" s="32" t="s">
        <v>1350</v>
      </c>
      <c r="CF94" s="32" t="str">
        <f>HYPERLINK("https%3A%2F%2Fwww.webofscience.com%2Fwos%2Fwoscc%2Ffull-record%2FWOS:000318618900006","View Full Record in Web of Science")</f>
        <v>View Full Record in Web of Science</v>
      </c>
    </row>
    <row r="95" ht="12.75" customHeight="1">
      <c r="A95" s="32" t="s">
        <v>26</v>
      </c>
      <c r="B95" s="32" t="s">
        <v>2581</v>
      </c>
      <c r="C95" s="32" t="s">
        <v>1324</v>
      </c>
      <c r="D95" s="32" t="s">
        <v>1324</v>
      </c>
      <c r="E95" s="32" t="s">
        <v>1324</v>
      </c>
      <c r="F95" s="32" t="s">
        <v>1747</v>
      </c>
      <c r="G95" s="32" t="s">
        <v>1324</v>
      </c>
      <c r="H95" s="32" t="s">
        <v>1324</v>
      </c>
      <c r="I95" s="32" t="s">
        <v>1748</v>
      </c>
      <c r="J95" s="32" t="s">
        <v>318</v>
      </c>
      <c r="K95" s="32" t="s">
        <v>1324</v>
      </c>
      <c r="L95" s="32" t="s">
        <v>1324</v>
      </c>
      <c r="M95" s="32" t="s">
        <v>2364</v>
      </c>
      <c r="N95" s="32" t="s">
        <v>38</v>
      </c>
      <c r="O95" s="32" t="s">
        <v>1324</v>
      </c>
      <c r="P95" s="32" t="s">
        <v>1324</v>
      </c>
      <c r="Q95" s="32" t="s">
        <v>1324</v>
      </c>
      <c r="R95" s="32" t="s">
        <v>1324</v>
      </c>
      <c r="S95" s="32" t="s">
        <v>1324</v>
      </c>
      <c r="T95" s="32" t="s">
        <v>2582</v>
      </c>
      <c r="U95" s="32" t="s">
        <v>2583</v>
      </c>
      <c r="V95" s="32" t="s">
        <v>1749</v>
      </c>
      <c r="W95" s="32" t="s">
        <v>2584</v>
      </c>
      <c r="X95" s="32" t="s">
        <v>2585</v>
      </c>
      <c r="Y95" s="32" t="s">
        <v>2586</v>
      </c>
      <c r="Z95" s="32" t="s">
        <v>2587</v>
      </c>
      <c r="AA95" s="32" t="s">
        <v>5218</v>
      </c>
      <c r="AB95" s="32" t="s">
        <v>5219</v>
      </c>
      <c r="AC95" s="32" t="s">
        <v>1324</v>
      </c>
      <c r="AD95" s="32" t="s">
        <v>1324</v>
      </c>
      <c r="AE95" s="32" t="s">
        <v>1324</v>
      </c>
      <c r="AF95" s="32" t="s">
        <v>1324</v>
      </c>
      <c r="AG95" s="32">
        <v>49.0</v>
      </c>
      <c r="AH95" s="32">
        <v>186.0</v>
      </c>
      <c r="AI95" s="32">
        <v>222.0</v>
      </c>
      <c r="AJ95" s="32">
        <v>0.0</v>
      </c>
      <c r="AK95" s="32">
        <v>71.0</v>
      </c>
      <c r="AL95" s="32" t="s">
        <v>2590</v>
      </c>
      <c r="AM95" s="32" t="s">
        <v>2591</v>
      </c>
      <c r="AN95" s="32" t="s">
        <v>2592</v>
      </c>
      <c r="AO95" s="32" t="s">
        <v>2593</v>
      </c>
      <c r="AP95" s="32" t="s">
        <v>1324</v>
      </c>
      <c r="AQ95" s="32" t="s">
        <v>1324</v>
      </c>
      <c r="AR95" s="32" t="s">
        <v>2594</v>
      </c>
      <c r="AS95" s="32" t="s">
        <v>2595</v>
      </c>
      <c r="AT95" s="32" t="s">
        <v>2557</v>
      </c>
      <c r="AU95" s="32">
        <v>2018.0</v>
      </c>
      <c r="AV95" s="32">
        <v>13.0</v>
      </c>
      <c r="AW95" s="32">
        <v>7.0</v>
      </c>
      <c r="AX95" s="32" t="s">
        <v>1324</v>
      </c>
      <c r="AY95" s="32" t="s">
        <v>1324</v>
      </c>
      <c r="AZ95" s="32" t="s">
        <v>1324</v>
      </c>
      <c r="BA95" s="32" t="s">
        <v>1324</v>
      </c>
      <c r="BB95" s="32" t="s">
        <v>1324</v>
      </c>
      <c r="BC95" s="32" t="s">
        <v>1324</v>
      </c>
      <c r="BD95" s="32">
        <v>74028.0</v>
      </c>
      <c r="BE95" s="32" t="s">
        <v>1750</v>
      </c>
      <c r="BF95" s="38" t="str">
        <f>HYPERLINK("http://dx.doi.org/10.1088/1748-9326/aacd1c","http://dx.doi.org/10.1088/1748-9326/aacd1c")</f>
        <v>http://dx.doi.org/10.1088/1748-9326/aacd1c</v>
      </c>
      <c r="BG95" s="32" t="s">
        <v>1324</v>
      </c>
      <c r="BH95" s="32" t="s">
        <v>1324</v>
      </c>
      <c r="BI95" s="32">
        <v>15.0</v>
      </c>
      <c r="BJ95" s="32" t="s">
        <v>322</v>
      </c>
      <c r="BK95" s="32" t="s">
        <v>2407</v>
      </c>
      <c r="BL95" s="32" t="s">
        <v>2596</v>
      </c>
      <c r="BM95" s="32" t="s">
        <v>2597</v>
      </c>
      <c r="BN95" s="32" t="s">
        <v>1324</v>
      </c>
      <c r="BO95" s="32" t="s">
        <v>2598</v>
      </c>
      <c r="BP95" s="32" t="s">
        <v>1324</v>
      </c>
      <c r="BQ95" s="32" t="s">
        <v>1324</v>
      </c>
      <c r="BR95" s="32" t="s">
        <v>5042</v>
      </c>
      <c r="BS95" s="32" t="s">
        <v>2599</v>
      </c>
      <c r="BT95" s="32" t="s">
        <v>1329</v>
      </c>
      <c r="BU95" s="32" t="s">
        <v>1444</v>
      </c>
      <c r="BV95" s="32" t="s">
        <v>5216</v>
      </c>
      <c r="BW95" s="32" t="s">
        <v>1362</v>
      </c>
      <c r="BX95" s="32" t="s">
        <v>5044</v>
      </c>
      <c r="BY95" s="32" t="s">
        <v>1336</v>
      </c>
      <c r="BZ95" s="32" t="s">
        <v>1328</v>
      </c>
      <c r="CA95" s="32" t="s">
        <v>1328</v>
      </c>
      <c r="CB95" s="32" t="s">
        <v>1336</v>
      </c>
      <c r="CC95" s="32" t="s">
        <v>1336</v>
      </c>
      <c r="CD95" s="39" t="s">
        <v>5045</v>
      </c>
      <c r="CE95" s="32" t="s">
        <v>1350</v>
      </c>
      <c r="CF95" s="32" t="str">
        <f>HYPERLINK("https%3A%2F%2Fwww.webofscience.com%2Fwos%2Fwoscc%2Ffull-record%2FWOS:000438666900001","View Full Record in Web of Science")</f>
        <v>View Full Record in Web of Science</v>
      </c>
    </row>
    <row r="96" ht="12.75" customHeight="1">
      <c r="A96" s="32" t="s">
        <v>26</v>
      </c>
      <c r="B96" s="32" t="s">
        <v>4179</v>
      </c>
      <c r="C96" s="32" t="s">
        <v>1324</v>
      </c>
      <c r="D96" s="32" t="s">
        <v>1324</v>
      </c>
      <c r="E96" s="32" t="s">
        <v>1324</v>
      </c>
      <c r="F96" s="32" t="s">
        <v>1872</v>
      </c>
      <c r="G96" s="32" t="s">
        <v>1324</v>
      </c>
      <c r="H96" s="32" t="s">
        <v>1324</v>
      </c>
      <c r="I96" s="32" t="s">
        <v>1874</v>
      </c>
      <c r="J96" s="32" t="s">
        <v>1873</v>
      </c>
      <c r="K96" s="32" t="s">
        <v>1324</v>
      </c>
      <c r="L96" s="32" t="s">
        <v>1324</v>
      </c>
      <c r="M96" s="32" t="s">
        <v>2364</v>
      </c>
      <c r="N96" s="32" t="s">
        <v>38</v>
      </c>
      <c r="O96" s="32" t="s">
        <v>1324</v>
      </c>
      <c r="P96" s="32" t="s">
        <v>1324</v>
      </c>
      <c r="Q96" s="32" t="s">
        <v>1324</v>
      </c>
      <c r="R96" s="32" t="s">
        <v>1324</v>
      </c>
      <c r="S96" s="32" t="s">
        <v>1324</v>
      </c>
      <c r="T96" s="32" t="s">
        <v>4180</v>
      </c>
      <c r="U96" s="32" t="s">
        <v>4181</v>
      </c>
      <c r="V96" s="32" t="s">
        <v>1875</v>
      </c>
      <c r="W96" s="32" t="s">
        <v>4182</v>
      </c>
      <c r="X96" s="32" t="s">
        <v>4183</v>
      </c>
      <c r="Y96" s="32" t="s">
        <v>4184</v>
      </c>
      <c r="Z96" s="32" t="s">
        <v>4185</v>
      </c>
      <c r="AA96" s="32" t="s">
        <v>1324</v>
      </c>
      <c r="AB96" s="32" t="s">
        <v>1324</v>
      </c>
      <c r="AC96" s="32" t="s">
        <v>4186</v>
      </c>
      <c r="AD96" s="32" t="s">
        <v>4186</v>
      </c>
      <c r="AE96" s="32" t="s">
        <v>4187</v>
      </c>
      <c r="AF96" s="32" t="s">
        <v>1324</v>
      </c>
      <c r="AG96" s="32">
        <v>68.0</v>
      </c>
      <c r="AH96" s="32">
        <v>31.0</v>
      </c>
      <c r="AI96" s="32">
        <v>39.0</v>
      </c>
      <c r="AJ96" s="32">
        <v>0.0</v>
      </c>
      <c r="AK96" s="32">
        <v>53.0</v>
      </c>
      <c r="AL96" s="32" t="s">
        <v>4188</v>
      </c>
      <c r="AM96" s="32" t="s">
        <v>4189</v>
      </c>
      <c r="AN96" s="32" t="s">
        <v>4190</v>
      </c>
      <c r="AO96" s="32" t="s">
        <v>4191</v>
      </c>
      <c r="AP96" s="32" t="s">
        <v>4192</v>
      </c>
      <c r="AQ96" s="32" t="s">
        <v>1324</v>
      </c>
      <c r="AR96" s="32" t="s">
        <v>1873</v>
      </c>
      <c r="AS96" s="32" t="s">
        <v>4193</v>
      </c>
      <c r="AT96" s="32" t="s">
        <v>3518</v>
      </c>
      <c r="AU96" s="32">
        <v>2012.0</v>
      </c>
      <c r="AV96" s="32">
        <v>46.0</v>
      </c>
      <c r="AW96" s="32">
        <v>4.0</v>
      </c>
      <c r="AX96" s="32" t="s">
        <v>1324</v>
      </c>
      <c r="AY96" s="32" t="s">
        <v>1324</v>
      </c>
      <c r="AZ96" s="32" t="s">
        <v>1324</v>
      </c>
      <c r="BA96" s="32" t="s">
        <v>1324</v>
      </c>
      <c r="BB96" s="32">
        <v>544.0</v>
      </c>
      <c r="BC96" s="32">
        <v>553.0</v>
      </c>
      <c r="BD96" s="32" t="s">
        <v>1324</v>
      </c>
      <c r="BE96" s="32" t="s">
        <v>1876</v>
      </c>
      <c r="BF96" s="38" t="str">
        <f>HYPERLINK("http://dx.doi.org/10.1017/S0030605311000937","http://dx.doi.org/10.1017/S0030605311000937")</f>
        <v>http://dx.doi.org/10.1017/S0030605311000937</v>
      </c>
      <c r="BG96" s="32" t="s">
        <v>1324</v>
      </c>
      <c r="BH96" s="32" t="s">
        <v>1324</v>
      </c>
      <c r="BI96" s="32">
        <v>10.0</v>
      </c>
      <c r="BJ96" s="32" t="s">
        <v>1124</v>
      </c>
      <c r="BK96" s="32" t="s">
        <v>2407</v>
      </c>
      <c r="BL96" s="32" t="s">
        <v>2577</v>
      </c>
      <c r="BM96" s="32" t="s">
        <v>4194</v>
      </c>
      <c r="BN96" s="32" t="s">
        <v>1324</v>
      </c>
      <c r="BO96" s="32" t="s">
        <v>2715</v>
      </c>
      <c r="BP96" s="32" t="s">
        <v>1324</v>
      </c>
      <c r="BQ96" s="32" t="s">
        <v>1324</v>
      </c>
      <c r="BR96" s="32" t="s">
        <v>5042</v>
      </c>
      <c r="BS96" s="32" t="s">
        <v>4195</v>
      </c>
      <c r="BT96" s="32" t="s">
        <v>1329</v>
      </c>
      <c r="BU96" s="32" t="s">
        <v>1333</v>
      </c>
      <c r="BV96" s="32" t="s">
        <v>5054</v>
      </c>
      <c r="BW96" s="32" t="s">
        <v>1530</v>
      </c>
      <c r="BX96" s="32" t="s">
        <v>5078</v>
      </c>
      <c r="BY96" s="32" t="s">
        <v>1336</v>
      </c>
      <c r="BZ96" s="32" t="s">
        <v>1328</v>
      </c>
      <c r="CA96" s="32" t="s">
        <v>1328</v>
      </c>
      <c r="CB96" s="32" t="s">
        <v>1328</v>
      </c>
      <c r="CC96" s="32" t="s">
        <v>1328</v>
      </c>
      <c r="CD96" s="39" t="s">
        <v>5217</v>
      </c>
      <c r="CE96" s="32" t="s">
        <v>1395</v>
      </c>
      <c r="CF96" s="32" t="str">
        <f>HYPERLINK("https%3A%2F%2Fwww.webofscience.com%2Fwos%2Fwoscc%2Ffull-record%2FWOS:000309472600015","View Full Record in Web of Science")</f>
        <v>View Full Record in Web of Science</v>
      </c>
    </row>
    <row r="97" ht="12.75" customHeight="1">
      <c r="A97" s="32" t="s">
        <v>26</v>
      </c>
      <c r="B97" s="32" t="s">
        <v>3774</v>
      </c>
      <c r="C97" s="32" t="s">
        <v>1324</v>
      </c>
      <c r="D97" s="32" t="s">
        <v>1324</v>
      </c>
      <c r="E97" s="32" t="s">
        <v>1324</v>
      </c>
      <c r="F97" s="32" t="s">
        <v>1682</v>
      </c>
      <c r="G97" s="32" t="s">
        <v>1324</v>
      </c>
      <c r="H97" s="32" t="s">
        <v>1324</v>
      </c>
      <c r="I97" s="32" t="s">
        <v>1683</v>
      </c>
      <c r="J97" s="32" t="s">
        <v>126</v>
      </c>
      <c r="K97" s="32" t="s">
        <v>1324</v>
      </c>
      <c r="L97" s="32" t="s">
        <v>1324</v>
      </c>
      <c r="M97" s="32" t="s">
        <v>2364</v>
      </c>
      <c r="N97" s="32" t="s">
        <v>38</v>
      </c>
      <c r="O97" s="32" t="s">
        <v>1324</v>
      </c>
      <c r="P97" s="32" t="s">
        <v>1324</v>
      </c>
      <c r="Q97" s="32" t="s">
        <v>1324</v>
      </c>
      <c r="R97" s="32" t="s">
        <v>1324</v>
      </c>
      <c r="S97" s="32" t="s">
        <v>1324</v>
      </c>
      <c r="T97" s="32" t="s">
        <v>3775</v>
      </c>
      <c r="U97" s="32" t="s">
        <v>3776</v>
      </c>
      <c r="V97" s="32" t="s">
        <v>1684</v>
      </c>
      <c r="W97" s="32" t="s">
        <v>3777</v>
      </c>
      <c r="X97" s="32" t="s">
        <v>3778</v>
      </c>
      <c r="Y97" s="32" t="s">
        <v>3779</v>
      </c>
      <c r="Z97" s="32" t="s">
        <v>3780</v>
      </c>
      <c r="AA97" s="32" t="s">
        <v>3781</v>
      </c>
      <c r="AB97" s="32" t="s">
        <v>5220</v>
      </c>
      <c r="AC97" s="32" t="s">
        <v>1324</v>
      </c>
      <c r="AD97" s="32" t="s">
        <v>1324</v>
      </c>
      <c r="AE97" s="32" t="s">
        <v>1324</v>
      </c>
      <c r="AF97" s="32" t="s">
        <v>1324</v>
      </c>
      <c r="AG97" s="32">
        <v>54.0</v>
      </c>
      <c r="AH97" s="32">
        <v>19.0</v>
      </c>
      <c r="AI97" s="32">
        <v>24.0</v>
      </c>
      <c r="AJ97" s="32">
        <v>2.0</v>
      </c>
      <c r="AK97" s="32">
        <v>109.0</v>
      </c>
      <c r="AL97" s="32" t="s">
        <v>2464</v>
      </c>
      <c r="AM97" s="32" t="s">
        <v>2465</v>
      </c>
      <c r="AN97" s="32" t="s">
        <v>2466</v>
      </c>
      <c r="AO97" s="32" t="s">
        <v>3025</v>
      </c>
      <c r="AP97" s="32" t="s">
        <v>3026</v>
      </c>
      <c r="AQ97" s="32" t="s">
        <v>1324</v>
      </c>
      <c r="AR97" s="32" t="s">
        <v>3027</v>
      </c>
      <c r="AS97" s="32" t="s">
        <v>3028</v>
      </c>
      <c r="AT97" s="32" t="s">
        <v>2557</v>
      </c>
      <c r="AU97" s="32">
        <v>2014.0</v>
      </c>
      <c r="AV97" s="32">
        <v>59.0</v>
      </c>
      <c r="AW97" s="32">
        <v>7.0</v>
      </c>
      <c r="AX97" s="32" t="s">
        <v>1324</v>
      </c>
      <c r="AY97" s="32" t="s">
        <v>1324</v>
      </c>
      <c r="AZ97" s="32" t="s">
        <v>1324</v>
      </c>
      <c r="BA97" s="32" t="s">
        <v>1324</v>
      </c>
      <c r="BB97" s="32">
        <v>1389.0</v>
      </c>
      <c r="BC97" s="32">
        <v>1405.0</v>
      </c>
      <c r="BD97" s="32" t="s">
        <v>1324</v>
      </c>
      <c r="BE97" s="32" t="s">
        <v>1685</v>
      </c>
      <c r="BF97" s="38" t="str">
        <f>HYPERLINK("http://dx.doi.org/10.1111/fwb.12353","http://dx.doi.org/10.1111/fwb.12353")</f>
        <v>http://dx.doi.org/10.1111/fwb.12353</v>
      </c>
      <c r="BG97" s="32" t="s">
        <v>1324</v>
      </c>
      <c r="BH97" s="32" t="s">
        <v>1324</v>
      </c>
      <c r="BI97" s="32">
        <v>17.0</v>
      </c>
      <c r="BJ97" s="32" t="s">
        <v>130</v>
      </c>
      <c r="BK97" s="32" t="s">
        <v>2407</v>
      </c>
      <c r="BL97" s="32" t="s">
        <v>2516</v>
      </c>
      <c r="BM97" s="32" t="s">
        <v>3783</v>
      </c>
      <c r="BN97" s="32" t="s">
        <v>1324</v>
      </c>
      <c r="BO97" s="32" t="s">
        <v>2715</v>
      </c>
      <c r="BP97" s="32" t="s">
        <v>1324</v>
      </c>
      <c r="BQ97" s="32" t="s">
        <v>1324</v>
      </c>
      <c r="BR97" s="32" t="s">
        <v>5042</v>
      </c>
      <c r="BS97" s="32" t="s">
        <v>3784</v>
      </c>
      <c r="BT97" s="32" t="s">
        <v>1329</v>
      </c>
      <c r="BU97" s="32" t="s">
        <v>1333</v>
      </c>
      <c r="BV97" s="32" t="s">
        <v>5051</v>
      </c>
      <c r="BW97" s="32" t="s">
        <v>1464</v>
      </c>
      <c r="BX97" s="32" t="s">
        <v>5049</v>
      </c>
      <c r="BY97" s="32" t="s">
        <v>1336</v>
      </c>
      <c r="BZ97" s="32" t="s">
        <v>1328</v>
      </c>
      <c r="CA97" s="32" t="s">
        <v>1336</v>
      </c>
      <c r="CB97" s="32" t="s">
        <v>1336</v>
      </c>
      <c r="CC97" s="32" t="s">
        <v>1328</v>
      </c>
      <c r="CD97" s="39" t="s">
        <v>5110</v>
      </c>
      <c r="CE97" s="32" t="s">
        <v>1350</v>
      </c>
      <c r="CF97" s="32" t="str">
        <f>HYPERLINK("https%3A%2F%2Fwww.webofscience.com%2Fwos%2Fwoscc%2Ffull-record%2FWOS:000337528600004","View Full Record in Web of Science")</f>
        <v>View Full Record in Web of Science</v>
      </c>
    </row>
    <row r="98" ht="12.75" customHeight="1">
      <c r="A98" s="32" t="s">
        <v>26</v>
      </c>
      <c r="B98" s="32" t="s">
        <v>3437</v>
      </c>
      <c r="C98" s="32" t="s">
        <v>1324</v>
      </c>
      <c r="D98" s="32" t="s">
        <v>1324</v>
      </c>
      <c r="E98" s="32" t="s">
        <v>1324</v>
      </c>
      <c r="F98" s="32" t="s">
        <v>1930</v>
      </c>
      <c r="G98" s="32" t="s">
        <v>1324</v>
      </c>
      <c r="H98" s="32" t="s">
        <v>1324</v>
      </c>
      <c r="I98" s="32" t="s">
        <v>1931</v>
      </c>
      <c r="J98" s="32" t="s">
        <v>1925</v>
      </c>
      <c r="K98" s="32" t="s">
        <v>1324</v>
      </c>
      <c r="L98" s="32" t="s">
        <v>1324</v>
      </c>
      <c r="M98" s="32" t="s">
        <v>2364</v>
      </c>
      <c r="N98" s="32" t="s">
        <v>38</v>
      </c>
      <c r="O98" s="32" t="s">
        <v>1324</v>
      </c>
      <c r="P98" s="32" t="s">
        <v>1324</v>
      </c>
      <c r="Q98" s="32" t="s">
        <v>1324</v>
      </c>
      <c r="R98" s="32" t="s">
        <v>1324</v>
      </c>
      <c r="S98" s="32" t="s">
        <v>1324</v>
      </c>
      <c r="T98" s="32" t="s">
        <v>3438</v>
      </c>
      <c r="U98" s="32" t="s">
        <v>3439</v>
      </c>
      <c r="V98" s="32" t="s">
        <v>1932</v>
      </c>
      <c r="W98" s="32" t="s">
        <v>3440</v>
      </c>
      <c r="X98" s="32" t="s">
        <v>3441</v>
      </c>
      <c r="Y98" s="32" t="s">
        <v>3442</v>
      </c>
      <c r="Z98" s="32" t="s">
        <v>3443</v>
      </c>
      <c r="AA98" s="32" t="s">
        <v>5221</v>
      </c>
      <c r="AB98" s="32" t="s">
        <v>5222</v>
      </c>
      <c r="AC98" s="32" t="s">
        <v>3446</v>
      </c>
      <c r="AD98" s="32" t="s">
        <v>3447</v>
      </c>
      <c r="AE98" s="32" t="s">
        <v>3448</v>
      </c>
      <c r="AF98" s="32" t="s">
        <v>1324</v>
      </c>
      <c r="AG98" s="32">
        <v>86.0</v>
      </c>
      <c r="AH98" s="32">
        <v>49.0</v>
      </c>
      <c r="AI98" s="32">
        <v>53.0</v>
      </c>
      <c r="AJ98" s="32">
        <v>1.0</v>
      </c>
      <c r="AK98" s="32">
        <v>21.0</v>
      </c>
      <c r="AL98" s="32" t="s">
        <v>2486</v>
      </c>
      <c r="AM98" s="32" t="s">
        <v>2487</v>
      </c>
      <c r="AN98" s="32" t="s">
        <v>2488</v>
      </c>
      <c r="AO98" s="32" t="s">
        <v>3272</v>
      </c>
      <c r="AP98" s="32" t="s">
        <v>1324</v>
      </c>
      <c r="AQ98" s="32" t="s">
        <v>1324</v>
      </c>
      <c r="AR98" s="32" t="s">
        <v>3273</v>
      </c>
      <c r="AS98" s="32" t="s">
        <v>3274</v>
      </c>
      <c r="AT98" s="32" t="s">
        <v>3208</v>
      </c>
      <c r="AU98" s="32">
        <v>2016.0</v>
      </c>
      <c r="AV98" s="32">
        <v>3.0</v>
      </c>
      <c r="AW98" s="32" t="s">
        <v>1324</v>
      </c>
      <c r="AX98" s="32" t="s">
        <v>1324</v>
      </c>
      <c r="AY98" s="32" t="s">
        <v>1324</v>
      </c>
      <c r="AZ98" s="32" t="s">
        <v>1324</v>
      </c>
      <c r="BA98" s="32" t="s">
        <v>1324</v>
      </c>
      <c r="BB98" s="32">
        <v>107.0</v>
      </c>
      <c r="BC98" s="32">
        <v>118.0</v>
      </c>
      <c r="BD98" s="32" t="s">
        <v>1324</v>
      </c>
      <c r="BE98" s="32" t="s">
        <v>1933</v>
      </c>
      <c r="BF98" s="38" t="str">
        <f>HYPERLINK("http://dx.doi.org/10.1016/j.rsma.2015.06.001","http://dx.doi.org/10.1016/j.rsma.2015.06.001")</f>
        <v>http://dx.doi.org/10.1016/j.rsma.2015.06.001</v>
      </c>
      <c r="BG98" s="32" t="s">
        <v>1324</v>
      </c>
      <c r="BH98" s="32" t="s">
        <v>1324</v>
      </c>
      <c r="BI98" s="32">
        <v>12.0</v>
      </c>
      <c r="BJ98" s="32" t="s">
        <v>130</v>
      </c>
      <c r="BK98" s="32" t="s">
        <v>2407</v>
      </c>
      <c r="BL98" s="32" t="s">
        <v>2516</v>
      </c>
      <c r="BM98" s="32" t="s">
        <v>3449</v>
      </c>
      <c r="BN98" s="32" t="s">
        <v>1324</v>
      </c>
      <c r="BO98" s="32" t="s">
        <v>1324</v>
      </c>
      <c r="BP98" s="32" t="s">
        <v>1324</v>
      </c>
      <c r="BQ98" s="32" t="s">
        <v>1324</v>
      </c>
      <c r="BR98" s="32" t="s">
        <v>5042</v>
      </c>
      <c r="BS98" s="32" t="s">
        <v>3450</v>
      </c>
      <c r="BT98" s="32" t="s">
        <v>1329</v>
      </c>
      <c r="BU98" s="32" t="s">
        <v>1333</v>
      </c>
      <c r="BV98" s="32" t="s">
        <v>5051</v>
      </c>
      <c r="BW98" s="32" t="s">
        <v>1349</v>
      </c>
      <c r="BX98" s="32" t="s">
        <v>5062</v>
      </c>
      <c r="BY98" s="32" t="s">
        <v>1328</v>
      </c>
      <c r="BZ98" s="32" t="s">
        <v>1336</v>
      </c>
      <c r="CA98" s="32" t="s">
        <v>1336</v>
      </c>
      <c r="CB98" s="32" t="s">
        <v>1336</v>
      </c>
      <c r="CC98" s="32" t="s">
        <v>1328</v>
      </c>
      <c r="CD98" s="39" t="s">
        <v>5123</v>
      </c>
      <c r="CE98" s="32" t="s">
        <v>1350</v>
      </c>
      <c r="CF98" s="32" t="str">
        <f>HYPERLINK("https%3A%2F%2Fwww.webofscience.com%2Fwos%2Fwoscc%2Ffull-record%2FWOS:000414755500014","View Full Record in Web of Science")</f>
        <v>View Full Record in Web of Science</v>
      </c>
    </row>
    <row r="99" ht="12.75" customHeight="1">
      <c r="A99" s="32" t="s">
        <v>26</v>
      </c>
      <c r="B99" s="32" t="s">
        <v>4749</v>
      </c>
      <c r="C99" s="32" t="s">
        <v>1324</v>
      </c>
      <c r="D99" s="32" t="s">
        <v>1324</v>
      </c>
      <c r="E99" s="32" t="s">
        <v>1324</v>
      </c>
      <c r="F99" s="32" t="s">
        <v>2120</v>
      </c>
      <c r="G99" s="32" t="s">
        <v>1324</v>
      </c>
      <c r="H99" s="32" t="s">
        <v>1324</v>
      </c>
      <c r="I99" s="32" t="s">
        <v>2121</v>
      </c>
      <c r="J99" s="32" t="s">
        <v>251</v>
      </c>
      <c r="K99" s="32" t="s">
        <v>1324</v>
      </c>
      <c r="L99" s="32" t="s">
        <v>1324</v>
      </c>
      <c r="M99" s="32" t="s">
        <v>2364</v>
      </c>
      <c r="N99" s="32" t="s">
        <v>38</v>
      </c>
      <c r="O99" s="32" t="s">
        <v>1324</v>
      </c>
      <c r="P99" s="32" t="s">
        <v>1324</v>
      </c>
      <c r="Q99" s="32" t="s">
        <v>1324</v>
      </c>
      <c r="R99" s="32" t="s">
        <v>1324</v>
      </c>
      <c r="S99" s="32" t="s">
        <v>1324</v>
      </c>
      <c r="T99" s="32" t="s">
        <v>4750</v>
      </c>
      <c r="U99" s="32" t="s">
        <v>4751</v>
      </c>
      <c r="V99" s="32" t="s">
        <v>2122</v>
      </c>
      <c r="W99" s="32" t="s">
        <v>4752</v>
      </c>
      <c r="X99" s="32" t="s">
        <v>4753</v>
      </c>
      <c r="Y99" s="32" t="s">
        <v>4754</v>
      </c>
      <c r="Z99" s="32" t="s">
        <v>4755</v>
      </c>
      <c r="AA99" s="32" t="s">
        <v>5223</v>
      </c>
      <c r="AB99" s="32" t="s">
        <v>5224</v>
      </c>
      <c r="AC99" s="32" t="s">
        <v>4758</v>
      </c>
      <c r="AD99" s="32" t="s">
        <v>4759</v>
      </c>
      <c r="AE99" s="32" t="s">
        <v>1324</v>
      </c>
      <c r="AF99" s="32" t="s">
        <v>1324</v>
      </c>
      <c r="AG99" s="32">
        <v>74.0</v>
      </c>
      <c r="AH99" s="32">
        <v>413.0</v>
      </c>
      <c r="AI99" s="32">
        <v>475.0</v>
      </c>
      <c r="AJ99" s="32">
        <v>6.0</v>
      </c>
      <c r="AK99" s="32">
        <v>285.0</v>
      </c>
      <c r="AL99" s="32" t="s">
        <v>2530</v>
      </c>
      <c r="AM99" s="32" t="s">
        <v>2509</v>
      </c>
      <c r="AN99" s="32" t="s">
        <v>2646</v>
      </c>
      <c r="AO99" s="32" t="s">
        <v>2939</v>
      </c>
      <c r="AP99" s="32" t="s">
        <v>2940</v>
      </c>
      <c r="AQ99" s="32" t="s">
        <v>1324</v>
      </c>
      <c r="AR99" s="32" t="s">
        <v>2941</v>
      </c>
      <c r="AS99" s="32" t="s">
        <v>2942</v>
      </c>
      <c r="AT99" s="32" t="s">
        <v>2557</v>
      </c>
      <c r="AU99" s="32">
        <v>2008.0</v>
      </c>
      <c r="AV99" s="32">
        <v>141.0</v>
      </c>
      <c r="AW99" s="32">
        <v>7.0</v>
      </c>
      <c r="AX99" s="32" t="s">
        <v>1324</v>
      </c>
      <c r="AY99" s="32" t="s">
        <v>1324</v>
      </c>
      <c r="AZ99" s="32" t="s">
        <v>1324</v>
      </c>
      <c r="BA99" s="32" t="s">
        <v>1324</v>
      </c>
      <c r="BB99" s="32">
        <v>1745.0</v>
      </c>
      <c r="BC99" s="32">
        <v>1757.0</v>
      </c>
      <c r="BD99" s="32" t="s">
        <v>1324</v>
      </c>
      <c r="BE99" s="32" t="s">
        <v>2123</v>
      </c>
      <c r="BF99" s="38" t="str">
        <f>HYPERLINK("http://dx.doi.org/10.1016/j.biocon.2008.04.024","http://dx.doi.org/10.1016/j.biocon.2008.04.024")</f>
        <v>http://dx.doi.org/10.1016/j.biocon.2008.04.024</v>
      </c>
      <c r="BG99" s="32" t="s">
        <v>1324</v>
      </c>
      <c r="BH99" s="32" t="s">
        <v>1324</v>
      </c>
      <c r="BI99" s="32">
        <v>13.0</v>
      </c>
      <c r="BJ99" s="32" t="s">
        <v>255</v>
      </c>
      <c r="BK99" s="32" t="s">
        <v>2407</v>
      </c>
      <c r="BL99" s="32" t="s">
        <v>2577</v>
      </c>
      <c r="BM99" s="32" t="s">
        <v>4760</v>
      </c>
      <c r="BN99" s="32" t="s">
        <v>1324</v>
      </c>
      <c r="BO99" s="32" t="s">
        <v>1324</v>
      </c>
      <c r="BP99" s="32" t="s">
        <v>1324</v>
      </c>
      <c r="BQ99" s="32" t="s">
        <v>1324</v>
      </c>
      <c r="BR99" s="32" t="s">
        <v>5042</v>
      </c>
      <c r="BS99" s="32" t="s">
        <v>4761</v>
      </c>
      <c r="BT99" s="32" t="s">
        <v>1329</v>
      </c>
      <c r="BU99" s="32" t="s">
        <v>1333</v>
      </c>
      <c r="BV99" s="32" t="s">
        <v>5051</v>
      </c>
      <c r="BW99" s="32" t="s">
        <v>1362</v>
      </c>
      <c r="BX99" s="32" t="s">
        <v>5044</v>
      </c>
      <c r="BY99" s="32" t="s">
        <v>1336</v>
      </c>
      <c r="BZ99" s="32" t="s">
        <v>1328</v>
      </c>
      <c r="CA99" s="32" t="s">
        <v>1328</v>
      </c>
      <c r="CB99" s="32" t="s">
        <v>1336</v>
      </c>
      <c r="CC99" s="32" t="s">
        <v>1336</v>
      </c>
      <c r="CD99" s="39" t="s">
        <v>5045</v>
      </c>
      <c r="CE99" s="32" t="s">
        <v>1350</v>
      </c>
      <c r="CF99" s="32" t="str">
        <f>HYPERLINK("https%3A%2F%2Fwww.webofscience.com%2Fwos%2Fwoscc%2Ffull-record%2FWOS:000258306300002","View Full Record in Web of Science")</f>
        <v>View Full Record in Web of Science</v>
      </c>
    </row>
    <row r="100" ht="12.75" customHeight="1">
      <c r="A100" s="32" t="s">
        <v>26</v>
      </c>
      <c r="B100" s="32" t="s">
        <v>3334</v>
      </c>
      <c r="C100" s="32" t="s">
        <v>1324</v>
      </c>
      <c r="D100" s="32" t="s">
        <v>1324</v>
      </c>
      <c r="E100" s="32" t="s">
        <v>1324</v>
      </c>
      <c r="F100" s="32" t="s">
        <v>2098</v>
      </c>
      <c r="G100" s="32" t="s">
        <v>1324</v>
      </c>
      <c r="H100" s="32" t="s">
        <v>1324</v>
      </c>
      <c r="I100" s="32" t="s">
        <v>2099</v>
      </c>
      <c r="J100" s="32" t="s">
        <v>251</v>
      </c>
      <c r="K100" s="32" t="s">
        <v>1324</v>
      </c>
      <c r="L100" s="32" t="s">
        <v>1324</v>
      </c>
      <c r="M100" s="32" t="s">
        <v>2364</v>
      </c>
      <c r="N100" s="32" t="s">
        <v>38</v>
      </c>
      <c r="O100" s="32" t="s">
        <v>1324</v>
      </c>
      <c r="P100" s="32" t="s">
        <v>1324</v>
      </c>
      <c r="Q100" s="32" t="s">
        <v>1324</v>
      </c>
      <c r="R100" s="32" t="s">
        <v>1324</v>
      </c>
      <c r="S100" s="32" t="s">
        <v>1324</v>
      </c>
      <c r="T100" s="32" t="s">
        <v>3335</v>
      </c>
      <c r="U100" s="32" t="s">
        <v>3336</v>
      </c>
      <c r="V100" s="32" t="s">
        <v>3337</v>
      </c>
      <c r="W100" s="32" t="s">
        <v>3338</v>
      </c>
      <c r="X100" s="32" t="s">
        <v>3339</v>
      </c>
      <c r="Y100" s="32" t="s">
        <v>3340</v>
      </c>
      <c r="Z100" s="32" t="s">
        <v>3341</v>
      </c>
      <c r="AA100" s="32" t="s">
        <v>5225</v>
      </c>
      <c r="AB100" s="32" t="s">
        <v>5226</v>
      </c>
      <c r="AC100" s="32" t="s">
        <v>3344</v>
      </c>
      <c r="AD100" s="32" t="s">
        <v>3344</v>
      </c>
      <c r="AE100" s="32" t="s">
        <v>3345</v>
      </c>
      <c r="AF100" s="32" t="s">
        <v>1324</v>
      </c>
      <c r="AG100" s="32">
        <v>40.0</v>
      </c>
      <c r="AH100" s="32">
        <v>52.0</v>
      </c>
      <c r="AI100" s="32">
        <v>55.0</v>
      </c>
      <c r="AJ100" s="32">
        <v>2.0</v>
      </c>
      <c r="AK100" s="32">
        <v>67.0</v>
      </c>
      <c r="AL100" s="32" t="s">
        <v>2530</v>
      </c>
      <c r="AM100" s="32" t="s">
        <v>2531</v>
      </c>
      <c r="AN100" s="32" t="s">
        <v>2532</v>
      </c>
      <c r="AO100" s="32" t="s">
        <v>2939</v>
      </c>
      <c r="AP100" s="32" t="s">
        <v>2940</v>
      </c>
      <c r="AQ100" s="32" t="s">
        <v>1324</v>
      </c>
      <c r="AR100" s="32" t="s">
        <v>2941</v>
      </c>
      <c r="AS100" s="32" t="s">
        <v>2942</v>
      </c>
      <c r="AT100" s="32" t="s">
        <v>2515</v>
      </c>
      <c r="AU100" s="32">
        <v>2016.0</v>
      </c>
      <c r="AV100" s="32">
        <v>200.0</v>
      </c>
      <c r="AW100" s="32" t="s">
        <v>1324</v>
      </c>
      <c r="AX100" s="32" t="s">
        <v>1324</v>
      </c>
      <c r="AY100" s="32" t="s">
        <v>1324</v>
      </c>
      <c r="AZ100" s="32" t="s">
        <v>1324</v>
      </c>
      <c r="BA100" s="32" t="s">
        <v>1324</v>
      </c>
      <c r="BB100" s="32">
        <v>44.0</v>
      </c>
      <c r="BC100" s="32">
        <v>50.0</v>
      </c>
      <c r="BD100" s="32" t="s">
        <v>1324</v>
      </c>
      <c r="BE100" s="32" t="s">
        <v>2101</v>
      </c>
      <c r="BF100" s="38" t="str">
        <f>HYPERLINK("http://dx.doi.org/10.1016/j.biocon.2016.05.031","http://dx.doi.org/10.1016/j.biocon.2016.05.031")</f>
        <v>http://dx.doi.org/10.1016/j.biocon.2016.05.031</v>
      </c>
      <c r="BG100" s="32" t="s">
        <v>1324</v>
      </c>
      <c r="BH100" s="32" t="s">
        <v>1324</v>
      </c>
      <c r="BI100" s="32">
        <v>7.0</v>
      </c>
      <c r="BJ100" s="32" t="s">
        <v>255</v>
      </c>
      <c r="BK100" s="32" t="s">
        <v>2407</v>
      </c>
      <c r="BL100" s="32" t="s">
        <v>2577</v>
      </c>
      <c r="BM100" s="32" t="s">
        <v>3346</v>
      </c>
      <c r="BN100" s="32" t="s">
        <v>1324</v>
      </c>
      <c r="BO100" s="32" t="s">
        <v>2944</v>
      </c>
      <c r="BP100" s="32" t="s">
        <v>1324</v>
      </c>
      <c r="BQ100" s="32" t="s">
        <v>1324</v>
      </c>
      <c r="BR100" s="32" t="s">
        <v>5042</v>
      </c>
      <c r="BS100" s="32" t="s">
        <v>3347</v>
      </c>
      <c r="BT100" s="32" t="s">
        <v>1329</v>
      </c>
      <c r="BU100" s="32" t="s">
        <v>1333</v>
      </c>
      <c r="BV100" s="32" t="s">
        <v>5066</v>
      </c>
      <c r="BW100" s="32" t="s">
        <v>1464</v>
      </c>
      <c r="BX100" s="32" t="s">
        <v>5049</v>
      </c>
      <c r="BY100" s="32" t="s">
        <v>1336</v>
      </c>
      <c r="BZ100" s="32" t="s">
        <v>1328</v>
      </c>
      <c r="CA100" s="32" t="s">
        <v>1336</v>
      </c>
      <c r="CB100" s="32" t="s">
        <v>1336</v>
      </c>
      <c r="CC100" s="32" t="s">
        <v>1328</v>
      </c>
      <c r="CD100" s="39" t="s">
        <v>5110</v>
      </c>
      <c r="CE100" s="32" t="s">
        <v>1404</v>
      </c>
      <c r="CF100" s="32" t="str">
        <f>HYPERLINK("https%3A%2F%2Fwww.webofscience.com%2Fwos%2Fwoscc%2Ffull-record%2FWOS:000381325300006","View Full Record in Web of Science")</f>
        <v>View Full Record in Web of Science</v>
      </c>
    </row>
    <row r="101" ht="12.75" customHeight="1">
      <c r="A101" s="32" t="s">
        <v>26</v>
      </c>
      <c r="B101" s="32" t="s">
        <v>2946</v>
      </c>
      <c r="C101" s="32" t="s">
        <v>1324</v>
      </c>
      <c r="D101" s="32" t="s">
        <v>1324</v>
      </c>
      <c r="E101" s="32" t="s">
        <v>1324</v>
      </c>
      <c r="F101" s="32" t="s">
        <v>1539</v>
      </c>
      <c r="G101" s="32" t="s">
        <v>1324</v>
      </c>
      <c r="H101" s="32" t="s">
        <v>1324</v>
      </c>
      <c r="I101" s="32" t="s">
        <v>1541</v>
      </c>
      <c r="J101" s="32" t="s">
        <v>1540</v>
      </c>
      <c r="K101" s="32" t="s">
        <v>1324</v>
      </c>
      <c r="L101" s="32" t="s">
        <v>1324</v>
      </c>
      <c r="M101" s="32" t="s">
        <v>2364</v>
      </c>
      <c r="N101" s="32" t="s">
        <v>38</v>
      </c>
      <c r="O101" s="32" t="s">
        <v>1324</v>
      </c>
      <c r="P101" s="32" t="s">
        <v>1324</v>
      </c>
      <c r="Q101" s="32" t="s">
        <v>1324</v>
      </c>
      <c r="R101" s="32" t="s">
        <v>1324</v>
      </c>
      <c r="S101" s="32" t="s">
        <v>1324</v>
      </c>
      <c r="T101" s="32" t="s">
        <v>2947</v>
      </c>
      <c r="U101" s="32" t="s">
        <v>2948</v>
      </c>
      <c r="V101" s="32" t="s">
        <v>2949</v>
      </c>
      <c r="W101" s="32" t="s">
        <v>2950</v>
      </c>
      <c r="X101" s="32" t="s">
        <v>2951</v>
      </c>
      <c r="Y101" s="32" t="s">
        <v>2952</v>
      </c>
      <c r="Z101" s="32" t="s">
        <v>2953</v>
      </c>
      <c r="AA101" s="32" t="s">
        <v>5227</v>
      </c>
      <c r="AB101" s="32" t="s">
        <v>5228</v>
      </c>
      <c r="AC101" s="32" t="s">
        <v>2956</v>
      </c>
      <c r="AD101" s="32" t="s">
        <v>2957</v>
      </c>
      <c r="AE101" s="32" t="s">
        <v>2958</v>
      </c>
      <c r="AF101" s="32" t="s">
        <v>1324</v>
      </c>
      <c r="AG101" s="32">
        <v>72.0</v>
      </c>
      <c r="AH101" s="32">
        <v>45.0</v>
      </c>
      <c r="AI101" s="32">
        <v>48.0</v>
      </c>
      <c r="AJ101" s="32">
        <v>4.0</v>
      </c>
      <c r="AK101" s="32">
        <v>113.0</v>
      </c>
      <c r="AL101" s="32" t="s">
        <v>2464</v>
      </c>
      <c r="AM101" s="32" t="s">
        <v>2465</v>
      </c>
      <c r="AN101" s="32" t="s">
        <v>2466</v>
      </c>
      <c r="AO101" s="32" t="s">
        <v>2959</v>
      </c>
      <c r="AP101" s="32" t="s">
        <v>2960</v>
      </c>
      <c r="AQ101" s="32" t="s">
        <v>1324</v>
      </c>
      <c r="AR101" s="32" t="s">
        <v>2961</v>
      </c>
      <c r="AS101" s="32" t="s">
        <v>2962</v>
      </c>
      <c r="AT101" s="32" t="s">
        <v>2927</v>
      </c>
      <c r="AU101" s="32">
        <v>2017.0</v>
      </c>
      <c r="AV101" s="32">
        <v>28.0</v>
      </c>
      <c r="AW101" s="32">
        <v>6.0</v>
      </c>
      <c r="AX101" s="32" t="s">
        <v>1324</v>
      </c>
      <c r="AY101" s="32" t="s">
        <v>1324</v>
      </c>
      <c r="AZ101" s="32" t="s">
        <v>1324</v>
      </c>
      <c r="BA101" s="32" t="s">
        <v>1324</v>
      </c>
      <c r="BB101" s="32">
        <v>1220.0</v>
      </c>
      <c r="BC101" s="32">
        <v>1229.0</v>
      </c>
      <c r="BD101" s="32" t="s">
        <v>1324</v>
      </c>
      <c r="BE101" s="32" t="s">
        <v>1543</v>
      </c>
      <c r="BF101" s="38" t="str">
        <f>HYPERLINK("http://dx.doi.org/10.1111/jvs.12579","http://dx.doi.org/10.1111/jvs.12579")</f>
        <v>http://dx.doi.org/10.1111/jvs.12579</v>
      </c>
      <c r="BG101" s="32" t="s">
        <v>1324</v>
      </c>
      <c r="BH101" s="32" t="s">
        <v>1324</v>
      </c>
      <c r="BI101" s="32">
        <v>10.0</v>
      </c>
      <c r="BJ101" s="32" t="s">
        <v>2963</v>
      </c>
      <c r="BK101" s="32" t="s">
        <v>2407</v>
      </c>
      <c r="BL101" s="32" t="s">
        <v>2964</v>
      </c>
      <c r="BM101" s="32" t="s">
        <v>2965</v>
      </c>
      <c r="BN101" s="32" t="s">
        <v>1324</v>
      </c>
      <c r="BO101" s="32" t="s">
        <v>1324</v>
      </c>
      <c r="BP101" s="32" t="s">
        <v>1324</v>
      </c>
      <c r="BQ101" s="32" t="s">
        <v>1324</v>
      </c>
      <c r="BR101" s="32" t="s">
        <v>5042</v>
      </c>
      <c r="BS101" s="32" t="s">
        <v>2966</v>
      </c>
      <c r="BT101" s="32" t="s">
        <v>1329</v>
      </c>
      <c r="BU101" s="32" t="s">
        <v>1333</v>
      </c>
      <c r="BV101" s="32" t="s">
        <v>5066</v>
      </c>
      <c r="BW101" s="32" t="s">
        <v>1362</v>
      </c>
      <c r="BX101" s="32" t="s">
        <v>5044</v>
      </c>
      <c r="BY101" s="32" t="s">
        <v>1328</v>
      </c>
      <c r="BZ101" s="32" t="s">
        <v>1328</v>
      </c>
      <c r="CA101" s="32" t="s">
        <v>1336</v>
      </c>
      <c r="CB101" s="32" t="s">
        <v>1336</v>
      </c>
      <c r="CC101" s="32" t="s">
        <v>1328</v>
      </c>
      <c r="CD101" s="39" t="s">
        <v>5086</v>
      </c>
      <c r="CE101" s="32" t="s">
        <v>1404</v>
      </c>
      <c r="CF101" s="32" t="str">
        <f>HYPERLINK("https%3A%2F%2Fwww.webofscience.com%2Fwos%2Fwoscc%2Ffull-record%2FWOS:000423189400012","View Full Record in Web of Science")</f>
        <v>View Full Record in Web of Science</v>
      </c>
    </row>
    <row r="102" ht="12.75" customHeight="1">
      <c r="A102" s="32" t="s">
        <v>26</v>
      </c>
      <c r="B102" s="32" t="s">
        <v>4078</v>
      </c>
      <c r="C102" s="32" t="s">
        <v>1324</v>
      </c>
      <c r="D102" s="32" t="s">
        <v>1324</v>
      </c>
      <c r="E102" s="32" t="s">
        <v>1324</v>
      </c>
      <c r="F102" s="32" t="s">
        <v>1757</v>
      </c>
      <c r="G102" s="32" t="s">
        <v>1324</v>
      </c>
      <c r="H102" s="32" t="s">
        <v>1324</v>
      </c>
      <c r="I102" s="32" t="s">
        <v>1758</v>
      </c>
      <c r="J102" s="32" t="s">
        <v>318</v>
      </c>
      <c r="K102" s="32" t="s">
        <v>1324</v>
      </c>
      <c r="L102" s="32" t="s">
        <v>1324</v>
      </c>
      <c r="M102" s="32" t="s">
        <v>2364</v>
      </c>
      <c r="N102" s="32" t="s">
        <v>38</v>
      </c>
      <c r="O102" s="32" t="s">
        <v>1324</v>
      </c>
      <c r="P102" s="32" t="s">
        <v>1324</v>
      </c>
      <c r="Q102" s="32" t="s">
        <v>1324</v>
      </c>
      <c r="R102" s="32" t="s">
        <v>1324</v>
      </c>
      <c r="S102" s="32" t="s">
        <v>1324</v>
      </c>
      <c r="T102" s="32" t="s">
        <v>4079</v>
      </c>
      <c r="U102" s="32" t="s">
        <v>4080</v>
      </c>
      <c r="V102" s="32" t="s">
        <v>1759</v>
      </c>
      <c r="W102" s="32" t="s">
        <v>4081</v>
      </c>
      <c r="X102" s="32" t="s">
        <v>4082</v>
      </c>
      <c r="Y102" s="32" t="s">
        <v>4083</v>
      </c>
      <c r="Z102" s="32" t="s">
        <v>4084</v>
      </c>
      <c r="AA102" s="32" t="s">
        <v>5229</v>
      </c>
      <c r="AB102" s="32" t="s">
        <v>4086</v>
      </c>
      <c r="AC102" s="32" t="s">
        <v>1324</v>
      </c>
      <c r="AD102" s="32" t="s">
        <v>1324</v>
      </c>
      <c r="AE102" s="32" t="s">
        <v>1324</v>
      </c>
      <c r="AF102" s="32" t="s">
        <v>1324</v>
      </c>
      <c r="AG102" s="32">
        <v>56.0</v>
      </c>
      <c r="AH102" s="32">
        <v>47.0</v>
      </c>
      <c r="AI102" s="32">
        <v>58.0</v>
      </c>
      <c r="AJ102" s="32">
        <v>0.0</v>
      </c>
      <c r="AK102" s="32">
        <v>11.0</v>
      </c>
      <c r="AL102" s="32" t="s">
        <v>2590</v>
      </c>
      <c r="AM102" s="32" t="s">
        <v>2591</v>
      </c>
      <c r="AN102" s="32" t="s">
        <v>2592</v>
      </c>
      <c r="AO102" s="32" t="s">
        <v>2593</v>
      </c>
      <c r="AP102" s="32" t="s">
        <v>1324</v>
      </c>
      <c r="AQ102" s="32" t="s">
        <v>1324</v>
      </c>
      <c r="AR102" s="32" t="s">
        <v>2594</v>
      </c>
      <c r="AS102" s="32" t="s">
        <v>2595</v>
      </c>
      <c r="AT102" s="32" t="s">
        <v>4087</v>
      </c>
      <c r="AU102" s="32">
        <v>2013.0</v>
      </c>
      <c r="AV102" s="32">
        <v>8.0</v>
      </c>
      <c r="AW102" s="32">
        <v>2.0</v>
      </c>
      <c r="AX102" s="32" t="s">
        <v>1324</v>
      </c>
      <c r="AY102" s="32" t="s">
        <v>1324</v>
      </c>
      <c r="AZ102" s="32" t="s">
        <v>1324</v>
      </c>
      <c r="BA102" s="32" t="s">
        <v>1324</v>
      </c>
      <c r="BB102" s="32" t="s">
        <v>1324</v>
      </c>
      <c r="BC102" s="32" t="s">
        <v>1324</v>
      </c>
      <c r="BD102" s="32">
        <v>24034.0</v>
      </c>
      <c r="BE102" s="32" t="s">
        <v>1760</v>
      </c>
      <c r="BF102" s="38" t="str">
        <f>HYPERLINK("http://dx.doi.org/10.1088/1748-9326/8/2/024034","http://dx.doi.org/10.1088/1748-9326/8/2/024034")</f>
        <v>http://dx.doi.org/10.1088/1748-9326/8/2/024034</v>
      </c>
      <c r="BG102" s="32" t="s">
        <v>1324</v>
      </c>
      <c r="BH102" s="32" t="s">
        <v>1324</v>
      </c>
      <c r="BI102" s="32">
        <v>13.0</v>
      </c>
      <c r="BJ102" s="32" t="s">
        <v>322</v>
      </c>
      <c r="BK102" s="32" t="s">
        <v>2407</v>
      </c>
      <c r="BL102" s="32" t="s">
        <v>2596</v>
      </c>
      <c r="BM102" s="32" t="s">
        <v>4088</v>
      </c>
      <c r="BN102" s="32" t="s">
        <v>1324</v>
      </c>
      <c r="BO102" s="32" t="s">
        <v>2598</v>
      </c>
      <c r="BP102" s="32" t="s">
        <v>1324</v>
      </c>
      <c r="BQ102" s="32" t="s">
        <v>1324</v>
      </c>
      <c r="BR102" s="32" t="s">
        <v>5042</v>
      </c>
      <c r="BS102" s="32" t="s">
        <v>4089</v>
      </c>
      <c r="BT102" s="32" t="s">
        <v>1329</v>
      </c>
      <c r="BU102" s="32" t="s">
        <v>1333</v>
      </c>
      <c r="BV102" s="32" t="s">
        <v>5043</v>
      </c>
      <c r="BW102" s="32" t="s">
        <v>1362</v>
      </c>
      <c r="BX102" s="32" t="s">
        <v>5044</v>
      </c>
      <c r="BY102" s="32" t="s">
        <v>1336</v>
      </c>
      <c r="BZ102" s="32" t="s">
        <v>1328</v>
      </c>
      <c r="CA102" s="32" t="s">
        <v>1328</v>
      </c>
      <c r="CB102" s="32" t="s">
        <v>1328</v>
      </c>
      <c r="CC102" s="32" t="s">
        <v>1336</v>
      </c>
      <c r="CD102" s="39" t="s">
        <v>5230</v>
      </c>
      <c r="CE102" s="32" t="s">
        <v>1350</v>
      </c>
      <c r="CF102" s="32" t="str">
        <f>HYPERLINK("https%3A%2F%2Fwww.webofscience.com%2Fwos%2Fwoscc%2Ffull-record%2FWOS:000321425100038","View Full Record in Web of Science")</f>
        <v>View Full Record in Web of Science</v>
      </c>
    </row>
    <row r="103" ht="12.75" customHeight="1">
      <c r="A103" s="32" t="s">
        <v>26</v>
      </c>
      <c r="B103" s="32" t="s">
        <v>4805</v>
      </c>
      <c r="C103" s="32" t="s">
        <v>1324</v>
      </c>
      <c r="D103" s="32" t="s">
        <v>1324</v>
      </c>
      <c r="E103" s="32" t="s">
        <v>1324</v>
      </c>
      <c r="F103" s="32" t="s">
        <v>1762</v>
      </c>
      <c r="G103" s="32" t="s">
        <v>1324</v>
      </c>
      <c r="H103" s="32" t="s">
        <v>1324</v>
      </c>
      <c r="I103" s="32" t="s">
        <v>1764</v>
      </c>
      <c r="J103" s="32" t="s">
        <v>1763</v>
      </c>
      <c r="K103" s="32" t="s">
        <v>1324</v>
      </c>
      <c r="L103" s="32" t="s">
        <v>1324</v>
      </c>
      <c r="M103" s="32" t="s">
        <v>2364</v>
      </c>
      <c r="N103" s="32" t="s">
        <v>38</v>
      </c>
      <c r="O103" s="32" t="s">
        <v>1324</v>
      </c>
      <c r="P103" s="32" t="s">
        <v>1324</v>
      </c>
      <c r="Q103" s="32" t="s">
        <v>1324</v>
      </c>
      <c r="R103" s="32" t="s">
        <v>1324</v>
      </c>
      <c r="S103" s="32" t="s">
        <v>1324</v>
      </c>
      <c r="T103" s="32" t="s">
        <v>4806</v>
      </c>
      <c r="U103" s="32" t="s">
        <v>4807</v>
      </c>
      <c r="V103" s="32" t="s">
        <v>1765</v>
      </c>
      <c r="W103" s="32" t="s">
        <v>4808</v>
      </c>
      <c r="X103" s="32" t="s">
        <v>4809</v>
      </c>
      <c r="Y103" s="32" t="s">
        <v>4810</v>
      </c>
      <c r="Z103" s="32" t="s">
        <v>4811</v>
      </c>
      <c r="AA103" s="32" t="s">
        <v>5231</v>
      </c>
      <c r="AB103" s="32" t="s">
        <v>4813</v>
      </c>
      <c r="AC103" s="32" t="s">
        <v>1324</v>
      </c>
      <c r="AD103" s="32" t="s">
        <v>1324</v>
      </c>
      <c r="AE103" s="32" t="s">
        <v>1324</v>
      </c>
      <c r="AF103" s="32" t="s">
        <v>1324</v>
      </c>
      <c r="AG103" s="32">
        <v>45.0</v>
      </c>
      <c r="AH103" s="32">
        <v>19.0</v>
      </c>
      <c r="AI103" s="32">
        <v>24.0</v>
      </c>
      <c r="AJ103" s="32">
        <v>0.0</v>
      </c>
      <c r="AK103" s="32">
        <v>49.0</v>
      </c>
      <c r="AL103" s="32" t="s">
        <v>3181</v>
      </c>
      <c r="AM103" s="32" t="s">
        <v>3182</v>
      </c>
      <c r="AN103" s="32" t="s">
        <v>4814</v>
      </c>
      <c r="AO103" s="32" t="s">
        <v>4815</v>
      </c>
      <c r="AP103" s="32" t="s">
        <v>1324</v>
      </c>
      <c r="AQ103" s="32" t="s">
        <v>1324</v>
      </c>
      <c r="AR103" s="32" t="s">
        <v>4816</v>
      </c>
      <c r="AS103" s="32" t="s">
        <v>4817</v>
      </c>
      <c r="AT103" s="32" t="s">
        <v>4087</v>
      </c>
      <c r="AU103" s="32">
        <v>2007.0</v>
      </c>
      <c r="AV103" s="32">
        <v>10.0</v>
      </c>
      <c r="AW103" s="32">
        <v>2.0</v>
      </c>
      <c r="AX103" s="32" t="s">
        <v>1324</v>
      </c>
      <c r="AY103" s="32" t="s">
        <v>1324</v>
      </c>
      <c r="AZ103" s="32" t="s">
        <v>1324</v>
      </c>
      <c r="BA103" s="32" t="s">
        <v>1324</v>
      </c>
      <c r="BB103" s="32">
        <v>140.0</v>
      </c>
      <c r="BC103" s="32">
        <v>152.0</v>
      </c>
      <c r="BD103" s="32" t="s">
        <v>1324</v>
      </c>
      <c r="BE103" s="32" t="s">
        <v>1766</v>
      </c>
      <c r="BF103" s="38" t="str">
        <f>HYPERLINK("http://dx.doi.org/10.1080/14634980701350686","http://dx.doi.org/10.1080/14634980701350686")</f>
        <v>http://dx.doi.org/10.1080/14634980701350686</v>
      </c>
      <c r="BG103" s="32" t="s">
        <v>1324</v>
      </c>
      <c r="BH103" s="32" t="s">
        <v>1324</v>
      </c>
      <c r="BI103" s="32">
        <v>13.0</v>
      </c>
      <c r="BJ103" s="32" t="s">
        <v>4818</v>
      </c>
      <c r="BK103" s="32" t="s">
        <v>2407</v>
      </c>
      <c r="BL103" s="32" t="s">
        <v>2820</v>
      </c>
      <c r="BM103" s="32" t="s">
        <v>4819</v>
      </c>
      <c r="BN103" s="32" t="s">
        <v>1324</v>
      </c>
      <c r="BO103" s="32" t="s">
        <v>1324</v>
      </c>
      <c r="BP103" s="32" t="s">
        <v>1324</v>
      </c>
      <c r="BQ103" s="32" t="s">
        <v>1324</v>
      </c>
      <c r="BR103" s="32" t="s">
        <v>5042</v>
      </c>
      <c r="BS103" s="32" t="s">
        <v>4820</v>
      </c>
      <c r="BT103" s="32" t="s">
        <v>1443</v>
      </c>
      <c r="BU103" s="32" t="s">
        <v>1360</v>
      </c>
      <c r="BV103" s="32" t="s">
        <v>5051</v>
      </c>
      <c r="BW103" s="32" t="s">
        <v>1530</v>
      </c>
      <c r="BX103" s="32" t="s">
        <v>5078</v>
      </c>
      <c r="BY103" s="32" t="s">
        <v>1336</v>
      </c>
      <c r="BZ103" s="32" t="s">
        <v>1328</v>
      </c>
      <c r="CA103" s="32" t="s">
        <v>1328</v>
      </c>
      <c r="CB103" s="32" t="s">
        <v>1328</v>
      </c>
      <c r="CC103" s="32" t="s">
        <v>1328</v>
      </c>
      <c r="CD103" s="39" t="s">
        <v>5217</v>
      </c>
      <c r="CE103" s="32" t="s">
        <v>1395</v>
      </c>
      <c r="CF103" s="32" t="str">
        <f>HYPERLINK("https%3A%2F%2Fwww.webofscience.com%2Fwos%2Fwoscc%2Ffull-record%2FWOS:000247870000003","View Full Record in Web of Science")</f>
        <v>View Full Record in Web of Science</v>
      </c>
    </row>
    <row r="104" ht="12.75" customHeight="1">
      <c r="A104" s="32" t="s">
        <v>26</v>
      </c>
      <c r="B104" s="32" t="s">
        <v>3408</v>
      </c>
      <c r="C104" s="32" t="s">
        <v>1324</v>
      </c>
      <c r="D104" s="32" t="s">
        <v>1324</v>
      </c>
      <c r="E104" s="32" t="s">
        <v>1324</v>
      </c>
      <c r="F104" s="32" t="s">
        <v>2215</v>
      </c>
      <c r="G104" s="32" t="s">
        <v>1324</v>
      </c>
      <c r="H104" s="32" t="s">
        <v>1324</v>
      </c>
      <c r="I104" s="32" t="s">
        <v>2216</v>
      </c>
      <c r="J104" s="32" t="s">
        <v>1824</v>
      </c>
      <c r="K104" s="32" t="s">
        <v>1324</v>
      </c>
      <c r="L104" s="32" t="s">
        <v>1324</v>
      </c>
      <c r="M104" s="32" t="s">
        <v>2364</v>
      </c>
      <c r="N104" s="32" t="s">
        <v>38</v>
      </c>
      <c r="O104" s="32" t="s">
        <v>1324</v>
      </c>
      <c r="P104" s="32" t="s">
        <v>1324</v>
      </c>
      <c r="Q104" s="32" t="s">
        <v>1324</v>
      </c>
      <c r="R104" s="32" t="s">
        <v>1324</v>
      </c>
      <c r="S104" s="32" t="s">
        <v>1324</v>
      </c>
      <c r="T104" s="32" t="s">
        <v>3409</v>
      </c>
      <c r="U104" s="32" t="s">
        <v>3410</v>
      </c>
      <c r="V104" s="32" t="s">
        <v>2217</v>
      </c>
      <c r="W104" s="32" t="s">
        <v>3411</v>
      </c>
      <c r="X104" s="32" t="s">
        <v>3412</v>
      </c>
      <c r="Y104" s="32" t="s">
        <v>3413</v>
      </c>
      <c r="Z104" s="32" t="s">
        <v>3414</v>
      </c>
      <c r="AA104" s="32" t="s">
        <v>5232</v>
      </c>
      <c r="AB104" s="32" t="s">
        <v>5233</v>
      </c>
      <c r="AC104" s="32" t="s">
        <v>1324</v>
      </c>
      <c r="AD104" s="32" t="s">
        <v>1324</v>
      </c>
      <c r="AE104" s="32" t="s">
        <v>1324</v>
      </c>
      <c r="AF104" s="32" t="s">
        <v>1324</v>
      </c>
      <c r="AG104" s="32">
        <v>77.0</v>
      </c>
      <c r="AH104" s="32">
        <v>164.0</v>
      </c>
      <c r="AI104" s="32">
        <v>183.0</v>
      </c>
      <c r="AJ104" s="32">
        <v>2.0</v>
      </c>
      <c r="AK104" s="32">
        <v>127.0</v>
      </c>
      <c r="AL104" s="32" t="s">
        <v>3250</v>
      </c>
      <c r="AM104" s="32" t="s">
        <v>3251</v>
      </c>
      <c r="AN104" s="32" t="s">
        <v>3252</v>
      </c>
      <c r="AO104" s="32" t="s">
        <v>3253</v>
      </c>
      <c r="AP104" s="32" t="s">
        <v>3254</v>
      </c>
      <c r="AQ104" s="32" t="s">
        <v>1324</v>
      </c>
      <c r="AR104" s="32" t="s">
        <v>3255</v>
      </c>
      <c r="AS104" s="32" t="s">
        <v>3256</v>
      </c>
      <c r="AT104" s="32" t="s">
        <v>2818</v>
      </c>
      <c r="AU104" s="32">
        <v>2016.0</v>
      </c>
      <c r="AV104" s="32">
        <v>25.0</v>
      </c>
      <c r="AW104" s="32">
        <v>2.0</v>
      </c>
      <c r="AX104" s="32" t="s">
        <v>1324</v>
      </c>
      <c r="AY104" s="32" t="s">
        <v>1324</v>
      </c>
      <c r="AZ104" s="32" t="s">
        <v>1324</v>
      </c>
      <c r="BA104" s="32" t="s">
        <v>1324</v>
      </c>
      <c r="BB104" s="32">
        <v>205.0</v>
      </c>
      <c r="BC104" s="32">
        <v>223.0</v>
      </c>
      <c r="BD104" s="32" t="s">
        <v>1324</v>
      </c>
      <c r="BE104" s="32" t="s">
        <v>2218</v>
      </c>
      <c r="BF104" s="38" t="str">
        <f>HYPERLINK("http://dx.doi.org/10.1007/s10531-015-1036-z","http://dx.doi.org/10.1007/s10531-015-1036-z")</f>
        <v>http://dx.doi.org/10.1007/s10531-015-1036-z</v>
      </c>
      <c r="BG104" s="32" t="s">
        <v>1324</v>
      </c>
      <c r="BH104" s="32" t="s">
        <v>1324</v>
      </c>
      <c r="BI104" s="32">
        <v>19.0</v>
      </c>
      <c r="BJ104" s="32" t="s">
        <v>255</v>
      </c>
      <c r="BK104" s="32" t="s">
        <v>2878</v>
      </c>
      <c r="BL104" s="32" t="s">
        <v>2577</v>
      </c>
      <c r="BM104" s="32" t="s">
        <v>3417</v>
      </c>
      <c r="BN104" s="32" t="s">
        <v>1324</v>
      </c>
      <c r="BO104" s="32" t="s">
        <v>1324</v>
      </c>
      <c r="BP104" s="32" t="s">
        <v>1324</v>
      </c>
      <c r="BQ104" s="32" t="s">
        <v>1324</v>
      </c>
      <c r="BR104" s="32" t="s">
        <v>5042</v>
      </c>
      <c r="BS104" s="32" t="s">
        <v>3418</v>
      </c>
      <c r="BT104" s="32" t="s">
        <v>1443</v>
      </c>
      <c r="BU104" s="32" t="s">
        <v>1444</v>
      </c>
      <c r="BV104" s="32" t="s">
        <v>5048</v>
      </c>
      <c r="BW104" s="32" t="s">
        <v>1446</v>
      </c>
      <c r="BX104" s="32" t="s">
        <v>5106</v>
      </c>
      <c r="BY104" s="32" t="s">
        <v>1328</v>
      </c>
      <c r="BZ104" s="32" t="s">
        <v>1328</v>
      </c>
      <c r="CA104" s="32" t="s">
        <v>1328</v>
      </c>
      <c r="CB104" s="32" t="s">
        <v>1328</v>
      </c>
      <c r="CC104" s="32" t="s">
        <v>1328</v>
      </c>
      <c r="CD104" s="39" t="s">
        <v>5107</v>
      </c>
      <c r="CE104" s="32" t="s">
        <v>1395</v>
      </c>
      <c r="CF104" s="32" t="str">
        <f>HYPERLINK("https%3A%2F%2Fwww.webofscience.com%2Fwos%2Fwoscc%2Ffull-record%2FWOS:000370137100001","View Full Record in Web of Science")</f>
        <v>View Full Record in Web of Science</v>
      </c>
    </row>
    <row r="105" ht="12.75" customHeight="1">
      <c r="A105" s="32" t="s">
        <v>26</v>
      </c>
      <c r="B105" s="32" t="s">
        <v>3173</v>
      </c>
      <c r="C105" s="32" t="s">
        <v>1324</v>
      </c>
      <c r="D105" s="32" t="s">
        <v>1324</v>
      </c>
      <c r="E105" s="32" t="s">
        <v>1324</v>
      </c>
      <c r="F105" s="32" t="s">
        <v>1768</v>
      </c>
      <c r="G105" s="32" t="s">
        <v>1324</v>
      </c>
      <c r="H105" s="32" t="s">
        <v>1324</v>
      </c>
      <c r="I105" s="32" t="s">
        <v>1770</v>
      </c>
      <c r="J105" s="32" t="s">
        <v>1769</v>
      </c>
      <c r="K105" s="32" t="s">
        <v>1324</v>
      </c>
      <c r="L105" s="32" t="s">
        <v>1324</v>
      </c>
      <c r="M105" s="32" t="s">
        <v>2364</v>
      </c>
      <c r="N105" s="32" t="s">
        <v>38</v>
      </c>
      <c r="O105" s="32" t="s">
        <v>1324</v>
      </c>
      <c r="P105" s="32" t="s">
        <v>1324</v>
      </c>
      <c r="Q105" s="32" t="s">
        <v>1324</v>
      </c>
      <c r="R105" s="32" t="s">
        <v>1324</v>
      </c>
      <c r="S105" s="32" t="s">
        <v>1324</v>
      </c>
      <c r="T105" s="32" t="s">
        <v>3174</v>
      </c>
      <c r="U105" s="32" t="s">
        <v>3175</v>
      </c>
      <c r="V105" s="32" t="s">
        <v>1771</v>
      </c>
      <c r="W105" s="32" t="s">
        <v>3176</v>
      </c>
      <c r="X105" s="32" t="s">
        <v>1324</v>
      </c>
      <c r="Y105" s="32" t="s">
        <v>3177</v>
      </c>
      <c r="Z105" s="32" t="s">
        <v>3178</v>
      </c>
      <c r="AA105" s="32" t="s">
        <v>1324</v>
      </c>
      <c r="AB105" s="32" t="s">
        <v>1324</v>
      </c>
      <c r="AC105" s="32" t="s">
        <v>3179</v>
      </c>
      <c r="AD105" s="32" t="s">
        <v>3179</v>
      </c>
      <c r="AE105" s="32" t="s">
        <v>3180</v>
      </c>
      <c r="AF105" s="32" t="s">
        <v>1324</v>
      </c>
      <c r="AG105" s="32">
        <v>72.0</v>
      </c>
      <c r="AH105" s="32">
        <v>12.0</v>
      </c>
      <c r="AI105" s="32">
        <v>12.0</v>
      </c>
      <c r="AJ105" s="32">
        <v>1.0</v>
      </c>
      <c r="AK105" s="32">
        <v>34.0</v>
      </c>
      <c r="AL105" s="32" t="s">
        <v>3181</v>
      </c>
      <c r="AM105" s="32" t="s">
        <v>3182</v>
      </c>
      <c r="AN105" s="32" t="s">
        <v>3183</v>
      </c>
      <c r="AO105" s="32" t="s">
        <v>3184</v>
      </c>
      <c r="AP105" s="32" t="s">
        <v>3185</v>
      </c>
      <c r="AQ105" s="32" t="s">
        <v>1324</v>
      </c>
      <c r="AR105" s="32" t="s">
        <v>3186</v>
      </c>
      <c r="AS105" s="32" t="s">
        <v>3187</v>
      </c>
      <c r="AT105" s="32" t="s">
        <v>1324</v>
      </c>
      <c r="AU105" s="32">
        <v>2017.0</v>
      </c>
      <c r="AV105" s="32">
        <v>32.0</v>
      </c>
      <c r="AW105" s="32">
        <v>1.0</v>
      </c>
      <c r="AX105" s="32" t="s">
        <v>1324</v>
      </c>
      <c r="AY105" s="32" t="s">
        <v>1324</v>
      </c>
      <c r="AZ105" s="32" t="s">
        <v>1324</v>
      </c>
      <c r="BA105" s="32" t="s">
        <v>1324</v>
      </c>
      <c r="BB105" s="32">
        <v>433.0</v>
      </c>
      <c r="BC105" s="32">
        <v>453.0</v>
      </c>
      <c r="BD105" s="32" t="s">
        <v>1324</v>
      </c>
      <c r="BE105" s="32" t="s">
        <v>1772</v>
      </c>
      <c r="BF105" s="38" t="str">
        <f>HYPERLINK("http://dx.doi.org/10.1080/02705060.2017.1319431","http://dx.doi.org/10.1080/02705060.2017.1319431")</f>
        <v>http://dx.doi.org/10.1080/02705060.2017.1319431</v>
      </c>
      <c r="BG105" s="32" t="s">
        <v>1324</v>
      </c>
      <c r="BH105" s="32" t="s">
        <v>1324</v>
      </c>
      <c r="BI105" s="32">
        <v>21.0</v>
      </c>
      <c r="BJ105" s="32" t="s">
        <v>3188</v>
      </c>
      <c r="BK105" s="32" t="s">
        <v>2407</v>
      </c>
      <c r="BL105" s="32" t="s">
        <v>2516</v>
      </c>
      <c r="BM105" s="32" t="s">
        <v>3189</v>
      </c>
      <c r="BN105" s="32" t="s">
        <v>1324</v>
      </c>
      <c r="BO105" s="32" t="s">
        <v>2410</v>
      </c>
      <c r="BP105" s="32" t="s">
        <v>1324</v>
      </c>
      <c r="BQ105" s="32" t="s">
        <v>1324</v>
      </c>
      <c r="BR105" s="32" t="s">
        <v>5042</v>
      </c>
      <c r="BS105" s="32" t="s">
        <v>3190</v>
      </c>
      <c r="BT105" s="32" t="s">
        <v>1329</v>
      </c>
      <c r="BU105" s="32" t="s">
        <v>1333</v>
      </c>
      <c r="BV105" s="32" t="s">
        <v>5051</v>
      </c>
      <c r="BW105" s="32" t="s">
        <v>1530</v>
      </c>
      <c r="BX105" s="32" t="s">
        <v>5078</v>
      </c>
      <c r="BY105" s="32" t="s">
        <v>1336</v>
      </c>
      <c r="BZ105" s="32" t="s">
        <v>1336</v>
      </c>
      <c r="CA105" s="32" t="s">
        <v>1328</v>
      </c>
      <c r="CB105" s="32" t="s">
        <v>1336</v>
      </c>
      <c r="CC105" s="32" t="s">
        <v>1328</v>
      </c>
      <c r="CD105" s="39" t="s">
        <v>5185</v>
      </c>
      <c r="CE105" s="32" t="s">
        <v>1350</v>
      </c>
      <c r="CF105" s="32" t="str">
        <f>HYPERLINK("https%3A%2F%2Fwww.webofscience.com%2Fwos%2Fwoscc%2Ffull-record%2FWOS:000401719600004","View Full Record in Web of Science")</f>
        <v>View Full Record in Web of Science</v>
      </c>
    </row>
    <row r="106" ht="12.75" customHeight="1">
      <c r="A106" s="32" t="s">
        <v>26</v>
      </c>
      <c r="B106" s="32" t="s">
        <v>3842</v>
      </c>
      <c r="C106" s="32" t="s">
        <v>1324</v>
      </c>
      <c r="D106" s="32" t="s">
        <v>1324</v>
      </c>
      <c r="E106" s="32" t="s">
        <v>1324</v>
      </c>
      <c r="F106" s="32" t="s">
        <v>2058</v>
      </c>
      <c r="G106" s="32" t="s">
        <v>1324</v>
      </c>
      <c r="H106" s="32" t="s">
        <v>1324</v>
      </c>
      <c r="I106" s="32" t="s">
        <v>2060</v>
      </c>
      <c r="J106" s="32" t="s">
        <v>2059</v>
      </c>
      <c r="K106" s="32" t="s">
        <v>1324</v>
      </c>
      <c r="L106" s="32" t="s">
        <v>1324</v>
      </c>
      <c r="M106" s="32" t="s">
        <v>2364</v>
      </c>
      <c r="N106" s="32" t="s">
        <v>38</v>
      </c>
      <c r="O106" s="32" t="s">
        <v>1324</v>
      </c>
      <c r="P106" s="32" t="s">
        <v>1324</v>
      </c>
      <c r="Q106" s="32" t="s">
        <v>1324</v>
      </c>
      <c r="R106" s="32" t="s">
        <v>1324</v>
      </c>
      <c r="S106" s="32" t="s">
        <v>1324</v>
      </c>
      <c r="T106" s="32" t="s">
        <v>3843</v>
      </c>
      <c r="U106" s="32" t="s">
        <v>3844</v>
      </c>
      <c r="V106" s="32" t="s">
        <v>2061</v>
      </c>
      <c r="W106" s="32" t="s">
        <v>3845</v>
      </c>
      <c r="X106" s="32" t="s">
        <v>3846</v>
      </c>
      <c r="Y106" s="32" t="s">
        <v>3847</v>
      </c>
      <c r="Z106" s="32" t="s">
        <v>3848</v>
      </c>
      <c r="AA106" s="32" t="s">
        <v>3849</v>
      </c>
      <c r="AB106" s="32" t="s">
        <v>3850</v>
      </c>
      <c r="AC106" s="32" t="s">
        <v>3851</v>
      </c>
      <c r="AD106" s="32" t="s">
        <v>3851</v>
      </c>
      <c r="AE106" s="32" t="s">
        <v>3852</v>
      </c>
      <c r="AF106" s="32" t="s">
        <v>1324</v>
      </c>
      <c r="AG106" s="32">
        <v>69.0</v>
      </c>
      <c r="AH106" s="32">
        <v>28.0</v>
      </c>
      <c r="AI106" s="32">
        <v>29.0</v>
      </c>
      <c r="AJ106" s="32">
        <v>0.0</v>
      </c>
      <c r="AK106" s="32">
        <v>85.0</v>
      </c>
      <c r="AL106" s="32" t="s">
        <v>2486</v>
      </c>
      <c r="AM106" s="32" t="s">
        <v>2487</v>
      </c>
      <c r="AN106" s="32" t="s">
        <v>2488</v>
      </c>
      <c r="AO106" s="32" t="s">
        <v>3853</v>
      </c>
      <c r="AP106" s="32" t="s">
        <v>3854</v>
      </c>
      <c r="AQ106" s="32" t="s">
        <v>1324</v>
      </c>
      <c r="AR106" s="32" t="s">
        <v>3855</v>
      </c>
      <c r="AS106" s="32" t="s">
        <v>3856</v>
      </c>
      <c r="AT106" s="32" t="s">
        <v>3857</v>
      </c>
      <c r="AU106" s="32">
        <v>2014.0</v>
      </c>
      <c r="AV106" s="32">
        <v>273.0</v>
      </c>
      <c r="AW106" s="32" t="s">
        <v>1324</v>
      </c>
      <c r="AX106" s="32" t="s">
        <v>1324</v>
      </c>
      <c r="AY106" s="32" t="s">
        <v>1324</v>
      </c>
      <c r="AZ106" s="32" t="s">
        <v>1324</v>
      </c>
      <c r="BA106" s="32" t="s">
        <v>1324</v>
      </c>
      <c r="BB106" s="32">
        <v>140.0</v>
      </c>
      <c r="BC106" s="32">
        <v>150.0</v>
      </c>
      <c r="BD106" s="32" t="s">
        <v>1324</v>
      </c>
      <c r="BE106" s="32" t="s">
        <v>2062</v>
      </c>
      <c r="BF106" s="38" t="str">
        <f>HYPERLINK("http://dx.doi.org/10.1016/j.ecolmodel.2013.11.004","http://dx.doi.org/10.1016/j.ecolmodel.2013.11.004")</f>
        <v>http://dx.doi.org/10.1016/j.ecolmodel.2013.11.004</v>
      </c>
      <c r="BG106" s="32" t="s">
        <v>1324</v>
      </c>
      <c r="BH106" s="32" t="s">
        <v>1324</v>
      </c>
      <c r="BI106" s="32">
        <v>11.0</v>
      </c>
      <c r="BJ106" s="32" t="s">
        <v>817</v>
      </c>
      <c r="BK106" s="32" t="s">
        <v>2407</v>
      </c>
      <c r="BL106" s="32" t="s">
        <v>2472</v>
      </c>
      <c r="BM106" s="32" t="s">
        <v>3858</v>
      </c>
      <c r="BN106" s="32" t="s">
        <v>1324</v>
      </c>
      <c r="BO106" s="32" t="s">
        <v>1324</v>
      </c>
      <c r="BP106" s="32" t="s">
        <v>1324</v>
      </c>
      <c r="BQ106" s="32" t="s">
        <v>1324</v>
      </c>
      <c r="BR106" s="32" t="s">
        <v>5042</v>
      </c>
      <c r="BS106" s="32" t="s">
        <v>3859</v>
      </c>
      <c r="BT106" s="32" t="s">
        <v>1329</v>
      </c>
      <c r="BU106" s="32" t="s">
        <v>1333</v>
      </c>
      <c r="BV106" s="32" t="s">
        <v>5043</v>
      </c>
      <c r="BW106" s="32" t="s">
        <v>1349</v>
      </c>
      <c r="BX106" s="32" t="s">
        <v>5062</v>
      </c>
      <c r="BY106" s="32" t="s">
        <v>1336</v>
      </c>
      <c r="BZ106" s="32" t="s">
        <v>1336</v>
      </c>
      <c r="CA106" s="32" t="s">
        <v>1328</v>
      </c>
      <c r="CB106" s="32" t="s">
        <v>1328</v>
      </c>
      <c r="CC106" s="32" t="s">
        <v>1336</v>
      </c>
      <c r="CD106" s="39" t="s">
        <v>5234</v>
      </c>
      <c r="CE106" s="32" t="s">
        <v>1350</v>
      </c>
      <c r="CF106" s="32" t="str">
        <f>HYPERLINK("https%3A%2F%2Fwww.webofscience.com%2Fwos%2Fwoscc%2Ffull-record%2FWOS:000331673800014","View Full Record in Web of Science")</f>
        <v>View Full Record in Web of Science</v>
      </c>
    </row>
    <row r="107" ht="12.75" customHeight="1">
      <c r="A107" s="32" t="s">
        <v>26</v>
      </c>
      <c r="B107" s="32" t="s">
        <v>4571</v>
      </c>
      <c r="C107" s="32" t="s">
        <v>1324</v>
      </c>
      <c r="D107" s="32" t="s">
        <v>1324</v>
      </c>
      <c r="E107" s="32" t="s">
        <v>1324</v>
      </c>
      <c r="F107" s="32" t="s">
        <v>1411</v>
      </c>
      <c r="G107" s="32" t="s">
        <v>1324</v>
      </c>
      <c r="H107" s="32" t="s">
        <v>1324</v>
      </c>
      <c r="I107" s="32" t="s">
        <v>1412</v>
      </c>
      <c r="J107" s="32" t="s">
        <v>1397</v>
      </c>
      <c r="K107" s="32" t="s">
        <v>1324</v>
      </c>
      <c r="L107" s="32" t="s">
        <v>1324</v>
      </c>
      <c r="M107" s="32" t="s">
        <v>2364</v>
      </c>
      <c r="N107" s="32" t="s">
        <v>38</v>
      </c>
      <c r="O107" s="32" t="s">
        <v>1324</v>
      </c>
      <c r="P107" s="32" t="s">
        <v>1324</v>
      </c>
      <c r="Q107" s="32" t="s">
        <v>1324</v>
      </c>
      <c r="R107" s="32" t="s">
        <v>1324</v>
      </c>
      <c r="S107" s="32" t="s">
        <v>1324</v>
      </c>
      <c r="T107" s="32" t="s">
        <v>4572</v>
      </c>
      <c r="U107" s="32" t="s">
        <v>4573</v>
      </c>
      <c r="V107" s="32" t="s">
        <v>1413</v>
      </c>
      <c r="W107" s="32" t="s">
        <v>4574</v>
      </c>
      <c r="X107" s="32" t="s">
        <v>4575</v>
      </c>
      <c r="Y107" s="32" t="s">
        <v>4576</v>
      </c>
      <c r="Z107" s="32" t="s">
        <v>4577</v>
      </c>
      <c r="AA107" s="32" t="s">
        <v>1324</v>
      </c>
      <c r="AB107" s="32" t="s">
        <v>5235</v>
      </c>
      <c r="AC107" s="32" t="s">
        <v>1324</v>
      </c>
      <c r="AD107" s="32" t="s">
        <v>1324</v>
      </c>
      <c r="AE107" s="32" t="s">
        <v>1324</v>
      </c>
      <c r="AF107" s="32" t="s">
        <v>1324</v>
      </c>
      <c r="AG107" s="32">
        <v>45.0</v>
      </c>
      <c r="AH107" s="32">
        <v>85.0</v>
      </c>
      <c r="AI107" s="32">
        <v>88.0</v>
      </c>
      <c r="AJ107" s="32">
        <v>1.0</v>
      </c>
      <c r="AK107" s="32">
        <v>50.0</v>
      </c>
      <c r="AL107" s="32" t="s">
        <v>2769</v>
      </c>
      <c r="AM107" s="32" t="s">
        <v>2770</v>
      </c>
      <c r="AN107" s="32" t="s">
        <v>2771</v>
      </c>
      <c r="AO107" s="32" t="s">
        <v>2772</v>
      </c>
      <c r="AP107" s="32" t="s">
        <v>1324</v>
      </c>
      <c r="AQ107" s="32" t="s">
        <v>1324</v>
      </c>
      <c r="AR107" s="32" t="s">
        <v>2774</v>
      </c>
      <c r="AS107" s="32" t="s">
        <v>2775</v>
      </c>
      <c r="AT107" s="32" t="s">
        <v>1324</v>
      </c>
      <c r="AU107" s="32">
        <v>2010.0</v>
      </c>
      <c r="AV107" s="32">
        <v>413.0</v>
      </c>
      <c r="AW107" s="32" t="s">
        <v>1324</v>
      </c>
      <c r="AX107" s="32" t="s">
        <v>1324</v>
      </c>
      <c r="AY107" s="32" t="s">
        <v>1324</v>
      </c>
      <c r="AZ107" s="32" t="s">
        <v>1324</v>
      </c>
      <c r="BA107" s="32" t="s">
        <v>1324</v>
      </c>
      <c r="BB107" s="32">
        <v>241.0</v>
      </c>
      <c r="BC107" s="32">
        <v>252.0</v>
      </c>
      <c r="BD107" s="32" t="s">
        <v>1324</v>
      </c>
      <c r="BE107" s="32" t="s">
        <v>1414</v>
      </c>
      <c r="BF107" s="38" t="str">
        <f>HYPERLINK("http://dx.doi.org/10.3354/meps08592","http://dx.doi.org/10.3354/meps08592")</f>
        <v>http://dx.doi.org/10.3354/meps08592</v>
      </c>
      <c r="BG107" s="32" t="s">
        <v>1324</v>
      </c>
      <c r="BH107" s="32" t="s">
        <v>1324</v>
      </c>
      <c r="BI107" s="32">
        <v>12.0</v>
      </c>
      <c r="BJ107" s="32" t="s">
        <v>2447</v>
      </c>
      <c r="BK107" s="32" t="s">
        <v>2407</v>
      </c>
      <c r="BL107" s="32" t="s">
        <v>2449</v>
      </c>
      <c r="BM107" s="32" t="s">
        <v>4579</v>
      </c>
      <c r="BN107" s="32" t="s">
        <v>1324</v>
      </c>
      <c r="BO107" s="32" t="s">
        <v>5236</v>
      </c>
      <c r="BP107" s="32" t="s">
        <v>1324</v>
      </c>
      <c r="BQ107" s="32" t="s">
        <v>1324</v>
      </c>
      <c r="BR107" s="32" t="s">
        <v>5042</v>
      </c>
      <c r="BS107" s="32" t="s">
        <v>4580</v>
      </c>
      <c r="BT107" s="32" t="s">
        <v>1329</v>
      </c>
      <c r="BU107" s="32" t="s">
        <v>1360</v>
      </c>
      <c r="BV107" s="32" t="s">
        <v>5066</v>
      </c>
      <c r="BW107" s="32" t="s">
        <v>1349</v>
      </c>
      <c r="BX107" s="32" t="s">
        <v>5062</v>
      </c>
      <c r="BY107" s="32" t="s">
        <v>1328</v>
      </c>
      <c r="BZ107" s="32" t="s">
        <v>1336</v>
      </c>
      <c r="CA107" s="32" t="s">
        <v>1328</v>
      </c>
      <c r="CB107" s="32" t="s">
        <v>1336</v>
      </c>
      <c r="CC107" s="32" t="s">
        <v>1336</v>
      </c>
      <c r="CD107" s="39" t="s">
        <v>5070</v>
      </c>
      <c r="CE107" s="32" t="s">
        <v>1350</v>
      </c>
      <c r="CF107" s="32" t="str">
        <f>HYPERLINK("https%3A%2F%2Fwww.webofscience.com%2Fwos%2Fwoscc%2Ffull-record%2FWOS:000281566900019","View Full Record in Web of Science")</f>
        <v>View Full Record in Web of Science</v>
      </c>
    </row>
    <row r="108" ht="12.75" customHeight="1">
      <c r="A108" s="32" t="s">
        <v>26</v>
      </c>
      <c r="B108" s="32" t="s">
        <v>4837</v>
      </c>
      <c r="C108" s="32" t="s">
        <v>1324</v>
      </c>
      <c r="D108" s="32" t="s">
        <v>1324</v>
      </c>
      <c r="E108" s="32" t="s">
        <v>1324</v>
      </c>
      <c r="F108" s="32" t="s">
        <v>2053</v>
      </c>
      <c r="G108" s="32" t="s">
        <v>1324</v>
      </c>
      <c r="H108" s="32" t="s">
        <v>1324</v>
      </c>
      <c r="I108" s="32" t="s">
        <v>4838</v>
      </c>
      <c r="J108" s="32" t="s">
        <v>227</v>
      </c>
      <c r="K108" s="32" t="s">
        <v>1324</v>
      </c>
      <c r="L108" s="32" t="s">
        <v>1324</v>
      </c>
      <c r="M108" s="32" t="s">
        <v>2364</v>
      </c>
      <c r="N108" s="32" t="s">
        <v>38</v>
      </c>
      <c r="O108" s="32" t="s">
        <v>1324</v>
      </c>
      <c r="P108" s="32" t="s">
        <v>1324</v>
      </c>
      <c r="Q108" s="32" t="s">
        <v>1324</v>
      </c>
      <c r="R108" s="32" t="s">
        <v>1324</v>
      </c>
      <c r="S108" s="32" t="s">
        <v>1324</v>
      </c>
      <c r="T108" s="32" t="s">
        <v>4839</v>
      </c>
      <c r="U108" s="32" t="s">
        <v>4840</v>
      </c>
      <c r="V108" s="32" t="s">
        <v>4841</v>
      </c>
      <c r="W108" s="32" t="s">
        <v>4842</v>
      </c>
      <c r="X108" s="32" t="s">
        <v>5237</v>
      </c>
      <c r="Y108" s="32" t="s">
        <v>4844</v>
      </c>
      <c r="Z108" s="32" t="s">
        <v>4845</v>
      </c>
      <c r="AA108" s="32" t="s">
        <v>4846</v>
      </c>
      <c r="AB108" s="32" t="s">
        <v>4847</v>
      </c>
      <c r="AC108" s="32" t="s">
        <v>1324</v>
      </c>
      <c r="AD108" s="32" t="s">
        <v>1324</v>
      </c>
      <c r="AE108" s="32" t="s">
        <v>1324</v>
      </c>
      <c r="AF108" s="32" t="s">
        <v>1324</v>
      </c>
      <c r="AG108" s="32">
        <v>55.0</v>
      </c>
      <c r="AH108" s="32">
        <v>58.0</v>
      </c>
      <c r="AI108" s="32">
        <v>62.0</v>
      </c>
      <c r="AJ108" s="32">
        <v>0.0</v>
      </c>
      <c r="AK108" s="32">
        <v>20.0</v>
      </c>
      <c r="AL108" s="32" t="s">
        <v>3602</v>
      </c>
      <c r="AM108" s="32" t="s">
        <v>2400</v>
      </c>
      <c r="AN108" s="32" t="s">
        <v>3603</v>
      </c>
      <c r="AO108" s="32" t="s">
        <v>4848</v>
      </c>
      <c r="AP108" s="32" t="s">
        <v>4849</v>
      </c>
      <c r="AQ108" s="32" t="s">
        <v>1324</v>
      </c>
      <c r="AR108" s="32" t="s">
        <v>4850</v>
      </c>
      <c r="AS108" s="32" t="s">
        <v>4851</v>
      </c>
      <c r="AT108" s="32" t="s">
        <v>2818</v>
      </c>
      <c r="AU108" s="32">
        <v>2007.0</v>
      </c>
      <c r="AV108" s="32">
        <v>71.0</v>
      </c>
      <c r="AW108" s="32" t="s">
        <v>4852</v>
      </c>
      <c r="AX108" s="32" t="s">
        <v>1324</v>
      </c>
      <c r="AY108" s="32" t="s">
        <v>1324</v>
      </c>
      <c r="AZ108" s="32" t="s">
        <v>1324</v>
      </c>
      <c r="BA108" s="32" t="s">
        <v>1324</v>
      </c>
      <c r="BB108" s="32">
        <v>429.0</v>
      </c>
      <c r="BC108" s="32">
        <v>442.0</v>
      </c>
      <c r="BD108" s="32" t="s">
        <v>1324</v>
      </c>
      <c r="BE108" s="32" t="s">
        <v>2056</v>
      </c>
      <c r="BF108" s="38" t="str">
        <f>HYPERLINK("http://dx.doi.org/10.1016/j.ecss.2006.08.018","http://dx.doi.org/10.1016/j.ecss.2006.08.018")</f>
        <v>http://dx.doi.org/10.1016/j.ecss.2006.08.018</v>
      </c>
      <c r="BG108" s="32" t="s">
        <v>1324</v>
      </c>
      <c r="BH108" s="32" t="s">
        <v>1324</v>
      </c>
      <c r="BI108" s="32">
        <v>14.0</v>
      </c>
      <c r="BJ108" s="32" t="s">
        <v>231</v>
      </c>
      <c r="BK108" s="32" t="s">
        <v>2407</v>
      </c>
      <c r="BL108" s="32" t="s">
        <v>231</v>
      </c>
      <c r="BM108" s="32" t="s">
        <v>4853</v>
      </c>
      <c r="BN108" s="32" t="s">
        <v>1324</v>
      </c>
      <c r="BO108" s="32" t="s">
        <v>1324</v>
      </c>
      <c r="BP108" s="32" t="s">
        <v>1324</v>
      </c>
      <c r="BQ108" s="32" t="s">
        <v>1324</v>
      </c>
      <c r="BR108" s="32" t="s">
        <v>5042</v>
      </c>
      <c r="BS108" s="32" t="s">
        <v>4854</v>
      </c>
      <c r="BT108" s="32" t="s">
        <v>1329</v>
      </c>
      <c r="BU108" s="32" t="s">
        <v>1333</v>
      </c>
      <c r="BV108" s="32" t="s">
        <v>5066</v>
      </c>
      <c r="BW108" s="32" t="s">
        <v>1335</v>
      </c>
      <c r="BX108" s="32" t="s">
        <v>5101</v>
      </c>
      <c r="BY108" s="32" t="s">
        <v>1328</v>
      </c>
      <c r="BZ108" s="32" t="s">
        <v>1336</v>
      </c>
      <c r="CA108" s="32" t="s">
        <v>1336</v>
      </c>
      <c r="CB108" s="32" t="s">
        <v>1336</v>
      </c>
      <c r="CC108" s="32" t="s">
        <v>1328</v>
      </c>
      <c r="CD108" s="39" t="s">
        <v>5123</v>
      </c>
      <c r="CE108" s="32" t="s">
        <v>1350</v>
      </c>
      <c r="CF108" s="32" t="str">
        <f>HYPERLINK("https%3A%2F%2Fwww.webofscience.com%2Fwos%2Fwoscc%2Ffull-record%2FWOS:000244177300008","View Full Record in Web of Science")</f>
        <v>View Full Record in Web of Science</v>
      </c>
    </row>
    <row r="109" ht="12.75" customHeight="1">
      <c r="A109" s="32" t="s">
        <v>26</v>
      </c>
      <c r="B109" s="32" t="s">
        <v>2541</v>
      </c>
      <c r="C109" s="32" t="s">
        <v>1324</v>
      </c>
      <c r="D109" s="32" t="s">
        <v>1324</v>
      </c>
      <c r="E109" s="32" t="s">
        <v>1324</v>
      </c>
      <c r="F109" s="32" t="s">
        <v>1935</v>
      </c>
      <c r="G109" s="32" t="s">
        <v>1324</v>
      </c>
      <c r="H109" s="32" t="s">
        <v>1324</v>
      </c>
      <c r="I109" s="32" t="s">
        <v>1937</v>
      </c>
      <c r="J109" s="32" t="s">
        <v>1936</v>
      </c>
      <c r="K109" s="32" t="s">
        <v>1324</v>
      </c>
      <c r="L109" s="32" t="s">
        <v>1324</v>
      </c>
      <c r="M109" s="32" t="s">
        <v>2364</v>
      </c>
      <c r="N109" s="32" t="s">
        <v>38</v>
      </c>
      <c r="O109" s="32" t="s">
        <v>1324</v>
      </c>
      <c r="P109" s="32" t="s">
        <v>1324</v>
      </c>
      <c r="Q109" s="32" t="s">
        <v>1324</v>
      </c>
      <c r="R109" s="32" t="s">
        <v>1324</v>
      </c>
      <c r="S109" s="32" t="s">
        <v>1324</v>
      </c>
      <c r="T109" s="32" t="s">
        <v>2542</v>
      </c>
      <c r="U109" s="32" t="s">
        <v>2543</v>
      </c>
      <c r="V109" s="32" t="s">
        <v>1938</v>
      </c>
      <c r="W109" s="32" t="s">
        <v>2544</v>
      </c>
      <c r="X109" s="32" t="s">
        <v>2545</v>
      </c>
      <c r="Y109" s="32" t="s">
        <v>2546</v>
      </c>
      <c r="Z109" s="32" t="s">
        <v>2547</v>
      </c>
      <c r="AA109" s="32" t="s">
        <v>1324</v>
      </c>
      <c r="AB109" s="32" t="s">
        <v>1324</v>
      </c>
      <c r="AC109" s="32" t="s">
        <v>2548</v>
      </c>
      <c r="AD109" s="32" t="s">
        <v>2548</v>
      </c>
      <c r="AE109" s="32" t="s">
        <v>2549</v>
      </c>
      <c r="AF109" s="32" t="s">
        <v>1324</v>
      </c>
      <c r="AG109" s="32">
        <v>82.0</v>
      </c>
      <c r="AH109" s="32">
        <v>7.0</v>
      </c>
      <c r="AI109" s="32">
        <v>8.0</v>
      </c>
      <c r="AJ109" s="32">
        <v>0.0</v>
      </c>
      <c r="AK109" s="32">
        <v>24.0</v>
      </c>
      <c r="AL109" s="32" t="s">
        <v>2550</v>
      </c>
      <c r="AM109" s="32" t="s">
        <v>2551</v>
      </c>
      <c r="AN109" s="32" t="s">
        <v>2552</v>
      </c>
      <c r="AO109" s="32" t="s">
        <v>2553</v>
      </c>
      <c r="AP109" s="32" t="s">
        <v>2554</v>
      </c>
      <c r="AQ109" s="32" t="s">
        <v>1324</v>
      </c>
      <c r="AR109" s="32" t="s">
        <v>2555</v>
      </c>
      <c r="AS109" s="32" t="s">
        <v>2556</v>
      </c>
      <c r="AT109" s="32" t="s">
        <v>2557</v>
      </c>
      <c r="AU109" s="32">
        <v>2018.0</v>
      </c>
      <c r="AV109" s="32">
        <v>71.0</v>
      </c>
      <c r="AW109" s="32">
        <v>4.0</v>
      </c>
      <c r="AX109" s="32" t="s">
        <v>1324</v>
      </c>
      <c r="AY109" s="32" t="s">
        <v>1324</v>
      </c>
      <c r="AZ109" s="32" t="s">
        <v>1324</v>
      </c>
      <c r="BA109" s="32" t="s">
        <v>1324</v>
      </c>
      <c r="BB109" s="32">
        <v>458.0</v>
      </c>
      <c r="BC109" s="32">
        <v>469.0</v>
      </c>
      <c r="BD109" s="32" t="s">
        <v>1324</v>
      </c>
      <c r="BE109" s="32" t="s">
        <v>1939</v>
      </c>
      <c r="BF109" s="38" t="str">
        <f>HYPERLINK("http://dx.doi.org/10.1016/j.rama.2018.02.008","http://dx.doi.org/10.1016/j.rama.2018.02.008")</f>
        <v>http://dx.doi.org/10.1016/j.rama.2018.02.008</v>
      </c>
      <c r="BG109" s="32" t="s">
        <v>1324</v>
      </c>
      <c r="BH109" s="32" t="s">
        <v>1324</v>
      </c>
      <c r="BI109" s="32">
        <v>12.0</v>
      </c>
      <c r="BJ109" s="32" t="s">
        <v>698</v>
      </c>
      <c r="BK109" s="32" t="s">
        <v>2407</v>
      </c>
      <c r="BL109" s="32" t="s">
        <v>2472</v>
      </c>
      <c r="BM109" s="32" t="s">
        <v>2558</v>
      </c>
      <c r="BN109" s="32" t="s">
        <v>1324</v>
      </c>
      <c r="BO109" s="32" t="s">
        <v>1324</v>
      </c>
      <c r="BP109" s="32" t="s">
        <v>1324</v>
      </c>
      <c r="BQ109" s="32" t="s">
        <v>1324</v>
      </c>
      <c r="BR109" s="32" t="s">
        <v>5042</v>
      </c>
      <c r="BS109" s="32" t="s">
        <v>2559</v>
      </c>
      <c r="BT109" s="32" t="s">
        <v>1329</v>
      </c>
      <c r="BU109" s="32" t="s">
        <v>1333</v>
      </c>
      <c r="BV109" s="32" t="s">
        <v>5051</v>
      </c>
      <c r="BW109" s="32" t="s">
        <v>1362</v>
      </c>
      <c r="BX109" s="32" t="s">
        <v>5044</v>
      </c>
      <c r="BY109" s="32" t="s">
        <v>1336</v>
      </c>
      <c r="BZ109" s="32" t="s">
        <v>1328</v>
      </c>
      <c r="CA109" s="32" t="s">
        <v>1328</v>
      </c>
      <c r="CB109" s="32" t="s">
        <v>1336</v>
      </c>
      <c r="CC109" s="32" t="s">
        <v>1336</v>
      </c>
      <c r="CD109" s="39" t="s">
        <v>5045</v>
      </c>
      <c r="CE109" s="32" t="s">
        <v>1350</v>
      </c>
      <c r="CF109" s="32" t="str">
        <f>HYPERLINK("https%3A%2F%2Fwww.webofscience.com%2Fwos%2Fwoscc%2Ffull-record%2FWOS:000435480900008","View Full Record in Web of Science")</f>
        <v>View Full Record in Web of Science</v>
      </c>
    </row>
    <row r="110" ht="12.75" customHeight="1">
      <c r="A110" s="32" t="s">
        <v>26</v>
      </c>
      <c r="B110" s="32" t="s">
        <v>3762</v>
      </c>
      <c r="C110" s="32" t="s">
        <v>1324</v>
      </c>
      <c r="D110" s="32" t="s">
        <v>1324</v>
      </c>
      <c r="E110" s="32" t="s">
        <v>1324</v>
      </c>
      <c r="F110" s="32" t="s">
        <v>1667</v>
      </c>
      <c r="G110" s="32" t="s">
        <v>1324</v>
      </c>
      <c r="H110" s="32" t="s">
        <v>1324</v>
      </c>
      <c r="I110" s="32" t="s">
        <v>1668</v>
      </c>
      <c r="J110" s="32" t="s">
        <v>774</v>
      </c>
      <c r="K110" s="32" t="s">
        <v>1324</v>
      </c>
      <c r="L110" s="32" t="s">
        <v>1324</v>
      </c>
      <c r="M110" s="32" t="s">
        <v>2364</v>
      </c>
      <c r="N110" s="32" t="s">
        <v>38</v>
      </c>
      <c r="O110" s="32" t="s">
        <v>1324</v>
      </c>
      <c r="P110" s="32" t="s">
        <v>1324</v>
      </c>
      <c r="Q110" s="32" t="s">
        <v>1324</v>
      </c>
      <c r="R110" s="32" t="s">
        <v>1324</v>
      </c>
      <c r="S110" s="32" t="s">
        <v>1324</v>
      </c>
      <c r="T110" s="32" t="s">
        <v>3763</v>
      </c>
      <c r="U110" s="32" t="s">
        <v>3764</v>
      </c>
      <c r="V110" s="32" t="s">
        <v>1669</v>
      </c>
      <c r="W110" s="32" t="s">
        <v>3765</v>
      </c>
      <c r="X110" s="32" t="s">
        <v>3766</v>
      </c>
      <c r="Y110" s="32" t="s">
        <v>3767</v>
      </c>
      <c r="Z110" s="32" t="s">
        <v>3768</v>
      </c>
      <c r="AA110" s="32" t="s">
        <v>5238</v>
      </c>
      <c r="AB110" s="32" t="s">
        <v>1324</v>
      </c>
      <c r="AC110" s="32" t="s">
        <v>3770</v>
      </c>
      <c r="AD110" s="32" t="s">
        <v>1324</v>
      </c>
      <c r="AE110" s="32" t="s">
        <v>3771</v>
      </c>
      <c r="AF110" s="32" t="s">
        <v>1324</v>
      </c>
      <c r="AG110" s="32">
        <v>88.0</v>
      </c>
      <c r="AH110" s="32">
        <v>85.0</v>
      </c>
      <c r="AI110" s="32">
        <v>94.0</v>
      </c>
      <c r="AJ110" s="32">
        <v>4.0</v>
      </c>
      <c r="AK110" s="32">
        <v>204.0</v>
      </c>
      <c r="AL110" s="32" t="s">
        <v>2464</v>
      </c>
      <c r="AM110" s="32" t="s">
        <v>2465</v>
      </c>
      <c r="AN110" s="32" t="s">
        <v>2466</v>
      </c>
      <c r="AO110" s="32" t="s">
        <v>2923</v>
      </c>
      <c r="AP110" s="32" t="s">
        <v>2924</v>
      </c>
      <c r="AQ110" s="32" t="s">
        <v>1324</v>
      </c>
      <c r="AR110" s="32" t="s">
        <v>2925</v>
      </c>
      <c r="AS110" s="32" t="s">
        <v>2926</v>
      </c>
      <c r="AT110" s="32" t="s">
        <v>2515</v>
      </c>
      <c r="AU110" s="32">
        <v>2014.0</v>
      </c>
      <c r="AV110" s="32">
        <v>20.0</v>
      </c>
      <c r="AW110" s="32">
        <v>8.0</v>
      </c>
      <c r="AX110" s="32" t="s">
        <v>1324</v>
      </c>
      <c r="AY110" s="32" t="s">
        <v>1324</v>
      </c>
      <c r="AZ110" s="32" t="s">
        <v>1324</v>
      </c>
      <c r="BA110" s="32" t="s">
        <v>1324</v>
      </c>
      <c r="BB110" s="32">
        <v>2596.0</v>
      </c>
      <c r="BC110" s="32">
        <v>2606.0</v>
      </c>
      <c r="BD110" s="32" t="s">
        <v>1324</v>
      </c>
      <c r="BE110" s="32" t="s">
        <v>1670</v>
      </c>
      <c r="BF110" s="38" t="str">
        <f>HYPERLINK("http://dx.doi.org/10.1111/gcb.12588","http://dx.doi.org/10.1111/gcb.12588")</f>
        <v>http://dx.doi.org/10.1111/gcb.12588</v>
      </c>
      <c r="BG110" s="32" t="s">
        <v>1324</v>
      </c>
      <c r="BH110" s="32" t="s">
        <v>1324</v>
      </c>
      <c r="BI110" s="32">
        <v>11.0</v>
      </c>
      <c r="BJ110" s="32" t="s">
        <v>255</v>
      </c>
      <c r="BK110" s="32" t="s">
        <v>2407</v>
      </c>
      <c r="BL110" s="32" t="s">
        <v>2577</v>
      </c>
      <c r="BM110" s="32" t="s">
        <v>3772</v>
      </c>
      <c r="BN110" s="32">
        <v>2.4687944E7</v>
      </c>
      <c r="BO110" s="32" t="s">
        <v>1324</v>
      </c>
      <c r="BP110" s="32" t="s">
        <v>1324</v>
      </c>
      <c r="BQ110" s="32" t="s">
        <v>1324</v>
      </c>
      <c r="BR110" s="32" t="s">
        <v>5042</v>
      </c>
      <c r="BS110" s="32" t="s">
        <v>3773</v>
      </c>
      <c r="BT110" s="32" t="s">
        <v>1329</v>
      </c>
      <c r="BU110" s="32" t="s">
        <v>1333</v>
      </c>
      <c r="BV110" s="32" t="s">
        <v>5054</v>
      </c>
      <c r="BW110" s="32" t="s">
        <v>1362</v>
      </c>
      <c r="BX110" s="32" t="s">
        <v>5044</v>
      </c>
      <c r="BY110" s="32" t="s">
        <v>1328</v>
      </c>
      <c r="BZ110" s="32" t="s">
        <v>1328</v>
      </c>
      <c r="CA110" s="32" t="s">
        <v>1336</v>
      </c>
      <c r="CB110" s="32" t="s">
        <v>1336</v>
      </c>
      <c r="CC110" s="32" t="s">
        <v>1336</v>
      </c>
      <c r="CD110" s="39" t="s">
        <v>5055</v>
      </c>
      <c r="CE110" s="32" t="s">
        <v>1350</v>
      </c>
      <c r="CF110" s="32" t="str">
        <f>HYPERLINK("https%3A%2F%2Fwww.webofscience.com%2Fwos%2Fwoscc%2Ffull-record%2FWOS:000339100200021","View Full Record in Web of Science")</f>
        <v>View Full Record in Web of Science</v>
      </c>
    </row>
    <row r="111" ht="12.75" customHeight="1">
      <c r="A111" s="32" t="s">
        <v>26</v>
      </c>
      <c r="B111" s="32" t="s">
        <v>1866</v>
      </c>
      <c r="C111" s="32" t="s">
        <v>1324</v>
      </c>
      <c r="D111" s="32" t="s">
        <v>1324</v>
      </c>
      <c r="E111" s="32" t="s">
        <v>1324</v>
      </c>
      <c r="F111" s="32" t="s">
        <v>1866</v>
      </c>
      <c r="G111" s="32" t="s">
        <v>1324</v>
      </c>
      <c r="H111" s="32" t="s">
        <v>1324</v>
      </c>
      <c r="I111" s="32" t="s">
        <v>4921</v>
      </c>
      <c r="J111" s="32" t="s">
        <v>1867</v>
      </c>
      <c r="K111" s="32" t="s">
        <v>1324</v>
      </c>
      <c r="L111" s="32" t="s">
        <v>1324</v>
      </c>
      <c r="M111" s="32" t="s">
        <v>2364</v>
      </c>
      <c r="N111" s="32" t="s">
        <v>38</v>
      </c>
      <c r="O111" s="32" t="s">
        <v>1324</v>
      </c>
      <c r="P111" s="32" t="s">
        <v>1324</v>
      </c>
      <c r="Q111" s="32" t="s">
        <v>1324</v>
      </c>
      <c r="R111" s="32" t="s">
        <v>1324</v>
      </c>
      <c r="S111" s="32" t="s">
        <v>1324</v>
      </c>
      <c r="T111" s="32" t="s">
        <v>4922</v>
      </c>
      <c r="U111" s="32" t="s">
        <v>4923</v>
      </c>
      <c r="V111" s="32" t="s">
        <v>1869</v>
      </c>
      <c r="W111" s="32" t="s">
        <v>4924</v>
      </c>
      <c r="X111" s="32" t="s">
        <v>4925</v>
      </c>
      <c r="Y111" s="32" t="s">
        <v>4926</v>
      </c>
      <c r="Z111" s="32" t="s">
        <v>4927</v>
      </c>
      <c r="AA111" s="32" t="s">
        <v>1324</v>
      </c>
      <c r="AB111" s="32" t="s">
        <v>1324</v>
      </c>
      <c r="AC111" s="32" t="s">
        <v>1324</v>
      </c>
      <c r="AD111" s="32" t="s">
        <v>1324</v>
      </c>
      <c r="AE111" s="32" t="s">
        <v>1324</v>
      </c>
      <c r="AF111" s="32" t="s">
        <v>1324</v>
      </c>
      <c r="AG111" s="32">
        <v>58.0</v>
      </c>
      <c r="AH111" s="32">
        <v>118.0</v>
      </c>
      <c r="AI111" s="32">
        <v>136.0</v>
      </c>
      <c r="AJ111" s="32">
        <v>1.0</v>
      </c>
      <c r="AK111" s="32">
        <v>54.0</v>
      </c>
      <c r="AL111" s="32" t="s">
        <v>4188</v>
      </c>
      <c r="AM111" s="32" t="s">
        <v>4189</v>
      </c>
      <c r="AN111" s="32" t="s">
        <v>4190</v>
      </c>
      <c r="AO111" s="32" t="s">
        <v>4928</v>
      </c>
      <c r="AP111" s="32" t="s">
        <v>4929</v>
      </c>
      <c r="AQ111" s="32" t="s">
        <v>1324</v>
      </c>
      <c r="AR111" s="32" t="s">
        <v>4930</v>
      </c>
      <c r="AS111" s="32" t="s">
        <v>4931</v>
      </c>
      <c r="AT111" s="32" t="s">
        <v>3208</v>
      </c>
      <c r="AU111" s="32">
        <v>2005.0</v>
      </c>
      <c r="AV111" s="32">
        <v>21.0</v>
      </c>
      <c r="AW111" s="32" t="s">
        <v>1324</v>
      </c>
      <c r="AX111" s="32">
        <v>1.0</v>
      </c>
      <c r="AY111" s="32" t="s">
        <v>1324</v>
      </c>
      <c r="AZ111" s="32" t="s">
        <v>1324</v>
      </c>
      <c r="BA111" s="32" t="s">
        <v>1324</v>
      </c>
      <c r="BB111" s="32">
        <v>9.0</v>
      </c>
      <c r="BC111" s="32">
        <v>19.0</v>
      </c>
      <c r="BD111" s="32" t="s">
        <v>1324</v>
      </c>
      <c r="BE111" s="32" t="s">
        <v>1870</v>
      </c>
      <c r="BF111" s="38" t="str">
        <f>HYPERLINK("http://dx.doi.org/10.1017/S0266467404001683","http://dx.doi.org/10.1017/S0266467404001683")</f>
        <v>http://dx.doi.org/10.1017/S0266467404001683</v>
      </c>
      <c r="BG111" s="32" t="s">
        <v>1324</v>
      </c>
      <c r="BH111" s="32" t="s">
        <v>1324</v>
      </c>
      <c r="BI111" s="32">
        <v>11.0</v>
      </c>
      <c r="BJ111" s="32" t="s">
        <v>817</v>
      </c>
      <c r="BK111" s="32" t="s">
        <v>2407</v>
      </c>
      <c r="BL111" s="32" t="s">
        <v>2472</v>
      </c>
      <c r="BM111" s="32" t="s">
        <v>4932</v>
      </c>
      <c r="BN111" s="32" t="s">
        <v>1324</v>
      </c>
      <c r="BO111" s="32" t="s">
        <v>1324</v>
      </c>
      <c r="BP111" s="32" t="s">
        <v>1324</v>
      </c>
      <c r="BQ111" s="32" t="s">
        <v>1324</v>
      </c>
      <c r="BR111" s="32" t="s">
        <v>5042</v>
      </c>
      <c r="BS111" s="32" t="s">
        <v>4933</v>
      </c>
      <c r="BT111" s="32" t="s">
        <v>1329</v>
      </c>
      <c r="BU111" s="32" t="s">
        <v>1333</v>
      </c>
      <c r="BV111" s="32" t="s">
        <v>5051</v>
      </c>
      <c r="BW111" s="32" t="s">
        <v>1362</v>
      </c>
      <c r="BX111" s="32" t="s">
        <v>5044</v>
      </c>
      <c r="BY111" s="32" t="s">
        <v>1336</v>
      </c>
      <c r="BZ111" s="32" t="s">
        <v>1328</v>
      </c>
      <c r="CA111" s="32" t="s">
        <v>1328</v>
      </c>
      <c r="CB111" s="32" t="s">
        <v>1336</v>
      </c>
      <c r="CC111" s="32" t="s">
        <v>1336</v>
      </c>
      <c r="CD111" s="39" t="s">
        <v>5045</v>
      </c>
      <c r="CE111" s="32" t="s">
        <v>1350</v>
      </c>
      <c r="CF111" s="32" t="str">
        <f>HYPERLINK("https%3A%2F%2Fwww.webofscience.com%2Fwos%2Fwoscc%2Ffull-record%2FWOS:000227083400002","View Full Record in Web of Science")</f>
        <v>View Full Record in Web of Science</v>
      </c>
    </row>
    <row r="112" ht="12.75" customHeight="1">
      <c r="A112" s="32" t="s">
        <v>26</v>
      </c>
      <c r="B112" s="32" t="s">
        <v>4276</v>
      </c>
      <c r="C112" s="32" t="s">
        <v>1324</v>
      </c>
      <c r="D112" s="32" t="s">
        <v>1324</v>
      </c>
      <c r="E112" s="32" t="s">
        <v>1324</v>
      </c>
      <c r="F112" s="32" t="s">
        <v>2114</v>
      </c>
      <c r="G112" s="32" t="s">
        <v>1324</v>
      </c>
      <c r="H112" s="32" t="s">
        <v>1324</v>
      </c>
      <c r="I112" s="32" t="s">
        <v>2115</v>
      </c>
      <c r="J112" s="32" t="s">
        <v>251</v>
      </c>
      <c r="K112" s="32" t="s">
        <v>1324</v>
      </c>
      <c r="L112" s="32" t="s">
        <v>1324</v>
      </c>
      <c r="M112" s="32" t="s">
        <v>2364</v>
      </c>
      <c r="N112" s="32" t="s">
        <v>38</v>
      </c>
      <c r="O112" s="32" t="s">
        <v>1324</v>
      </c>
      <c r="P112" s="32" t="s">
        <v>1324</v>
      </c>
      <c r="Q112" s="32" t="s">
        <v>1324</v>
      </c>
      <c r="R112" s="32" t="s">
        <v>1324</v>
      </c>
      <c r="S112" s="32" t="s">
        <v>1324</v>
      </c>
      <c r="T112" s="32" t="s">
        <v>4277</v>
      </c>
      <c r="U112" s="32" t="s">
        <v>4278</v>
      </c>
      <c r="V112" s="32" t="s">
        <v>2116</v>
      </c>
      <c r="W112" s="32" t="s">
        <v>4279</v>
      </c>
      <c r="X112" s="32" t="s">
        <v>4280</v>
      </c>
      <c r="Y112" s="32" t="s">
        <v>4281</v>
      </c>
      <c r="Z112" s="32" t="s">
        <v>4282</v>
      </c>
      <c r="AA112" s="32" t="s">
        <v>5239</v>
      </c>
      <c r="AB112" s="32" t="s">
        <v>5240</v>
      </c>
      <c r="AC112" s="32" t="s">
        <v>4285</v>
      </c>
      <c r="AD112" s="32" t="s">
        <v>4286</v>
      </c>
      <c r="AE112" s="32" t="s">
        <v>4287</v>
      </c>
      <c r="AF112" s="32" t="s">
        <v>1324</v>
      </c>
      <c r="AG112" s="32">
        <v>50.0</v>
      </c>
      <c r="AH112" s="32">
        <v>55.0</v>
      </c>
      <c r="AI112" s="32">
        <v>62.0</v>
      </c>
      <c r="AJ112" s="32">
        <v>1.0</v>
      </c>
      <c r="AK112" s="32">
        <v>122.0</v>
      </c>
      <c r="AL112" s="32" t="s">
        <v>2530</v>
      </c>
      <c r="AM112" s="32" t="s">
        <v>2509</v>
      </c>
      <c r="AN112" s="32" t="s">
        <v>2646</v>
      </c>
      <c r="AO112" s="32" t="s">
        <v>2939</v>
      </c>
      <c r="AP112" s="32" t="s">
        <v>2940</v>
      </c>
      <c r="AQ112" s="32" t="s">
        <v>1324</v>
      </c>
      <c r="AR112" s="32" t="s">
        <v>2941</v>
      </c>
      <c r="AS112" s="32" t="s">
        <v>2942</v>
      </c>
      <c r="AT112" s="32" t="s">
        <v>2734</v>
      </c>
      <c r="AU112" s="32">
        <v>2012.0</v>
      </c>
      <c r="AV112" s="32">
        <v>148.0</v>
      </c>
      <c r="AW112" s="32">
        <v>1.0</v>
      </c>
      <c r="AX112" s="32" t="s">
        <v>1324</v>
      </c>
      <c r="AY112" s="32" t="s">
        <v>1324</v>
      </c>
      <c r="AZ112" s="32" t="s">
        <v>1324</v>
      </c>
      <c r="BA112" s="32" t="s">
        <v>1324</v>
      </c>
      <c r="BB112" s="32">
        <v>61.0</v>
      </c>
      <c r="BC112" s="32">
        <v>68.0</v>
      </c>
      <c r="BD112" s="32" t="s">
        <v>1324</v>
      </c>
      <c r="BE112" s="32" t="s">
        <v>2117</v>
      </c>
      <c r="BF112" s="38" t="str">
        <f>HYPERLINK("http://dx.doi.org/10.1016/j.biocon.2012.01.062","http://dx.doi.org/10.1016/j.biocon.2012.01.062")</f>
        <v>http://dx.doi.org/10.1016/j.biocon.2012.01.062</v>
      </c>
      <c r="BG112" s="32" t="s">
        <v>1324</v>
      </c>
      <c r="BH112" s="32" t="s">
        <v>1324</v>
      </c>
      <c r="BI112" s="32">
        <v>8.0</v>
      </c>
      <c r="BJ112" s="32" t="s">
        <v>255</v>
      </c>
      <c r="BK112" s="32" t="s">
        <v>2407</v>
      </c>
      <c r="BL112" s="32" t="s">
        <v>2577</v>
      </c>
      <c r="BM112" s="32" t="s">
        <v>4288</v>
      </c>
      <c r="BN112" s="32" t="s">
        <v>1324</v>
      </c>
      <c r="BO112" s="32" t="s">
        <v>1324</v>
      </c>
      <c r="BP112" s="32" t="s">
        <v>1324</v>
      </c>
      <c r="BQ112" s="32" t="s">
        <v>1324</v>
      </c>
      <c r="BR112" s="32" t="s">
        <v>5042</v>
      </c>
      <c r="BS112" s="32" t="s">
        <v>4289</v>
      </c>
      <c r="BT112" s="32" t="s">
        <v>1443</v>
      </c>
      <c r="BU112" s="32" t="s">
        <v>1660</v>
      </c>
      <c r="BV112" s="32" t="s">
        <v>5054</v>
      </c>
      <c r="BW112" s="32" t="s">
        <v>1446</v>
      </c>
      <c r="BX112" s="32" t="s">
        <v>5106</v>
      </c>
      <c r="BY112" s="32" t="s">
        <v>1328</v>
      </c>
      <c r="BZ112" s="32" t="s">
        <v>1328</v>
      </c>
      <c r="CA112" s="32" t="s">
        <v>1328</v>
      </c>
      <c r="CB112" s="32" t="s">
        <v>1328</v>
      </c>
      <c r="CC112" s="32" t="s">
        <v>1328</v>
      </c>
      <c r="CD112" s="39" t="s">
        <v>5107</v>
      </c>
      <c r="CE112" s="32" t="s">
        <v>1395</v>
      </c>
      <c r="CF112" s="32" t="str">
        <f>HYPERLINK("https%3A%2F%2Fwww.webofscience.com%2Fwos%2Fwoscc%2Ffull-record%2FWOS:000302840100007","View Full Record in Web of Science")</f>
        <v>View Full Record in Web of Science</v>
      </c>
    </row>
    <row r="113" ht="12.75" customHeight="1">
      <c r="A113" s="32" t="s">
        <v>26</v>
      </c>
      <c r="B113" s="32" t="s">
        <v>3592</v>
      </c>
      <c r="C113" s="32" t="s">
        <v>1324</v>
      </c>
      <c r="D113" s="32" t="s">
        <v>1324</v>
      </c>
      <c r="E113" s="32" t="s">
        <v>1324</v>
      </c>
      <c r="F113" s="32" t="s">
        <v>1986</v>
      </c>
      <c r="G113" s="32" t="s">
        <v>1324</v>
      </c>
      <c r="H113" s="32" t="s">
        <v>1324</v>
      </c>
      <c r="I113" s="32" t="s">
        <v>1988</v>
      </c>
      <c r="J113" s="32" t="s">
        <v>1987</v>
      </c>
      <c r="K113" s="32" t="s">
        <v>1324</v>
      </c>
      <c r="L113" s="32" t="s">
        <v>1324</v>
      </c>
      <c r="M113" s="32" t="s">
        <v>2364</v>
      </c>
      <c r="N113" s="32" t="s">
        <v>38</v>
      </c>
      <c r="O113" s="32" t="s">
        <v>1324</v>
      </c>
      <c r="P113" s="32" t="s">
        <v>1324</v>
      </c>
      <c r="Q113" s="32" t="s">
        <v>1324</v>
      </c>
      <c r="R113" s="32" t="s">
        <v>1324</v>
      </c>
      <c r="S113" s="32" t="s">
        <v>1324</v>
      </c>
      <c r="T113" s="32" t="s">
        <v>3593</v>
      </c>
      <c r="U113" s="32" t="s">
        <v>3594</v>
      </c>
      <c r="V113" s="32" t="s">
        <v>3595</v>
      </c>
      <c r="W113" s="32" t="s">
        <v>3596</v>
      </c>
      <c r="X113" s="32" t="s">
        <v>3597</v>
      </c>
      <c r="Y113" s="32" t="s">
        <v>3598</v>
      </c>
      <c r="Z113" s="32" t="s">
        <v>3599</v>
      </c>
      <c r="AA113" s="32" t="s">
        <v>5241</v>
      </c>
      <c r="AB113" s="32" t="s">
        <v>5242</v>
      </c>
      <c r="AC113" s="32" t="s">
        <v>1324</v>
      </c>
      <c r="AD113" s="32" t="s">
        <v>1324</v>
      </c>
      <c r="AE113" s="32" t="s">
        <v>1324</v>
      </c>
      <c r="AF113" s="32" t="s">
        <v>1324</v>
      </c>
      <c r="AG113" s="32">
        <v>38.0</v>
      </c>
      <c r="AH113" s="32">
        <v>249.0</v>
      </c>
      <c r="AI113" s="32">
        <v>303.0</v>
      </c>
      <c r="AJ113" s="32">
        <v>6.0</v>
      </c>
      <c r="AK113" s="32">
        <v>258.0</v>
      </c>
      <c r="AL113" s="32" t="s">
        <v>3602</v>
      </c>
      <c r="AM113" s="32" t="s">
        <v>2400</v>
      </c>
      <c r="AN113" s="32" t="s">
        <v>3603</v>
      </c>
      <c r="AO113" s="32" t="s">
        <v>3604</v>
      </c>
      <c r="AP113" s="32" t="s">
        <v>3605</v>
      </c>
      <c r="AQ113" s="32" t="s">
        <v>1324</v>
      </c>
      <c r="AR113" s="32" t="s">
        <v>3606</v>
      </c>
      <c r="AS113" s="32" t="s">
        <v>3607</v>
      </c>
      <c r="AT113" s="32" t="s">
        <v>3608</v>
      </c>
      <c r="AU113" s="32">
        <v>2015.0</v>
      </c>
      <c r="AV113" s="32">
        <v>148.0</v>
      </c>
      <c r="AW113" s="32" t="s">
        <v>1324</v>
      </c>
      <c r="AX113" s="32" t="s">
        <v>1324</v>
      </c>
      <c r="AY113" s="32" t="s">
        <v>1324</v>
      </c>
      <c r="AZ113" s="32" t="s">
        <v>3257</v>
      </c>
      <c r="BA113" s="32" t="s">
        <v>1324</v>
      </c>
      <c r="BB113" s="32">
        <v>101.0</v>
      </c>
      <c r="BC113" s="32">
        <v>111.0</v>
      </c>
      <c r="BD113" s="32" t="s">
        <v>1324</v>
      </c>
      <c r="BE113" s="32" t="s">
        <v>1990</v>
      </c>
      <c r="BF113" s="38" t="str">
        <f>HYPERLINK("http://dx.doi.org/10.1016/j.jenvman.2014.01.020","http://dx.doi.org/10.1016/j.jenvman.2014.01.020")</f>
        <v>http://dx.doi.org/10.1016/j.jenvman.2014.01.020</v>
      </c>
      <c r="BG113" s="32" t="s">
        <v>1324</v>
      </c>
      <c r="BH113" s="32" t="s">
        <v>1324</v>
      </c>
      <c r="BI113" s="32">
        <v>11.0</v>
      </c>
      <c r="BJ113" s="32" t="s">
        <v>68</v>
      </c>
      <c r="BK113" s="32" t="s">
        <v>2407</v>
      </c>
      <c r="BL113" s="32" t="s">
        <v>2472</v>
      </c>
      <c r="BM113" s="32" t="s">
        <v>3609</v>
      </c>
      <c r="BN113" s="32">
        <v>2.4735705E7</v>
      </c>
      <c r="BO113" s="32" t="s">
        <v>1324</v>
      </c>
      <c r="BP113" s="32" t="s">
        <v>1324</v>
      </c>
      <c r="BQ113" s="32" t="s">
        <v>1324</v>
      </c>
      <c r="BR113" s="32" t="s">
        <v>5042</v>
      </c>
      <c r="BS113" s="32" t="s">
        <v>3610</v>
      </c>
      <c r="BT113" s="32" t="s">
        <v>1329</v>
      </c>
      <c r="BU113" s="32" t="s">
        <v>1360</v>
      </c>
      <c r="BV113" s="32" t="s">
        <v>5054</v>
      </c>
      <c r="BW113" s="32" t="s">
        <v>1335</v>
      </c>
      <c r="BX113" s="32" t="s">
        <v>5101</v>
      </c>
      <c r="BY113" s="32" t="s">
        <v>1336</v>
      </c>
      <c r="BZ113" s="32" t="s">
        <v>1328</v>
      </c>
      <c r="CA113" s="32" t="s">
        <v>1328</v>
      </c>
      <c r="CB113" s="32" t="s">
        <v>1336</v>
      </c>
      <c r="CC113" s="32" t="s">
        <v>1328</v>
      </c>
      <c r="CD113" s="39" t="s">
        <v>5207</v>
      </c>
      <c r="CE113" s="32" t="s">
        <v>1350</v>
      </c>
      <c r="CF113" s="32" t="str">
        <f>HYPERLINK("https%3A%2F%2Fwww.webofscience.com%2Fwos%2Fwoscc%2Ffull-record%2FWOS:000348016400011","View Full Record in Web of Science")</f>
        <v>View Full Record in Web of Science</v>
      </c>
    </row>
    <row r="114" ht="12.75" customHeight="1">
      <c r="A114" s="32" t="s">
        <v>26</v>
      </c>
      <c r="B114" s="32" t="s">
        <v>2911</v>
      </c>
      <c r="C114" s="32" t="s">
        <v>1324</v>
      </c>
      <c r="D114" s="32" t="s">
        <v>1324</v>
      </c>
      <c r="E114" s="32" t="s">
        <v>1324</v>
      </c>
      <c r="F114" s="32" t="s">
        <v>1645</v>
      </c>
      <c r="G114" s="32" t="s">
        <v>1324</v>
      </c>
      <c r="H114" s="32" t="s">
        <v>1324</v>
      </c>
      <c r="I114" s="32" t="s">
        <v>1646</v>
      </c>
      <c r="J114" s="32" t="s">
        <v>774</v>
      </c>
      <c r="K114" s="32" t="s">
        <v>1324</v>
      </c>
      <c r="L114" s="32" t="s">
        <v>1324</v>
      </c>
      <c r="M114" s="32" t="s">
        <v>2364</v>
      </c>
      <c r="N114" s="32" t="s">
        <v>38</v>
      </c>
      <c r="O114" s="32" t="s">
        <v>1324</v>
      </c>
      <c r="P114" s="32" t="s">
        <v>1324</v>
      </c>
      <c r="Q114" s="32" t="s">
        <v>1324</v>
      </c>
      <c r="R114" s="32" t="s">
        <v>1324</v>
      </c>
      <c r="S114" s="32" t="s">
        <v>1324</v>
      </c>
      <c r="T114" s="32" t="s">
        <v>2912</v>
      </c>
      <c r="U114" s="32" t="s">
        <v>2913</v>
      </c>
      <c r="V114" s="32" t="s">
        <v>1647</v>
      </c>
      <c r="W114" s="32" t="s">
        <v>2914</v>
      </c>
      <c r="X114" s="32" t="s">
        <v>2915</v>
      </c>
      <c r="Y114" s="32" t="s">
        <v>2916</v>
      </c>
      <c r="Z114" s="32" t="s">
        <v>2917</v>
      </c>
      <c r="AA114" s="32" t="s">
        <v>5243</v>
      </c>
      <c r="AB114" s="32" t="s">
        <v>5244</v>
      </c>
      <c r="AC114" s="32" t="s">
        <v>2920</v>
      </c>
      <c r="AD114" s="32" t="s">
        <v>2921</v>
      </c>
      <c r="AE114" s="32" t="s">
        <v>2922</v>
      </c>
      <c r="AF114" s="32" t="s">
        <v>1324</v>
      </c>
      <c r="AG114" s="32">
        <v>73.0</v>
      </c>
      <c r="AH114" s="32">
        <v>296.0</v>
      </c>
      <c r="AI114" s="32">
        <v>330.0</v>
      </c>
      <c r="AJ114" s="32">
        <v>18.0</v>
      </c>
      <c r="AK114" s="32">
        <v>347.0</v>
      </c>
      <c r="AL114" s="32" t="s">
        <v>2464</v>
      </c>
      <c r="AM114" s="32" t="s">
        <v>2465</v>
      </c>
      <c r="AN114" s="32" t="s">
        <v>2466</v>
      </c>
      <c r="AO114" s="32" t="s">
        <v>2923</v>
      </c>
      <c r="AP114" s="32" t="s">
        <v>2924</v>
      </c>
      <c r="AQ114" s="32" t="s">
        <v>1324</v>
      </c>
      <c r="AR114" s="32" t="s">
        <v>2925</v>
      </c>
      <c r="AS114" s="32" t="s">
        <v>2926</v>
      </c>
      <c r="AT114" s="32" t="s">
        <v>2927</v>
      </c>
      <c r="AU114" s="32">
        <v>2017.0</v>
      </c>
      <c r="AV114" s="32">
        <v>23.0</v>
      </c>
      <c r="AW114" s="32">
        <v>11.0</v>
      </c>
      <c r="AX114" s="32" t="s">
        <v>1324</v>
      </c>
      <c r="AY114" s="32" t="s">
        <v>1324</v>
      </c>
      <c r="AZ114" s="32" t="s">
        <v>1324</v>
      </c>
      <c r="BA114" s="32" t="s">
        <v>1324</v>
      </c>
      <c r="BB114" s="32">
        <v>4946.0</v>
      </c>
      <c r="BC114" s="32">
        <v>4957.0</v>
      </c>
      <c r="BD114" s="32" t="s">
        <v>1324</v>
      </c>
      <c r="BE114" s="32" t="s">
        <v>1648</v>
      </c>
      <c r="BF114" s="38" t="str">
        <f>HYPERLINK("http://dx.doi.org/10.1111/gcb.13714","http://dx.doi.org/10.1111/gcb.13714")</f>
        <v>http://dx.doi.org/10.1111/gcb.13714</v>
      </c>
      <c r="BG114" s="32" t="s">
        <v>1324</v>
      </c>
      <c r="BH114" s="32" t="s">
        <v>1324</v>
      </c>
      <c r="BI114" s="32">
        <v>12.0</v>
      </c>
      <c r="BJ114" s="32" t="s">
        <v>255</v>
      </c>
      <c r="BK114" s="32" t="s">
        <v>2407</v>
      </c>
      <c r="BL114" s="32" t="s">
        <v>2577</v>
      </c>
      <c r="BM114" s="32" t="s">
        <v>2928</v>
      </c>
      <c r="BN114" s="32">
        <v>2.8488295E7</v>
      </c>
      <c r="BO114" s="32" t="s">
        <v>2579</v>
      </c>
      <c r="BP114" s="32" t="s">
        <v>1324</v>
      </c>
      <c r="BQ114" s="32" t="s">
        <v>1324</v>
      </c>
      <c r="BR114" s="32" t="s">
        <v>5042</v>
      </c>
      <c r="BS114" s="32" t="s">
        <v>2929</v>
      </c>
      <c r="BT114" s="32" t="s">
        <v>1463</v>
      </c>
      <c r="BU114" s="32" t="s">
        <v>1444</v>
      </c>
      <c r="BV114" s="32" t="s">
        <v>5048</v>
      </c>
      <c r="BW114" s="32" t="s">
        <v>1362</v>
      </c>
      <c r="BX114" s="32" t="s">
        <v>5044</v>
      </c>
      <c r="BY114" s="32" t="s">
        <v>1336</v>
      </c>
      <c r="BZ114" s="32" t="s">
        <v>1328</v>
      </c>
      <c r="CA114" s="32" t="s">
        <v>1336</v>
      </c>
      <c r="CB114" s="32" t="s">
        <v>1336</v>
      </c>
      <c r="CC114" s="32" t="s">
        <v>1328</v>
      </c>
      <c r="CD114" s="39" t="s">
        <v>5110</v>
      </c>
      <c r="CE114" s="32" t="s">
        <v>1350</v>
      </c>
      <c r="CF114" s="32" t="str">
        <f>HYPERLINK("https%3A%2F%2Fwww.webofscience.com%2Fwos%2Fwoscc%2Ffull-record%2FWOS:000412322700041","View Full Record in Web of Science")</f>
        <v>View Full Record in Web of Science</v>
      </c>
    </row>
    <row r="115" ht="12.75" customHeight="1">
      <c r="A115" s="32" t="s">
        <v>26</v>
      </c>
      <c r="B115" s="32" t="s">
        <v>3240</v>
      </c>
      <c r="C115" s="32" t="s">
        <v>1324</v>
      </c>
      <c r="D115" s="32" t="s">
        <v>1324</v>
      </c>
      <c r="E115" s="32" t="s">
        <v>1324</v>
      </c>
      <c r="F115" s="32" t="s">
        <v>2205</v>
      </c>
      <c r="G115" s="32" t="s">
        <v>1324</v>
      </c>
      <c r="H115" s="32" t="s">
        <v>1324</v>
      </c>
      <c r="I115" s="32" t="s">
        <v>2206</v>
      </c>
      <c r="J115" s="32" t="s">
        <v>1824</v>
      </c>
      <c r="K115" s="32" t="s">
        <v>1324</v>
      </c>
      <c r="L115" s="32" t="s">
        <v>1324</v>
      </c>
      <c r="M115" s="32" t="s">
        <v>2364</v>
      </c>
      <c r="N115" s="32" t="s">
        <v>38</v>
      </c>
      <c r="O115" s="32" t="s">
        <v>1324</v>
      </c>
      <c r="P115" s="32" t="s">
        <v>1324</v>
      </c>
      <c r="Q115" s="32" t="s">
        <v>1324</v>
      </c>
      <c r="R115" s="32" t="s">
        <v>1324</v>
      </c>
      <c r="S115" s="32" t="s">
        <v>1324</v>
      </c>
      <c r="T115" s="32" t="s">
        <v>3241</v>
      </c>
      <c r="U115" s="32" t="s">
        <v>3242</v>
      </c>
      <c r="V115" s="32" t="s">
        <v>3243</v>
      </c>
      <c r="W115" s="32" t="s">
        <v>3244</v>
      </c>
      <c r="X115" s="32" t="s">
        <v>3245</v>
      </c>
      <c r="Y115" s="32" t="s">
        <v>3246</v>
      </c>
      <c r="Z115" s="32" t="s">
        <v>3247</v>
      </c>
      <c r="AA115" s="32" t="s">
        <v>5245</v>
      </c>
      <c r="AB115" s="32" t="s">
        <v>3249</v>
      </c>
      <c r="AC115" s="32" t="s">
        <v>1324</v>
      </c>
      <c r="AD115" s="32" t="s">
        <v>1324</v>
      </c>
      <c r="AE115" s="32" t="s">
        <v>1324</v>
      </c>
      <c r="AF115" s="32" t="s">
        <v>1324</v>
      </c>
      <c r="AG115" s="32">
        <v>118.0</v>
      </c>
      <c r="AH115" s="32">
        <v>41.0</v>
      </c>
      <c r="AI115" s="32">
        <v>56.0</v>
      </c>
      <c r="AJ115" s="32">
        <v>5.0</v>
      </c>
      <c r="AK115" s="32">
        <v>70.0</v>
      </c>
      <c r="AL115" s="32" t="s">
        <v>3250</v>
      </c>
      <c r="AM115" s="32" t="s">
        <v>3251</v>
      </c>
      <c r="AN115" s="32" t="s">
        <v>3252</v>
      </c>
      <c r="AO115" s="32" t="s">
        <v>3253</v>
      </c>
      <c r="AP115" s="32" t="s">
        <v>3254</v>
      </c>
      <c r="AQ115" s="32" t="s">
        <v>1324</v>
      </c>
      <c r="AR115" s="32" t="s">
        <v>3255</v>
      </c>
      <c r="AS115" s="32" t="s">
        <v>3256</v>
      </c>
      <c r="AT115" s="32" t="s">
        <v>2927</v>
      </c>
      <c r="AU115" s="32">
        <v>2016.0</v>
      </c>
      <c r="AV115" s="32">
        <v>25.0</v>
      </c>
      <c r="AW115" s="32">
        <v>12.0</v>
      </c>
      <c r="AX115" s="32" t="s">
        <v>1324</v>
      </c>
      <c r="AY115" s="32" t="s">
        <v>1324</v>
      </c>
      <c r="AZ115" s="32" t="s">
        <v>3257</v>
      </c>
      <c r="BA115" s="32" t="s">
        <v>1324</v>
      </c>
      <c r="BB115" s="32">
        <v>2491.0</v>
      </c>
      <c r="BC115" s="32">
        <v>2519.0</v>
      </c>
      <c r="BD115" s="32" t="s">
        <v>1324</v>
      </c>
      <c r="BE115" s="32" t="s">
        <v>2208</v>
      </c>
      <c r="BF115" s="38" t="str">
        <f>HYPERLINK("http://dx.doi.org/10.1007/s10531-016-1172-0","http://dx.doi.org/10.1007/s10531-016-1172-0")</f>
        <v>http://dx.doi.org/10.1007/s10531-016-1172-0</v>
      </c>
      <c r="BG115" s="32" t="s">
        <v>1324</v>
      </c>
      <c r="BH115" s="32" t="s">
        <v>1324</v>
      </c>
      <c r="BI115" s="32">
        <v>29.0</v>
      </c>
      <c r="BJ115" s="32" t="s">
        <v>255</v>
      </c>
      <c r="BK115" s="32" t="s">
        <v>2407</v>
      </c>
      <c r="BL115" s="32" t="s">
        <v>2577</v>
      </c>
      <c r="BM115" s="32" t="s">
        <v>3258</v>
      </c>
      <c r="BN115" s="32" t="s">
        <v>1324</v>
      </c>
      <c r="BO115" s="32" t="s">
        <v>2474</v>
      </c>
      <c r="BP115" s="32" t="s">
        <v>1324</v>
      </c>
      <c r="BQ115" s="32" t="s">
        <v>1324</v>
      </c>
      <c r="BR115" s="32" t="s">
        <v>5042</v>
      </c>
      <c r="BS115" s="32" t="s">
        <v>3259</v>
      </c>
      <c r="BT115" s="32" t="s">
        <v>1443</v>
      </c>
      <c r="BU115" s="32" t="s">
        <v>1360</v>
      </c>
      <c r="BV115" s="32" t="s">
        <v>5066</v>
      </c>
      <c r="BW115" s="32" t="s">
        <v>1362</v>
      </c>
      <c r="BX115" s="32" t="s">
        <v>5044</v>
      </c>
      <c r="BY115" s="32" t="s">
        <v>1328</v>
      </c>
      <c r="BZ115" s="32" t="s">
        <v>1328</v>
      </c>
      <c r="CA115" s="32" t="s">
        <v>1328</v>
      </c>
      <c r="CB115" s="32" t="s">
        <v>1336</v>
      </c>
      <c r="CC115" s="32" t="s">
        <v>1336</v>
      </c>
      <c r="CD115" s="39" t="s">
        <v>5050</v>
      </c>
      <c r="CE115" s="32" t="s">
        <v>1395</v>
      </c>
      <c r="CF115" s="32" t="str">
        <f>HYPERLINK("https%3A%2F%2Fwww.webofscience.com%2Fwos%2Fwoscc%2Ffull-record%2FWOS:000386500700016","View Full Record in Web of Science")</f>
        <v>View Full Record in Web of Science</v>
      </c>
    </row>
    <row r="116" ht="12.75" customHeight="1">
      <c r="A116" s="32" t="s">
        <v>26</v>
      </c>
      <c r="B116" s="32" t="s">
        <v>2620</v>
      </c>
      <c r="C116" s="32" t="s">
        <v>1324</v>
      </c>
      <c r="D116" s="32" t="s">
        <v>1324</v>
      </c>
      <c r="E116" s="32" t="s">
        <v>1324</v>
      </c>
      <c r="F116" s="32" t="s">
        <v>1752</v>
      </c>
      <c r="G116" s="32" t="s">
        <v>1324</v>
      </c>
      <c r="H116" s="32" t="s">
        <v>1324</v>
      </c>
      <c r="I116" s="32" t="s">
        <v>1753</v>
      </c>
      <c r="J116" s="32" t="s">
        <v>318</v>
      </c>
      <c r="K116" s="32" t="s">
        <v>1324</v>
      </c>
      <c r="L116" s="32" t="s">
        <v>1324</v>
      </c>
      <c r="M116" s="32" t="s">
        <v>2364</v>
      </c>
      <c r="N116" s="32" t="s">
        <v>38</v>
      </c>
      <c r="O116" s="32" t="s">
        <v>1324</v>
      </c>
      <c r="P116" s="32" t="s">
        <v>1324</v>
      </c>
      <c r="Q116" s="32" t="s">
        <v>1324</v>
      </c>
      <c r="R116" s="32" t="s">
        <v>1324</v>
      </c>
      <c r="S116" s="32" t="s">
        <v>1324</v>
      </c>
      <c r="T116" s="32" t="s">
        <v>2621</v>
      </c>
      <c r="U116" s="32" t="s">
        <v>2622</v>
      </c>
      <c r="V116" s="32" t="s">
        <v>1754</v>
      </c>
      <c r="W116" s="32" t="s">
        <v>2623</v>
      </c>
      <c r="X116" s="32" t="s">
        <v>2624</v>
      </c>
      <c r="Y116" s="32" t="s">
        <v>2625</v>
      </c>
      <c r="Z116" s="32" t="s">
        <v>2626</v>
      </c>
      <c r="AA116" s="32" t="s">
        <v>2627</v>
      </c>
      <c r="AB116" s="32" t="s">
        <v>5246</v>
      </c>
      <c r="AC116" s="32" t="s">
        <v>2629</v>
      </c>
      <c r="AD116" s="32" t="s">
        <v>2630</v>
      </c>
      <c r="AE116" s="32" t="s">
        <v>2631</v>
      </c>
      <c r="AF116" s="32" t="s">
        <v>1324</v>
      </c>
      <c r="AG116" s="32">
        <v>59.0</v>
      </c>
      <c r="AH116" s="32">
        <v>96.0</v>
      </c>
      <c r="AI116" s="32">
        <v>106.0</v>
      </c>
      <c r="AJ116" s="32">
        <v>2.0</v>
      </c>
      <c r="AK116" s="32">
        <v>77.0</v>
      </c>
      <c r="AL116" s="32" t="s">
        <v>2590</v>
      </c>
      <c r="AM116" s="32" t="s">
        <v>2591</v>
      </c>
      <c r="AN116" s="32" t="s">
        <v>2592</v>
      </c>
      <c r="AO116" s="32" t="s">
        <v>2593</v>
      </c>
      <c r="AP116" s="32" t="s">
        <v>1324</v>
      </c>
      <c r="AQ116" s="32" t="s">
        <v>1324</v>
      </c>
      <c r="AR116" s="32" t="s">
        <v>2594</v>
      </c>
      <c r="AS116" s="32" t="s">
        <v>2595</v>
      </c>
      <c r="AT116" s="32" t="s">
        <v>2632</v>
      </c>
      <c r="AU116" s="32">
        <v>2018.0</v>
      </c>
      <c r="AV116" s="32">
        <v>13.0</v>
      </c>
      <c r="AW116" s="32">
        <v>6.0</v>
      </c>
      <c r="AX116" s="32" t="s">
        <v>1324</v>
      </c>
      <c r="AY116" s="32" t="s">
        <v>1324</v>
      </c>
      <c r="AZ116" s="32" t="s">
        <v>1324</v>
      </c>
      <c r="BA116" s="32" t="s">
        <v>1324</v>
      </c>
      <c r="BB116" s="32" t="s">
        <v>1324</v>
      </c>
      <c r="BC116" s="32" t="s">
        <v>1324</v>
      </c>
      <c r="BD116" s="32">
        <v>65013.0</v>
      </c>
      <c r="BE116" s="32" t="s">
        <v>1755</v>
      </c>
      <c r="BF116" s="38" t="str">
        <f>HYPERLINK("http://dx.doi.org/10.1088/1748-9326/aac331","http://dx.doi.org/10.1088/1748-9326/aac331")</f>
        <v>http://dx.doi.org/10.1088/1748-9326/aac331</v>
      </c>
      <c r="BG116" s="32" t="s">
        <v>1324</v>
      </c>
      <c r="BH116" s="32" t="s">
        <v>1324</v>
      </c>
      <c r="BI116" s="32">
        <v>12.0</v>
      </c>
      <c r="BJ116" s="32" t="s">
        <v>322</v>
      </c>
      <c r="BK116" s="32" t="s">
        <v>2407</v>
      </c>
      <c r="BL116" s="32" t="s">
        <v>2596</v>
      </c>
      <c r="BM116" s="32" t="s">
        <v>2633</v>
      </c>
      <c r="BN116" s="32" t="s">
        <v>1324</v>
      </c>
      <c r="BO116" s="32" t="s">
        <v>2598</v>
      </c>
      <c r="BP116" s="32" t="s">
        <v>1324</v>
      </c>
      <c r="BQ116" s="32" t="s">
        <v>1324</v>
      </c>
      <c r="BR116" s="32" t="s">
        <v>5042</v>
      </c>
      <c r="BS116" s="32" t="s">
        <v>2634</v>
      </c>
      <c r="BT116" s="32" t="s">
        <v>1329</v>
      </c>
      <c r="BU116" s="32" t="s">
        <v>1360</v>
      </c>
      <c r="BV116" s="32" t="s">
        <v>5051</v>
      </c>
      <c r="BW116" s="32" t="s">
        <v>1464</v>
      </c>
      <c r="BX116" s="32" t="s">
        <v>5049</v>
      </c>
      <c r="BY116" s="32" t="s">
        <v>1336</v>
      </c>
      <c r="BZ116" s="32" t="s">
        <v>1336</v>
      </c>
      <c r="CA116" s="32" t="s">
        <v>1328</v>
      </c>
      <c r="CB116" s="32" t="s">
        <v>1336</v>
      </c>
      <c r="CC116" s="32" t="s">
        <v>1336</v>
      </c>
      <c r="CD116" s="39" t="s">
        <v>5192</v>
      </c>
      <c r="CE116" s="32" t="s">
        <v>1395</v>
      </c>
      <c r="CF116" s="32" t="str">
        <f>HYPERLINK("https%3A%2F%2Fwww.webofscience.com%2Fwos%2Fwoscc%2Ffull-record%2FWOS:000434818600001","View Full Record in Web of Science")</f>
        <v>View Full Record in Web of Science</v>
      </c>
    </row>
    <row r="117" ht="12.75" customHeight="1">
      <c r="A117" s="32" t="s">
        <v>26</v>
      </c>
      <c r="B117" s="32" t="s">
        <v>3375</v>
      </c>
      <c r="C117" s="32" t="s">
        <v>1324</v>
      </c>
      <c r="D117" s="32" t="s">
        <v>1324</v>
      </c>
      <c r="E117" s="32" t="s">
        <v>1324</v>
      </c>
      <c r="F117" s="32" t="s">
        <v>2036</v>
      </c>
      <c r="G117" s="32" t="s">
        <v>1324</v>
      </c>
      <c r="H117" s="32" t="s">
        <v>1324</v>
      </c>
      <c r="I117" s="32" t="s">
        <v>2037</v>
      </c>
      <c r="J117" s="32" t="s">
        <v>2030</v>
      </c>
      <c r="K117" s="32" t="s">
        <v>1324</v>
      </c>
      <c r="L117" s="32" t="s">
        <v>1324</v>
      </c>
      <c r="M117" s="32" t="s">
        <v>2364</v>
      </c>
      <c r="N117" s="32" t="s">
        <v>38</v>
      </c>
      <c r="O117" s="32" t="s">
        <v>1324</v>
      </c>
      <c r="P117" s="32" t="s">
        <v>1324</v>
      </c>
      <c r="Q117" s="32" t="s">
        <v>1324</v>
      </c>
      <c r="R117" s="32" t="s">
        <v>1324</v>
      </c>
      <c r="S117" s="32" t="s">
        <v>1324</v>
      </c>
      <c r="T117" s="32" t="s">
        <v>3376</v>
      </c>
      <c r="U117" s="32" t="s">
        <v>3377</v>
      </c>
      <c r="V117" s="32" t="s">
        <v>2038</v>
      </c>
      <c r="W117" s="32" t="s">
        <v>3378</v>
      </c>
      <c r="X117" s="32" t="s">
        <v>3379</v>
      </c>
      <c r="Y117" s="32" t="s">
        <v>3380</v>
      </c>
      <c r="Z117" s="32" t="s">
        <v>3381</v>
      </c>
      <c r="AA117" s="32" t="s">
        <v>3382</v>
      </c>
      <c r="AB117" s="32" t="s">
        <v>3383</v>
      </c>
      <c r="AC117" s="32" t="s">
        <v>3384</v>
      </c>
      <c r="AD117" s="32" t="s">
        <v>3385</v>
      </c>
      <c r="AE117" s="32" t="s">
        <v>3386</v>
      </c>
      <c r="AF117" s="32" t="s">
        <v>1324</v>
      </c>
      <c r="AG117" s="32">
        <v>52.0</v>
      </c>
      <c r="AH117" s="32">
        <v>12.0</v>
      </c>
      <c r="AI117" s="32">
        <v>14.0</v>
      </c>
      <c r="AJ117" s="32">
        <v>0.0</v>
      </c>
      <c r="AK117" s="32">
        <v>16.0</v>
      </c>
      <c r="AL117" s="32" t="s">
        <v>2486</v>
      </c>
      <c r="AM117" s="32" t="s">
        <v>2487</v>
      </c>
      <c r="AN117" s="32" t="s">
        <v>2488</v>
      </c>
      <c r="AO117" s="32" t="s">
        <v>2855</v>
      </c>
      <c r="AP117" s="32" t="s">
        <v>2856</v>
      </c>
      <c r="AQ117" s="32" t="s">
        <v>1324</v>
      </c>
      <c r="AR117" s="32" t="s">
        <v>2857</v>
      </c>
      <c r="AS117" s="32" t="s">
        <v>2858</v>
      </c>
      <c r="AT117" s="32" t="s">
        <v>2651</v>
      </c>
      <c r="AU117" s="32">
        <v>2016.0</v>
      </c>
      <c r="AV117" s="32">
        <v>177.0</v>
      </c>
      <c r="AW117" s="32" t="s">
        <v>1324</v>
      </c>
      <c r="AX117" s="32" t="s">
        <v>1324</v>
      </c>
      <c r="AY117" s="32" t="s">
        <v>1324</v>
      </c>
      <c r="AZ117" s="32" t="s">
        <v>1324</v>
      </c>
      <c r="BA117" s="32" t="s">
        <v>1324</v>
      </c>
      <c r="BB117" s="32">
        <v>71.0</v>
      </c>
      <c r="BC117" s="32">
        <v>81.0</v>
      </c>
      <c r="BD117" s="32" t="s">
        <v>1324</v>
      </c>
      <c r="BE117" s="32" t="s">
        <v>2039</v>
      </c>
      <c r="BF117" s="38" t="str">
        <f>HYPERLINK("http://dx.doi.org/10.1016/j.fishres.2016.01.005","http://dx.doi.org/10.1016/j.fishres.2016.01.005")</f>
        <v>http://dx.doi.org/10.1016/j.fishres.2016.01.005</v>
      </c>
      <c r="BG117" s="32" t="s">
        <v>1324</v>
      </c>
      <c r="BH117" s="32" t="s">
        <v>1324</v>
      </c>
      <c r="BI117" s="32">
        <v>11.0</v>
      </c>
      <c r="BJ117" s="32" t="s">
        <v>2859</v>
      </c>
      <c r="BK117" s="32" t="s">
        <v>2407</v>
      </c>
      <c r="BL117" s="32" t="s">
        <v>2859</v>
      </c>
      <c r="BM117" s="32" t="s">
        <v>3387</v>
      </c>
      <c r="BN117" s="32" t="s">
        <v>1324</v>
      </c>
      <c r="BO117" s="32" t="s">
        <v>3388</v>
      </c>
      <c r="BP117" s="32" t="s">
        <v>1324</v>
      </c>
      <c r="BQ117" s="32" t="s">
        <v>1324</v>
      </c>
      <c r="BR117" s="32" t="s">
        <v>5042</v>
      </c>
      <c r="BS117" s="32" t="s">
        <v>3389</v>
      </c>
      <c r="BT117" s="32" t="s">
        <v>1329</v>
      </c>
      <c r="BU117" s="32" t="s">
        <v>1333</v>
      </c>
      <c r="BV117" s="32" t="s">
        <v>5066</v>
      </c>
      <c r="BW117" s="32" t="s">
        <v>1349</v>
      </c>
      <c r="BX117" s="32" t="s">
        <v>5062</v>
      </c>
      <c r="BY117" s="32" t="s">
        <v>1328</v>
      </c>
      <c r="BZ117" s="32" t="s">
        <v>1336</v>
      </c>
      <c r="CA117" s="32" t="s">
        <v>1328</v>
      </c>
      <c r="CB117" s="32" t="s">
        <v>1336</v>
      </c>
      <c r="CC117" s="32" t="s">
        <v>1336</v>
      </c>
      <c r="CD117" s="39" t="s">
        <v>5070</v>
      </c>
      <c r="CE117" s="32" t="s">
        <v>1350</v>
      </c>
      <c r="CF117" s="32" t="str">
        <f>HYPERLINK("https%3A%2F%2Fwww.webofscience.com%2Fwos%2Fwoscc%2Ffull-record%2FWOS:000372378600009","View Full Record in Web of Science")</f>
        <v>View Full Record in Web of Science</v>
      </c>
    </row>
    <row r="118" ht="12.75" customHeight="1">
      <c r="A118" s="32" t="s">
        <v>26</v>
      </c>
      <c r="B118" s="32" t="s">
        <v>4148</v>
      </c>
      <c r="C118" s="32" t="s">
        <v>1324</v>
      </c>
      <c r="D118" s="32" t="s">
        <v>1324</v>
      </c>
      <c r="E118" s="32" t="s">
        <v>1324</v>
      </c>
      <c r="F118" s="32" t="s">
        <v>1981</v>
      </c>
      <c r="G118" s="32" t="s">
        <v>1324</v>
      </c>
      <c r="H118" s="32" t="s">
        <v>1324</v>
      </c>
      <c r="I118" s="32" t="s">
        <v>1982</v>
      </c>
      <c r="J118" s="32" t="s">
        <v>1976</v>
      </c>
      <c r="K118" s="32" t="s">
        <v>1324</v>
      </c>
      <c r="L118" s="32" t="s">
        <v>1324</v>
      </c>
      <c r="M118" s="32" t="s">
        <v>2364</v>
      </c>
      <c r="N118" s="32" t="s">
        <v>38</v>
      </c>
      <c r="O118" s="32" t="s">
        <v>1324</v>
      </c>
      <c r="P118" s="32" t="s">
        <v>1324</v>
      </c>
      <c r="Q118" s="32" t="s">
        <v>1324</v>
      </c>
      <c r="R118" s="32" t="s">
        <v>1324</v>
      </c>
      <c r="S118" s="32" t="s">
        <v>1324</v>
      </c>
      <c r="T118" s="32" t="s">
        <v>4149</v>
      </c>
      <c r="U118" s="32" t="s">
        <v>4150</v>
      </c>
      <c r="V118" s="32" t="s">
        <v>1983</v>
      </c>
      <c r="W118" s="32" t="s">
        <v>4151</v>
      </c>
      <c r="X118" s="32" t="s">
        <v>4152</v>
      </c>
      <c r="Y118" s="32" t="s">
        <v>4153</v>
      </c>
      <c r="Z118" s="32" t="s">
        <v>4154</v>
      </c>
      <c r="AA118" s="32" t="s">
        <v>1324</v>
      </c>
      <c r="AB118" s="32" t="s">
        <v>1324</v>
      </c>
      <c r="AC118" s="32" t="s">
        <v>4155</v>
      </c>
      <c r="AD118" s="32" t="s">
        <v>4156</v>
      </c>
      <c r="AE118" s="32" t="s">
        <v>4157</v>
      </c>
      <c r="AF118" s="32" t="s">
        <v>1324</v>
      </c>
      <c r="AG118" s="32">
        <v>44.0</v>
      </c>
      <c r="AH118" s="32">
        <v>10.0</v>
      </c>
      <c r="AI118" s="32">
        <v>10.0</v>
      </c>
      <c r="AJ118" s="32">
        <v>1.0</v>
      </c>
      <c r="AK118" s="32">
        <v>22.0</v>
      </c>
      <c r="AL118" s="32" t="s">
        <v>2530</v>
      </c>
      <c r="AM118" s="32" t="s">
        <v>2509</v>
      </c>
      <c r="AN118" s="32" t="s">
        <v>2646</v>
      </c>
      <c r="AO118" s="32" t="s">
        <v>3402</v>
      </c>
      <c r="AP118" s="32" t="s">
        <v>1324</v>
      </c>
      <c r="AQ118" s="32" t="s">
        <v>1324</v>
      </c>
      <c r="AR118" s="32" t="s">
        <v>3403</v>
      </c>
      <c r="AS118" s="32" t="s">
        <v>3404</v>
      </c>
      <c r="AT118" s="32" t="s">
        <v>2908</v>
      </c>
      <c r="AU118" s="32">
        <v>2012.0</v>
      </c>
      <c r="AV118" s="32">
        <v>38.0</v>
      </c>
      <c r="AW118" s="32">
        <v>4.0</v>
      </c>
      <c r="AX118" s="32" t="s">
        <v>1324</v>
      </c>
      <c r="AY118" s="32" t="s">
        <v>1324</v>
      </c>
      <c r="AZ118" s="32" t="s">
        <v>1324</v>
      </c>
      <c r="BA118" s="32" t="s">
        <v>1324</v>
      </c>
      <c r="BB118" s="32">
        <v>720.0</v>
      </c>
      <c r="BC118" s="32">
        <v>729.0</v>
      </c>
      <c r="BD118" s="32" t="s">
        <v>1324</v>
      </c>
      <c r="BE118" s="32" t="s">
        <v>1984</v>
      </c>
      <c r="BF118" s="38" t="str">
        <f>HYPERLINK("http://dx.doi.org/10.1016/j.jglr.2012.09.022","http://dx.doi.org/10.1016/j.jglr.2012.09.022")</f>
        <v>http://dx.doi.org/10.1016/j.jglr.2012.09.022</v>
      </c>
      <c r="BG118" s="32" t="s">
        <v>1324</v>
      </c>
      <c r="BH118" s="32" t="s">
        <v>1324</v>
      </c>
      <c r="BI118" s="32">
        <v>10.0</v>
      </c>
      <c r="BJ118" s="32" t="s">
        <v>3405</v>
      </c>
      <c r="BK118" s="32" t="s">
        <v>2407</v>
      </c>
      <c r="BL118" s="32" t="s">
        <v>2516</v>
      </c>
      <c r="BM118" s="32" t="s">
        <v>4158</v>
      </c>
      <c r="BN118" s="32" t="s">
        <v>1324</v>
      </c>
      <c r="BO118" s="32" t="s">
        <v>2474</v>
      </c>
      <c r="BP118" s="32" t="s">
        <v>1324</v>
      </c>
      <c r="BQ118" s="32" t="s">
        <v>1324</v>
      </c>
      <c r="BR118" s="32" t="s">
        <v>5042</v>
      </c>
      <c r="BS118" s="32" t="s">
        <v>4159</v>
      </c>
      <c r="BT118" s="32" t="s">
        <v>1329</v>
      </c>
      <c r="BU118" s="32" t="s">
        <v>1333</v>
      </c>
      <c r="BV118" s="32" t="s">
        <v>5043</v>
      </c>
      <c r="BW118" s="32" t="s">
        <v>1530</v>
      </c>
      <c r="BX118" s="32" t="s">
        <v>5078</v>
      </c>
      <c r="BY118" s="32" t="s">
        <v>1328</v>
      </c>
      <c r="BZ118" s="32" t="s">
        <v>1336</v>
      </c>
      <c r="CA118" s="32" t="s">
        <v>1328</v>
      </c>
      <c r="CB118" s="32" t="s">
        <v>1336</v>
      </c>
      <c r="CC118" s="32" t="s">
        <v>1336</v>
      </c>
      <c r="CD118" s="39" t="s">
        <v>5070</v>
      </c>
      <c r="CE118" s="32" t="s">
        <v>1350</v>
      </c>
      <c r="CF118" s="32" t="str">
        <f>HYPERLINK("https%3A%2F%2Fwww.webofscience.com%2Fwos%2Fwoscc%2Ffull-record%2FWOS:000312183100013","View Full Record in Web of Science")</f>
        <v>View Full Record in Web of Science</v>
      </c>
    </row>
    <row r="119" ht="12.75" customHeight="1">
      <c r="A119" s="32" t="s">
        <v>26</v>
      </c>
      <c r="B119" s="32" t="s">
        <v>4066</v>
      </c>
      <c r="C119" s="32" t="s">
        <v>1324</v>
      </c>
      <c r="D119" s="32" t="s">
        <v>1324</v>
      </c>
      <c r="E119" s="32" t="s">
        <v>1324</v>
      </c>
      <c r="F119" s="32" t="s">
        <v>1574</v>
      </c>
      <c r="G119" s="32" t="s">
        <v>1324</v>
      </c>
      <c r="H119" s="32" t="s">
        <v>1324</v>
      </c>
      <c r="I119" s="32" t="s">
        <v>1576</v>
      </c>
      <c r="J119" s="32" t="s">
        <v>1575</v>
      </c>
      <c r="K119" s="32" t="s">
        <v>1324</v>
      </c>
      <c r="L119" s="32" t="s">
        <v>1324</v>
      </c>
      <c r="M119" s="32" t="s">
        <v>2364</v>
      </c>
      <c r="N119" s="32" t="s">
        <v>38</v>
      </c>
      <c r="O119" s="32" t="s">
        <v>1324</v>
      </c>
      <c r="P119" s="32" t="s">
        <v>1324</v>
      </c>
      <c r="Q119" s="32" t="s">
        <v>1324</v>
      </c>
      <c r="R119" s="32" t="s">
        <v>1324</v>
      </c>
      <c r="S119" s="32" t="s">
        <v>1324</v>
      </c>
      <c r="T119" s="32" t="s">
        <v>1324</v>
      </c>
      <c r="U119" s="32" t="s">
        <v>4067</v>
      </c>
      <c r="V119" s="32" t="s">
        <v>1577</v>
      </c>
      <c r="W119" s="32" t="s">
        <v>4068</v>
      </c>
      <c r="X119" s="32" t="s">
        <v>4069</v>
      </c>
      <c r="Y119" s="32" t="s">
        <v>4070</v>
      </c>
      <c r="Z119" s="32" t="s">
        <v>4071</v>
      </c>
      <c r="AA119" s="32" t="s">
        <v>1324</v>
      </c>
      <c r="AB119" s="32" t="s">
        <v>5247</v>
      </c>
      <c r="AC119" s="32" t="s">
        <v>4073</v>
      </c>
      <c r="AD119" s="32" t="s">
        <v>4074</v>
      </c>
      <c r="AE119" s="32" t="s">
        <v>4075</v>
      </c>
      <c r="AF119" s="32" t="s">
        <v>1324</v>
      </c>
      <c r="AG119" s="32">
        <v>65.0</v>
      </c>
      <c r="AH119" s="32">
        <v>21.0</v>
      </c>
      <c r="AI119" s="32">
        <v>29.0</v>
      </c>
      <c r="AJ119" s="32">
        <v>1.0</v>
      </c>
      <c r="AK119" s="32">
        <v>87.0</v>
      </c>
      <c r="AL119" s="32" t="s">
        <v>2464</v>
      </c>
      <c r="AM119" s="32" t="s">
        <v>2465</v>
      </c>
      <c r="AN119" s="32" t="s">
        <v>2466</v>
      </c>
      <c r="AO119" s="32" t="s">
        <v>4047</v>
      </c>
      <c r="AP119" s="32" t="s">
        <v>4048</v>
      </c>
      <c r="AQ119" s="32" t="s">
        <v>1324</v>
      </c>
      <c r="AR119" s="32" t="s">
        <v>1575</v>
      </c>
      <c r="AS119" s="32" t="s">
        <v>4049</v>
      </c>
      <c r="AT119" s="32" t="s">
        <v>2651</v>
      </c>
      <c r="AU119" s="32">
        <v>2013.0</v>
      </c>
      <c r="AV119" s="32">
        <v>122.0</v>
      </c>
      <c r="AW119" s="32">
        <v>5.0</v>
      </c>
      <c r="AX119" s="32" t="s">
        <v>1324</v>
      </c>
      <c r="AY119" s="32" t="s">
        <v>1324</v>
      </c>
      <c r="AZ119" s="32" t="s">
        <v>1324</v>
      </c>
      <c r="BA119" s="32" t="s">
        <v>1324</v>
      </c>
      <c r="BB119" s="32">
        <v>790.0</v>
      </c>
      <c r="BC119" s="32">
        <v>800.0</v>
      </c>
      <c r="BD119" s="32" t="s">
        <v>1324</v>
      </c>
      <c r="BE119" s="32" t="s">
        <v>1578</v>
      </c>
      <c r="BF119" s="38" t="str">
        <f>HYPERLINK("http://dx.doi.org/10.1111/j.1600-0706.2012.20696.x","http://dx.doi.org/10.1111/j.1600-0706.2012.20696.x")</f>
        <v>http://dx.doi.org/10.1111/j.1600-0706.2012.20696.x</v>
      </c>
      <c r="BG119" s="32" t="s">
        <v>1324</v>
      </c>
      <c r="BH119" s="32" t="s">
        <v>1324</v>
      </c>
      <c r="BI119" s="32">
        <v>11.0</v>
      </c>
      <c r="BJ119" s="32" t="s">
        <v>817</v>
      </c>
      <c r="BK119" s="32" t="s">
        <v>2407</v>
      </c>
      <c r="BL119" s="32" t="s">
        <v>2472</v>
      </c>
      <c r="BM119" s="32" t="s">
        <v>4076</v>
      </c>
      <c r="BN119" s="32" t="s">
        <v>1324</v>
      </c>
      <c r="BO119" s="32" t="s">
        <v>1324</v>
      </c>
      <c r="BP119" s="32" t="s">
        <v>1324</v>
      </c>
      <c r="BQ119" s="32" t="s">
        <v>1324</v>
      </c>
      <c r="BR119" s="32" t="s">
        <v>5042</v>
      </c>
      <c r="BS119" s="32" t="s">
        <v>4077</v>
      </c>
      <c r="BT119" s="32" t="s">
        <v>1329</v>
      </c>
      <c r="BU119" s="32" t="s">
        <v>1333</v>
      </c>
      <c r="BV119" s="32" t="s">
        <v>5051</v>
      </c>
      <c r="BW119" s="32" t="s">
        <v>1530</v>
      </c>
      <c r="BX119" s="32" t="s">
        <v>5078</v>
      </c>
      <c r="BY119" s="32" t="s">
        <v>1336</v>
      </c>
      <c r="BZ119" s="32" t="s">
        <v>1328</v>
      </c>
      <c r="CA119" s="32" t="s">
        <v>1336</v>
      </c>
      <c r="CB119" s="32" t="s">
        <v>1328</v>
      </c>
      <c r="CC119" s="32" t="s">
        <v>1328</v>
      </c>
      <c r="CD119" s="39" t="s">
        <v>5248</v>
      </c>
      <c r="CE119" s="32" t="s">
        <v>1350</v>
      </c>
      <c r="CF119" s="32" t="str">
        <f>HYPERLINK("https%3A%2F%2Fwww.webofscience.com%2Fwos%2Fwoscc%2Ffull-record%2FWOS:000317981400015","View Full Record in Web of Science")</f>
        <v>View Full Record in Web of Science</v>
      </c>
    </row>
    <row r="120" ht="12.75" customHeight="1">
      <c r="A120" s="32" t="s">
        <v>26</v>
      </c>
      <c r="B120" s="32" t="s">
        <v>1823</v>
      </c>
      <c r="C120" s="32" t="s">
        <v>1324</v>
      </c>
      <c r="D120" s="32" t="s">
        <v>1324</v>
      </c>
      <c r="E120" s="32" t="s">
        <v>1324</v>
      </c>
      <c r="F120" s="32" t="s">
        <v>1823</v>
      </c>
      <c r="G120" s="32" t="s">
        <v>1324</v>
      </c>
      <c r="H120" s="32" t="s">
        <v>1324</v>
      </c>
      <c r="I120" s="32" t="s">
        <v>1825</v>
      </c>
      <c r="J120" s="32" t="s">
        <v>1824</v>
      </c>
      <c r="K120" s="32" t="s">
        <v>1324</v>
      </c>
      <c r="L120" s="32" t="s">
        <v>1324</v>
      </c>
      <c r="M120" s="32" t="s">
        <v>2364</v>
      </c>
      <c r="N120" s="32" t="s">
        <v>38</v>
      </c>
      <c r="O120" s="32" t="s">
        <v>1324</v>
      </c>
      <c r="P120" s="32" t="s">
        <v>1324</v>
      </c>
      <c r="Q120" s="32" t="s">
        <v>1324</v>
      </c>
      <c r="R120" s="32" t="s">
        <v>1324</v>
      </c>
      <c r="S120" s="32" t="s">
        <v>1324</v>
      </c>
      <c r="T120" s="32" t="s">
        <v>4944</v>
      </c>
      <c r="U120" s="32" t="s">
        <v>4945</v>
      </c>
      <c r="V120" s="32" t="s">
        <v>1826</v>
      </c>
      <c r="W120" s="32" t="s">
        <v>4946</v>
      </c>
      <c r="X120" s="32" t="s">
        <v>4947</v>
      </c>
      <c r="Y120" s="32" t="s">
        <v>4948</v>
      </c>
      <c r="Z120" s="32" t="s">
        <v>1324</v>
      </c>
      <c r="AA120" s="32" t="s">
        <v>4949</v>
      </c>
      <c r="AB120" s="32" t="s">
        <v>1324</v>
      </c>
      <c r="AC120" s="32" t="s">
        <v>1324</v>
      </c>
      <c r="AD120" s="32" t="s">
        <v>1324</v>
      </c>
      <c r="AE120" s="32" t="s">
        <v>1324</v>
      </c>
      <c r="AF120" s="32" t="s">
        <v>1324</v>
      </c>
      <c r="AG120" s="32">
        <v>84.0</v>
      </c>
      <c r="AH120" s="32">
        <v>24.0</v>
      </c>
      <c r="AI120" s="32">
        <v>28.0</v>
      </c>
      <c r="AJ120" s="32">
        <v>0.0</v>
      </c>
      <c r="AK120" s="32">
        <v>20.0</v>
      </c>
      <c r="AL120" s="32" t="s">
        <v>4950</v>
      </c>
      <c r="AM120" s="32" t="s">
        <v>3251</v>
      </c>
      <c r="AN120" s="32" t="s">
        <v>3252</v>
      </c>
      <c r="AO120" s="32" t="s">
        <v>3253</v>
      </c>
      <c r="AP120" s="32" t="s">
        <v>1324</v>
      </c>
      <c r="AQ120" s="32" t="s">
        <v>1324</v>
      </c>
      <c r="AR120" s="32" t="s">
        <v>3255</v>
      </c>
      <c r="AS120" s="32" t="s">
        <v>3256</v>
      </c>
      <c r="AT120" s="32" t="s">
        <v>2471</v>
      </c>
      <c r="AU120" s="32">
        <v>2003.0</v>
      </c>
      <c r="AV120" s="32">
        <v>12.0</v>
      </c>
      <c r="AW120" s="32">
        <v>9.0</v>
      </c>
      <c r="AX120" s="32" t="s">
        <v>1324</v>
      </c>
      <c r="AY120" s="32" t="s">
        <v>1324</v>
      </c>
      <c r="AZ120" s="32" t="s">
        <v>1324</v>
      </c>
      <c r="BA120" s="32" t="s">
        <v>1324</v>
      </c>
      <c r="BB120" s="32">
        <v>1921.0</v>
      </c>
      <c r="BC120" s="32">
        <v>1936.0</v>
      </c>
      <c r="BD120" s="32" t="s">
        <v>1324</v>
      </c>
      <c r="BE120" s="32" t="s">
        <v>1827</v>
      </c>
      <c r="BF120" s="38" t="str">
        <f>HYPERLINK("http://dx.doi.org/10.1023/A:1024147529295","http://dx.doi.org/10.1023/A:1024147529295")</f>
        <v>http://dx.doi.org/10.1023/A:1024147529295</v>
      </c>
      <c r="BG120" s="32" t="s">
        <v>1324</v>
      </c>
      <c r="BH120" s="32" t="s">
        <v>1324</v>
      </c>
      <c r="BI120" s="32">
        <v>16.0</v>
      </c>
      <c r="BJ120" s="32" t="s">
        <v>255</v>
      </c>
      <c r="BK120" s="32" t="s">
        <v>2407</v>
      </c>
      <c r="BL120" s="32" t="s">
        <v>2577</v>
      </c>
      <c r="BM120" s="32" t="s">
        <v>4951</v>
      </c>
      <c r="BN120" s="32" t="s">
        <v>1324</v>
      </c>
      <c r="BO120" s="32" t="s">
        <v>1324</v>
      </c>
      <c r="BP120" s="32" t="s">
        <v>1324</v>
      </c>
      <c r="BQ120" s="32" t="s">
        <v>1324</v>
      </c>
      <c r="BR120" s="32" t="s">
        <v>5042</v>
      </c>
      <c r="BS120" s="32" t="s">
        <v>4952</v>
      </c>
      <c r="BT120" s="32" t="s">
        <v>1329</v>
      </c>
      <c r="BU120" s="32" t="s">
        <v>1333</v>
      </c>
      <c r="BV120" s="32" t="s">
        <v>5051</v>
      </c>
      <c r="BW120" s="32" t="s">
        <v>1362</v>
      </c>
      <c r="BX120" s="32" t="s">
        <v>5044</v>
      </c>
      <c r="BY120" s="32" t="s">
        <v>1336</v>
      </c>
      <c r="BZ120" s="32" t="s">
        <v>1336</v>
      </c>
      <c r="CA120" s="32" t="s">
        <v>1328</v>
      </c>
      <c r="CB120" s="32" t="s">
        <v>1336</v>
      </c>
      <c r="CC120" s="32" t="s">
        <v>1336</v>
      </c>
      <c r="CD120" s="39" t="s">
        <v>5192</v>
      </c>
      <c r="CE120" s="32" t="s">
        <v>1350</v>
      </c>
      <c r="CF120" s="32" t="str">
        <f>HYPERLINK("https%3A%2F%2Fwww.webofscience.com%2Fwos%2Fwoscc%2Ffull-record%2FWOS:000183444300010","View Full Record in Web of Science")</f>
        <v>View Full Record in Web of Science</v>
      </c>
    </row>
    <row r="121" ht="12.75" customHeight="1">
      <c r="A121" s="32" t="s">
        <v>26</v>
      </c>
      <c r="B121" s="32" t="s">
        <v>3535</v>
      </c>
      <c r="C121" s="32" t="s">
        <v>1324</v>
      </c>
      <c r="D121" s="32" t="s">
        <v>1324</v>
      </c>
      <c r="E121" s="32" t="s">
        <v>1324</v>
      </c>
      <c r="F121" s="32" t="s">
        <v>1437</v>
      </c>
      <c r="G121" s="32" t="s">
        <v>1324</v>
      </c>
      <c r="H121" s="32" t="s">
        <v>1324</v>
      </c>
      <c r="I121" s="32" t="s">
        <v>1438</v>
      </c>
      <c r="J121" s="32" t="s">
        <v>365</v>
      </c>
      <c r="K121" s="32" t="s">
        <v>1324</v>
      </c>
      <c r="L121" s="32" t="s">
        <v>1324</v>
      </c>
      <c r="M121" s="32" t="s">
        <v>2364</v>
      </c>
      <c r="N121" s="32" t="s">
        <v>38</v>
      </c>
      <c r="O121" s="32" t="s">
        <v>1324</v>
      </c>
      <c r="P121" s="32" t="s">
        <v>1324</v>
      </c>
      <c r="Q121" s="32" t="s">
        <v>1324</v>
      </c>
      <c r="R121" s="32" t="s">
        <v>1324</v>
      </c>
      <c r="S121" s="32" t="s">
        <v>1324</v>
      </c>
      <c r="T121" s="32" t="s">
        <v>1324</v>
      </c>
      <c r="U121" s="32" t="s">
        <v>3536</v>
      </c>
      <c r="V121" s="32" t="s">
        <v>1439</v>
      </c>
      <c r="W121" s="32" t="s">
        <v>3537</v>
      </c>
      <c r="X121" s="32" t="s">
        <v>3538</v>
      </c>
      <c r="Y121" s="32" t="s">
        <v>3539</v>
      </c>
      <c r="Z121" s="32" t="s">
        <v>3540</v>
      </c>
      <c r="AA121" s="32" t="s">
        <v>5249</v>
      </c>
      <c r="AB121" s="32" t="s">
        <v>5250</v>
      </c>
      <c r="AC121" s="32" t="s">
        <v>3543</v>
      </c>
      <c r="AD121" s="32" t="s">
        <v>3544</v>
      </c>
      <c r="AE121" s="32" t="s">
        <v>3545</v>
      </c>
      <c r="AF121" s="32" t="s">
        <v>1324</v>
      </c>
      <c r="AG121" s="32">
        <v>74.0</v>
      </c>
      <c r="AH121" s="32">
        <v>253.0</v>
      </c>
      <c r="AI121" s="32">
        <v>288.0</v>
      </c>
      <c r="AJ121" s="32">
        <v>1.0</v>
      </c>
      <c r="AK121" s="32">
        <v>108.0</v>
      </c>
      <c r="AL121" s="32" t="s">
        <v>2423</v>
      </c>
      <c r="AM121" s="32" t="s">
        <v>2424</v>
      </c>
      <c r="AN121" s="32" t="s">
        <v>2425</v>
      </c>
      <c r="AO121" s="32" t="s">
        <v>2426</v>
      </c>
      <c r="AP121" s="32" t="s">
        <v>1324</v>
      </c>
      <c r="AQ121" s="32" t="s">
        <v>1324</v>
      </c>
      <c r="AR121" s="32" t="s">
        <v>365</v>
      </c>
      <c r="AS121" s="32" t="s">
        <v>2427</v>
      </c>
      <c r="AT121" s="32" t="s">
        <v>3546</v>
      </c>
      <c r="AU121" s="32">
        <v>2015.0</v>
      </c>
      <c r="AV121" s="32">
        <v>10.0</v>
      </c>
      <c r="AW121" s="32">
        <v>8.0</v>
      </c>
      <c r="AX121" s="32" t="s">
        <v>1324</v>
      </c>
      <c r="AY121" s="32" t="s">
        <v>1324</v>
      </c>
      <c r="AZ121" s="32" t="s">
        <v>1324</v>
      </c>
      <c r="BA121" s="32" t="s">
        <v>1324</v>
      </c>
      <c r="BB121" s="32" t="s">
        <v>1324</v>
      </c>
      <c r="BC121" s="32" t="s">
        <v>1324</v>
      </c>
      <c r="BD121" s="32" t="s">
        <v>3547</v>
      </c>
      <c r="BE121" s="32" t="s">
        <v>1440</v>
      </c>
      <c r="BF121" s="38" t="str">
        <f>HYPERLINK("http://dx.doi.org/10.1371/journal.pone.0135152","http://dx.doi.org/10.1371/journal.pone.0135152")</f>
        <v>http://dx.doi.org/10.1371/journal.pone.0135152</v>
      </c>
      <c r="BG121" s="32" t="s">
        <v>1324</v>
      </c>
      <c r="BH121" s="32" t="s">
        <v>1324</v>
      </c>
      <c r="BI121" s="32">
        <v>22.0</v>
      </c>
      <c r="BJ121" s="32" t="s">
        <v>42</v>
      </c>
      <c r="BK121" s="32" t="s">
        <v>2407</v>
      </c>
      <c r="BL121" s="32" t="s">
        <v>2430</v>
      </c>
      <c r="BM121" s="32" t="s">
        <v>3548</v>
      </c>
      <c r="BN121" s="32">
        <v>2.6252495E7</v>
      </c>
      <c r="BO121" s="32" t="s">
        <v>2410</v>
      </c>
      <c r="BP121" s="32" t="s">
        <v>1324</v>
      </c>
      <c r="BQ121" s="32" t="s">
        <v>1324</v>
      </c>
      <c r="BR121" s="32" t="s">
        <v>5042</v>
      </c>
      <c r="BS121" s="32" t="s">
        <v>3549</v>
      </c>
      <c r="BT121" s="32" t="s">
        <v>1443</v>
      </c>
      <c r="BU121" s="32" t="s">
        <v>1444</v>
      </c>
      <c r="BV121" s="32" t="s">
        <v>5048</v>
      </c>
      <c r="BW121" s="32" t="s">
        <v>1446</v>
      </c>
      <c r="BX121" s="32" t="s">
        <v>5106</v>
      </c>
      <c r="BY121" s="32" t="s">
        <v>1328</v>
      </c>
      <c r="BZ121" s="32" t="s">
        <v>1328</v>
      </c>
      <c r="CA121" s="32" t="s">
        <v>1328</v>
      </c>
      <c r="CB121" s="32" t="s">
        <v>1328</v>
      </c>
      <c r="CC121" s="32" t="s">
        <v>1328</v>
      </c>
      <c r="CD121" s="39" t="s">
        <v>5107</v>
      </c>
      <c r="CE121" s="32" t="s">
        <v>1395</v>
      </c>
      <c r="CF121" s="32" t="str">
        <f>HYPERLINK("https%3A%2F%2Fwww.webofscience.com%2Fwos%2Fwoscc%2Ffull-record%2FWOS:000359121100125","View Full Record in Web of Science")</f>
        <v>View Full Record in Web of Science</v>
      </c>
    </row>
    <row r="122" ht="12.75" customHeight="1">
      <c r="A122" s="32" t="s">
        <v>26</v>
      </c>
      <c r="B122" s="32" t="s">
        <v>4136</v>
      </c>
      <c r="C122" s="32" t="s">
        <v>1324</v>
      </c>
      <c r="D122" s="32" t="s">
        <v>1324</v>
      </c>
      <c r="E122" s="32" t="s">
        <v>1324</v>
      </c>
      <c r="F122" s="32" t="s">
        <v>2136</v>
      </c>
      <c r="G122" s="32" t="s">
        <v>1324</v>
      </c>
      <c r="H122" s="32" t="s">
        <v>1324</v>
      </c>
      <c r="I122" s="32" t="s">
        <v>2137</v>
      </c>
      <c r="J122" s="32" t="s">
        <v>2131</v>
      </c>
      <c r="K122" s="32" t="s">
        <v>1324</v>
      </c>
      <c r="L122" s="32" t="s">
        <v>1324</v>
      </c>
      <c r="M122" s="32" t="s">
        <v>2364</v>
      </c>
      <c r="N122" s="32" t="s">
        <v>38</v>
      </c>
      <c r="O122" s="32" t="s">
        <v>1324</v>
      </c>
      <c r="P122" s="32" t="s">
        <v>1324</v>
      </c>
      <c r="Q122" s="32" t="s">
        <v>1324</v>
      </c>
      <c r="R122" s="32" t="s">
        <v>1324</v>
      </c>
      <c r="S122" s="32" t="s">
        <v>1324</v>
      </c>
      <c r="T122" s="32" t="s">
        <v>4137</v>
      </c>
      <c r="U122" s="32" t="s">
        <v>4138</v>
      </c>
      <c r="V122" s="32" t="s">
        <v>2138</v>
      </c>
      <c r="W122" s="32" t="s">
        <v>4139</v>
      </c>
      <c r="X122" s="32" t="s">
        <v>5251</v>
      </c>
      <c r="Y122" s="32" t="s">
        <v>4141</v>
      </c>
      <c r="Z122" s="32" t="s">
        <v>4142</v>
      </c>
      <c r="AA122" s="32" t="s">
        <v>4143</v>
      </c>
      <c r="AB122" s="32" t="s">
        <v>4144</v>
      </c>
      <c r="AC122" s="32" t="s">
        <v>1324</v>
      </c>
      <c r="AD122" s="32" t="s">
        <v>1324</v>
      </c>
      <c r="AE122" s="32" t="s">
        <v>1324</v>
      </c>
      <c r="AF122" s="32" t="s">
        <v>1324</v>
      </c>
      <c r="AG122" s="32">
        <v>42.0</v>
      </c>
      <c r="AH122" s="32">
        <v>65.0</v>
      </c>
      <c r="AI122" s="32">
        <v>80.0</v>
      </c>
      <c r="AJ122" s="32">
        <v>0.0</v>
      </c>
      <c r="AK122" s="32">
        <v>66.0</v>
      </c>
      <c r="AL122" s="32" t="s">
        <v>2486</v>
      </c>
      <c r="AM122" s="32" t="s">
        <v>2487</v>
      </c>
      <c r="AN122" s="32" t="s">
        <v>2488</v>
      </c>
      <c r="AO122" s="32" t="s">
        <v>3797</v>
      </c>
      <c r="AP122" s="32" t="s">
        <v>3798</v>
      </c>
      <c r="AQ122" s="32" t="s">
        <v>1324</v>
      </c>
      <c r="AR122" s="32" t="s">
        <v>3799</v>
      </c>
      <c r="AS122" s="32" t="s">
        <v>3800</v>
      </c>
      <c r="AT122" s="32" t="s">
        <v>4145</v>
      </c>
      <c r="AU122" s="32">
        <v>2012.0</v>
      </c>
      <c r="AV122" s="32">
        <v>166.0</v>
      </c>
      <c r="AW122" s="32" t="s">
        <v>1324</v>
      </c>
      <c r="AX122" s="32" t="s">
        <v>1324</v>
      </c>
      <c r="AY122" s="32" t="s">
        <v>1324</v>
      </c>
      <c r="AZ122" s="32" t="s">
        <v>1324</v>
      </c>
      <c r="BA122" s="32" t="s">
        <v>1324</v>
      </c>
      <c r="BB122" s="32">
        <v>50.0</v>
      </c>
      <c r="BC122" s="32">
        <v>61.0</v>
      </c>
      <c r="BD122" s="32" t="s">
        <v>1324</v>
      </c>
      <c r="BE122" s="32" t="s">
        <v>2139</v>
      </c>
      <c r="BF122" s="38" t="str">
        <f>HYPERLINK("http://dx.doi.org/10.1016/j.agrformet.2012.07.007","http://dx.doi.org/10.1016/j.agrformet.2012.07.007")</f>
        <v>http://dx.doi.org/10.1016/j.agrformet.2012.07.007</v>
      </c>
      <c r="BG122" s="32" t="s">
        <v>1324</v>
      </c>
      <c r="BH122" s="32" t="s">
        <v>1324</v>
      </c>
      <c r="BI122" s="32">
        <v>12.0</v>
      </c>
      <c r="BJ122" s="32" t="s">
        <v>3802</v>
      </c>
      <c r="BK122" s="32" t="s">
        <v>2407</v>
      </c>
      <c r="BL122" s="32" t="s">
        <v>3803</v>
      </c>
      <c r="BM122" s="32" t="s">
        <v>4146</v>
      </c>
      <c r="BN122" s="32" t="s">
        <v>1324</v>
      </c>
      <c r="BO122" s="32" t="s">
        <v>1324</v>
      </c>
      <c r="BP122" s="32" t="s">
        <v>1324</v>
      </c>
      <c r="BQ122" s="32" t="s">
        <v>1324</v>
      </c>
      <c r="BR122" s="32" t="s">
        <v>5042</v>
      </c>
      <c r="BS122" s="32" t="s">
        <v>4147</v>
      </c>
      <c r="BT122" s="32" t="s">
        <v>1329</v>
      </c>
      <c r="BU122" s="32" t="s">
        <v>1333</v>
      </c>
      <c r="BV122" s="32" t="s">
        <v>5051</v>
      </c>
      <c r="BW122" s="32" t="s">
        <v>1362</v>
      </c>
      <c r="BX122" s="32" t="s">
        <v>5044</v>
      </c>
      <c r="BY122" s="32" t="s">
        <v>1336</v>
      </c>
      <c r="BZ122" s="32" t="s">
        <v>1336</v>
      </c>
      <c r="CA122" s="32" t="s">
        <v>1336</v>
      </c>
      <c r="CB122" s="32" t="s">
        <v>1328</v>
      </c>
      <c r="CC122" s="32" t="s">
        <v>1336</v>
      </c>
      <c r="CD122" s="39" t="s">
        <v>5200</v>
      </c>
      <c r="CE122" s="32" t="s">
        <v>1350</v>
      </c>
      <c r="CF122" s="32" t="str">
        <f>HYPERLINK("https%3A%2F%2Fwww.webofscience.com%2Fwos%2Fwoscc%2Ffull-record%2FWOS:000313479100007","View Full Record in Web of Science")</f>
        <v>View Full Record in Web of Science</v>
      </c>
    </row>
    <row r="123" ht="12.75" customHeight="1">
      <c r="A123" s="32" t="s">
        <v>26</v>
      </c>
      <c r="B123" s="32" t="s">
        <v>4646</v>
      </c>
      <c r="C123" s="32" t="s">
        <v>1324</v>
      </c>
      <c r="D123" s="32" t="s">
        <v>1324</v>
      </c>
      <c r="E123" s="32" t="s">
        <v>1324</v>
      </c>
      <c r="F123" s="32" t="s">
        <v>1608</v>
      </c>
      <c r="G123" s="32" t="s">
        <v>1324</v>
      </c>
      <c r="H123" s="32" t="s">
        <v>1324</v>
      </c>
      <c r="I123" s="32" t="s">
        <v>1610</v>
      </c>
      <c r="J123" s="32" t="s">
        <v>1609</v>
      </c>
      <c r="K123" s="32" t="s">
        <v>1324</v>
      </c>
      <c r="L123" s="32" t="s">
        <v>1324</v>
      </c>
      <c r="M123" s="32" t="s">
        <v>2364</v>
      </c>
      <c r="N123" s="32" t="s">
        <v>38</v>
      </c>
      <c r="O123" s="32" t="s">
        <v>1324</v>
      </c>
      <c r="P123" s="32" t="s">
        <v>1324</v>
      </c>
      <c r="Q123" s="32" t="s">
        <v>1324</v>
      </c>
      <c r="R123" s="32" t="s">
        <v>1324</v>
      </c>
      <c r="S123" s="32" t="s">
        <v>1324</v>
      </c>
      <c r="T123" s="32" t="s">
        <v>4647</v>
      </c>
      <c r="U123" s="32" t="s">
        <v>4648</v>
      </c>
      <c r="V123" s="32" t="s">
        <v>1611</v>
      </c>
      <c r="W123" s="32" t="s">
        <v>4649</v>
      </c>
      <c r="X123" s="32" t="s">
        <v>4650</v>
      </c>
      <c r="Y123" s="32" t="s">
        <v>4651</v>
      </c>
      <c r="Z123" s="32" t="s">
        <v>4652</v>
      </c>
      <c r="AA123" s="32" t="s">
        <v>4653</v>
      </c>
      <c r="AB123" s="32" t="s">
        <v>4654</v>
      </c>
      <c r="AC123" s="32" t="s">
        <v>4655</v>
      </c>
      <c r="AD123" s="32" t="s">
        <v>4655</v>
      </c>
      <c r="AE123" s="32" t="s">
        <v>4656</v>
      </c>
      <c r="AF123" s="32" t="s">
        <v>1324</v>
      </c>
      <c r="AG123" s="32">
        <v>67.0</v>
      </c>
      <c r="AH123" s="32">
        <v>45.0</v>
      </c>
      <c r="AI123" s="32">
        <v>49.0</v>
      </c>
      <c r="AJ123" s="32">
        <v>0.0</v>
      </c>
      <c r="AK123" s="32">
        <v>33.0</v>
      </c>
      <c r="AL123" s="32" t="s">
        <v>2464</v>
      </c>
      <c r="AM123" s="32" t="s">
        <v>2465</v>
      </c>
      <c r="AN123" s="32" t="s">
        <v>2466</v>
      </c>
      <c r="AO123" s="32" t="s">
        <v>4657</v>
      </c>
      <c r="AP123" s="32" t="s">
        <v>4658</v>
      </c>
      <c r="AQ123" s="32" t="s">
        <v>1324</v>
      </c>
      <c r="AR123" s="32" t="s">
        <v>4659</v>
      </c>
      <c r="AS123" s="32" t="s">
        <v>4660</v>
      </c>
      <c r="AT123" s="32" t="s">
        <v>2471</v>
      </c>
      <c r="AU123" s="32">
        <v>2009.0</v>
      </c>
      <c r="AV123" s="32">
        <v>34.0</v>
      </c>
      <c r="AW123" s="32">
        <v>6.0</v>
      </c>
      <c r="AX123" s="32" t="s">
        <v>1324</v>
      </c>
      <c r="AY123" s="32" t="s">
        <v>1324</v>
      </c>
      <c r="AZ123" s="32" t="s">
        <v>1324</v>
      </c>
      <c r="BA123" s="32" t="s">
        <v>1324</v>
      </c>
      <c r="BB123" s="32">
        <v>705.0</v>
      </c>
      <c r="BC123" s="32">
        <v>716.0</v>
      </c>
      <c r="BD123" s="32" t="s">
        <v>1324</v>
      </c>
      <c r="BE123" s="32" t="s">
        <v>1612</v>
      </c>
      <c r="BF123" s="38" t="str">
        <f>HYPERLINK("http://dx.doi.org/10.1111/j.1442-9993.2009.01979.x","http://dx.doi.org/10.1111/j.1442-9993.2009.01979.x")</f>
        <v>http://dx.doi.org/10.1111/j.1442-9993.2009.01979.x</v>
      </c>
      <c r="BG123" s="32" t="s">
        <v>1324</v>
      </c>
      <c r="BH123" s="32" t="s">
        <v>1324</v>
      </c>
      <c r="BI123" s="32">
        <v>12.0</v>
      </c>
      <c r="BJ123" s="32" t="s">
        <v>817</v>
      </c>
      <c r="BK123" s="32" t="s">
        <v>2407</v>
      </c>
      <c r="BL123" s="32" t="s">
        <v>2472</v>
      </c>
      <c r="BM123" s="32" t="s">
        <v>4661</v>
      </c>
      <c r="BN123" s="32" t="s">
        <v>1324</v>
      </c>
      <c r="BO123" s="32" t="s">
        <v>1324</v>
      </c>
      <c r="BP123" s="32" t="s">
        <v>1324</v>
      </c>
      <c r="BQ123" s="32" t="s">
        <v>1324</v>
      </c>
      <c r="BR123" s="32" t="s">
        <v>5042</v>
      </c>
      <c r="BS123" s="32" t="s">
        <v>4662</v>
      </c>
      <c r="BT123" s="32" t="s">
        <v>1329</v>
      </c>
      <c r="BU123" s="32" t="s">
        <v>1333</v>
      </c>
      <c r="BV123" s="32" t="s">
        <v>5054</v>
      </c>
      <c r="BW123" s="32" t="s">
        <v>1362</v>
      </c>
      <c r="BX123" s="32" t="s">
        <v>5044</v>
      </c>
      <c r="BY123" s="32" t="s">
        <v>1336</v>
      </c>
      <c r="BZ123" s="32" t="s">
        <v>1328</v>
      </c>
      <c r="CA123" s="32" t="s">
        <v>1328</v>
      </c>
      <c r="CB123" s="32" t="s">
        <v>1336</v>
      </c>
      <c r="CC123" s="32" t="s">
        <v>1336</v>
      </c>
      <c r="CD123" s="39" t="s">
        <v>5045</v>
      </c>
      <c r="CE123" s="32" t="s">
        <v>1404</v>
      </c>
      <c r="CF123" s="32" t="str">
        <f>HYPERLINK("https%3A%2F%2Fwww.webofscience.com%2Fwos%2Fwoscc%2Ffull-record%2FWOS:000269675600012","View Full Record in Web of Science")</f>
        <v>View Full Record in Web of Science</v>
      </c>
    </row>
    <row r="124" ht="12.75" customHeight="1">
      <c r="A124" s="32" t="s">
        <v>26</v>
      </c>
      <c r="B124" s="32" t="s">
        <v>3882</v>
      </c>
      <c r="C124" s="32" t="s">
        <v>1324</v>
      </c>
      <c r="D124" s="32" t="s">
        <v>1324</v>
      </c>
      <c r="E124" s="32" t="s">
        <v>1324</v>
      </c>
      <c r="F124" s="32" t="s">
        <v>2013</v>
      </c>
      <c r="G124" s="32" t="s">
        <v>1324</v>
      </c>
      <c r="H124" s="32" t="s">
        <v>1324</v>
      </c>
      <c r="I124" s="32" t="s">
        <v>2014</v>
      </c>
      <c r="J124" s="32" t="s">
        <v>2008</v>
      </c>
      <c r="K124" s="32" t="s">
        <v>1324</v>
      </c>
      <c r="L124" s="32" t="s">
        <v>1324</v>
      </c>
      <c r="M124" s="32" t="s">
        <v>2364</v>
      </c>
      <c r="N124" s="32" t="s">
        <v>38</v>
      </c>
      <c r="O124" s="32" t="s">
        <v>1324</v>
      </c>
      <c r="P124" s="32" t="s">
        <v>1324</v>
      </c>
      <c r="Q124" s="32" t="s">
        <v>1324</v>
      </c>
      <c r="R124" s="32" t="s">
        <v>1324</v>
      </c>
      <c r="S124" s="32" t="s">
        <v>1324</v>
      </c>
      <c r="T124" s="32" t="s">
        <v>3883</v>
      </c>
      <c r="U124" s="32" t="s">
        <v>3884</v>
      </c>
      <c r="V124" s="32" t="s">
        <v>2015</v>
      </c>
      <c r="W124" s="32" t="s">
        <v>3885</v>
      </c>
      <c r="X124" s="32" t="s">
        <v>3886</v>
      </c>
      <c r="Y124" s="32" t="s">
        <v>3887</v>
      </c>
      <c r="Z124" s="32" t="s">
        <v>3888</v>
      </c>
      <c r="AA124" s="32" t="s">
        <v>3889</v>
      </c>
      <c r="AB124" s="32" t="s">
        <v>3890</v>
      </c>
      <c r="AC124" s="32" t="s">
        <v>3891</v>
      </c>
      <c r="AD124" s="32" t="s">
        <v>3892</v>
      </c>
      <c r="AE124" s="32" t="s">
        <v>3893</v>
      </c>
      <c r="AF124" s="32" t="s">
        <v>1324</v>
      </c>
      <c r="AG124" s="32">
        <v>83.0</v>
      </c>
      <c r="AH124" s="32">
        <v>17.0</v>
      </c>
      <c r="AI124" s="32">
        <v>24.0</v>
      </c>
      <c r="AJ124" s="32">
        <v>2.0</v>
      </c>
      <c r="AK124" s="32">
        <v>79.0</v>
      </c>
      <c r="AL124" s="32" t="s">
        <v>2486</v>
      </c>
      <c r="AM124" s="32" t="s">
        <v>2487</v>
      </c>
      <c r="AN124" s="32" t="s">
        <v>2488</v>
      </c>
      <c r="AO124" s="32" t="s">
        <v>2489</v>
      </c>
      <c r="AP124" s="32" t="s">
        <v>2490</v>
      </c>
      <c r="AQ124" s="32" t="s">
        <v>1324</v>
      </c>
      <c r="AR124" s="32" t="s">
        <v>2491</v>
      </c>
      <c r="AS124" s="32" t="s">
        <v>2492</v>
      </c>
      <c r="AT124" s="32" t="s">
        <v>3894</v>
      </c>
      <c r="AU124" s="32">
        <v>2014.0</v>
      </c>
      <c r="AV124" s="32">
        <v>313.0</v>
      </c>
      <c r="AW124" s="32" t="s">
        <v>1324</v>
      </c>
      <c r="AX124" s="32" t="s">
        <v>1324</v>
      </c>
      <c r="AY124" s="32" t="s">
        <v>1324</v>
      </c>
      <c r="AZ124" s="32" t="s">
        <v>1324</v>
      </c>
      <c r="BA124" s="32" t="s">
        <v>1324</v>
      </c>
      <c r="BB124" s="32">
        <v>199.0</v>
      </c>
      <c r="BC124" s="32">
        <v>211.0</v>
      </c>
      <c r="BD124" s="32" t="s">
        <v>1324</v>
      </c>
      <c r="BE124" s="32" t="s">
        <v>2016</v>
      </c>
      <c r="BF124" s="38" t="str">
        <f>HYPERLINK("http://dx.doi.org/10.1016/j.foreco.2013.10.039","http://dx.doi.org/10.1016/j.foreco.2013.10.039")</f>
        <v>http://dx.doi.org/10.1016/j.foreco.2013.10.039</v>
      </c>
      <c r="BG124" s="32" t="s">
        <v>1324</v>
      </c>
      <c r="BH124" s="32" t="s">
        <v>1324</v>
      </c>
      <c r="BI124" s="32">
        <v>13.0</v>
      </c>
      <c r="BJ124" s="32" t="s">
        <v>2494</v>
      </c>
      <c r="BK124" s="32" t="s">
        <v>2407</v>
      </c>
      <c r="BL124" s="32" t="s">
        <v>2494</v>
      </c>
      <c r="BM124" s="32" t="s">
        <v>3895</v>
      </c>
      <c r="BN124" s="32" t="s">
        <v>1324</v>
      </c>
      <c r="BO124" s="32" t="s">
        <v>1324</v>
      </c>
      <c r="BP124" s="32" t="s">
        <v>1324</v>
      </c>
      <c r="BQ124" s="32" t="s">
        <v>1324</v>
      </c>
      <c r="BR124" s="32" t="s">
        <v>5042</v>
      </c>
      <c r="BS124" s="32" t="s">
        <v>3896</v>
      </c>
      <c r="BT124" s="32" t="s">
        <v>1329</v>
      </c>
      <c r="BU124" s="32" t="s">
        <v>1333</v>
      </c>
      <c r="BV124" s="32" t="s">
        <v>5051</v>
      </c>
      <c r="BW124" s="32" t="s">
        <v>1362</v>
      </c>
      <c r="BX124" s="32" t="s">
        <v>5044</v>
      </c>
      <c r="BY124" s="32" t="s">
        <v>1328</v>
      </c>
      <c r="BZ124" s="32" t="s">
        <v>1328</v>
      </c>
      <c r="CA124" s="32" t="s">
        <v>1328</v>
      </c>
      <c r="CB124" s="32" t="s">
        <v>1336</v>
      </c>
      <c r="CC124" s="32" t="s">
        <v>1336</v>
      </c>
      <c r="CD124" s="39" t="s">
        <v>5050</v>
      </c>
      <c r="CE124" s="32" t="s">
        <v>1350</v>
      </c>
      <c r="CF124" s="32" t="str">
        <f>HYPERLINK("https%3A%2F%2Fwww.webofscience.com%2Fwos%2Fwoscc%2Ffull-record%2FWOS:000331665600023","View Full Record in Web of Science")</f>
        <v>View Full Record in Web of Science</v>
      </c>
    </row>
    <row r="125" ht="12.75" customHeight="1">
      <c r="A125" s="32" t="s">
        <v>26</v>
      </c>
      <c r="B125" s="32" t="s">
        <v>2412</v>
      </c>
      <c r="C125" s="32" t="s">
        <v>1324</v>
      </c>
      <c r="D125" s="32" t="s">
        <v>1324</v>
      </c>
      <c r="E125" s="32" t="s">
        <v>1324</v>
      </c>
      <c r="F125" s="32" t="s">
        <v>1477</v>
      </c>
      <c r="G125" s="32" t="s">
        <v>1324</v>
      </c>
      <c r="H125" s="32" t="s">
        <v>1324</v>
      </c>
      <c r="I125" s="32" t="s">
        <v>1478</v>
      </c>
      <c r="J125" s="32" t="s">
        <v>365</v>
      </c>
      <c r="K125" s="32" t="s">
        <v>1324</v>
      </c>
      <c r="L125" s="32" t="s">
        <v>1324</v>
      </c>
      <c r="M125" s="32" t="s">
        <v>2364</v>
      </c>
      <c r="N125" s="32" t="s">
        <v>38</v>
      </c>
      <c r="O125" s="32" t="s">
        <v>1324</v>
      </c>
      <c r="P125" s="32" t="s">
        <v>1324</v>
      </c>
      <c r="Q125" s="32" t="s">
        <v>1324</v>
      </c>
      <c r="R125" s="32" t="s">
        <v>1324</v>
      </c>
      <c r="S125" s="32" t="s">
        <v>1324</v>
      </c>
      <c r="T125" s="32" t="s">
        <v>1324</v>
      </c>
      <c r="U125" s="32" t="s">
        <v>2413</v>
      </c>
      <c r="V125" s="32" t="s">
        <v>1479</v>
      </c>
      <c r="W125" s="32" t="s">
        <v>2414</v>
      </c>
      <c r="X125" s="32" t="s">
        <v>2415</v>
      </c>
      <c r="Y125" s="32" t="s">
        <v>2416</v>
      </c>
      <c r="Z125" s="32" t="s">
        <v>2417</v>
      </c>
      <c r="AA125" s="32" t="s">
        <v>5252</v>
      </c>
      <c r="AB125" s="32" t="s">
        <v>5253</v>
      </c>
      <c r="AC125" s="32" t="s">
        <v>2420</v>
      </c>
      <c r="AD125" s="32" t="s">
        <v>2421</v>
      </c>
      <c r="AE125" s="32" t="s">
        <v>2422</v>
      </c>
      <c r="AF125" s="32" t="s">
        <v>1324</v>
      </c>
      <c r="AG125" s="32">
        <v>69.0</v>
      </c>
      <c r="AH125" s="32">
        <v>65.0</v>
      </c>
      <c r="AI125" s="32">
        <v>80.0</v>
      </c>
      <c r="AJ125" s="32">
        <v>2.0</v>
      </c>
      <c r="AK125" s="32">
        <v>181.0</v>
      </c>
      <c r="AL125" s="32" t="s">
        <v>2423</v>
      </c>
      <c r="AM125" s="32" t="s">
        <v>2424</v>
      </c>
      <c r="AN125" s="32" t="s">
        <v>2425</v>
      </c>
      <c r="AO125" s="32" t="s">
        <v>2426</v>
      </c>
      <c r="AP125" s="32" t="s">
        <v>1324</v>
      </c>
      <c r="AQ125" s="32" t="s">
        <v>1324</v>
      </c>
      <c r="AR125" s="32" t="s">
        <v>365</v>
      </c>
      <c r="AS125" s="32" t="s">
        <v>2427</v>
      </c>
      <c r="AT125" s="32" t="s">
        <v>2428</v>
      </c>
      <c r="AU125" s="32">
        <v>2011.0</v>
      </c>
      <c r="AV125" s="32">
        <v>6.0</v>
      </c>
      <c r="AW125" s="32">
        <v>11.0</v>
      </c>
      <c r="AX125" s="32" t="s">
        <v>1324</v>
      </c>
      <c r="AY125" s="32" t="s">
        <v>1324</v>
      </c>
      <c r="AZ125" s="32" t="s">
        <v>1324</v>
      </c>
      <c r="BA125" s="32" t="s">
        <v>1324</v>
      </c>
      <c r="BB125" s="32" t="s">
        <v>1324</v>
      </c>
      <c r="BC125" s="32" t="s">
        <v>1324</v>
      </c>
      <c r="BD125" s="32" t="s">
        <v>2429</v>
      </c>
      <c r="BE125" s="32" t="s">
        <v>1480</v>
      </c>
      <c r="BF125" s="38" t="str">
        <f>HYPERLINK("http://dx.doi.org/10.1371/journal.pone.0027785","http://dx.doi.org/10.1371/journal.pone.0027785")</f>
        <v>http://dx.doi.org/10.1371/journal.pone.0027785</v>
      </c>
      <c r="BG125" s="32" t="s">
        <v>1324</v>
      </c>
      <c r="BH125" s="32" t="s">
        <v>1324</v>
      </c>
      <c r="BI125" s="32">
        <v>12.0</v>
      </c>
      <c r="BJ125" s="32" t="s">
        <v>42</v>
      </c>
      <c r="BK125" s="32" t="s">
        <v>2407</v>
      </c>
      <c r="BL125" s="32" t="s">
        <v>2430</v>
      </c>
      <c r="BM125" s="32" t="s">
        <v>2431</v>
      </c>
      <c r="BN125" s="32">
        <v>2.2114695E7</v>
      </c>
      <c r="BO125" s="32" t="s">
        <v>2410</v>
      </c>
      <c r="BP125" s="32" t="s">
        <v>1324</v>
      </c>
      <c r="BQ125" s="32" t="s">
        <v>1324</v>
      </c>
      <c r="BR125" s="32" t="s">
        <v>5042</v>
      </c>
      <c r="BS125" s="32" t="s">
        <v>2432</v>
      </c>
      <c r="BT125" s="32" t="s">
        <v>1329</v>
      </c>
      <c r="BU125" s="32" t="s">
        <v>1333</v>
      </c>
      <c r="BV125" s="32" t="s">
        <v>5043</v>
      </c>
      <c r="BW125" s="32" t="s">
        <v>1362</v>
      </c>
      <c r="BX125" s="32" t="s">
        <v>5044</v>
      </c>
      <c r="BY125" s="32" t="s">
        <v>1336</v>
      </c>
      <c r="BZ125" s="32" t="s">
        <v>1328</v>
      </c>
      <c r="CA125" s="32" t="s">
        <v>1328</v>
      </c>
      <c r="CB125" s="32" t="s">
        <v>1336</v>
      </c>
      <c r="CC125" s="32" t="s">
        <v>1336</v>
      </c>
      <c r="CD125" s="39" t="s">
        <v>5045</v>
      </c>
      <c r="CE125" s="32" t="s">
        <v>1350</v>
      </c>
      <c r="CF125" s="32" t="str">
        <f>HYPERLINK("https%3A%2F%2Fwww.webofscience.com%2Fwos%2Fwoscc%2Ffull-record%2FWOS:000297555400114","View Full Record in Web of Science")</f>
        <v>View Full Record in Web of Science</v>
      </c>
    </row>
    <row r="126" ht="12.75" customHeight="1">
      <c r="A126" s="32" t="s">
        <v>26</v>
      </c>
      <c r="B126" s="32" t="s">
        <v>4557</v>
      </c>
      <c r="C126" s="32" t="s">
        <v>1324</v>
      </c>
      <c r="D126" s="32" t="s">
        <v>1324</v>
      </c>
      <c r="E126" s="32" t="s">
        <v>1324</v>
      </c>
      <c r="F126" s="32" t="s">
        <v>1483</v>
      </c>
      <c r="G126" s="32" t="s">
        <v>1324</v>
      </c>
      <c r="H126" s="32" t="s">
        <v>1324</v>
      </c>
      <c r="I126" s="32" t="s">
        <v>1484</v>
      </c>
      <c r="J126" s="32" t="s">
        <v>365</v>
      </c>
      <c r="K126" s="32" t="s">
        <v>1324</v>
      </c>
      <c r="L126" s="32" t="s">
        <v>1324</v>
      </c>
      <c r="M126" s="32" t="s">
        <v>2364</v>
      </c>
      <c r="N126" s="32" t="s">
        <v>38</v>
      </c>
      <c r="O126" s="32" t="s">
        <v>1324</v>
      </c>
      <c r="P126" s="32" t="s">
        <v>1324</v>
      </c>
      <c r="Q126" s="32" t="s">
        <v>1324</v>
      </c>
      <c r="R126" s="32" t="s">
        <v>1324</v>
      </c>
      <c r="S126" s="32" t="s">
        <v>1324</v>
      </c>
      <c r="T126" s="32" t="s">
        <v>1324</v>
      </c>
      <c r="U126" s="32" t="s">
        <v>4558</v>
      </c>
      <c r="V126" s="32" t="s">
        <v>1485</v>
      </c>
      <c r="W126" s="32" t="s">
        <v>4559</v>
      </c>
      <c r="X126" s="32" t="s">
        <v>4560</v>
      </c>
      <c r="Y126" s="32" t="s">
        <v>4561</v>
      </c>
      <c r="Z126" s="32" t="s">
        <v>4562</v>
      </c>
      <c r="AA126" s="32" t="s">
        <v>5254</v>
      </c>
      <c r="AB126" s="32" t="s">
        <v>5255</v>
      </c>
      <c r="AC126" s="32" t="s">
        <v>4565</v>
      </c>
      <c r="AD126" s="32" t="s">
        <v>4565</v>
      </c>
      <c r="AE126" s="32" t="s">
        <v>4566</v>
      </c>
      <c r="AF126" s="32" t="s">
        <v>1324</v>
      </c>
      <c r="AG126" s="32">
        <v>86.0</v>
      </c>
      <c r="AH126" s="32">
        <v>889.0</v>
      </c>
      <c r="AI126" s="32">
        <v>1077.0</v>
      </c>
      <c r="AJ126" s="32">
        <v>15.0</v>
      </c>
      <c r="AK126" s="32">
        <v>157.0</v>
      </c>
      <c r="AL126" s="32" t="s">
        <v>2423</v>
      </c>
      <c r="AM126" s="32" t="s">
        <v>2424</v>
      </c>
      <c r="AN126" s="32" t="s">
        <v>2425</v>
      </c>
      <c r="AO126" s="32" t="s">
        <v>2426</v>
      </c>
      <c r="AP126" s="32" t="s">
        <v>1324</v>
      </c>
      <c r="AQ126" s="32" t="s">
        <v>1324</v>
      </c>
      <c r="AR126" s="32" t="s">
        <v>365</v>
      </c>
      <c r="AS126" s="32" t="s">
        <v>2427</v>
      </c>
      <c r="AT126" s="32" t="s">
        <v>4567</v>
      </c>
      <c r="AU126" s="32">
        <v>2010.0</v>
      </c>
      <c r="AV126" s="32">
        <v>5.0</v>
      </c>
      <c r="AW126" s="32">
        <v>4.0</v>
      </c>
      <c r="AX126" s="32" t="s">
        <v>1324</v>
      </c>
      <c r="AY126" s="32" t="s">
        <v>1324</v>
      </c>
      <c r="AZ126" s="32" t="s">
        <v>1324</v>
      </c>
      <c r="BA126" s="32" t="s">
        <v>1324</v>
      </c>
      <c r="BB126" s="32" t="s">
        <v>1324</v>
      </c>
      <c r="BC126" s="32" t="s">
        <v>1324</v>
      </c>
      <c r="BD126" s="32" t="s">
        <v>4568</v>
      </c>
      <c r="BE126" s="32" t="s">
        <v>1486</v>
      </c>
      <c r="BF126" s="38" t="str">
        <f>HYPERLINK("http://dx.doi.org/10.1371/journal.pone.0010095","http://dx.doi.org/10.1371/journal.pone.0010095")</f>
        <v>http://dx.doi.org/10.1371/journal.pone.0010095</v>
      </c>
      <c r="BG126" s="32" t="s">
        <v>1324</v>
      </c>
      <c r="BH126" s="32" t="s">
        <v>1324</v>
      </c>
      <c r="BI126" s="32">
        <v>10.0</v>
      </c>
      <c r="BJ126" s="32" t="s">
        <v>42</v>
      </c>
      <c r="BK126" s="32" t="s">
        <v>2407</v>
      </c>
      <c r="BL126" s="32" t="s">
        <v>2430</v>
      </c>
      <c r="BM126" s="32" t="s">
        <v>4569</v>
      </c>
      <c r="BN126" s="32">
        <v>2.038671E7</v>
      </c>
      <c r="BO126" s="32" t="s">
        <v>2410</v>
      </c>
      <c r="BP126" s="32" t="s">
        <v>1324</v>
      </c>
      <c r="BQ126" s="32" t="s">
        <v>1324</v>
      </c>
      <c r="BR126" s="32" t="s">
        <v>5042</v>
      </c>
      <c r="BS126" s="32" t="s">
        <v>4570</v>
      </c>
      <c r="BT126" s="32" t="s">
        <v>1443</v>
      </c>
      <c r="BU126" s="32" t="s">
        <v>1444</v>
      </c>
      <c r="BV126" s="2" t="s">
        <v>5256</v>
      </c>
      <c r="BW126" s="32" t="s">
        <v>1349</v>
      </c>
      <c r="BX126" s="32" t="s">
        <v>5062</v>
      </c>
      <c r="BY126" s="32" t="s">
        <v>1328</v>
      </c>
      <c r="BZ126" s="32" t="s">
        <v>1328</v>
      </c>
      <c r="CA126" s="32" t="s">
        <v>1328</v>
      </c>
      <c r="CB126" s="32" t="s">
        <v>1336</v>
      </c>
      <c r="CC126" s="32" t="s">
        <v>1336</v>
      </c>
      <c r="CD126" s="39" t="s">
        <v>5050</v>
      </c>
      <c r="CE126" s="32" t="s">
        <v>1395</v>
      </c>
      <c r="CF126" s="32" t="str">
        <f>HYPERLINK("https%3A%2F%2Fwww.webofscience.com%2Fwos%2Fwoscc%2Ffull-record%2FWOS:000276482000021","View Full Record in Web of Science")</f>
        <v>View Full Record in Web of Science</v>
      </c>
    </row>
    <row r="127" ht="12.75" customHeight="1">
      <c r="A127" s="32" t="s">
        <v>26</v>
      </c>
      <c r="B127" s="32" t="s">
        <v>4707</v>
      </c>
      <c r="C127" s="32" t="s">
        <v>1324</v>
      </c>
      <c r="D127" s="32" t="s">
        <v>1324</v>
      </c>
      <c r="E127" s="32" t="s">
        <v>1324</v>
      </c>
      <c r="F127" s="32" t="s">
        <v>1418</v>
      </c>
      <c r="G127" s="32" t="s">
        <v>1324</v>
      </c>
      <c r="H127" s="32" t="s">
        <v>1324</v>
      </c>
      <c r="I127" s="32" t="s">
        <v>1420</v>
      </c>
      <c r="J127" s="32" t="s">
        <v>1419</v>
      </c>
      <c r="K127" s="32" t="s">
        <v>1324</v>
      </c>
      <c r="L127" s="32" t="s">
        <v>1324</v>
      </c>
      <c r="M127" s="32" t="s">
        <v>2364</v>
      </c>
      <c r="N127" s="32" t="s">
        <v>38</v>
      </c>
      <c r="O127" s="32" t="s">
        <v>1324</v>
      </c>
      <c r="P127" s="32" t="s">
        <v>1324</v>
      </c>
      <c r="Q127" s="32" t="s">
        <v>1324</v>
      </c>
      <c r="R127" s="32" t="s">
        <v>1324</v>
      </c>
      <c r="S127" s="32" t="s">
        <v>1324</v>
      </c>
      <c r="T127" s="32" t="s">
        <v>4708</v>
      </c>
      <c r="U127" s="32" t="s">
        <v>4709</v>
      </c>
      <c r="V127" s="32" t="s">
        <v>1421</v>
      </c>
      <c r="W127" s="32" t="s">
        <v>4710</v>
      </c>
      <c r="X127" s="32" t="s">
        <v>4711</v>
      </c>
      <c r="Y127" s="32" t="s">
        <v>4712</v>
      </c>
      <c r="Z127" s="32" t="s">
        <v>4713</v>
      </c>
      <c r="AA127" s="32" t="s">
        <v>1324</v>
      </c>
      <c r="AB127" s="32" t="s">
        <v>1324</v>
      </c>
      <c r="AC127" s="32" t="s">
        <v>4714</v>
      </c>
      <c r="AD127" s="32" t="s">
        <v>4715</v>
      </c>
      <c r="AE127" s="32" t="s">
        <v>4716</v>
      </c>
      <c r="AF127" s="32" t="s">
        <v>1324</v>
      </c>
      <c r="AG127" s="32">
        <v>82.0</v>
      </c>
      <c r="AH127" s="32">
        <v>24.0</v>
      </c>
      <c r="AI127" s="32">
        <v>26.0</v>
      </c>
      <c r="AJ127" s="32">
        <v>0.0</v>
      </c>
      <c r="AK127" s="32">
        <v>25.0</v>
      </c>
      <c r="AL127" s="32" t="s">
        <v>2464</v>
      </c>
      <c r="AM127" s="32" t="s">
        <v>2465</v>
      </c>
      <c r="AN127" s="32" t="s">
        <v>2466</v>
      </c>
      <c r="AO127" s="32" t="s">
        <v>2467</v>
      </c>
      <c r="AP127" s="32" t="s">
        <v>2468</v>
      </c>
      <c r="AQ127" s="32" t="s">
        <v>1324</v>
      </c>
      <c r="AR127" s="32" t="s">
        <v>2469</v>
      </c>
      <c r="AS127" s="32" t="s">
        <v>2470</v>
      </c>
      <c r="AT127" s="32" t="s">
        <v>2908</v>
      </c>
      <c r="AU127" s="32">
        <v>2008.0</v>
      </c>
      <c r="AV127" s="32">
        <v>18.0</v>
      </c>
      <c r="AW127" s="32">
        <v>8.0</v>
      </c>
      <c r="AX127" s="32" t="s">
        <v>1324</v>
      </c>
      <c r="AY127" s="32" t="s">
        <v>1324</v>
      </c>
      <c r="AZ127" s="32" t="s">
        <v>1324</v>
      </c>
      <c r="BA127" s="32" t="s">
        <v>1324</v>
      </c>
      <c r="BB127" s="32">
        <v>1932.0</v>
      </c>
      <c r="BC127" s="32">
        <v>1955.0</v>
      </c>
      <c r="BD127" s="32" t="s">
        <v>1324</v>
      </c>
      <c r="BE127" s="32" t="s">
        <v>1422</v>
      </c>
      <c r="BF127" s="38" t="str">
        <f>HYPERLINK("http://dx.doi.org/10.1890/07-1254.1","http://dx.doi.org/10.1890/07-1254.1")</f>
        <v>http://dx.doi.org/10.1890/07-1254.1</v>
      </c>
      <c r="BG127" s="32" t="s">
        <v>1324</v>
      </c>
      <c r="BH127" s="32" t="s">
        <v>1324</v>
      </c>
      <c r="BI127" s="32">
        <v>24.0</v>
      </c>
      <c r="BJ127" s="32" t="s">
        <v>698</v>
      </c>
      <c r="BK127" s="32" t="s">
        <v>2407</v>
      </c>
      <c r="BL127" s="32" t="s">
        <v>2472</v>
      </c>
      <c r="BM127" s="32" t="s">
        <v>4717</v>
      </c>
      <c r="BN127" s="32">
        <v>1.9263889E7</v>
      </c>
      <c r="BO127" s="32" t="s">
        <v>1324</v>
      </c>
      <c r="BP127" s="32" t="s">
        <v>1324</v>
      </c>
      <c r="BQ127" s="32" t="s">
        <v>1324</v>
      </c>
      <c r="BR127" s="32" t="s">
        <v>5042</v>
      </c>
      <c r="BS127" s="32" t="s">
        <v>4718</v>
      </c>
      <c r="BT127" s="32" t="s">
        <v>1329</v>
      </c>
      <c r="BU127" s="32" t="s">
        <v>1333</v>
      </c>
      <c r="BV127" s="32" t="s">
        <v>5051</v>
      </c>
      <c r="BW127" s="32" t="s">
        <v>1349</v>
      </c>
      <c r="BX127" s="32" t="s">
        <v>5062</v>
      </c>
      <c r="BY127" s="32" t="s">
        <v>1328</v>
      </c>
      <c r="BZ127" s="32" t="s">
        <v>1336</v>
      </c>
      <c r="CA127" s="32" t="s">
        <v>1328</v>
      </c>
      <c r="CB127" s="32" t="s">
        <v>1336</v>
      </c>
      <c r="CC127" s="32" t="s">
        <v>1336</v>
      </c>
      <c r="CD127" s="39" t="s">
        <v>5070</v>
      </c>
      <c r="CE127" s="32" t="s">
        <v>1350</v>
      </c>
      <c r="CF127" s="32" t="str">
        <f>HYPERLINK("https%3A%2F%2Fwww.webofscience.com%2Fwos%2Fwoscc%2Ffull-record%2FWOS:000262605500010","View Full Record in Web of Science")</f>
        <v>View Full Record in Web of Science</v>
      </c>
    </row>
    <row r="128" ht="12.75" customHeight="1">
      <c r="A128" s="32" t="s">
        <v>26</v>
      </c>
      <c r="B128" s="32" t="s">
        <v>4009</v>
      </c>
      <c r="C128" s="32" t="s">
        <v>1324</v>
      </c>
      <c r="D128" s="32" t="s">
        <v>1324</v>
      </c>
      <c r="E128" s="32" t="s">
        <v>1324</v>
      </c>
      <c r="F128" s="32" t="s">
        <v>1563</v>
      </c>
      <c r="G128" s="32" t="s">
        <v>1324</v>
      </c>
      <c r="H128" s="32" t="s">
        <v>1324</v>
      </c>
      <c r="I128" s="32" t="s">
        <v>1564</v>
      </c>
      <c r="J128" s="32" t="s">
        <v>1558</v>
      </c>
      <c r="K128" s="32" t="s">
        <v>1324</v>
      </c>
      <c r="L128" s="32" t="s">
        <v>1324</v>
      </c>
      <c r="M128" s="32" t="s">
        <v>2364</v>
      </c>
      <c r="N128" s="32" t="s">
        <v>38</v>
      </c>
      <c r="O128" s="32" t="s">
        <v>1324</v>
      </c>
      <c r="P128" s="32" t="s">
        <v>1324</v>
      </c>
      <c r="Q128" s="32" t="s">
        <v>1324</v>
      </c>
      <c r="R128" s="32" t="s">
        <v>1324</v>
      </c>
      <c r="S128" s="32" t="s">
        <v>1324</v>
      </c>
      <c r="T128" s="32" t="s">
        <v>4010</v>
      </c>
      <c r="U128" s="32" t="s">
        <v>4011</v>
      </c>
      <c r="V128" s="32" t="s">
        <v>1565</v>
      </c>
      <c r="W128" s="32" t="s">
        <v>4012</v>
      </c>
      <c r="X128" s="32" t="s">
        <v>4013</v>
      </c>
      <c r="Y128" s="32" t="s">
        <v>4014</v>
      </c>
      <c r="Z128" s="32" t="s">
        <v>4015</v>
      </c>
      <c r="AA128" s="32" t="s">
        <v>5257</v>
      </c>
      <c r="AB128" s="32" t="s">
        <v>5258</v>
      </c>
      <c r="AC128" s="32" t="s">
        <v>4018</v>
      </c>
      <c r="AD128" s="32" t="s">
        <v>4019</v>
      </c>
      <c r="AE128" s="32" t="s">
        <v>4020</v>
      </c>
      <c r="AF128" s="32" t="s">
        <v>1324</v>
      </c>
      <c r="AG128" s="32">
        <v>47.0</v>
      </c>
      <c r="AH128" s="32">
        <v>52.0</v>
      </c>
      <c r="AI128" s="32">
        <v>56.0</v>
      </c>
      <c r="AJ128" s="32">
        <v>0.0</v>
      </c>
      <c r="AK128" s="32">
        <v>66.0</v>
      </c>
      <c r="AL128" s="32" t="s">
        <v>2464</v>
      </c>
      <c r="AM128" s="32" t="s">
        <v>2465</v>
      </c>
      <c r="AN128" s="32" t="s">
        <v>2466</v>
      </c>
      <c r="AO128" s="32" t="s">
        <v>3204</v>
      </c>
      <c r="AP128" s="32" t="s">
        <v>3205</v>
      </c>
      <c r="AQ128" s="32" t="s">
        <v>1324</v>
      </c>
      <c r="AR128" s="32" t="s">
        <v>3206</v>
      </c>
      <c r="AS128" s="32" t="s">
        <v>3207</v>
      </c>
      <c r="AT128" s="32" t="s">
        <v>2557</v>
      </c>
      <c r="AU128" s="32">
        <v>2013.0</v>
      </c>
      <c r="AV128" s="32">
        <v>40.0</v>
      </c>
      <c r="AW128" s="32">
        <v>7.0</v>
      </c>
      <c r="AX128" s="32" t="s">
        <v>1324</v>
      </c>
      <c r="AY128" s="32" t="s">
        <v>1324</v>
      </c>
      <c r="AZ128" s="32" t="s">
        <v>1324</v>
      </c>
      <c r="BA128" s="32" t="s">
        <v>1324</v>
      </c>
      <c r="BB128" s="32">
        <v>1252.0</v>
      </c>
      <c r="BC128" s="32">
        <v>1265.0</v>
      </c>
      <c r="BD128" s="32" t="s">
        <v>1324</v>
      </c>
      <c r="BE128" s="32" t="s">
        <v>1566</v>
      </c>
      <c r="BF128" s="38" t="str">
        <f>HYPERLINK("http://dx.doi.org/10.1111/jbi.12105","http://dx.doi.org/10.1111/jbi.12105")</f>
        <v>http://dx.doi.org/10.1111/jbi.12105</v>
      </c>
      <c r="BG128" s="32" t="s">
        <v>1324</v>
      </c>
      <c r="BH128" s="32" t="s">
        <v>1324</v>
      </c>
      <c r="BI128" s="32">
        <v>14.0</v>
      </c>
      <c r="BJ128" s="32" t="s">
        <v>1257</v>
      </c>
      <c r="BK128" s="32" t="s">
        <v>2407</v>
      </c>
      <c r="BL128" s="32" t="s">
        <v>2840</v>
      </c>
      <c r="BM128" s="32" t="s">
        <v>4021</v>
      </c>
      <c r="BN128" s="32" t="s">
        <v>1324</v>
      </c>
      <c r="BO128" s="32" t="s">
        <v>1324</v>
      </c>
      <c r="BP128" s="32" t="s">
        <v>1324</v>
      </c>
      <c r="BQ128" s="32" t="s">
        <v>1324</v>
      </c>
      <c r="BR128" s="32" t="s">
        <v>5042</v>
      </c>
      <c r="BS128" s="32" t="s">
        <v>4022</v>
      </c>
      <c r="BT128" s="32" t="s">
        <v>1329</v>
      </c>
      <c r="BU128" s="32" t="s">
        <v>1333</v>
      </c>
      <c r="BV128" s="32" t="s">
        <v>5066</v>
      </c>
      <c r="BW128" s="32" t="s">
        <v>1362</v>
      </c>
      <c r="BX128" s="32" t="s">
        <v>5044</v>
      </c>
      <c r="BY128" s="32" t="s">
        <v>1328</v>
      </c>
      <c r="BZ128" s="32" t="s">
        <v>1336</v>
      </c>
      <c r="CA128" s="32" t="s">
        <v>1328</v>
      </c>
      <c r="CB128" s="32" t="s">
        <v>1336</v>
      </c>
      <c r="CC128" s="32" t="s">
        <v>1336</v>
      </c>
      <c r="CD128" s="39" t="s">
        <v>5070</v>
      </c>
      <c r="CE128" s="32" t="s">
        <v>1350</v>
      </c>
      <c r="CF128" s="32" t="str">
        <f>HYPERLINK("https%3A%2F%2Fwww.webofscience.com%2Fwos%2Fwoscc%2Ffull-record%2FWOS:000320175400005","View Full Record in Web of Science")</f>
        <v>View Full Record in Web of Science</v>
      </c>
    </row>
    <row r="129" ht="12.75" customHeight="1">
      <c r="A129" s="32" t="s">
        <v>26</v>
      </c>
      <c r="B129" s="32" t="s">
        <v>2862</v>
      </c>
      <c r="C129" s="32" t="s">
        <v>1324</v>
      </c>
      <c r="D129" s="32" t="s">
        <v>1324</v>
      </c>
      <c r="E129" s="32" t="s">
        <v>1324</v>
      </c>
      <c r="F129" s="32" t="s">
        <v>1795</v>
      </c>
      <c r="G129" s="32" t="s">
        <v>1324</v>
      </c>
      <c r="H129" s="32" t="s">
        <v>1324</v>
      </c>
      <c r="I129" s="32" t="s">
        <v>1796</v>
      </c>
      <c r="J129" s="32" t="s">
        <v>278</v>
      </c>
      <c r="K129" s="32" t="s">
        <v>1324</v>
      </c>
      <c r="L129" s="32" t="s">
        <v>1324</v>
      </c>
      <c r="M129" s="32" t="s">
        <v>2364</v>
      </c>
      <c r="N129" s="32" t="s">
        <v>38</v>
      </c>
      <c r="O129" s="32" t="s">
        <v>1324</v>
      </c>
      <c r="P129" s="32" t="s">
        <v>1324</v>
      </c>
      <c r="Q129" s="32" t="s">
        <v>1324</v>
      </c>
      <c r="R129" s="32" t="s">
        <v>1324</v>
      </c>
      <c r="S129" s="32" t="s">
        <v>1324</v>
      </c>
      <c r="T129" s="32" t="s">
        <v>1324</v>
      </c>
      <c r="U129" s="32" t="s">
        <v>2863</v>
      </c>
      <c r="V129" s="32" t="s">
        <v>1797</v>
      </c>
      <c r="W129" s="32" t="s">
        <v>2864</v>
      </c>
      <c r="X129" s="32" t="s">
        <v>2865</v>
      </c>
      <c r="Y129" s="32" t="s">
        <v>2866</v>
      </c>
      <c r="Z129" s="32" t="s">
        <v>2867</v>
      </c>
      <c r="AA129" s="32" t="s">
        <v>5259</v>
      </c>
      <c r="AB129" s="32" t="s">
        <v>5260</v>
      </c>
      <c r="AC129" s="32" t="s">
        <v>1324</v>
      </c>
      <c r="AD129" s="32" t="s">
        <v>1324</v>
      </c>
      <c r="AE129" s="32" t="s">
        <v>1324</v>
      </c>
      <c r="AF129" s="32" t="s">
        <v>1324</v>
      </c>
      <c r="AG129" s="32">
        <v>69.0</v>
      </c>
      <c r="AH129" s="32">
        <v>189.0</v>
      </c>
      <c r="AI129" s="32">
        <v>219.0</v>
      </c>
      <c r="AJ129" s="32">
        <v>11.0</v>
      </c>
      <c r="AK129" s="32">
        <v>225.0</v>
      </c>
      <c r="AL129" s="32" t="s">
        <v>2870</v>
      </c>
      <c r="AM129" s="32" t="s">
        <v>2871</v>
      </c>
      <c r="AN129" s="32" t="s">
        <v>2872</v>
      </c>
      <c r="AO129" s="32" t="s">
        <v>2873</v>
      </c>
      <c r="AP129" s="32" t="s">
        <v>2874</v>
      </c>
      <c r="AQ129" s="32" t="s">
        <v>1324</v>
      </c>
      <c r="AR129" s="32" t="s">
        <v>278</v>
      </c>
      <c r="AS129" s="32" t="s">
        <v>2875</v>
      </c>
      <c r="AT129" s="32" t="s">
        <v>2876</v>
      </c>
      <c r="AU129" s="32">
        <v>2018.0</v>
      </c>
      <c r="AV129" s="32">
        <v>553.0</v>
      </c>
      <c r="AW129" s="32">
        <v>7687.0</v>
      </c>
      <c r="AX129" s="32" t="s">
        <v>1324</v>
      </c>
      <c r="AY129" s="32" t="s">
        <v>1324</v>
      </c>
      <c r="AZ129" s="32" t="s">
        <v>1324</v>
      </c>
      <c r="BA129" s="32" t="s">
        <v>1324</v>
      </c>
      <c r="BB129" s="32">
        <v>199.0</v>
      </c>
      <c r="BC129" s="32" t="s">
        <v>2877</v>
      </c>
      <c r="BD129" s="32" t="s">
        <v>1324</v>
      </c>
      <c r="BE129" s="32" t="s">
        <v>1798</v>
      </c>
      <c r="BF129" s="38" t="str">
        <f>HYPERLINK("http://dx.doi.org/10.1038/nature25139","http://dx.doi.org/10.1038/nature25139")</f>
        <v>http://dx.doi.org/10.1038/nature25139</v>
      </c>
      <c r="BG129" s="32" t="s">
        <v>1324</v>
      </c>
      <c r="BH129" s="32" t="s">
        <v>1324</v>
      </c>
      <c r="BI129" s="32">
        <v>18.0</v>
      </c>
      <c r="BJ129" s="32" t="s">
        <v>42</v>
      </c>
      <c r="BK129" s="32" t="s">
        <v>2878</v>
      </c>
      <c r="BL129" s="32" t="s">
        <v>2430</v>
      </c>
      <c r="BM129" s="32" t="s">
        <v>2879</v>
      </c>
      <c r="BN129" s="32">
        <v>2.9258291E7</v>
      </c>
      <c r="BO129" s="32" t="s">
        <v>1324</v>
      </c>
      <c r="BP129" s="32" t="s">
        <v>1324</v>
      </c>
      <c r="BQ129" s="32" t="s">
        <v>1324</v>
      </c>
      <c r="BR129" s="32" t="s">
        <v>5042</v>
      </c>
      <c r="BS129" s="32" t="s">
        <v>2880</v>
      </c>
      <c r="BT129" s="32" t="s">
        <v>1329</v>
      </c>
      <c r="BU129" s="32" t="s">
        <v>1444</v>
      </c>
      <c r="BV129" s="32" t="s">
        <v>5048</v>
      </c>
      <c r="BW129" s="32" t="s">
        <v>1530</v>
      </c>
      <c r="BX129" s="32" t="s">
        <v>5078</v>
      </c>
      <c r="BY129" s="32" t="s">
        <v>1328</v>
      </c>
      <c r="BZ129" s="32" t="s">
        <v>1328</v>
      </c>
      <c r="CA129" s="32" t="s">
        <v>1336</v>
      </c>
      <c r="CB129" s="32" t="s">
        <v>1336</v>
      </c>
      <c r="CC129" s="32" t="s">
        <v>1336</v>
      </c>
      <c r="CD129" s="39" t="s">
        <v>5055</v>
      </c>
      <c r="CE129" s="32" t="s">
        <v>1350</v>
      </c>
      <c r="CF129" s="32" t="str">
        <f>HYPERLINK("https%3A%2F%2Fwww.webofscience.com%2Fwos%2Fwoscc%2Ffull-record%2FWOS:000419794800035","View Full Record in Web of Science")</f>
        <v>View Full Record in Web of Science</v>
      </c>
    </row>
    <row r="130" ht="12.75" customHeight="1">
      <c r="CD130" s="39"/>
    </row>
    <row r="131" ht="12.75" customHeight="1">
      <c r="CD131" s="39"/>
    </row>
    <row r="132" ht="12.75" customHeight="1">
      <c r="CD132" s="39"/>
    </row>
    <row r="133" ht="12.75" customHeight="1">
      <c r="CD133" s="39"/>
    </row>
    <row r="134" ht="12.75" customHeight="1">
      <c r="CD134" s="39"/>
    </row>
    <row r="135" ht="12.75" customHeight="1">
      <c r="CD135" s="39"/>
    </row>
    <row r="136" ht="12.75" customHeight="1">
      <c r="CD136" s="39"/>
    </row>
    <row r="137" ht="12.75" customHeight="1">
      <c r="CD137" s="39"/>
    </row>
    <row r="138" ht="12.75" customHeight="1">
      <c r="CD138" s="39"/>
    </row>
    <row r="139" ht="12.75" customHeight="1">
      <c r="CD139" s="39"/>
    </row>
    <row r="140" ht="12.75" customHeight="1">
      <c r="CD140" s="39"/>
    </row>
    <row r="141" ht="12.75" customHeight="1">
      <c r="CD141" s="39"/>
    </row>
    <row r="142" ht="12.75" customHeight="1">
      <c r="CD142" s="39"/>
    </row>
    <row r="143" ht="12.75" customHeight="1">
      <c r="CD143" s="39"/>
    </row>
    <row r="144" ht="12.75" customHeight="1">
      <c r="CD144" s="39"/>
    </row>
    <row r="145" ht="12.75" customHeight="1">
      <c r="CD145" s="39"/>
    </row>
    <row r="146" ht="12.75" customHeight="1">
      <c r="CD146" s="39"/>
    </row>
    <row r="147" ht="12.75" customHeight="1">
      <c r="CD147" s="39"/>
    </row>
    <row r="148" ht="12.75" customHeight="1">
      <c r="CD148" s="39"/>
    </row>
    <row r="149" ht="12.75" customHeight="1">
      <c r="CD149" s="39"/>
    </row>
    <row r="150" ht="12.75" customHeight="1">
      <c r="CD150" s="39"/>
    </row>
    <row r="151" ht="12.75" customHeight="1">
      <c r="CD151" s="39"/>
    </row>
    <row r="152" ht="12.75" customHeight="1">
      <c r="CD152" s="39"/>
    </row>
    <row r="153" ht="12.75" customHeight="1">
      <c r="CD153" s="39"/>
    </row>
    <row r="154" ht="12.75" customHeight="1">
      <c r="CD154" s="39"/>
    </row>
    <row r="155" ht="12.75" customHeight="1">
      <c r="CD155" s="39"/>
    </row>
    <row r="156" ht="12.75" customHeight="1">
      <c r="CD156" s="39"/>
    </row>
    <row r="157" ht="12.75" customHeight="1">
      <c r="CD157" s="39"/>
    </row>
    <row r="158" ht="12.75" customHeight="1">
      <c r="CD158" s="39"/>
    </row>
    <row r="159" ht="12.75" customHeight="1">
      <c r="CD159" s="39"/>
    </row>
    <row r="160" ht="12.75" customHeight="1">
      <c r="CD160" s="39"/>
    </row>
    <row r="161" ht="12.75" customHeight="1">
      <c r="CD161" s="39"/>
    </row>
    <row r="162" ht="12.75" customHeight="1">
      <c r="CD162" s="39"/>
    </row>
    <row r="163" ht="12.75" customHeight="1">
      <c r="CD163" s="39"/>
    </row>
    <row r="164" ht="12.75" customHeight="1">
      <c r="CD164" s="39"/>
    </row>
    <row r="165" ht="12.75" customHeight="1">
      <c r="CD165" s="39"/>
    </row>
    <row r="166" ht="12.75" customHeight="1">
      <c r="CD166" s="39"/>
    </row>
    <row r="167" ht="12.75" customHeight="1">
      <c r="CD167" s="39"/>
    </row>
    <row r="168" ht="12.75" customHeight="1">
      <c r="CD168" s="39"/>
    </row>
    <row r="169" ht="12.75" customHeight="1">
      <c r="CD169" s="39"/>
    </row>
    <row r="170" ht="12.75" customHeight="1">
      <c r="CD170" s="39"/>
    </row>
    <row r="171" ht="12.75" customHeight="1">
      <c r="CD171" s="39"/>
    </row>
    <row r="172" ht="12.75" customHeight="1">
      <c r="CD172" s="39"/>
    </row>
    <row r="173" ht="12.75" customHeight="1">
      <c r="CD173" s="39"/>
    </row>
    <row r="174" ht="12.75" customHeight="1">
      <c r="CD174" s="39"/>
    </row>
    <row r="175" ht="12.75" customHeight="1">
      <c r="CD175" s="39"/>
    </row>
    <row r="176" ht="12.75" customHeight="1">
      <c r="CD176" s="39"/>
    </row>
    <row r="177" ht="12.75" customHeight="1">
      <c r="CD177" s="39"/>
    </row>
    <row r="178" ht="12.75" customHeight="1">
      <c r="CD178" s="39"/>
    </row>
    <row r="179" ht="12.75" customHeight="1">
      <c r="CD179" s="39"/>
    </row>
    <row r="180" ht="12.75" customHeight="1">
      <c r="CD180" s="39"/>
    </row>
    <row r="181" ht="12.75" customHeight="1">
      <c r="CD181" s="39"/>
    </row>
    <row r="182" ht="12.75" customHeight="1">
      <c r="CD182" s="39"/>
    </row>
    <row r="183" ht="12.75" customHeight="1">
      <c r="CD183" s="39"/>
    </row>
    <row r="184" ht="12.75" customHeight="1">
      <c r="CD184" s="39"/>
    </row>
    <row r="185" ht="12.75" customHeight="1">
      <c r="CD185" s="39"/>
    </row>
    <row r="186" ht="12.75" customHeight="1">
      <c r="CD186" s="39"/>
    </row>
    <row r="187" ht="12.75" customHeight="1">
      <c r="CD187" s="39"/>
    </row>
    <row r="188" ht="12.75" customHeight="1">
      <c r="CD188" s="39"/>
    </row>
    <row r="189" ht="12.75" customHeight="1">
      <c r="CD189" s="39"/>
    </row>
    <row r="190" ht="12.75" customHeight="1">
      <c r="CD190" s="39"/>
    </row>
    <row r="191" ht="12.75" customHeight="1">
      <c r="CD191" s="39"/>
    </row>
    <row r="192" ht="12.75" customHeight="1">
      <c r="CD192" s="39"/>
    </row>
    <row r="193" ht="12.75" customHeight="1">
      <c r="CD193" s="39"/>
    </row>
    <row r="194" ht="12.75" customHeight="1">
      <c r="CD194" s="39"/>
    </row>
    <row r="195" ht="12.75" customHeight="1">
      <c r="CD195" s="39"/>
    </row>
    <row r="196" ht="12.75" customHeight="1">
      <c r="CD196" s="39"/>
    </row>
    <row r="197" ht="12.75" customHeight="1">
      <c r="CD197" s="39"/>
    </row>
    <row r="198" ht="12.75" customHeight="1">
      <c r="CD198" s="39"/>
    </row>
    <row r="199" ht="12.75" customHeight="1">
      <c r="CD199" s="39"/>
    </row>
    <row r="200" ht="12.75" customHeight="1">
      <c r="CD200" s="39"/>
    </row>
    <row r="201" ht="12.75" customHeight="1">
      <c r="CD201" s="39"/>
    </row>
    <row r="202" ht="12.75" customHeight="1">
      <c r="CD202" s="39"/>
    </row>
    <row r="203" ht="12.75" customHeight="1">
      <c r="CD203" s="39"/>
    </row>
    <row r="204" ht="12.75" customHeight="1">
      <c r="CD204" s="39"/>
    </row>
    <row r="205" ht="12.75" customHeight="1">
      <c r="CD205" s="39"/>
    </row>
    <row r="206" ht="12.75" customHeight="1">
      <c r="CD206" s="39"/>
    </row>
    <row r="207" ht="12.75" customHeight="1">
      <c r="CD207" s="39"/>
    </row>
    <row r="208" ht="12.75" customHeight="1">
      <c r="CD208" s="39"/>
    </row>
    <row r="209" ht="12.75" customHeight="1">
      <c r="CD209" s="39"/>
    </row>
    <row r="210" ht="12.75" customHeight="1">
      <c r="CD210" s="39"/>
    </row>
    <row r="211" ht="12.75" customHeight="1">
      <c r="CD211" s="39"/>
    </row>
    <row r="212" ht="12.75" customHeight="1">
      <c r="CD212" s="39"/>
    </row>
    <row r="213" ht="12.75" customHeight="1">
      <c r="CD213" s="39"/>
    </row>
    <row r="214" ht="12.75" customHeight="1">
      <c r="CD214" s="39"/>
    </row>
    <row r="215" ht="12.75" customHeight="1">
      <c r="CD215" s="39"/>
    </row>
    <row r="216" ht="12.75" customHeight="1">
      <c r="CD216" s="39"/>
    </row>
    <row r="217" ht="12.75" customHeight="1">
      <c r="CD217" s="39"/>
    </row>
    <row r="218" ht="12.75" customHeight="1">
      <c r="CD218" s="39"/>
    </row>
    <row r="219" ht="12.75" customHeight="1">
      <c r="CD219" s="39"/>
    </row>
    <row r="220" ht="12.75" customHeight="1">
      <c r="CD220" s="39"/>
    </row>
    <row r="221" ht="12.75" customHeight="1">
      <c r="CD221" s="39"/>
    </row>
    <row r="222" ht="12.75" customHeight="1">
      <c r="CD222" s="39"/>
    </row>
    <row r="223" ht="12.75" customHeight="1">
      <c r="CD223" s="39"/>
    </row>
    <row r="224" ht="12.75" customHeight="1">
      <c r="CD224" s="39"/>
    </row>
    <row r="225" ht="12.75" customHeight="1">
      <c r="CD225" s="39"/>
    </row>
    <row r="226" ht="12.75" customHeight="1">
      <c r="CD226" s="39"/>
    </row>
    <row r="227" ht="12.75" customHeight="1">
      <c r="CD227" s="39"/>
    </row>
    <row r="228" ht="12.75" customHeight="1">
      <c r="CD228" s="39"/>
    </row>
    <row r="229" ht="12.75" customHeight="1">
      <c r="CD229" s="39"/>
    </row>
    <row r="230" ht="12.75" customHeight="1">
      <c r="CD230" s="39"/>
    </row>
    <row r="231" ht="12.75" customHeight="1">
      <c r="CD231" s="39"/>
    </row>
    <row r="232" ht="12.75" customHeight="1">
      <c r="CD232" s="39"/>
    </row>
    <row r="233" ht="12.75" customHeight="1">
      <c r="CD233" s="39"/>
    </row>
    <row r="234" ht="12.75" customHeight="1">
      <c r="CD234" s="39"/>
    </row>
    <row r="235" ht="12.75" customHeight="1">
      <c r="CD235" s="39"/>
    </row>
    <row r="236" ht="12.75" customHeight="1">
      <c r="CD236" s="39"/>
    </row>
    <row r="237" ht="12.75" customHeight="1">
      <c r="CD237" s="39"/>
    </row>
    <row r="238" ht="12.75" customHeight="1">
      <c r="CD238" s="39"/>
    </row>
    <row r="239" ht="12.75" customHeight="1">
      <c r="CD239" s="39"/>
    </row>
    <row r="240" ht="12.75" customHeight="1">
      <c r="CD240" s="39"/>
    </row>
    <row r="241" ht="12.75" customHeight="1">
      <c r="CD241" s="39"/>
    </row>
    <row r="242" ht="12.75" customHeight="1">
      <c r="CD242" s="39"/>
    </row>
    <row r="243" ht="12.75" customHeight="1">
      <c r="CD243" s="39"/>
    </row>
    <row r="244" ht="12.75" customHeight="1">
      <c r="CD244" s="39"/>
    </row>
    <row r="245" ht="12.75" customHeight="1">
      <c r="CD245" s="39"/>
    </row>
    <row r="246" ht="12.75" customHeight="1">
      <c r="CD246" s="39"/>
    </row>
    <row r="247" ht="12.75" customHeight="1">
      <c r="CD247" s="39"/>
    </row>
    <row r="248" ht="12.75" customHeight="1">
      <c r="CD248" s="39"/>
    </row>
    <row r="249" ht="12.75" customHeight="1">
      <c r="CD249" s="39"/>
    </row>
    <row r="250" ht="12.75" customHeight="1">
      <c r="CD250" s="39"/>
    </row>
    <row r="251" ht="12.75" customHeight="1">
      <c r="CD251" s="39"/>
    </row>
    <row r="252" ht="12.75" customHeight="1">
      <c r="CD252" s="39"/>
    </row>
    <row r="253" ht="12.75" customHeight="1">
      <c r="CD253" s="39"/>
    </row>
    <row r="254" ht="12.75" customHeight="1">
      <c r="CD254" s="39"/>
    </row>
    <row r="255" ht="12.75" customHeight="1">
      <c r="CD255" s="39"/>
    </row>
    <row r="256" ht="12.75" customHeight="1">
      <c r="CD256" s="39"/>
    </row>
    <row r="257" ht="12.75" customHeight="1">
      <c r="CD257" s="39"/>
    </row>
    <row r="258" ht="12.75" customHeight="1">
      <c r="CD258" s="39"/>
    </row>
    <row r="259" ht="12.75" customHeight="1">
      <c r="CD259" s="39"/>
    </row>
    <row r="260" ht="12.75" customHeight="1">
      <c r="CD260" s="39"/>
    </row>
    <row r="261" ht="12.75" customHeight="1">
      <c r="CD261" s="39"/>
    </row>
    <row r="262" ht="12.75" customHeight="1">
      <c r="CD262" s="39"/>
    </row>
    <row r="263" ht="12.75" customHeight="1">
      <c r="CD263" s="39"/>
    </row>
    <row r="264" ht="12.75" customHeight="1">
      <c r="CD264" s="39"/>
    </row>
    <row r="265" ht="12.75" customHeight="1">
      <c r="CD265" s="39"/>
    </row>
    <row r="266" ht="12.75" customHeight="1">
      <c r="CD266" s="39"/>
    </row>
    <row r="267" ht="12.75" customHeight="1">
      <c r="CD267" s="39"/>
    </row>
    <row r="268" ht="12.75" customHeight="1">
      <c r="CD268" s="39"/>
    </row>
    <row r="269" ht="12.75" customHeight="1">
      <c r="CD269" s="39"/>
    </row>
    <row r="270" ht="12.75" customHeight="1">
      <c r="CD270" s="39"/>
    </row>
    <row r="271" ht="12.75" customHeight="1">
      <c r="CD271" s="39"/>
    </row>
    <row r="272" ht="12.75" customHeight="1">
      <c r="CD272" s="39"/>
    </row>
    <row r="273" ht="12.75" customHeight="1">
      <c r="CD273" s="39"/>
    </row>
    <row r="274" ht="12.75" customHeight="1">
      <c r="CD274" s="39"/>
    </row>
    <row r="275" ht="12.75" customHeight="1">
      <c r="CD275" s="39"/>
    </row>
    <row r="276" ht="12.75" customHeight="1">
      <c r="CD276" s="39"/>
    </row>
    <row r="277" ht="12.75" customHeight="1">
      <c r="CD277" s="39"/>
    </row>
    <row r="278" ht="12.75" customHeight="1">
      <c r="CD278" s="39"/>
    </row>
    <row r="279" ht="12.75" customHeight="1">
      <c r="CD279" s="39"/>
    </row>
    <row r="280" ht="12.75" customHeight="1">
      <c r="CD280" s="39"/>
    </row>
    <row r="281" ht="12.75" customHeight="1">
      <c r="CD281" s="39"/>
    </row>
    <row r="282" ht="12.75" customHeight="1">
      <c r="CD282" s="39"/>
    </row>
    <row r="283" ht="12.75" customHeight="1">
      <c r="CD283" s="39"/>
    </row>
    <row r="284" ht="12.75" customHeight="1">
      <c r="CD284" s="39"/>
    </row>
    <row r="285" ht="12.75" customHeight="1">
      <c r="CD285" s="39"/>
    </row>
    <row r="286" ht="12.75" customHeight="1">
      <c r="CD286" s="39"/>
    </row>
    <row r="287" ht="12.75" customHeight="1">
      <c r="CD287" s="39"/>
    </row>
    <row r="288" ht="12.75" customHeight="1">
      <c r="CD288" s="39"/>
    </row>
    <row r="289" ht="12.75" customHeight="1">
      <c r="CD289" s="39"/>
    </row>
    <row r="290" ht="12.75" customHeight="1">
      <c r="CD290" s="39"/>
    </row>
    <row r="291" ht="12.75" customHeight="1">
      <c r="CD291" s="39"/>
    </row>
    <row r="292" ht="12.75" customHeight="1">
      <c r="CD292" s="39"/>
    </row>
    <row r="293" ht="12.75" customHeight="1">
      <c r="CD293" s="39"/>
    </row>
    <row r="294" ht="12.75" customHeight="1">
      <c r="CD294" s="39"/>
    </row>
    <row r="295" ht="12.75" customHeight="1">
      <c r="CD295" s="39"/>
    </row>
    <row r="296" ht="12.75" customHeight="1">
      <c r="CD296" s="39"/>
    </row>
    <row r="297" ht="12.75" customHeight="1">
      <c r="CD297" s="39"/>
    </row>
    <row r="298" ht="12.75" customHeight="1">
      <c r="CD298" s="39"/>
    </row>
    <row r="299" ht="12.75" customHeight="1">
      <c r="CD299" s="39"/>
    </row>
    <row r="300" ht="12.75" customHeight="1">
      <c r="CD300" s="39"/>
    </row>
    <row r="301" ht="12.75" customHeight="1">
      <c r="CD301" s="39"/>
    </row>
    <row r="302" ht="12.75" customHeight="1">
      <c r="CD302" s="39"/>
    </row>
    <row r="303" ht="12.75" customHeight="1">
      <c r="CD303" s="39"/>
    </row>
    <row r="304" ht="12.75" customHeight="1">
      <c r="CD304" s="39"/>
    </row>
    <row r="305" ht="12.75" customHeight="1">
      <c r="CD305" s="39"/>
    </row>
    <row r="306" ht="12.75" customHeight="1">
      <c r="CD306" s="39"/>
    </row>
    <row r="307" ht="12.75" customHeight="1">
      <c r="CD307" s="39"/>
    </row>
    <row r="308" ht="12.75" customHeight="1">
      <c r="CD308" s="39"/>
    </row>
    <row r="309" ht="12.75" customHeight="1">
      <c r="CD309" s="39"/>
    </row>
    <row r="310" ht="12.75" customHeight="1">
      <c r="CD310" s="39"/>
    </row>
    <row r="311" ht="12.75" customHeight="1">
      <c r="CD311" s="39"/>
    </row>
    <row r="312" ht="12.75" customHeight="1">
      <c r="CD312" s="39"/>
    </row>
    <row r="313" ht="12.75" customHeight="1">
      <c r="CD313" s="39"/>
    </row>
    <row r="314" ht="12.75" customHeight="1">
      <c r="CD314" s="39"/>
    </row>
    <row r="315" ht="12.75" customHeight="1">
      <c r="CD315" s="39"/>
    </row>
    <row r="316" ht="12.75" customHeight="1">
      <c r="CD316" s="39"/>
    </row>
    <row r="317" ht="12.75" customHeight="1">
      <c r="CD317" s="39"/>
    </row>
    <row r="318" ht="12.75" customHeight="1">
      <c r="CD318" s="39"/>
    </row>
    <row r="319" ht="12.75" customHeight="1">
      <c r="CD319" s="39"/>
    </row>
    <row r="320" ht="12.75" customHeight="1">
      <c r="CD320" s="39"/>
    </row>
    <row r="321" ht="12.75" customHeight="1">
      <c r="CD321" s="39"/>
    </row>
    <row r="322" ht="12.75" customHeight="1">
      <c r="CD322" s="39"/>
    </row>
    <row r="323" ht="12.75" customHeight="1">
      <c r="CD323" s="39"/>
    </row>
    <row r="324" ht="12.75" customHeight="1">
      <c r="CD324" s="39"/>
    </row>
    <row r="325" ht="12.75" customHeight="1">
      <c r="CD325" s="39"/>
    </row>
    <row r="326" ht="12.75" customHeight="1">
      <c r="CD326" s="39"/>
    </row>
    <row r="327" ht="12.75" customHeight="1">
      <c r="CD327" s="39"/>
    </row>
    <row r="328" ht="12.75" customHeight="1">
      <c r="CD328" s="39"/>
    </row>
    <row r="329" ht="12.75" customHeight="1">
      <c r="CD329" s="39"/>
    </row>
    <row r="330" ht="12.75" customHeight="1">
      <c r="CD330" s="39"/>
    </row>
    <row r="331" ht="12.75" customHeight="1">
      <c r="CD331" s="39"/>
    </row>
    <row r="332" ht="12.75" customHeight="1">
      <c r="CD332" s="39"/>
    </row>
    <row r="333" ht="12.75" customHeight="1">
      <c r="CD333" s="39"/>
    </row>
    <row r="334" ht="12.75" customHeight="1">
      <c r="CD334" s="39"/>
    </row>
    <row r="335" ht="12.75" customHeight="1">
      <c r="CD335" s="39"/>
    </row>
    <row r="336" ht="12.75" customHeight="1">
      <c r="CD336" s="39"/>
    </row>
    <row r="337" ht="12.75" customHeight="1">
      <c r="CD337" s="39"/>
    </row>
    <row r="338" ht="12.75" customHeight="1">
      <c r="CD338" s="39"/>
    </row>
    <row r="339" ht="12.75" customHeight="1">
      <c r="CD339" s="39"/>
    </row>
    <row r="340" ht="12.75" customHeight="1">
      <c r="CD340" s="39"/>
    </row>
    <row r="341" ht="12.75" customHeight="1">
      <c r="CD341" s="39"/>
    </row>
    <row r="342" ht="12.75" customHeight="1">
      <c r="CD342" s="39"/>
    </row>
    <row r="343" ht="12.75" customHeight="1">
      <c r="CD343" s="39"/>
    </row>
    <row r="344" ht="12.75" customHeight="1">
      <c r="CD344" s="39"/>
    </row>
    <row r="345" ht="12.75" customHeight="1">
      <c r="CD345" s="39"/>
    </row>
    <row r="346" ht="12.75" customHeight="1">
      <c r="CD346" s="39"/>
    </row>
    <row r="347" ht="12.75" customHeight="1">
      <c r="CD347" s="39"/>
    </row>
    <row r="348" ht="12.75" customHeight="1">
      <c r="CD348" s="39"/>
    </row>
    <row r="349" ht="12.75" customHeight="1">
      <c r="CD349" s="39"/>
    </row>
    <row r="350" ht="12.75" customHeight="1">
      <c r="CD350" s="39"/>
    </row>
    <row r="351" ht="12.75" customHeight="1">
      <c r="CD351" s="39"/>
    </row>
    <row r="352" ht="12.75" customHeight="1">
      <c r="CD352" s="39"/>
    </row>
    <row r="353" ht="12.75" customHeight="1">
      <c r="CD353" s="39"/>
    </row>
    <row r="354" ht="12.75" customHeight="1">
      <c r="CD354" s="39"/>
    </row>
    <row r="355" ht="12.75" customHeight="1">
      <c r="CD355" s="39"/>
    </row>
    <row r="356" ht="12.75" customHeight="1">
      <c r="CD356" s="39"/>
    </row>
    <row r="357" ht="12.75" customHeight="1">
      <c r="CD357" s="39"/>
    </row>
    <row r="358" ht="12.75" customHeight="1">
      <c r="CD358" s="39"/>
    </row>
    <row r="359" ht="12.75" customHeight="1">
      <c r="CD359" s="39"/>
    </row>
    <row r="360" ht="12.75" customHeight="1">
      <c r="CD360" s="39"/>
    </row>
    <row r="361" ht="12.75" customHeight="1">
      <c r="CD361" s="39"/>
    </row>
    <row r="362" ht="12.75" customHeight="1">
      <c r="CD362" s="39"/>
    </row>
    <row r="363" ht="12.75" customHeight="1">
      <c r="CD363" s="39"/>
    </row>
    <row r="364" ht="12.75" customHeight="1">
      <c r="CD364" s="39"/>
    </row>
    <row r="365" ht="12.75" customHeight="1">
      <c r="CD365" s="39"/>
    </row>
    <row r="366" ht="12.75" customHeight="1">
      <c r="CD366" s="39"/>
    </row>
    <row r="367" ht="12.75" customHeight="1">
      <c r="CD367" s="39"/>
    </row>
    <row r="368" ht="12.75" customHeight="1">
      <c r="CD368" s="39"/>
    </row>
    <row r="369" ht="12.75" customHeight="1">
      <c r="CD369" s="39"/>
    </row>
    <row r="370" ht="12.75" customHeight="1">
      <c r="CD370" s="39"/>
    </row>
    <row r="371" ht="12.75" customHeight="1">
      <c r="CD371" s="39"/>
    </row>
    <row r="372" ht="12.75" customHeight="1">
      <c r="CD372" s="39"/>
    </row>
    <row r="373" ht="12.75" customHeight="1">
      <c r="CD373" s="39"/>
    </row>
    <row r="374" ht="12.75" customHeight="1">
      <c r="CD374" s="39"/>
    </row>
    <row r="375" ht="12.75" customHeight="1">
      <c r="CD375" s="39"/>
    </row>
    <row r="376" ht="12.75" customHeight="1">
      <c r="CD376" s="39"/>
    </row>
    <row r="377" ht="12.75" customHeight="1">
      <c r="CD377" s="39"/>
    </row>
    <row r="378" ht="12.75" customHeight="1">
      <c r="CD378" s="39"/>
    </row>
    <row r="379" ht="12.75" customHeight="1">
      <c r="CD379" s="39"/>
    </row>
    <row r="380" ht="12.75" customHeight="1">
      <c r="CD380" s="39"/>
    </row>
    <row r="381" ht="12.75" customHeight="1">
      <c r="CD381" s="39"/>
    </row>
    <row r="382" ht="12.75" customHeight="1">
      <c r="CD382" s="39"/>
    </row>
    <row r="383" ht="12.75" customHeight="1">
      <c r="CD383" s="39"/>
    </row>
    <row r="384" ht="12.75" customHeight="1">
      <c r="CD384" s="39"/>
    </row>
    <row r="385" ht="12.75" customHeight="1">
      <c r="CD385" s="39"/>
    </row>
    <row r="386" ht="12.75" customHeight="1">
      <c r="CD386" s="39"/>
    </row>
    <row r="387" ht="12.75" customHeight="1">
      <c r="CD387" s="39"/>
    </row>
    <row r="388" ht="12.75" customHeight="1">
      <c r="CD388" s="39"/>
    </row>
    <row r="389" ht="12.75" customHeight="1">
      <c r="CD389" s="39"/>
    </row>
    <row r="390" ht="12.75" customHeight="1">
      <c r="CD390" s="39"/>
    </row>
    <row r="391" ht="12.75" customHeight="1">
      <c r="CD391" s="39"/>
    </row>
    <row r="392" ht="12.75" customHeight="1">
      <c r="CD392" s="39"/>
    </row>
    <row r="393" ht="12.75" customHeight="1">
      <c r="CD393" s="39"/>
    </row>
    <row r="394" ht="12.75" customHeight="1">
      <c r="CD394" s="39"/>
    </row>
    <row r="395" ht="12.75" customHeight="1">
      <c r="CD395" s="39"/>
    </row>
    <row r="396" ht="12.75" customHeight="1">
      <c r="CD396" s="39"/>
    </row>
    <row r="397" ht="12.75" customHeight="1">
      <c r="CD397" s="39"/>
    </row>
    <row r="398" ht="12.75" customHeight="1">
      <c r="CD398" s="39"/>
    </row>
    <row r="399" ht="12.75" customHeight="1">
      <c r="CD399" s="39"/>
    </row>
    <row r="400" ht="12.75" customHeight="1">
      <c r="CD400" s="39"/>
    </row>
    <row r="401" ht="12.75" customHeight="1">
      <c r="CD401" s="39"/>
    </row>
    <row r="402" ht="12.75" customHeight="1">
      <c r="CD402" s="39"/>
    </row>
    <row r="403" ht="12.75" customHeight="1">
      <c r="CD403" s="39"/>
    </row>
    <row r="404" ht="12.75" customHeight="1">
      <c r="CD404" s="39"/>
    </row>
    <row r="405" ht="12.75" customHeight="1">
      <c r="CD405" s="39"/>
    </row>
    <row r="406" ht="12.75" customHeight="1">
      <c r="CD406" s="39"/>
    </row>
    <row r="407" ht="12.75" customHeight="1">
      <c r="CD407" s="39"/>
    </row>
    <row r="408" ht="12.75" customHeight="1">
      <c r="CD408" s="39"/>
    </row>
    <row r="409" ht="12.75" customHeight="1">
      <c r="CD409" s="39"/>
    </row>
    <row r="410" ht="12.75" customHeight="1">
      <c r="CD410" s="39"/>
    </row>
    <row r="411" ht="12.75" customHeight="1">
      <c r="CD411" s="39"/>
    </row>
    <row r="412" ht="12.75" customHeight="1">
      <c r="CD412" s="39"/>
    </row>
    <row r="413" ht="12.75" customHeight="1">
      <c r="CD413" s="39"/>
    </row>
    <row r="414" ht="12.75" customHeight="1">
      <c r="CD414" s="39"/>
    </row>
    <row r="415" ht="12.75" customHeight="1">
      <c r="CD415" s="39"/>
    </row>
    <row r="416" ht="12.75" customHeight="1">
      <c r="CD416" s="39"/>
    </row>
    <row r="417" ht="12.75" customHeight="1">
      <c r="CD417" s="39"/>
    </row>
    <row r="418" ht="12.75" customHeight="1">
      <c r="CD418" s="39"/>
    </row>
    <row r="419" ht="12.75" customHeight="1">
      <c r="CD419" s="39"/>
    </row>
    <row r="420" ht="12.75" customHeight="1">
      <c r="CD420" s="39"/>
    </row>
    <row r="421" ht="12.75" customHeight="1">
      <c r="CD421" s="39"/>
    </row>
    <row r="422" ht="12.75" customHeight="1">
      <c r="CD422" s="39"/>
    </row>
    <row r="423" ht="12.75" customHeight="1">
      <c r="CD423" s="39"/>
    </row>
    <row r="424" ht="12.75" customHeight="1">
      <c r="CD424" s="39"/>
    </row>
    <row r="425" ht="12.75" customHeight="1">
      <c r="CD425" s="39"/>
    </row>
    <row r="426" ht="12.75" customHeight="1">
      <c r="CD426" s="39"/>
    </row>
    <row r="427" ht="12.75" customHeight="1">
      <c r="CD427" s="39"/>
    </row>
    <row r="428" ht="12.75" customHeight="1">
      <c r="CD428" s="39"/>
    </row>
    <row r="429" ht="12.75" customHeight="1">
      <c r="CD429" s="39"/>
    </row>
    <row r="430" ht="12.75" customHeight="1">
      <c r="CD430" s="39"/>
    </row>
    <row r="431" ht="12.75" customHeight="1">
      <c r="CD431" s="39"/>
    </row>
    <row r="432" ht="12.75" customHeight="1">
      <c r="CD432" s="39"/>
    </row>
    <row r="433" ht="12.75" customHeight="1">
      <c r="CD433" s="39"/>
    </row>
    <row r="434" ht="12.75" customHeight="1">
      <c r="CD434" s="39"/>
    </row>
    <row r="435" ht="12.75" customHeight="1">
      <c r="CD435" s="39"/>
    </row>
    <row r="436" ht="12.75" customHeight="1">
      <c r="CD436" s="39"/>
    </row>
    <row r="437" ht="12.75" customHeight="1">
      <c r="CD437" s="39"/>
    </row>
    <row r="438" ht="12.75" customHeight="1">
      <c r="CD438" s="39"/>
    </row>
    <row r="439" ht="12.75" customHeight="1">
      <c r="CD439" s="39"/>
    </row>
    <row r="440" ht="12.75" customHeight="1">
      <c r="CD440" s="39"/>
    </row>
    <row r="441" ht="12.75" customHeight="1">
      <c r="CD441" s="39"/>
    </row>
    <row r="442" ht="12.75" customHeight="1">
      <c r="CD442" s="39"/>
    </row>
    <row r="443" ht="12.75" customHeight="1">
      <c r="CD443" s="39"/>
    </row>
    <row r="444" ht="12.75" customHeight="1">
      <c r="CD444" s="39"/>
    </row>
    <row r="445" ht="12.75" customHeight="1">
      <c r="CD445" s="39"/>
    </row>
    <row r="446" ht="12.75" customHeight="1">
      <c r="CD446" s="39"/>
    </row>
    <row r="447" ht="12.75" customHeight="1">
      <c r="CD447" s="39"/>
    </row>
    <row r="448" ht="12.75" customHeight="1">
      <c r="CD448" s="39"/>
    </row>
    <row r="449" ht="12.75" customHeight="1">
      <c r="CD449" s="39"/>
    </row>
    <row r="450" ht="12.75" customHeight="1">
      <c r="CD450" s="39"/>
    </row>
    <row r="451" ht="12.75" customHeight="1">
      <c r="CD451" s="39"/>
    </row>
    <row r="452" ht="12.75" customHeight="1">
      <c r="CD452" s="39"/>
    </row>
    <row r="453" ht="12.75" customHeight="1">
      <c r="CD453" s="39"/>
    </row>
    <row r="454" ht="12.75" customHeight="1">
      <c r="CD454" s="39"/>
    </row>
    <row r="455" ht="12.75" customHeight="1">
      <c r="CD455" s="39"/>
    </row>
    <row r="456" ht="12.75" customHeight="1">
      <c r="CD456" s="39"/>
    </row>
    <row r="457" ht="12.75" customHeight="1">
      <c r="CD457" s="39"/>
    </row>
    <row r="458" ht="12.75" customHeight="1">
      <c r="CD458" s="39"/>
    </row>
    <row r="459" ht="12.75" customHeight="1">
      <c r="CD459" s="39"/>
    </row>
    <row r="460" ht="12.75" customHeight="1">
      <c r="CD460" s="39"/>
    </row>
    <row r="461" ht="12.75" customHeight="1">
      <c r="CD461" s="39"/>
    </row>
    <row r="462" ht="12.75" customHeight="1">
      <c r="CD462" s="39"/>
    </row>
    <row r="463" ht="12.75" customHeight="1">
      <c r="CD463" s="39"/>
    </row>
    <row r="464" ht="12.75" customHeight="1">
      <c r="CD464" s="39"/>
    </row>
    <row r="465" ht="12.75" customHeight="1">
      <c r="CD465" s="39"/>
    </row>
    <row r="466" ht="12.75" customHeight="1">
      <c r="CD466" s="39"/>
    </row>
    <row r="467" ht="12.75" customHeight="1">
      <c r="CD467" s="39"/>
    </row>
    <row r="468" ht="12.75" customHeight="1">
      <c r="CD468" s="39"/>
    </row>
    <row r="469" ht="12.75" customHeight="1">
      <c r="CD469" s="39"/>
    </row>
    <row r="470" ht="12.75" customHeight="1">
      <c r="CD470" s="39"/>
    </row>
    <row r="471" ht="12.75" customHeight="1">
      <c r="CD471" s="39"/>
    </row>
    <row r="472" ht="12.75" customHeight="1">
      <c r="CD472" s="39"/>
    </row>
    <row r="473" ht="12.75" customHeight="1">
      <c r="CD473" s="39"/>
    </row>
    <row r="474" ht="12.75" customHeight="1">
      <c r="CD474" s="39"/>
    </row>
    <row r="475" ht="12.75" customHeight="1">
      <c r="CD475" s="39"/>
    </row>
    <row r="476" ht="12.75" customHeight="1">
      <c r="CD476" s="39"/>
    </row>
    <row r="477" ht="12.75" customHeight="1">
      <c r="CD477" s="39"/>
    </row>
    <row r="478" ht="12.75" customHeight="1">
      <c r="CD478" s="39"/>
    </row>
    <row r="479" ht="12.75" customHeight="1">
      <c r="CD479" s="39"/>
    </row>
    <row r="480" ht="12.75" customHeight="1">
      <c r="CD480" s="39"/>
    </row>
    <row r="481" ht="12.75" customHeight="1">
      <c r="CD481" s="39"/>
    </row>
    <row r="482" ht="12.75" customHeight="1">
      <c r="CD482" s="39"/>
    </row>
    <row r="483" ht="12.75" customHeight="1">
      <c r="CD483" s="39"/>
    </row>
    <row r="484" ht="12.75" customHeight="1">
      <c r="CD484" s="39"/>
    </row>
    <row r="485" ht="12.75" customHeight="1">
      <c r="CD485" s="39"/>
    </row>
    <row r="486" ht="12.75" customHeight="1">
      <c r="CD486" s="39"/>
    </row>
    <row r="487" ht="12.75" customHeight="1">
      <c r="CD487" s="39"/>
    </row>
    <row r="488" ht="12.75" customHeight="1">
      <c r="CD488" s="39"/>
    </row>
    <row r="489" ht="12.75" customHeight="1">
      <c r="CD489" s="39"/>
    </row>
    <row r="490" ht="12.75" customHeight="1">
      <c r="CD490" s="39"/>
    </row>
    <row r="491" ht="12.75" customHeight="1">
      <c r="CD491" s="39"/>
    </row>
    <row r="492" ht="12.75" customHeight="1">
      <c r="CD492" s="39"/>
    </row>
    <row r="493" ht="12.75" customHeight="1">
      <c r="CD493" s="39"/>
    </row>
    <row r="494" ht="12.75" customHeight="1">
      <c r="CD494" s="39"/>
    </row>
    <row r="495" ht="12.75" customHeight="1">
      <c r="CD495" s="39"/>
    </row>
    <row r="496" ht="12.75" customHeight="1">
      <c r="CD496" s="39"/>
    </row>
    <row r="497" ht="12.75" customHeight="1">
      <c r="CD497" s="39"/>
    </row>
    <row r="498" ht="12.75" customHeight="1">
      <c r="CD498" s="39"/>
    </row>
    <row r="499" ht="12.75" customHeight="1">
      <c r="CD499" s="39"/>
    </row>
    <row r="500" ht="12.75" customHeight="1">
      <c r="CD500" s="39"/>
    </row>
    <row r="501" ht="12.75" customHeight="1">
      <c r="CD501" s="39"/>
    </row>
    <row r="502" ht="12.75" customHeight="1">
      <c r="CD502" s="39"/>
    </row>
    <row r="503" ht="12.75" customHeight="1">
      <c r="CD503" s="39"/>
    </row>
    <row r="504" ht="12.75" customHeight="1">
      <c r="CD504" s="39"/>
    </row>
    <row r="505" ht="12.75" customHeight="1">
      <c r="CD505" s="39"/>
    </row>
    <row r="506" ht="12.75" customHeight="1">
      <c r="CD506" s="39"/>
    </row>
    <row r="507" ht="12.75" customHeight="1">
      <c r="CD507" s="39"/>
    </row>
    <row r="508" ht="12.75" customHeight="1">
      <c r="CD508" s="39"/>
    </row>
    <row r="509" ht="12.75" customHeight="1">
      <c r="CD509" s="39"/>
    </row>
    <row r="510" ht="12.75" customHeight="1">
      <c r="CD510" s="39"/>
    </row>
    <row r="511" ht="12.75" customHeight="1">
      <c r="CD511" s="39"/>
    </row>
    <row r="512" ht="12.75" customHeight="1">
      <c r="CD512" s="39"/>
    </row>
    <row r="513" ht="12.75" customHeight="1">
      <c r="CD513" s="39"/>
    </row>
    <row r="514" ht="12.75" customHeight="1">
      <c r="CD514" s="39"/>
    </row>
    <row r="515" ht="12.75" customHeight="1">
      <c r="CD515" s="39"/>
    </row>
    <row r="516" ht="12.75" customHeight="1">
      <c r="CD516" s="39"/>
    </row>
    <row r="517" ht="12.75" customHeight="1">
      <c r="CD517" s="39"/>
    </row>
    <row r="518" ht="12.75" customHeight="1">
      <c r="CD518" s="39"/>
    </row>
    <row r="519" ht="12.75" customHeight="1">
      <c r="CD519" s="39"/>
    </row>
    <row r="520" ht="12.75" customHeight="1">
      <c r="CD520" s="39"/>
    </row>
    <row r="521" ht="12.75" customHeight="1">
      <c r="CD521" s="39"/>
    </row>
    <row r="522" ht="12.75" customHeight="1">
      <c r="CD522" s="39"/>
    </row>
    <row r="523" ht="12.75" customHeight="1">
      <c r="CD523" s="39"/>
    </row>
    <row r="524" ht="12.75" customHeight="1">
      <c r="CD524" s="39"/>
    </row>
    <row r="525" ht="12.75" customHeight="1">
      <c r="CD525" s="39"/>
    </row>
    <row r="526" ht="12.75" customHeight="1">
      <c r="CD526" s="39"/>
    </row>
    <row r="527" ht="12.75" customHeight="1">
      <c r="CD527" s="39"/>
    </row>
    <row r="528" ht="12.75" customHeight="1">
      <c r="CD528" s="39"/>
    </row>
    <row r="529" ht="12.75" customHeight="1">
      <c r="CD529" s="39"/>
    </row>
    <row r="530" ht="12.75" customHeight="1">
      <c r="CD530" s="39"/>
    </row>
    <row r="531" ht="12.75" customHeight="1">
      <c r="CD531" s="39"/>
    </row>
    <row r="532" ht="12.75" customHeight="1">
      <c r="CD532" s="39"/>
    </row>
    <row r="533" ht="12.75" customHeight="1">
      <c r="CD533" s="39"/>
    </row>
    <row r="534" ht="12.75" customHeight="1">
      <c r="CD534" s="39"/>
    </row>
    <row r="535" ht="12.75" customHeight="1">
      <c r="CD535" s="39"/>
    </row>
    <row r="536" ht="12.75" customHeight="1">
      <c r="CD536" s="39"/>
    </row>
    <row r="537" ht="12.75" customHeight="1">
      <c r="CD537" s="39"/>
    </row>
    <row r="538" ht="12.75" customHeight="1">
      <c r="CD538" s="39"/>
    </row>
    <row r="539" ht="12.75" customHeight="1">
      <c r="CD539" s="39"/>
    </row>
    <row r="540" ht="12.75" customHeight="1">
      <c r="CD540" s="39"/>
    </row>
    <row r="541" ht="12.75" customHeight="1">
      <c r="CD541" s="39"/>
    </row>
    <row r="542" ht="12.75" customHeight="1">
      <c r="CD542" s="39"/>
    </row>
    <row r="543" ht="12.75" customHeight="1">
      <c r="CD543" s="39"/>
    </row>
    <row r="544" ht="12.75" customHeight="1">
      <c r="CD544" s="39"/>
    </row>
    <row r="545" ht="12.75" customHeight="1">
      <c r="CD545" s="39"/>
    </row>
    <row r="546" ht="12.75" customHeight="1">
      <c r="CD546" s="39"/>
    </row>
    <row r="547" ht="12.75" customHeight="1">
      <c r="CD547" s="39"/>
    </row>
    <row r="548" ht="12.75" customHeight="1">
      <c r="CD548" s="39"/>
    </row>
    <row r="549" ht="12.75" customHeight="1">
      <c r="CD549" s="39"/>
    </row>
    <row r="550" ht="12.75" customHeight="1">
      <c r="CD550" s="39"/>
    </row>
    <row r="551" ht="12.75" customHeight="1">
      <c r="CD551" s="39"/>
    </row>
    <row r="552" ht="12.75" customHeight="1">
      <c r="CD552" s="39"/>
    </row>
    <row r="553" ht="12.75" customHeight="1">
      <c r="CD553" s="39"/>
    </row>
    <row r="554" ht="12.75" customHeight="1">
      <c r="CD554" s="39"/>
    </row>
    <row r="555" ht="12.75" customHeight="1">
      <c r="CD555" s="39"/>
    </row>
    <row r="556" ht="12.75" customHeight="1">
      <c r="CD556" s="39"/>
    </row>
    <row r="557" ht="12.75" customHeight="1">
      <c r="CD557" s="39"/>
    </row>
    <row r="558" ht="12.75" customHeight="1">
      <c r="CD558" s="39"/>
    </row>
    <row r="559" ht="12.75" customHeight="1">
      <c r="CD559" s="39"/>
    </row>
    <row r="560" ht="12.75" customHeight="1">
      <c r="CD560" s="39"/>
    </row>
    <row r="561" ht="12.75" customHeight="1">
      <c r="CD561" s="39"/>
    </row>
    <row r="562" ht="12.75" customHeight="1">
      <c r="CD562" s="39"/>
    </row>
    <row r="563" ht="12.75" customHeight="1">
      <c r="CD563" s="39"/>
    </row>
    <row r="564" ht="12.75" customHeight="1">
      <c r="CD564" s="39"/>
    </row>
    <row r="565" ht="12.75" customHeight="1">
      <c r="CD565" s="39"/>
    </row>
    <row r="566" ht="12.75" customHeight="1">
      <c r="CD566" s="39"/>
    </row>
    <row r="567" ht="12.75" customHeight="1">
      <c r="CD567" s="39"/>
    </row>
    <row r="568" ht="12.75" customHeight="1">
      <c r="CD568" s="39"/>
    </row>
    <row r="569" ht="12.75" customHeight="1">
      <c r="CD569" s="39"/>
    </row>
    <row r="570" ht="12.75" customHeight="1">
      <c r="CD570" s="39"/>
    </row>
    <row r="571" ht="12.75" customHeight="1">
      <c r="CD571" s="39"/>
    </row>
    <row r="572" ht="12.75" customHeight="1">
      <c r="CD572" s="39"/>
    </row>
    <row r="573" ht="12.75" customHeight="1">
      <c r="CD573" s="39"/>
    </row>
    <row r="574" ht="12.75" customHeight="1">
      <c r="CD574" s="39"/>
    </row>
    <row r="575" ht="12.75" customHeight="1">
      <c r="CD575" s="39"/>
    </row>
    <row r="576" ht="12.75" customHeight="1">
      <c r="CD576" s="39"/>
    </row>
    <row r="577" ht="12.75" customHeight="1">
      <c r="CD577" s="39"/>
    </row>
    <row r="578" ht="12.75" customHeight="1">
      <c r="CD578" s="39"/>
    </row>
    <row r="579" ht="12.75" customHeight="1">
      <c r="CD579" s="39"/>
    </row>
    <row r="580" ht="12.75" customHeight="1">
      <c r="CD580" s="39"/>
    </row>
    <row r="581" ht="12.75" customHeight="1">
      <c r="CD581" s="39"/>
    </row>
    <row r="582" ht="12.75" customHeight="1">
      <c r="CD582" s="39"/>
    </row>
    <row r="583" ht="12.75" customHeight="1">
      <c r="CD583" s="39"/>
    </row>
    <row r="584" ht="12.75" customHeight="1">
      <c r="CD584" s="39"/>
    </row>
    <row r="585" ht="12.75" customHeight="1">
      <c r="CD585" s="39"/>
    </row>
    <row r="586" ht="12.75" customHeight="1">
      <c r="CD586" s="39"/>
    </row>
    <row r="587" ht="12.75" customHeight="1">
      <c r="CD587" s="39"/>
    </row>
    <row r="588" ht="12.75" customHeight="1">
      <c r="CD588" s="39"/>
    </row>
    <row r="589" ht="12.75" customHeight="1">
      <c r="CD589" s="39"/>
    </row>
    <row r="590" ht="12.75" customHeight="1">
      <c r="CD590" s="39"/>
    </row>
    <row r="591" ht="12.75" customHeight="1">
      <c r="CD591" s="39"/>
    </row>
    <row r="592" ht="12.75" customHeight="1">
      <c r="CD592" s="39"/>
    </row>
    <row r="593" ht="12.75" customHeight="1">
      <c r="CD593" s="39"/>
    </row>
    <row r="594" ht="12.75" customHeight="1">
      <c r="CD594" s="39"/>
    </row>
    <row r="595" ht="12.75" customHeight="1">
      <c r="CD595" s="39"/>
    </row>
    <row r="596" ht="12.75" customHeight="1">
      <c r="CD596" s="39"/>
    </row>
    <row r="597" ht="12.75" customHeight="1">
      <c r="CD597" s="39"/>
    </row>
    <row r="598" ht="12.75" customHeight="1">
      <c r="CD598" s="39"/>
    </row>
    <row r="599" ht="12.75" customHeight="1">
      <c r="CD599" s="39"/>
    </row>
    <row r="600" ht="12.75" customHeight="1">
      <c r="CD600" s="39"/>
    </row>
    <row r="601" ht="12.75" customHeight="1">
      <c r="CD601" s="39"/>
    </row>
    <row r="602" ht="12.75" customHeight="1">
      <c r="CD602" s="39"/>
    </row>
    <row r="603" ht="12.75" customHeight="1">
      <c r="CD603" s="39"/>
    </row>
    <row r="604" ht="12.75" customHeight="1">
      <c r="CD604" s="39"/>
    </row>
    <row r="605" ht="12.75" customHeight="1">
      <c r="CD605" s="39"/>
    </row>
    <row r="606" ht="12.75" customHeight="1">
      <c r="CD606" s="39"/>
    </row>
    <row r="607" ht="12.75" customHeight="1">
      <c r="CD607" s="39"/>
    </row>
    <row r="608" ht="12.75" customHeight="1">
      <c r="CD608" s="39"/>
    </row>
    <row r="609" ht="12.75" customHeight="1">
      <c r="CD609" s="39"/>
    </row>
    <row r="610" ht="12.75" customHeight="1">
      <c r="CD610" s="39"/>
    </row>
    <row r="611" ht="12.75" customHeight="1">
      <c r="CD611" s="39"/>
    </row>
    <row r="612" ht="12.75" customHeight="1">
      <c r="CD612" s="39"/>
    </row>
    <row r="613" ht="12.75" customHeight="1">
      <c r="CD613" s="39"/>
    </row>
    <row r="614" ht="12.75" customHeight="1">
      <c r="CD614" s="39"/>
    </row>
    <row r="615" ht="12.75" customHeight="1">
      <c r="CD615" s="39"/>
    </row>
    <row r="616" ht="12.75" customHeight="1">
      <c r="CD616" s="39"/>
    </row>
    <row r="617" ht="12.75" customHeight="1">
      <c r="CD617" s="39"/>
    </row>
    <row r="618" ht="12.75" customHeight="1">
      <c r="CD618" s="39"/>
    </row>
    <row r="619" ht="12.75" customHeight="1">
      <c r="CD619" s="39"/>
    </row>
    <row r="620" ht="12.75" customHeight="1">
      <c r="CD620" s="39"/>
    </row>
    <row r="621" ht="12.75" customHeight="1">
      <c r="CD621" s="39"/>
    </row>
    <row r="622" ht="12.75" customHeight="1">
      <c r="CD622" s="39"/>
    </row>
    <row r="623" ht="12.75" customHeight="1">
      <c r="CD623" s="39"/>
    </row>
    <row r="624" ht="12.75" customHeight="1">
      <c r="CD624" s="39"/>
    </row>
    <row r="625" ht="12.75" customHeight="1">
      <c r="CD625" s="39"/>
    </row>
    <row r="626" ht="12.75" customHeight="1">
      <c r="CD626" s="39"/>
    </row>
    <row r="627" ht="12.75" customHeight="1">
      <c r="CD627" s="39"/>
    </row>
    <row r="628" ht="12.75" customHeight="1">
      <c r="CD628" s="39"/>
    </row>
    <row r="629" ht="12.75" customHeight="1">
      <c r="CD629" s="39"/>
    </row>
    <row r="630" ht="12.75" customHeight="1">
      <c r="CD630" s="39"/>
    </row>
    <row r="631" ht="12.75" customHeight="1">
      <c r="CD631" s="39"/>
    </row>
    <row r="632" ht="12.75" customHeight="1">
      <c r="CD632" s="39"/>
    </row>
    <row r="633" ht="12.75" customHeight="1">
      <c r="CD633" s="39"/>
    </row>
    <row r="634" ht="12.75" customHeight="1">
      <c r="CD634" s="39"/>
    </row>
    <row r="635" ht="12.75" customHeight="1">
      <c r="CD635" s="39"/>
    </row>
    <row r="636" ht="12.75" customHeight="1">
      <c r="CD636" s="39"/>
    </row>
    <row r="637" ht="12.75" customHeight="1">
      <c r="CD637" s="39"/>
    </row>
    <row r="638" ht="12.75" customHeight="1">
      <c r="CD638" s="39"/>
    </row>
    <row r="639" ht="12.75" customHeight="1">
      <c r="CD639" s="39"/>
    </row>
    <row r="640" ht="12.75" customHeight="1">
      <c r="CD640" s="39"/>
    </row>
    <row r="641" ht="12.75" customHeight="1">
      <c r="CD641" s="39"/>
    </row>
    <row r="642" ht="12.75" customHeight="1">
      <c r="CD642" s="39"/>
    </row>
    <row r="643" ht="12.75" customHeight="1">
      <c r="CD643" s="39"/>
    </row>
    <row r="644" ht="12.75" customHeight="1">
      <c r="CD644" s="39"/>
    </row>
    <row r="645" ht="12.75" customHeight="1">
      <c r="CD645" s="39"/>
    </row>
    <row r="646" ht="12.75" customHeight="1">
      <c r="CD646" s="39"/>
    </row>
    <row r="647" ht="12.75" customHeight="1">
      <c r="CD647" s="39"/>
    </row>
    <row r="648" ht="12.75" customHeight="1">
      <c r="CD648" s="39"/>
    </row>
    <row r="649" ht="12.75" customHeight="1">
      <c r="CD649" s="39"/>
    </row>
    <row r="650" ht="12.75" customHeight="1">
      <c r="CD650" s="39"/>
    </row>
    <row r="651" ht="12.75" customHeight="1">
      <c r="CD651" s="39"/>
    </row>
    <row r="652" ht="12.75" customHeight="1">
      <c r="CD652" s="39"/>
    </row>
    <row r="653" ht="12.75" customHeight="1">
      <c r="CD653" s="39"/>
    </row>
    <row r="654" ht="12.75" customHeight="1">
      <c r="CD654" s="39"/>
    </row>
    <row r="655" ht="12.75" customHeight="1">
      <c r="CD655" s="39"/>
    </row>
    <row r="656" ht="12.75" customHeight="1">
      <c r="CD656" s="39"/>
    </row>
    <row r="657" ht="12.75" customHeight="1">
      <c r="CD657" s="39"/>
    </row>
    <row r="658" ht="12.75" customHeight="1">
      <c r="CD658" s="39"/>
    </row>
    <row r="659" ht="12.75" customHeight="1">
      <c r="CD659" s="39"/>
    </row>
    <row r="660" ht="12.75" customHeight="1">
      <c r="CD660" s="39"/>
    </row>
    <row r="661" ht="12.75" customHeight="1">
      <c r="CD661" s="39"/>
    </row>
    <row r="662" ht="12.75" customHeight="1">
      <c r="CD662" s="39"/>
    </row>
    <row r="663" ht="12.75" customHeight="1">
      <c r="CD663" s="39"/>
    </row>
    <row r="664" ht="12.75" customHeight="1">
      <c r="CD664" s="39"/>
    </row>
    <row r="665" ht="12.75" customHeight="1">
      <c r="CD665" s="39"/>
    </row>
    <row r="666" ht="12.75" customHeight="1">
      <c r="CD666" s="39"/>
    </row>
    <row r="667" ht="12.75" customHeight="1">
      <c r="CD667" s="39"/>
    </row>
    <row r="668" ht="12.75" customHeight="1">
      <c r="CD668" s="39"/>
    </row>
    <row r="669" ht="12.75" customHeight="1">
      <c r="CD669" s="39"/>
    </row>
    <row r="670" ht="12.75" customHeight="1">
      <c r="CD670" s="39"/>
    </row>
    <row r="671" ht="12.75" customHeight="1">
      <c r="CD671" s="39"/>
    </row>
    <row r="672" ht="12.75" customHeight="1">
      <c r="CD672" s="39"/>
    </row>
    <row r="673" ht="12.75" customHeight="1">
      <c r="CD673" s="39"/>
    </row>
    <row r="674" ht="12.75" customHeight="1">
      <c r="CD674" s="39"/>
    </row>
    <row r="675" ht="12.75" customHeight="1">
      <c r="CD675" s="39"/>
    </row>
    <row r="676" ht="12.75" customHeight="1">
      <c r="CD676" s="39"/>
    </row>
    <row r="677" ht="12.75" customHeight="1">
      <c r="CD677" s="39"/>
    </row>
    <row r="678" ht="12.75" customHeight="1">
      <c r="CD678" s="39"/>
    </row>
    <row r="679" ht="12.75" customHeight="1">
      <c r="CD679" s="39"/>
    </row>
    <row r="680" ht="12.75" customHeight="1">
      <c r="CD680" s="39"/>
    </row>
    <row r="681" ht="12.75" customHeight="1">
      <c r="CD681" s="39"/>
    </row>
    <row r="682" ht="12.75" customHeight="1">
      <c r="CD682" s="39"/>
    </row>
    <row r="683" ht="12.75" customHeight="1">
      <c r="CD683" s="39"/>
    </row>
    <row r="684" ht="12.75" customHeight="1">
      <c r="CD684" s="39"/>
    </row>
    <row r="685" ht="12.75" customHeight="1">
      <c r="CD685" s="39"/>
    </row>
    <row r="686" ht="12.75" customHeight="1">
      <c r="CD686" s="39"/>
    </row>
    <row r="687" ht="12.75" customHeight="1">
      <c r="CD687" s="39"/>
    </row>
    <row r="688" ht="12.75" customHeight="1">
      <c r="CD688" s="39"/>
    </row>
    <row r="689" ht="12.75" customHeight="1">
      <c r="CD689" s="39"/>
    </row>
    <row r="690" ht="12.75" customHeight="1">
      <c r="CD690" s="39"/>
    </row>
    <row r="691" ht="12.75" customHeight="1">
      <c r="CD691" s="39"/>
    </row>
    <row r="692" ht="12.75" customHeight="1">
      <c r="CD692" s="39"/>
    </row>
    <row r="693" ht="12.75" customHeight="1">
      <c r="CD693" s="39"/>
    </row>
    <row r="694" ht="12.75" customHeight="1">
      <c r="CD694" s="39"/>
    </row>
    <row r="695" ht="12.75" customHeight="1">
      <c r="CD695" s="39"/>
    </row>
    <row r="696" ht="12.75" customHeight="1">
      <c r="CD696" s="39"/>
    </row>
    <row r="697" ht="12.75" customHeight="1">
      <c r="CD697" s="39"/>
    </row>
    <row r="698" ht="12.75" customHeight="1">
      <c r="CD698" s="39"/>
    </row>
    <row r="699" ht="12.75" customHeight="1">
      <c r="CD699" s="39"/>
    </row>
    <row r="700" ht="12.75" customHeight="1">
      <c r="CD700" s="39"/>
    </row>
    <row r="701" ht="12.75" customHeight="1">
      <c r="CD701" s="39"/>
    </row>
    <row r="702" ht="12.75" customHeight="1">
      <c r="CD702" s="39"/>
    </row>
    <row r="703" ht="12.75" customHeight="1">
      <c r="CD703" s="39"/>
    </row>
    <row r="704" ht="12.75" customHeight="1">
      <c r="CD704" s="39"/>
    </row>
    <row r="705" ht="12.75" customHeight="1">
      <c r="CD705" s="39"/>
    </row>
    <row r="706" ht="12.75" customHeight="1">
      <c r="CD706" s="39"/>
    </row>
    <row r="707" ht="12.75" customHeight="1">
      <c r="CD707" s="39"/>
    </row>
    <row r="708" ht="12.75" customHeight="1">
      <c r="CD708" s="39"/>
    </row>
    <row r="709" ht="12.75" customHeight="1">
      <c r="CD709" s="39"/>
    </row>
    <row r="710" ht="12.75" customHeight="1">
      <c r="CD710" s="39"/>
    </row>
    <row r="711" ht="12.75" customHeight="1">
      <c r="CD711" s="39"/>
    </row>
    <row r="712" ht="12.75" customHeight="1">
      <c r="CD712" s="39"/>
    </row>
    <row r="713" ht="12.75" customHeight="1">
      <c r="CD713" s="39"/>
    </row>
    <row r="714" ht="12.75" customHeight="1">
      <c r="CD714" s="39"/>
    </row>
    <row r="715" ht="12.75" customHeight="1">
      <c r="CD715" s="39"/>
    </row>
    <row r="716" ht="12.75" customHeight="1">
      <c r="CD716" s="39"/>
    </row>
    <row r="717" ht="12.75" customHeight="1">
      <c r="CD717" s="39"/>
    </row>
    <row r="718" ht="12.75" customHeight="1">
      <c r="CD718" s="39"/>
    </row>
    <row r="719" ht="12.75" customHeight="1">
      <c r="CD719" s="39"/>
    </row>
    <row r="720" ht="12.75" customHeight="1">
      <c r="CD720" s="39"/>
    </row>
    <row r="721" ht="12.75" customHeight="1">
      <c r="CD721" s="39"/>
    </row>
    <row r="722" ht="12.75" customHeight="1">
      <c r="CD722" s="39"/>
    </row>
    <row r="723" ht="12.75" customHeight="1">
      <c r="CD723" s="39"/>
    </row>
    <row r="724" ht="12.75" customHeight="1">
      <c r="CD724" s="39"/>
    </row>
    <row r="725" ht="12.75" customHeight="1">
      <c r="CD725" s="39"/>
    </row>
    <row r="726" ht="12.75" customHeight="1">
      <c r="CD726" s="39"/>
    </row>
    <row r="727" ht="12.75" customHeight="1">
      <c r="CD727" s="39"/>
    </row>
    <row r="728" ht="12.75" customHeight="1">
      <c r="CD728" s="39"/>
    </row>
    <row r="729" ht="12.75" customHeight="1">
      <c r="CD729" s="39"/>
    </row>
    <row r="730" ht="12.75" customHeight="1">
      <c r="CD730" s="39"/>
    </row>
    <row r="731" ht="12.75" customHeight="1">
      <c r="CD731" s="39"/>
    </row>
    <row r="732" ht="12.75" customHeight="1">
      <c r="CD732" s="39"/>
    </row>
    <row r="733" ht="12.75" customHeight="1">
      <c r="CD733" s="39"/>
    </row>
    <row r="734" ht="12.75" customHeight="1">
      <c r="CD734" s="39"/>
    </row>
    <row r="735" ht="12.75" customHeight="1">
      <c r="CD735" s="39"/>
    </row>
    <row r="736" ht="12.75" customHeight="1">
      <c r="CD736" s="39"/>
    </row>
    <row r="737" ht="12.75" customHeight="1">
      <c r="CD737" s="39"/>
    </row>
    <row r="738" ht="12.75" customHeight="1">
      <c r="CD738" s="39"/>
    </row>
    <row r="739" ht="12.75" customHeight="1">
      <c r="CD739" s="39"/>
    </row>
    <row r="740" ht="12.75" customHeight="1">
      <c r="CD740" s="39"/>
    </row>
    <row r="741" ht="12.75" customHeight="1">
      <c r="CD741" s="39"/>
    </row>
    <row r="742" ht="12.75" customHeight="1">
      <c r="CD742" s="39"/>
    </row>
    <row r="743" ht="12.75" customHeight="1">
      <c r="CD743" s="39"/>
    </row>
    <row r="744" ht="12.75" customHeight="1">
      <c r="CD744" s="39"/>
    </row>
    <row r="745" ht="12.75" customHeight="1">
      <c r="CD745" s="39"/>
    </row>
    <row r="746" ht="12.75" customHeight="1">
      <c r="CD746" s="39"/>
    </row>
    <row r="747" ht="12.75" customHeight="1">
      <c r="CD747" s="39"/>
    </row>
    <row r="748" ht="12.75" customHeight="1">
      <c r="CD748" s="39"/>
    </row>
    <row r="749" ht="12.75" customHeight="1">
      <c r="CD749" s="39"/>
    </row>
    <row r="750" ht="12.75" customHeight="1">
      <c r="CD750" s="39"/>
    </row>
    <row r="751" ht="12.75" customHeight="1">
      <c r="CD751" s="39"/>
    </row>
    <row r="752" ht="12.75" customHeight="1">
      <c r="CD752" s="39"/>
    </row>
    <row r="753" ht="12.75" customHeight="1">
      <c r="CD753" s="39"/>
    </row>
    <row r="754" ht="12.75" customHeight="1">
      <c r="CD754" s="39"/>
    </row>
    <row r="755" ht="12.75" customHeight="1">
      <c r="CD755" s="39"/>
    </row>
    <row r="756" ht="12.75" customHeight="1">
      <c r="CD756" s="39"/>
    </row>
    <row r="757" ht="12.75" customHeight="1">
      <c r="CD757" s="39"/>
    </row>
    <row r="758" ht="12.75" customHeight="1">
      <c r="CD758" s="39"/>
    </row>
    <row r="759" ht="12.75" customHeight="1">
      <c r="CD759" s="39"/>
    </row>
    <row r="760" ht="12.75" customHeight="1">
      <c r="CD760" s="39"/>
    </row>
    <row r="761" ht="12.75" customHeight="1">
      <c r="CD761" s="39"/>
    </row>
    <row r="762" ht="12.75" customHeight="1">
      <c r="CD762" s="39"/>
    </row>
    <row r="763" ht="12.75" customHeight="1">
      <c r="CD763" s="39"/>
    </row>
    <row r="764" ht="12.75" customHeight="1">
      <c r="CD764" s="39"/>
    </row>
    <row r="765" ht="12.75" customHeight="1">
      <c r="CD765" s="39"/>
    </row>
    <row r="766" ht="12.75" customHeight="1">
      <c r="CD766" s="39"/>
    </row>
    <row r="767" ht="12.75" customHeight="1">
      <c r="CD767" s="39"/>
    </row>
    <row r="768" ht="12.75" customHeight="1">
      <c r="CD768" s="39"/>
    </row>
    <row r="769" ht="12.75" customHeight="1">
      <c r="CD769" s="39"/>
    </row>
    <row r="770" ht="12.75" customHeight="1">
      <c r="CD770" s="39"/>
    </row>
    <row r="771" ht="12.75" customHeight="1">
      <c r="CD771" s="39"/>
    </row>
    <row r="772" ht="12.75" customHeight="1">
      <c r="CD772" s="39"/>
    </row>
    <row r="773" ht="12.75" customHeight="1">
      <c r="CD773" s="39"/>
    </row>
    <row r="774" ht="12.75" customHeight="1">
      <c r="CD774" s="39"/>
    </row>
    <row r="775" ht="12.75" customHeight="1">
      <c r="CD775" s="39"/>
    </row>
    <row r="776" ht="12.75" customHeight="1">
      <c r="CD776" s="39"/>
    </row>
    <row r="777" ht="12.75" customHeight="1">
      <c r="CD777" s="39"/>
    </row>
    <row r="778" ht="12.75" customHeight="1">
      <c r="CD778" s="39"/>
    </row>
    <row r="779" ht="12.75" customHeight="1">
      <c r="CD779" s="39"/>
    </row>
    <row r="780" ht="12.75" customHeight="1">
      <c r="CD780" s="39"/>
    </row>
    <row r="781" ht="12.75" customHeight="1">
      <c r="CD781" s="39"/>
    </row>
    <row r="782" ht="12.75" customHeight="1">
      <c r="CD782" s="39"/>
    </row>
    <row r="783" ht="12.75" customHeight="1">
      <c r="CD783" s="39"/>
    </row>
    <row r="784" ht="12.75" customHeight="1">
      <c r="CD784" s="39"/>
    </row>
    <row r="785" ht="12.75" customHeight="1">
      <c r="CD785" s="39"/>
    </row>
    <row r="786" ht="12.75" customHeight="1">
      <c r="CD786" s="39"/>
    </row>
    <row r="787" ht="12.75" customHeight="1">
      <c r="CD787" s="39"/>
    </row>
    <row r="788" ht="12.75" customHeight="1">
      <c r="CD788" s="39"/>
    </row>
    <row r="789" ht="12.75" customHeight="1">
      <c r="CD789" s="39"/>
    </row>
    <row r="790" ht="12.75" customHeight="1">
      <c r="CD790" s="39"/>
    </row>
    <row r="791" ht="12.75" customHeight="1">
      <c r="CD791" s="39"/>
    </row>
    <row r="792" ht="12.75" customHeight="1">
      <c r="CD792" s="39"/>
    </row>
    <row r="793" ht="12.75" customHeight="1">
      <c r="CD793" s="39"/>
    </row>
    <row r="794" ht="12.75" customHeight="1">
      <c r="CD794" s="39"/>
    </row>
    <row r="795" ht="12.75" customHeight="1">
      <c r="CD795" s="39"/>
    </row>
    <row r="796" ht="12.75" customHeight="1">
      <c r="CD796" s="39"/>
    </row>
    <row r="797" ht="12.75" customHeight="1">
      <c r="CD797" s="39"/>
    </row>
    <row r="798" ht="12.75" customHeight="1">
      <c r="CD798" s="39"/>
    </row>
    <row r="799" ht="12.75" customHeight="1">
      <c r="CD799" s="39"/>
    </row>
    <row r="800" ht="12.75" customHeight="1">
      <c r="CD800" s="39"/>
    </row>
    <row r="801" ht="12.75" customHeight="1">
      <c r="CD801" s="39"/>
    </row>
    <row r="802" ht="12.75" customHeight="1">
      <c r="CD802" s="39"/>
    </row>
    <row r="803" ht="12.75" customHeight="1">
      <c r="CD803" s="39"/>
    </row>
    <row r="804" ht="12.75" customHeight="1">
      <c r="CD804" s="39"/>
    </row>
    <row r="805" ht="12.75" customHeight="1">
      <c r="CD805" s="39"/>
    </row>
    <row r="806" ht="12.75" customHeight="1">
      <c r="CD806" s="39"/>
    </row>
    <row r="807" ht="12.75" customHeight="1">
      <c r="CD807" s="39"/>
    </row>
    <row r="808" ht="12.75" customHeight="1">
      <c r="CD808" s="39"/>
    </row>
    <row r="809" ht="12.75" customHeight="1">
      <c r="CD809" s="39"/>
    </row>
    <row r="810" ht="12.75" customHeight="1">
      <c r="CD810" s="39"/>
    </row>
    <row r="811" ht="12.75" customHeight="1">
      <c r="CD811" s="39"/>
    </row>
    <row r="812" ht="12.75" customHeight="1">
      <c r="CD812" s="39"/>
    </row>
    <row r="813" ht="12.75" customHeight="1">
      <c r="CD813" s="39"/>
    </row>
    <row r="814" ht="12.75" customHeight="1">
      <c r="CD814" s="39"/>
    </row>
    <row r="815" ht="12.75" customHeight="1">
      <c r="CD815" s="39"/>
    </row>
    <row r="816" ht="12.75" customHeight="1">
      <c r="CD816" s="39"/>
    </row>
    <row r="817" ht="12.75" customHeight="1">
      <c r="CD817" s="39"/>
    </row>
    <row r="818" ht="12.75" customHeight="1">
      <c r="CD818" s="39"/>
    </row>
    <row r="819" ht="12.75" customHeight="1">
      <c r="CD819" s="39"/>
    </row>
    <row r="820" ht="12.75" customHeight="1">
      <c r="CD820" s="39"/>
    </row>
    <row r="821" ht="12.75" customHeight="1">
      <c r="CD821" s="39"/>
    </row>
    <row r="822" ht="12.75" customHeight="1">
      <c r="CD822" s="39"/>
    </row>
    <row r="823" ht="12.75" customHeight="1">
      <c r="CD823" s="39"/>
    </row>
    <row r="824" ht="12.75" customHeight="1">
      <c r="CD824" s="39"/>
    </row>
    <row r="825" ht="12.75" customHeight="1">
      <c r="CD825" s="39"/>
    </row>
    <row r="826" ht="12.75" customHeight="1">
      <c r="CD826" s="39"/>
    </row>
    <row r="827" ht="12.75" customHeight="1">
      <c r="CD827" s="39"/>
    </row>
    <row r="828" ht="12.75" customHeight="1">
      <c r="CD828" s="39"/>
    </row>
    <row r="829" ht="12.75" customHeight="1">
      <c r="CD829" s="39"/>
    </row>
    <row r="830" ht="12.75" customHeight="1">
      <c r="CD830" s="39"/>
    </row>
    <row r="831" ht="12.75" customHeight="1">
      <c r="CD831" s="39"/>
    </row>
    <row r="832" ht="12.75" customHeight="1">
      <c r="CD832" s="39"/>
    </row>
    <row r="833" ht="12.75" customHeight="1">
      <c r="CD833" s="39"/>
    </row>
    <row r="834" ht="12.75" customHeight="1">
      <c r="CD834" s="39"/>
    </row>
    <row r="835" ht="12.75" customHeight="1">
      <c r="CD835" s="39"/>
    </row>
    <row r="836" ht="12.75" customHeight="1">
      <c r="CD836" s="39"/>
    </row>
    <row r="837" ht="12.75" customHeight="1">
      <c r="CD837" s="39"/>
    </row>
    <row r="838" ht="12.75" customHeight="1">
      <c r="CD838" s="39"/>
    </row>
    <row r="839" ht="12.75" customHeight="1">
      <c r="CD839" s="39"/>
    </row>
    <row r="840" ht="12.75" customHeight="1">
      <c r="CD840" s="39"/>
    </row>
    <row r="841" ht="12.75" customHeight="1">
      <c r="CD841" s="39"/>
    </row>
    <row r="842" ht="12.75" customHeight="1">
      <c r="CD842" s="39"/>
    </row>
    <row r="843" ht="12.75" customHeight="1">
      <c r="CD843" s="39"/>
    </row>
    <row r="844" ht="12.75" customHeight="1">
      <c r="CD844" s="39"/>
    </row>
    <row r="845" ht="12.75" customHeight="1">
      <c r="CD845" s="39"/>
    </row>
    <row r="846" ht="12.75" customHeight="1">
      <c r="CD846" s="39"/>
    </row>
    <row r="847" ht="12.75" customHeight="1">
      <c r="CD847" s="39"/>
    </row>
    <row r="848" ht="12.75" customHeight="1">
      <c r="CD848" s="39"/>
    </row>
    <row r="849" ht="12.75" customHeight="1">
      <c r="CD849" s="39"/>
    </row>
    <row r="850" ht="12.75" customHeight="1">
      <c r="CD850" s="39"/>
    </row>
    <row r="851" ht="12.75" customHeight="1">
      <c r="CD851" s="39"/>
    </row>
    <row r="852" ht="12.75" customHeight="1">
      <c r="CD852" s="39"/>
    </row>
    <row r="853" ht="12.75" customHeight="1">
      <c r="CD853" s="39"/>
    </row>
    <row r="854" ht="12.75" customHeight="1">
      <c r="CD854" s="39"/>
    </row>
    <row r="855" ht="12.75" customHeight="1">
      <c r="CD855" s="39"/>
    </row>
    <row r="856" ht="12.75" customHeight="1">
      <c r="CD856" s="39"/>
    </row>
    <row r="857" ht="12.75" customHeight="1">
      <c r="CD857" s="39"/>
    </row>
    <row r="858" ht="12.75" customHeight="1">
      <c r="CD858" s="39"/>
    </row>
    <row r="859" ht="12.75" customHeight="1">
      <c r="CD859" s="39"/>
    </row>
    <row r="860" ht="12.75" customHeight="1">
      <c r="CD860" s="39"/>
    </row>
    <row r="861" ht="12.75" customHeight="1">
      <c r="CD861" s="39"/>
    </row>
    <row r="862" ht="12.75" customHeight="1">
      <c r="CD862" s="39"/>
    </row>
    <row r="863" ht="12.75" customHeight="1">
      <c r="CD863" s="39"/>
    </row>
    <row r="864" ht="12.75" customHeight="1">
      <c r="CD864" s="39"/>
    </row>
    <row r="865" ht="12.75" customHeight="1">
      <c r="CD865" s="39"/>
    </row>
    <row r="866" ht="12.75" customHeight="1">
      <c r="CD866" s="39"/>
    </row>
    <row r="867" ht="12.75" customHeight="1">
      <c r="CD867" s="39"/>
    </row>
    <row r="868" ht="12.75" customHeight="1">
      <c r="CD868" s="39"/>
    </row>
    <row r="869" ht="12.75" customHeight="1">
      <c r="CD869" s="39"/>
    </row>
    <row r="870" ht="12.75" customHeight="1">
      <c r="CD870" s="39"/>
    </row>
    <row r="871" ht="12.75" customHeight="1">
      <c r="CD871" s="39"/>
    </row>
    <row r="872" ht="12.75" customHeight="1">
      <c r="CD872" s="39"/>
    </row>
    <row r="873" ht="12.75" customHeight="1">
      <c r="CD873" s="39"/>
    </row>
    <row r="874" ht="12.75" customHeight="1">
      <c r="CD874" s="39"/>
    </row>
    <row r="875" ht="12.75" customHeight="1">
      <c r="CD875" s="39"/>
    </row>
    <row r="876" ht="12.75" customHeight="1">
      <c r="CD876" s="39"/>
    </row>
    <row r="877" ht="12.75" customHeight="1">
      <c r="CD877" s="39"/>
    </row>
    <row r="878" ht="12.75" customHeight="1">
      <c r="CD878" s="39"/>
    </row>
    <row r="879" ht="12.75" customHeight="1">
      <c r="CD879" s="39"/>
    </row>
    <row r="880" ht="12.75" customHeight="1">
      <c r="CD880" s="39"/>
    </row>
    <row r="881" ht="12.75" customHeight="1">
      <c r="CD881" s="39"/>
    </row>
    <row r="882" ht="12.75" customHeight="1">
      <c r="CD882" s="39"/>
    </row>
    <row r="883" ht="12.75" customHeight="1">
      <c r="CD883" s="39"/>
    </row>
    <row r="884" ht="12.75" customHeight="1">
      <c r="CD884" s="39"/>
    </row>
    <row r="885" ht="12.75" customHeight="1">
      <c r="CD885" s="39"/>
    </row>
    <row r="886" ht="12.75" customHeight="1">
      <c r="CD886" s="39"/>
    </row>
    <row r="887" ht="12.75" customHeight="1">
      <c r="CD887" s="39"/>
    </row>
    <row r="888" ht="12.75" customHeight="1">
      <c r="CD888" s="39"/>
    </row>
    <row r="889" ht="12.75" customHeight="1">
      <c r="CD889" s="39"/>
    </row>
    <row r="890" ht="12.75" customHeight="1">
      <c r="CD890" s="39"/>
    </row>
    <row r="891" ht="12.75" customHeight="1">
      <c r="CD891" s="39"/>
    </row>
    <row r="892" ht="12.75" customHeight="1">
      <c r="CD892" s="39"/>
    </row>
    <row r="893" ht="12.75" customHeight="1">
      <c r="CD893" s="39"/>
    </row>
    <row r="894" ht="12.75" customHeight="1">
      <c r="CD894" s="39"/>
    </row>
    <row r="895" ht="12.75" customHeight="1">
      <c r="CD895" s="39"/>
    </row>
    <row r="896" ht="12.75" customHeight="1">
      <c r="CD896" s="39"/>
    </row>
    <row r="897" ht="12.75" customHeight="1">
      <c r="CD897" s="39"/>
    </row>
    <row r="898" ht="12.75" customHeight="1">
      <c r="CD898" s="39"/>
    </row>
    <row r="899" ht="12.75" customHeight="1">
      <c r="CD899" s="39"/>
    </row>
    <row r="900" ht="12.75" customHeight="1">
      <c r="CD900" s="39"/>
    </row>
    <row r="901" ht="12.75" customHeight="1">
      <c r="CD901" s="39"/>
    </row>
    <row r="902" ht="12.75" customHeight="1">
      <c r="CD902" s="39"/>
    </row>
    <row r="903" ht="12.75" customHeight="1">
      <c r="CD903" s="39"/>
    </row>
    <row r="904" ht="12.75" customHeight="1">
      <c r="CD904" s="39"/>
    </row>
    <row r="905" ht="12.75" customHeight="1">
      <c r="CD905" s="39"/>
    </row>
    <row r="906" ht="12.75" customHeight="1">
      <c r="CD906" s="39"/>
    </row>
    <row r="907" ht="12.75" customHeight="1">
      <c r="CD907" s="39"/>
    </row>
    <row r="908" ht="12.75" customHeight="1">
      <c r="CD908" s="39"/>
    </row>
    <row r="909" ht="12.75" customHeight="1">
      <c r="CD909" s="39"/>
    </row>
    <row r="910" ht="12.75" customHeight="1">
      <c r="CD910" s="39"/>
    </row>
    <row r="911" ht="12.75" customHeight="1">
      <c r="CD911" s="39"/>
    </row>
    <row r="912" ht="12.75" customHeight="1">
      <c r="CD912" s="39"/>
    </row>
    <row r="913" ht="12.75" customHeight="1">
      <c r="CD913" s="39"/>
    </row>
    <row r="914" ht="12.75" customHeight="1">
      <c r="CD914" s="39"/>
    </row>
    <row r="915" ht="12.75" customHeight="1">
      <c r="CD915" s="39"/>
    </row>
    <row r="916" ht="12.75" customHeight="1">
      <c r="CD916" s="39"/>
    </row>
    <row r="917" ht="12.75" customHeight="1">
      <c r="CD917" s="39"/>
    </row>
    <row r="918" ht="12.75" customHeight="1">
      <c r="CD918" s="39"/>
    </row>
    <row r="919" ht="12.75" customHeight="1">
      <c r="CD919" s="39"/>
    </row>
    <row r="920" ht="12.75" customHeight="1">
      <c r="CD920" s="39"/>
    </row>
    <row r="921" ht="12.75" customHeight="1">
      <c r="CD921" s="39"/>
    </row>
    <row r="922" ht="12.75" customHeight="1">
      <c r="CD922" s="39"/>
    </row>
    <row r="923" ht="12.75" customHeight="1">
      <c r="CD923" s="39"/>
    </row>
    <row r="924" ht="12.75" customHeight="1">
      <c r="CD924" s="39"/>
    </row>
    <row r="925" ht="12.75" customHeight="1">
      <c r="CD925" s="39"/>
    </row>
    <row r="926" ht="12.75" customHeight="1">
      <c r="CD926" s="39"/>
    </row>
    <row r="927" ht="12.75" customHeight="1">
      <c r="CD927" s="39"/>
    </row>
    <row r="928" ht="12.75" customHeight="1">
      <c r="CD928" s="39"/>
    </row>
    <row r="929" ht="12.75" customHeight="1">
      <c r="CD929" s="39"/>
    </row>
    <row r="930" ht="12.75" customHeight="1">
      <c r="CD930" s="39"/>
    </row>
    <row r="931" ht="12.75" customHeight="1">
      <c r="CD931" s="39"/>
    </row>
    <row r="932" ht="12.75" customHeight="1">
      <c r="CD932" s="39"/>
    </row>
    <row r="933" ht="12.75" customHeight="1">
      <c r="CD933" s="39"/>
    </row>
    <row r="934" ht="12.75" customHeight="1">
      <c r="CD934" s="39"/>
    </row>
    <row r="935" ht="12.75" customHeight="1">
      <c r="CD935" s="39"/>
    </row>
    <row r="936" ht="12.75" customHeight="1">
      <c r="CD936" s="39"/>
    </row>
    <row r="937" ht="12.75" customHeight="1">
      <c r="CD937" s="39"/>
    </row>
    <row r="938" ht="12.75" customHeight="1">
      <c r="CD938" s="39"/>
    </row>
    <row r="939" ht="12.75" customHeight="1">
      <c r="CD939" s="39"/>
    </row>
    <row r="940" ht="12.75" customHeight="1">
      <c r="CD940" s="39"/>
    </row>
    <row r="941" ht="12.75" customHeight="1">
      <c r="CD941" s="39"/>
    </row>
    <row r="942" ht="12.75" customHeight="1">
      <c r="CD942" s="39"/>
    </row>
    <row r="943" ht="12.75" customHeight="1">
      <c r="CD943" s="39"/>
    </row>
    <row r="944" ht="12.75" customHeight="1">
      <c r="CD944" s="39"/>
    </row>
    <row r="945" ht="12.75" customHeight="1">
      <c r="CD945" s="39"/>
    </row>
    <row r="946" ht="12.75" customHeight="1">
      <c r="CD946" s="39"/>
    </row>
    <row r="947" ht="12.75" customHeight="1">
      <c r="CD947" s="39"/>
    </row>
    <row r="948" ht="12.75" customHeight="1">
      <c r="CD948" s="39"/>
    </row>
    <row r="949" ht="12.75" customHeight="1">
      <c r="CD949" s="39"/>
    </row>
    <row r="950" ht="12.75" customHeight="1">
      <c r="CD950" s="39"/>
    </row>
    <row r="951" ht="12.75" customHeight="1">
      <c r="CD951" s="39"/>
    </row>
    <row r="952" ht="12.75" customHeight="1">
      <c r="CD952" s="39"/>
    </row>
    <row r="953" ht="12.75" customHeight="1">
      <c r="CD953" s="39"/>
    </row>
    <row r="954" ht="12.75" customHeight="1">
      <c r="CD954" s="39"/>
    </row>
    <row r="955" ht="12.75" customHeight="1">
      <c r="CD955" s="39"/>
    </row>
    <row r="956" ht="12.75" customHeight="1">
      <c r="CD956" s="39"/>
    </row>
    <row r="957" ht="12.75" customHeight="1">
      <c r="CD957" s="39"/>
    </row>
    <row r="958" ht="12.75" customHeight="1">
      <c r="CD958" s="39"/>
    </row>
    <row r="959" ht="12.75" customHeight="1">
      <c r="CD959" s="39"/>
    </row>
    <row r="960" ht="12.75" customHeight="1">
      <c r="CD960" s="39"/>
    </row>
    <row r="961" ht="12.75" customHeight="1">
      <c r="CD961" s="39"/>
    </row>
    <row r="962" ht="12.75" customHeight="1">
      <c r="CD962" s="39"/>
    </row>
    <row r="963" ht="12.75" customHeight="1">
      <c r="CD963" s="39"/>
    </row>
    <row r="964" ht="12.75" customHeight="1">
      <c r="CD964" s="39"/>
    </row>
    <row r="965" ht="12.75" customHeight="1">
      <c r="CD965" s="39"/>
    </row>
    <row r="966" ht="12.75" customHeight="1">
      <c r="CD966" s="39"/>
    </row>
    <row r="967" ht="12.75" customHeight="1">
      <c r="CD967" s="39"/>
    </row>
    <row r="968" ht="12.75" customHeight="1">
      <c r="CD968" s="39"/>
    </row>
    <row r="969" ht="12.75" customHeight="1">
      <c r="CD969" s="39"/>
    </row>
    <row r="970" ht="12.75" customHeight="1">
      <c r="CD970" s="39"/>
    </row>
    <row r="971" ht="12.75" customHeight="1">
      <c r="CD971" s="39"/>
    </row>
    <row r="972" ht="12.75" customHeight="1">
      <c r="CD972" s="39"/>
    </row>
    <row r="973" ht="12.75" customHeight="1">
      <c r="CD973" s="39"/>
    </row>
    <row r="974" ht="12.75" customHeight="1">
      <c r="CD974" s="39"/>
    </row>
    <row r="975" ht="12.75" customHeight="1">
      <c r="CD975" s="39"/>
    </row>
    <row r="976" ht="12.75" customHeight="1">
      <c r="CD976" s="39"/>
    </row>
    <row r="977" ht="12.75" customHeight="1">
      <c r="CD977" s="39"/>
    </row>
    <row r="978" ht="12.75" customHeight="1">
      <c r="CD978" s="39"/>
    </row>
    <row r="979" ht="12.75" customHeight="1">
      <c r="CD979" s="39"/>
    </row>
    <row r="980" ht="12.75" customHeight="1">
      <c r="CD980" s="39"/>
    </row>
    <row r="981" ht="12.75" customHeight="1">
      <c r="CD981" s="39"/>
    </row>
    <row r="982" ht="12.75" customHeight="1">
      <c r="CD982" s="39"/>
    </row>
    <row r="983" ht="12.75" customHeight="1">
      <c r="CD983" s="39"/>
    </row>
    <row r="984" ht="12.75" customHeight="1">
      <c r="CD984" s="39"/>
    </row>
    <row r="985" ht="12.75" customHeight="1">
      <c r="CD985" s="39"/>
    </row>
    <row r="986" ht="12.75" customHeight="1">
      <c r="CD986" s="39"/>
    </row>
    <row r="987" ht="12.75" customHeight="1">
      <c r="CD987" s="39"/>
    </row>
    <row r="988" ht="12.75" customHeight="1">
      <c r="CD988" s="39"/>
    </row>
    <row r="989" ht="12.75" customHeight="1">
      <c r="CD989" s="39"/>
    </row>
    <row r="990" ht="12.75" customHeight="1">
      <c r="CD990" s="39"/>
    </row>
    <row r="991" ht="12.75" customHeight="1">
      <c r="CD991" s="39"/>
    </row>
    <row r="992" ht="12.75" customHeight="1">
      <c r="CD992" s="39"/>
    </row>
    <row r="993" ht="12.75" customHeight="1">
      <c r="CD993" s="39"/>
    </row>
    <row r="994" ht="12.75" customHeight="1">
      <c r="CD994" s="39"/>
    </row>
    <row r="995" ht="12.75" customHeight="1">
      <c r="CD995" s="39"/>
    </row>
    <row r="996" ht="12.75" customHeight="1">
      <c r="CD996" s="39"/>
    </row>
    <row r="997" ht="12.75" customHeight="1">
      <c r="CD997" s="39"/>
    </row>
    <row r="998" ht="12.75" customHeight="1">
      <c r="CD998" s="39"/>
    </row>
    <row r="999" ht="12.75" customHeight="1">
      <c r="CD999" s="39"/>
    </row>
    <row r="1000" ht="12.75" customHeight="1">
      <c r="CD1000" s="39"/>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8.0"/>
    <col customWidth="1" min="4" max="6" width="21.88"/>
    <col customWidth="1" min="7" max="7" width="33.38"/>
    <col customWidth="1" min="8" max="8" width="95.75"/>
  </cols>
  <sheetData>
    <row r="1" ht="42.0" customHeight="1">
      <c r="A1" s="32" t="s">
        <v>16</v>
      </c>
      <c r="B1" s="32" t="s">
        <v>19</v>
      </c>
      <c r="C1" s="32" t="s">
        <v>20</v>
      </c>
      <c r="D1" s="2" t="s">
        <v>5261</v>
      </c>
      <c r="E1" s="32" t="s">
        <v>24</v>
      </c>
      <c r="F1" s="34" t="s">
        <v>5031</v>
      </c>
      <c r="G1" s="36" t="s">
        <v>5033</v>
      </c>
      <c r="H1" s="36" t="s">
        <v>5039</v>
      </c>
    </row>
    <row r="2" ht="12.75" customHeight="1">
      <c r="A2" s="32" t="s">
        <v>2143</v>
      </c>
      <c r="B2" s="32" t="s">
        <v>2144</v>
      </c>
      <c r="C2" s="32" t="s">
        <v>2145</v>
      </c>
      <c r="D2" s="2" t="s">
        <v>1</v>
      </c>
      <c r="E2" s="32" t="s">
        <v>4886</v>
      </c>
      <c r="F2" s="32" t="s">
        <v>5043</v>
      </c>
      <c r="G2" s="32" t="s">
        <v>5044</v>
      </c>
      <c r="H2" s="39" t="s">
        <v>5045</v>
      </c>
    </row>
    <row r="3" ht="12.75" customHeight="1">
      <c r="A3" s="32" t="s">
        <v>1458</v>
      </c>
      <c r="B3" s="32" t="s">
        <v>1459</v>
      </c>
      <c r="C3" s="32" t="s">
        <v>1460</v>
      </c>
      <c r="D3" s="2" t="s">
        <v>1</v>
      </c>
      <c r="E3" s="32" t="s">
        <v>3948</v>
      </c>
      <c r="F3" s="32" t="s">
        <v>5048</v>
      </c>
      <c r="G3" s="32" t="s">
        <v>5049</v>
      </c>
      <c r="H3" s="39" t="s">
        <v>5050</v>
      </c>
    </row>
    <row r="4" ht="12.75" customHeight="1">
      <c r="A4" s="32" t="s">
        <v>1831</v>
      </c>
      <c r="B4" s="32" t="s">
        <v>1832</v>
      </c>
      <c r="C4" s="32" t="s">
        <v>1833</v>
      </c>
      <c r="D4" s="2" t="s">
        <v>1</v>
      </c>
      <c r="E4" s="32" t="s">
        <v>4977</v>
      </c>
      <c r="F4" s="32" t="s">
        <v>5051</v>
      </c>
      <c r="G4" s="32" t="s">
        <v>5044</v>
      </c>
      <c r="H4" s="39" t="s">
        <v>5045</v>
      </c>
    </row>
    <row r="5" ht="12.75" customHeight="1">
      <c r="A5" s="32" t="s">
        <v>1998</v>
      </c>
      <c r="B5" s="32" t="s">
        <v>1999</v>
      </c>
      <c r="C5" s="32" t="s">
        <v>2000</v>
      </c>
      <c r="D5" s="2" t="s">
        <v>1</v>
      </c>
      <c r="E5" s="32" t="s">
        <v>3704</v>
      </c>
      <c r="F5" s="2" t="s">
        <v>5262</v>
      </c>
      <c r="G5" s="32" t="s">
        <v>5044</v>
      </c>
      <c r="H5" s="39" t="s">
        <v>5055</v>
      </c>
    </row>
    <row r="6" ht="12.75" customHeight="1">
      <c r="A6" s="32" t="s">
        <v>2178</v>
      </c>
      <c r="B6" s="32" t="s">
        <v>2179</v>
      </c>
      <c r="C6" s="32" t="s">
        <v>2180</v>
      </c>
      <c r="D6" s="2" t="s">
        <v>1</v>
      </c>
      <c r="E6" s="32" t="s">
        <v>4347</v>
      </c>
      <c r="F6" s="2" t="s">
        <v>5262</v>
      </c>
      <c r="G6" s="32" t="s">
        <v>5044</v>
      </c>
      <c r="H6" s="39" t="s">
        <v>5055</v>
      </c>
    </row>
    <row r="7" ht="12.75" customHeight="1">
      <c r="A7" s="32" t="s">
        <v>1635</v>
      </c>
      <c r="B7" s="32" t="s">
        <v>1636</v>
      </c>
      <c r="C7" s="32" t="s">
        <v>1637</v>
      </c>
      <c r="D7" s="32" t="s">
        <v>1637</v>
      </c>
      <c r="E7" s="32" t="s">
        <v>3671</v>
      </c>
      <c r="F7" s="2" t="s">
        <v>5262</v>
      </c>
      <c r="G7" s="32" t="s">
        <v>5044</v>
      </c>
      <c r="H7" s="39" t="s">
        <v>5055</v>
      </c>
    </row>
    <row r="8" ht="12.75" customHeight="1">
      <c r="A8" s="32" t="s">
        <v>2065</v>
      </c>
      <c r="B8" s="32" t="s">
        <v>4389</v>
      </c>
      <c r="C8" s="32" t="s">
        <v>2067</v>
      </c>
      <c r="D8" s="2" t="s">
        <v>1</v>
      </c>
      <c r="E8" s="32" t="s">
        <v>4399</v>
      </c>
      <c r="F8" s="32" t="s">
        <v>5051</v>
      </c>
      <c r="G8" s="32" t="s">
        <v>5044</v>
      </c>
      <c r="H8" s="39" t="s">
        <v>5045</v>
      </c>
    </row>
    <row r="9" ht="12.75" customHeight="1">
      <c r="A9" s="32" t="s">
        <v>2003</v>
      </c>
      <c r="B9" s="32" t="s">
        <v>2004</v>
      </c>
      <c r="C9" s="32" t="s">
        <v>2005</v>
      </c>
      <c r="D9" s="2" t="s">
        <v>1</v>
      </c>
      <c r="E9" s="32" t="s">
        <v>3975</v>
      </c>
      <c r="F9" s="2" t="s">
        <v>5262</v>
      </c>
      <c r="G9" s="32" t="s">
        <v>5044</v>
      </c>
      <c r="H9" s="39" t="s">
        <v>5055</v>
      </c>
    </row>
    <row r="10" ht="12.75" customHeight="1">
      <c r="A10" s="32" t="s">
        <v>2167</v>
      </c>
      <c r="B10" s="32" t="s">
        <v>2168</v>
      </c>
      <c r="C10" s="32" t="s">
        <v>2169</v>
      </c>
      <c r="D10" s="2" t="s">
        <v>1</v>
      </c>
      <c r="E10" s="32" t="s">
        <v>3932</v>
      </c>
      <c r="F10" s="2" t="s">
        <v>5262</v>
      </c>
      <c r="G10" s="32" t="s">
        <v>5044</v>
      </c>
      <c r="H10" s="39" t="s">
        <v>5055</v>
      </c>
    </row>
    <row r="11" ht="12.75" customHeight="1">
      <c r="A11" s="32" t="s">
        <v>1406</v>
      </c>
      <c r="B11" s="32" t="s">
        <v>1407</v>
      </c>
      <c r="C11" s="32" t="s">
        <v>1408</v>
      </c>
      <c r="D11" s="2" t="s">
        <v>1</v>
      </c>
      <c r="E11" s="32" t="s">
        <v>3012</v>
      </c>
      <c r="F11" s="2" t="s">
        <v>5262</v>
      </c>
      <c r="G11" s="32" t="s">
        <v>5062</v>
      </c>
      <c r="H11" s="39" t="s">
        <v>5063</v>
      </c>
    </row>
    <row r="12" ht="12.75" customHeight="1">
      <c r="A12" s="32" t="s">
        <v>2132</v>
      </c>
      <c r="B12" s="32" t="s">
        <v>2133</v>
      </c>
      <c r="C12" s="32" t="s">
        <v>2134</v>
      </c>
      <c r="D12" s="2" t="s">
        <v>1</v>
      </c>
      <c r="E12" s="32" t="s">
        <v>3805</v>
      </c>
      <c r="F12" s="32" t="s">
        <v>5066</v>
      </c>
      <c r="G12" s="32" t="s">
        <v>5044</v>
      </c>
      <c r="H12" s="39" t="s">
        <v>5055</v>
      </c>
    </row>
    <row r="13" ht="12.75" customHeight="1">
      <c r="A13" s="32" t="s">
        <v>1726</v>
      </c>
      <c r="B13" s="32" t="s">
        <v>1727</v>
      </c>
      <c r="C13" s="32" t="s">
        <v>1728</v>
      </c>
      <c r="D13" s="2" t="s">
        <v>1</v>
      </c>
      <c r="E13" s="32" t="s">
        <v>4541</v>
      </c>
      <c r="F13" s="32" t="s">
        <v>5066</v>
      </c>
      <c r="G13" s="32" t="s">
        <v>5062</v>
      </c>
      <c r="H13" s="39" t="s">
        <v>5070</v>
      </c>
    </row>
    <row r="14" ht="12.75" customHeight="1">
      <c r="A14" s="32" t="s">
        <v>2149</v>
      </c>
      <c r="B14" s="32" t="s">
        <v>2150</v>
      </c>
      <c r="C14" s="32" t="s">
        <v>2151</v>
      </c>
      <c r="D14" s="2" t="s">
        <v>1</v>
      </c>
      <c r="E14" s="32" t="s">
        <v>3912</v>
      </c>
      <c r="F14" s="2" t="s">
        <v>5262</v>
      </c>
      <c r="G14" s="32" t="s">
        <v>5044</v>
      </c>
      <c r="H14" s="39" t="s">
        <v>5055</v>
      </c>
    </row>
    <row r="15" ht="12.75" customHeight="1">
      <c r="A15" s="32" t="s">
        <v>1377</v>
      </c>
      <c r="B15" s="32" t="s">
        <v>1378</v>
      </c>
      <c r="C15" s="32" t="s">
        <v>1379</v>
      </c>
      <c r="D15" s="2" t="s">
        <v>1</v>
      </c>
      <c r="E15" s="32" t="s">
        <v>3072</v>
      </c>
      <c r="F15" s="2" t="s">
        <v>5262</v>
      </c>
      <c r="G15" s="32" t="s">
        <v>5044</v>
      </c>
      <c r="H15" s="39" t="s">
        <v>5055</v>
      </c>
    </row>
    <row r="16" ht="12.75" customHeight="1">
      <c r="A16" s="32" t="s">
        <v>2042</v>
      </c>
      <c r="B16" s="32" t="s">
        <v>2043</v>
      </c>
      <c r="C16" s="32" t="s">
        <v>2044</v>
      </c>
      <c r="D16" s="2" t="s">
        <v>1</v>
      </c>
      <c r="E16" s="32" t="s">
        <v>3563</v>
      </c>
      <c r="F16" s="32" t="s">
        <v>5066</v>
      </c>
      <c r="G16" s="32" t="s">
        <v>5078</v>
      </c>
      <c r="H16" s="39" t="s">
        <v>5070</v>
      </c>
    </row>
    <row r="17" ht="12.75" customHeight="1">
      <c r="A17" s="32" t="s">
        <v>2049</v>
      </c>
      <c r="B17" s="32" t="s">
        <v>2050</v>
      </c>
      <c r="C17" s="32" t="s">
        <v>2051</v>
      </c>
      <c r="D17" s="2" t="s">
        <v>1</v>
      </c>
      <c r="E17" s="32" t="s">
        <v>3492</v>
      </c>
      <c r="F17" s="2" t="s">
        <v>5262</v>
      </c>
      <c r="G17" s="32" t="s">
        <v>5044</v>
      </c>
      <c r="H17" s="39" t="s">
        <v>5055</v>
      </c>
    </row>
    <row r="18" ht="12.75" customHeight="1">
      <c r="A18" s="32" t="s">
        <v>1599</v>
      </c>
      <c r="B18" s="32" t="s">
        <v>1600</v>
      </c>
      <c r="C18" s="32" t="s">
        <v>1601</v>
      </c>
      <c r="D18" s="2" t="s">
        <v>1</v>
      </c>
      <c r="E18" s="32" t="s">
        <v>4501</v>
      </c>
      <c r="F18" s="32" t="s">
        <v>5043</v>
      </c>
      <c r="G18" s="32" t="s">
        <v>5044</v>
      </c>
      <c r="H18" s="39" t="s">
        <v>5082</v>
      </c>
    </row>
    <row r="19" ht="12.75" customHeight="1">
      <c r="A19" s="32" t="s">
        <v>2239</v>
      </c>
      <c r="B19" s="32" t="s">
        <v>2240</v>
      </c>
      <c r="C19" s="32" t="s">
        <v>2241</v>
      </c>
      <c r="D19" s="2" t="s">
        <v>1</v>
      </c>
      <c r="E19" s="32" t="s">
        <v>2475</v>
      </c>
      <c r="F19" s="32" t="s">
        <v>5051</v>
      </c>
      <c r="G19" s="32" t="s">
        <v>5044</v>
      </c>
      <c r="H19" s="39" t="s">
        <v>5086</v>
      </c>
    </row>
    <row r="20" ht="12.75" customHeight="1">
      <c r="A20" s="32" t="s">
        <v>2201</v>
      </c>
      <c r="B20" s="32" t="s">
        <v>2202</v>
      </c>
      <c r="C20" s="32" t="s">
        <v>2203</v>
      </c>
      <c r="D20" s="2" t="s">
        <v>1</v>
      </c>
      <c r="E20" s="32" t="s">
        <v>3520</v>
      </c>
      <c r="F20" s="2" t="s">
        <v>5262</v>
      </c>
      <c r="G20" s="32" t="s">
        <v>5044</v>
      </c>
      <c r="H20" s="39" t="s">
        <v>5086</v>
      </c>
    </row>
    <row r="21" ht="12.75" customHeight="1">
      <c r="A21" s="32" t="s">
        <v>2084</v>
      </c>
      <c r="B21" s="32" t="s">
        <v>3155</v>
      </c>
      <c r="C21" s="32" t="s">
        <v>2086</v>
      </c>
      <c r="D21" s="2" t="s">
        <v>1</v>
      </c>
      <c r="E21" s="32" t="s">
        <v>3172</v>
      </c>
      <c r="F21" s="32" t="s">
        <v>5066</v>
      </c>
      <c r="G21" s="32" t="s">
        <v>5044</v>
      </c>
      <c r="H21" s="39" t="s">
        <v>5055</v>
      </c>
    </row>
    <row r="22" ht="12.75" customHeight="1">
      <c r="A22" s="32" t="s">
        <v>1814</v>
      </c>
      <c r="B22" s="32" t="s">
        <v>1815</v>
      </c>
      <c r="C22" s="32" t="s">
        <v>1816</v>
      </c>
      <c r="D22" s="2" t="s">
        <v>1</v>
      </c>
      <c r="E22" s="32" t="s">
        <v>4418</v>
      </c>
      <c r="F22" s="2" t="s">
        <v>5262</v>
      </c>
      <c r="G22" s="32" t="s">
        <v>5044</v>
      </c>
      <c r="H22" s="39" t="s">
        <v>5086</v>
      </c>
    </row>
    <row r="23" ht="12.75" customHeight="1">
      <c r="A23" s="32" t="s">
        <v>2190</v>
      </c>
      <c r="B23" s="32" t="s">
        <v>2191</v>
      </c>
      <c r="C23" s="32" t="s">
        <v>2192</v>
      </c>
      <c r="D23" s="2" t="s">
        <v>1</v>
      </c>
      <c r="E23" s="32" t="s">
        <v>4107</v>
      </c>
      <c r="F23" s="2" t="s">
        <v>5262</v>
      </c>
      <c r="G23" s="32" t="s">
        <v>5044</v>
      </c>
      <c r="H23" s="39" t="s">
        <v>5055</v>
      </c>
    </row>
    <row r="24" ht="12.75" customHeight="1">
      <c r="A24" s="32" t="s">
        <v>2025</v>
      </c>
      <c r="B24" s="32" t="s">
        <v>3636</v>
      </c>
      <c r="C24" s="32" t="s">
        <v>2027</v>
      </c>
      <c r="D24" s="2" t="s">
        <v>1</v>
      </c>
      <c r="E24" s="32" t="s">
        <v>3651</v>
      </c>
      <c r="F24" s="32" t="s">
        <v>5066</v>
      </c>
      <c r="G24" s="32" t="s">
        <v>5044</v>
      </c>
      <c r="H24" s="39" t="s">
        <v>5086</v>
      </c>
    </row>
    <row r="25" ht="12.75" customHeight="1">
      <c r="A25" s="32" t="s">
        <v>1791</v>
      </c>
      <c r="B25" s="32" t="s">
        <v>1792</v>
      </c>
      <c r="C25" s="32" t="s">
        <v>1793</v>
      </c>
      <c r="D25" s="2" t="s">
        <v>1</v>
      </c>
      <c r="E25" s="32" t="s">
        <v>2898</v>
      </c>
      <c r="F25" s="2" t="s">
        <v>5262</v>
      </c>
      <c r="G25" s="32" t="s">
        <v>5044</v>
      </c>
      <c r="H25" s="39" t="s">
        <v>5050</v>
      </c>
    </row>
    <row r="26" ht="12.75" customHeight="1">
      <c r="A26" s="32" t="s">
        <v>1802</v>
      </c>
      <c r="B26" s="32" t="s">
        <v>1803</v>
      </c>
      <c r="C26" s="32" t="s">
        <v>1804</v>
      </c>
      <c r="D26" s="2" t="s">
        <v>1</v>
      </c>
      <c r="E26" s="32" t="s">
        <v>5000</v>
      </c>
      <c r="F26" s="32" t="s">
        <v>5048</v>
      </c>
      <c r="G26" s="32" t="s">
        <v>5044</v>
      </c>
      <c r="H26" s="39" t="s">
        <v>5055</v>
      </c>
    </row>
    <row r="27" ht="12.75" customHeight="1">
      <c r="A27" s="32" t="s">
        <v>2031</v>
      </c>
      <c r="B27" s="32" t="s">
        <v>2032</v>
      </c>
      <c r="C27" s="32" t="s">
        <v>2033</v>
      </c>
      <c r="D27" s="2" t="s">
        <v>1</v>
      </c>
      <c r="E27" s="32" t="s">
        <v>2861</v>
      </c>
      <c r="F27" s="32" t="s">
        <v>5066</v>
      </c>
      <c r="G27" s="32" t="s">
        <v>5101</v>
      </c>
      <c r="H27" s="39" t="s">
        <v>5070</v>
      </c>
    </row>
    <row r="28" ht="12.75" customHeight="1">
      <c r="A28" s="32" t="s">
        <v>1354</v>
      </c>
      <c r="B28" s="32" t="s">
        <v>1355</v>
      </c>
      <c r="C28" s="32" t="s">
        <v>1356</v>
      </c>
      <c r="D28" s="2" t="s">
        <v>1</v>
      </c>
      <c r="E28" s="32" t="s">
        <v>3115</v>
      </c>
      <c r="F28" s="32" t="s">
        <v>5066</v>
      </c>
      <c r="G28" s="32" t="s">
        <v>5044</v>
      </c>
      <c r="H28" s="39" t="s">
        <v>5045</v>
      </c>
    </row>
    <row r="29" ht="12.75" customHeight="1">
      <c r="A29" s="32" t="s">
        <v>1854</v>
      </c>
      <c r="B29" s="32" t="s">
        <v>1855</v>
      </c>
      <c r="C29" s="32" t="s">
        <v>1856</v>
      </c>
      <c r="D29" s="2" t="s">
        <v>1</v>
      </c>
      <c r="E29" s="32" t="s">
        <v>4733</v>
      </c>
      <c r="F29" s="32" t="s">
        <v>5048</v>
      </c>
      <c r="G29" s="32" t="s">
        <v>5106</v>
      </c>
      <c r="H29" s="39" t="s">
        <v>5107</v>
      </c>
    </row>
    <row r="30" ht="12.75" customHeight="1">
      <c r="A30" s="32" t="s">
        <v>1926</v>
      </c>
      <c r="B30" s="32" t="s">
        <v>1927</v>
      </c>
      <c r="C30" s="32" t="s">
        <v>1928</v>
      </c>
      <c r="D30" s="2" t="s">
        <v>1</v>
      </c>
      <c r="E30" s="32" t="s">
        <v>3277</v>
      </c>
      <c r="F30" s="2" t="s">
        <v>5262</v>
      </c>
      <c r="G30" s="32" t="s">
        <v>5062</v>
      </c>
      <c r="H30" s="39" t="s">
        <v>5107</v>
      </c>
    </row>
    <row r="31" ht="12.75" customHeight="1">
      <c r="A31" s="32" t="s">
        <v>1547</v>
      </c>
      <c r="B31" s="32" t="s">
        <v>3281</v>
      </c>
      <c r="C31" s="32" t="s">
        <v>1549</v>
      </c>
      <c r="D31" s="2" t="s">
        <v>1</v>
      </c>
      <c r="E31" s="32" t="s">
        <v>3289</v>
      </c>
      <c r="F31" s="2" t="s">
        <v>5262</v>
      </c>
      <c r="G31" s="32" t="s">
        <v>5044</v>
      </c>
      <c r="H31" s="39" t="s">
        <v>5055</v>
      </c>
    </row>
    <row r="32" ht="12.75" customHeight="1">
      <c r="A32" s="32" t="s">
        <v>1915</v>
      </c>
      <c r="B32" s="32" t="s">
        <v>1916</v>
      </c>
      <c r="C32" s="32" t="s">
        <v>1917</v>
      </c>
      <c r="D32" s="2" t="s">
        <v>1</v>
      </c>
      <c r="E32" s="32" t="s">
        <v>3226</v>
      </c>
      <c r="F32" s="32" t="s">
        <v>5066</v>
      </c>
      <c r="G32" s="32" t="s">
        <v>5044</v>
      </c>
      <c r="H32" s="39" t="s">
        <v>5110</v>
      </c>
    </row>
    <row r="33" ht="12.75" customHeight="1">
      <c r="A33" s="32" t="s">
        <v>2173</v>
      </c>
      <c r="B33" s="32" t="s">
        <v>2174</v>
      </c>
      <c r="C33" s="32" t="s">
        <v>2175</v>
      </c>
      <c r="D33" s="2" t="s">
        <v>1</v>
      </c>
      <c r="E33" s="32" t="s">
        <v>3881</v>
      </c>
      <c r="F33" s="2" t="s">
        <v>5262</v>
      </c>
      <c r="G33" s="32" t="s">
        <v>5044</v>
      </c>
      <c r="H33" s="39" t="s">
        <v>5055</v>
      </c>
    </row>
    <row r="34" ht="12.75" customHeight="1">
      <c r="A34" s="32" t="s">
        <v>1673</v>
      </c>
      <c r="B34" s="32" t="s">
        <v>1674</v>
      </c>
      <c r="C34" s="32" t="s">
        <v>1675</v>
      </c>
      <c r="D34" s="2" t="s">
        <v>1</v>
      </c>
      <c r="E34" s="32" t="s">
        <v>3030</v>
      </c>
      <c r="F34" s="32" t="s">
        <v>5066</v>
      </c>
      <c r="G34" s="32" t="s">
        <v>5078</v>
      </c>
      <c r="H34" s="39" t="s">
        <v>5070</v>
      </c>
    </row>
    <row r="35" ht="12.75" customHeight="1">
      <c r="A35" s="32" t="s">
        <v>2089</v>
      </c>
      <c r="B35" s="32" t="s">
        <v>2090</v>
      </c>
      <c r="C35" s="32" t="s">
        <v>2091</v>
      </c>
      <c r="D35" s="2" t="s">
        <v>1</v>
      </c>
      <c r="E35" s="32" t="s">
        <v>2945</v>
      </c>
      <c r="F35" s="2" t="s">
        <v>5262</v>
      </c>
      <c r="G35" s="32" t="s">
        <v>5044</v>
      </c>
      <c r="H35" s="39" t="s">
        <v>5050</v>
      </c>
    </row>
    <row r="36" ht="12.75" customHeight="1">
      <c r="A36" s="32" t="s">
        <v>1662</v>
      </c>
      <c r="B36" s="32" t="s">
        <v>1663</v>
      </c>
      <c r="C36" s="32" t="s">
        <v>1664</v>
      </c>
      <c r="D36" s="2" t="s">
        <v>1</v>
      </c>
      <c r="E36" s="32" t="s">
        <v>3577</v>
      </c>
      <c r="F36" s="2" t="s">
        <v>5262</v>
      </c>
      <c r="G36" s="32" t="s">
        <v>5044</v>
      </c>
      <c r="H36" s="39" t="s">
        <v>5086</v>
      </c>
    </row>
    <row r="37" ht="12.75" customHeight="1">
      <c r="A37" s="32" t="s">
        <v>1920</v>
      </c>
      <c r="B37" s="32" t="s">
        <v>1921</v>
      </c>
      <c r="C37" s="32" t="s">
        <v>1922</v>
      </c>
      <c r="D37" s="2" t="s">
        <v>1</v>
      </c>
      <c r="E37" s="32" t="s">
        <v>3841</v>
      </c>
      <c r="F37" s="2" t="s">
        <v>5262</v>
      </c>
      <c r="G37" s="32" t="s">
        <v>5044</v>
      </c>
      <c r="H37" s="39" t="s">
        <v>5055</v>
      </c>
    </row>
    <row r="38" ht="12.75" customHeight="1">
      <c r="A38" s="32" t="s">
        <v>2266</v>
      </c>
      <c r="B38" s="32" t="s">
        <v>1324</v>
      </c>
      <c r="C38" s="32" t="s">
        <v>1324</v>
      </c>
      <c r="D38" s="2" t="s">
        <v>1</v>
      </c>
      <c r="E38" s="32" t="s">
        <v>2451</v>
      </c>
      <c r="F38" s="32" t="s">
        <v>5048</v>
      </c>
      <c r="G38" s="32" t="s">
        <v>5101</v>
      </c>
      <c r="H38" s="39" t="s">
        <v>5050</v>
      </c>
    </row>
    <row r="39" ht="12.75" customHeight="1">
      <c r="A39" s="32" t="s">
        <v>1743</v>
      </c>
      <c r="B39" s="32" t="s">
        <v>1744</v>
      </c>
      <c r="C39" s="32" t="s">
        <v>1745</v>
      </c>
      <c r="D39" s="2" t="s">
        <v>1</v>
      </c>
      <c r="E39" s="32" t="s">
        <v>4521</v>
      </c>
      <c r="F39" s="32" t="s">
        <v>5051</v>
      </c>
      <c r="G39" s="32" t="s">
        <v>5062</v>
      </c>
      <c r="H39" s="39" t="s">
        <v>5050</v>
      </c>
    </row>
    <row r="40" ht="12.75" customHeight="1">
      <c r="A40" s="32" t="s">
        <v>2245</v>
      </c>
      <c r="B40" s="32" t="s">
        <v>2804</v>
      </c>
      <c r="C40" s="32" t="s">
        <v>2247</v>
      </c>
      <c r="D40" s="2" t="s">
        <v>1</v>
      </c>
      <c r="E40" s="32" t="s">
        <v>2822</v>
      </c>
      <c r="F40" s="32" t="s">
        <v>5043</v>
      </c>
      <c r="G40" s="32" t="s">
        <v>5078</v>
      </c>
      <c r="H40" s="39" t="s">
        <v>5107</v>
      </c>
    </row>
    <row r="41" ht="12.75" customHeight="1">
      <c r="A41" s="32" t="s">
        <v>2228</v>
      </c>
      <c r="B41" s="32" t="s">
        <v>4824</v>
      </c>
      <c r="C41" s="32" t="s">
        <v>2230</v>
      </c>
      <c r="D41" s="2" t="s">
        <v>1</v>
      </c>
      <c r="E41" s="32" t="s">
        <v>4836</v>
      </c>
      <c r="F41" s="32" t="s">
        <v>5066</v>
      </c>
      <c r="G41" s="32" t="s">
        <v>5078</v>
      </c>
      <c r="H41" s="39" t="s">
        <v>5123</v>
      </c>
    </row>
    <row r="42" ht="12.75" customHeight="1">
      <c r="A42" s="32" t="s">
        <v>1700</v>
      </c>
      <c r="B42" s="32" t="s">
        <v>1701</v>
      </c>
      <c r="C42" s="32" t="s">
        <v>1702</v>
      </c>
      <c r="D42" s="2" t="s">
        <v>1</v>
      </c>
      <c r="E42" s="32" t="s">
        <v>3151</v>
      </c>
      <c r="F42" s="32" t="s">
        <v>5048</v>
      </c>
      <c r="G42" s="32" t="s">
        <v>5106</v>
      </c>
      <c r="H42" s="39" t="s">
        <v>5107</v>
      </c>
    </row>
    <row r="43" ht="12.75" customHeight="1">
      <c r="A43" s="32" t="s">
        <v>1775</v>
      </c>
      <c r="B43" s="32" t="s">
        <v>1776</v>
      </c>
      <c r="C43" s="32" t="s">
        <v>1777</v>
      </c>
      <c r="D43" s="2" t="s">
        <v>1</v>
      </c>
      <c r="E43" s="32" t="s">
        <v>2800</v>
      </c>
      <c r="F43" s="32" t="s">
        <v>5051</v>
      </c>
      <c r="G43" s="32" t="s">
        <v>5062</v>
      </c>
      <c r="H43" s="39" t="s">
        <v>5070</v>
      </c>
    </row>
    <row r="44" ht="12.75" customHeight="1">
      <c r="A44" s="32" t="s">
        <v>1559</v>
      </c>
      <c r="B44" s="32" t="s">
        <v>3194</v>
      </c>
      <c r="C44" s="32" t="s">
        <v>1561</v>
      </c>
      <c r="D44" s="2" t="s">
        <v>1</v>
      </c>
      <c r="E44" s="32" t="s">
        <v>3210</v>
      </c>
      <c r="F44" s="32" t="s">
        <v>5048</v>
      </c>
      <c r="G44" s="32" t="s">
        <v>5049</v>
      </c>
      <c r="H44" s="39" t="s">
        <v>5128</v>
      </c>
    </row>
    <row r="45" ht="12.75" customHeight="1">
      <c r="A45" s="32" t="s">
        <v>1955</v>
      </c>
      <c r="B45" s="32" t="s">
        <v>1956</v>
      </c>
      <c r="C45" s="32" t="s">
        <v>1957</v>
      </c>
      <c r="D45" s="2" t="s">
        <v>1</v>
      </c>
      <c r="E45" s="32" t="s">
        <v>2518</v>
      </c>
      <c r="F45" s="2" t="s">
        <v>5262</v>
      </c>
      <c r="G45" s="32" t="s">
        <v>5062</v>
      </c>
      <c r="H45" s="39" t="s">
        <v>5063</v>
      </c>
    </row>
    <row r="46" ht="12.75" customHeight="1">
      <c r="A46" s="32" t="s">
        <v>2260</v>
      </c>
      <c r="B46" s="32" t="s">
        <v>4545</v>
      </c>
      <c r="C46" s="32" t="s">
        <v>2262</v>
      </c>
      <c r="D46" s="2" t="s">
        <v>1</v>
      </c>
      <c r="E46" s="32" t="s">
        <v>4556</v>
      </c>
      <c r="F46" s="2" t="s">
        <v>5262</v>
      </c>
      <c r="G46" s="32" t="s">
        <v>5062</v>
      </c>
      <c r="H46" s="39" t="s">
        <v>5107</v>
      </c>
    </row>
    <row r="47" ht="12.75" customHeight="1">
      <c r="A47" s="32" t="s">
        <v>1604</v>
      </c>
      <c r="B47" s="32" t="s">
        <v>4441</v>
      </c>
      <c r="C47" s="32" t="s">
        <v>1606</v>
      </c>
      <c r="D47" s="2" t="s">
        <v>1</v>
      </c>
      <c r="E47" s="32" t="s">
        <v>4450</v>
      </c>
      <c r="F47" s="2" t="s">
        <v>5262</v>
      </c>
      <c r="G47" s="32" t="s">
        <v>5062</v>
      </c>
      <c r="H47" s="39" t="s">
        <v>5050</v>
      </c>
    </row>
    <row r="48" ht="12.75" customHeight="1">
      <c r="A48" s="32" t="s">
        <v>1960</v>
      </c>
      <c r="B48" s="32" t="s">
        <v>1961</v>
      </c>
      <c r="C48" s="32" t="s">
        <v>1962</v>
      </c>
      <c r="D48" s="2" t="s">
        <v>1</v>
      </c>
      <c r="E48" s="32" t="s">
        <v>2982</v>
      </c>
      <c r="F48" s="2" t="s">
        <v>5262</v>
      </c>
      <c r="G48" s="32" t="s">
        <v>5062</v>
      </c>
      <c r="H48" s="39" t="s">
        <v>5110</v>
      </c>
    </row>
    <row r="49" ht="12.75" customHeight="1">
      <c r="A49" s="32" t="s">
        <v>1391</v>
      </c>
      <c r="B49" s="32" t="s">
        <v>1392</v>
      </c>
      <c r="C49" s="32" t="s">
        <v>1393</v>
      </c>
      <c r="D49" s="2" t="s">
        <v>1</v>
      </c>
      <c r="E49" s="32" t="s">
        <v>3239</v>
      </c>
      <c r="F49" s="2" t="s">
        <v>5262</v>
      </c>
      <c r="G49" s="32" t="s">
        <v>5101</v>
      </c>
      <c r="H49" s="39" t="s">
        <v>5063</v>
      </c>
    </row>
    <row r="50" ht="12.75" customHeight="1">
      <c r="A50" s="32" t="s">
        <v>1641</v>
      </c>
      <c r="B50" s="32" t="s">
        <v>2826</v>
      </c>
      <c r="C50" s="32" t="s">
        <v>1643</v>
      </c>
      <c r="D50" s="2" t="s">
        <v>1</v>
      </c>
      <c r="E50" s="32" t="s">
        <v>2842</v>
      </c>
      <c r="F50" s="32" t="s">
        <v>5066</v>
      </c>
      <c r="G50" s="32" t="s">
        <v>5078</v>
      </c>
      <c r="H50" s="39" t="s">
        <v>5137</v>
      </c>
    </row>
    <row r="51" ht="12.75" customHeight="1">
      <c r="A51" s="32" t="s">
        <v>1448</v>
      </c>
      <c r="B51" s="32" t="s">
        <v>1449</v>
      </c>
      <c r="C51" s="32" t="s">
        <v>1450</v>
      </c>
      <c r="D51" s="2" t="s">
        <v>1</v>
      </c>
      <c r="E51" s="32" t="s">
        <v>3591</v>
      </c>
      <c r="F51" s="32" t="s">
        <v>5048</v>
      </c>
      <c r="G51" s="32" t="s">
        <v>5101</v>
      </c>
      <c r="H51" s="39" t="s">
        <v>5107</v>
      </c>
    </row>
    <row r="52" ht="12.75" customHeight="1">
      <c r="A52" s="32" t="s">
        <v>1383</v>
      </c>
      <c r="B52" s="32" t="s">
        <v>1384</v>
      </c>
      <c r="C52" s="32" t="s">
        <v>1385</v>
      </c>
      <c r="D52" s="2" t="s">
        <v>1</v>
      </c>
      <c r="E52" s="32" t="s">
        <v>4008</v>
      </c>
      <c r="F52" s="2" t="s">
        <v>5262</v>
      </c>
      <c r="G52" s="32" t="s">
        <v>5044</v>
      </c>
      <c r="H52" s="39" t="s">
        <v>5055</v>
      </c>
    </row>
    <row r="53" ht="12.75" customHeight="1">
      <c r="A53" s="32" t="s">
        <v>1689</v>
      </c>
      <c r="B53" s="32" t="s">
        <v>1690</v>
      </c>
      <c r="C53" s="32" t="s">
        <v>1691</v>
      </c>
      <c r="D53" s="2" t="s">
        <v>1</v>
      </c>
      <c r="E53" s="32" t="s">
        <v>2673</v>
      </c>
      <c r="F53" s="32" t="s">
        <v>5066</v>
      </c>
      <c r="G53" s="32" t="s">
        <v>5062</v>
      </c>
      <c r="H53" s="39" t="s">
        <v>5070</v>
      </c>
    </row>
    <row r="54" ht="12.75" customHeight="1">
      <c r="A54" s="32" t="s">
        <v>1849</v>
      </c>
      <c r="B54" s="32" t="s">
        <v>1850</v>
      </c>
      <c r="C54" s="32" t="s">
        <v>1851</v>
      </c>
      <c r="D54" s="2" t="s">
        <v>1</v>
      </c>
      <c r="E54" s="32" t="s">
        <v>4306</v>
      </c>
      <c r="F54" s="32" t="s">
        <v>5048</v>
      </c>
      <c r="G54" s="32" t="s">
        <v>5062</v>
      </c>
      <c r="H54" s="39" t="s">
        <v>5107</v>
      </c>
    </row>
    <row r="55" ht="12.75" customHeight="1">
      <c r="A55" s="32" t="s">
        <v>1472</v>
      </c>
      <c r="B55" s="32" t="s">
        <v>1473</v>
      </c>
      <c r="C55" s="32" t="s">
        <v>1474</v>
      </c>
      <c r="D55" s="2" t="s">
        <v>1</v>
      </c>
      <c r="E55" s="32" t="s">
        <v>4209</v>
      </c>
      <c r="F55" s="2" t="s">
        <v>5263</v>
      </c>
      <c r="G55" s="32" t="s">
        <v>5062</v>
      </c>
      <c r="H55" s="39" t="s">
        <v>5063</v>
      </c>
    </row>
    <row r="56" ht="12.75" customHeight="1">
      <c r="A56" s="32" t="s">
        <v>1617</v>
      </c>
      <c r="B56" s="32" t="s">
        <v>4858</v>
      </c>
      <c r="C56" s="32" t="s">
        <v>1619</v>
      </c>
      <c r="D56" s="2" t="s">
        <v>1</v>
      </c>
      <c r="E56" s="32" t="s">
        <v>4870</v>
      </c>
      <c r="F56" s="2" t="s">
        <v>5262</v>
      </c>
      <c r="G56" s="32" t="s">
        <v>5049</v>
      </c>
      <c r="H56" s="39" t="s">
        <v>5050</v>
      </c>
    </row>
    <row r="57" ht="12.75" customHeight="1">
      <c r="A57" s="32" t="s">
        <v>1737</v>
      </c>
      <c r="B57" s="32" t="s">
        <v>1738</v>
      </c>
      <c r="C57" s="32" t="s">
        <v>1739</v>
      </c>
      <c r="D57" s="2" t="s">
        <v>1</v>
      </c>
      <c r="E57" s="32" t="s">
        <v>4240</v>
      </c>
      <c r="F57" s="32" t="s">
        <v>5066</v>
      </c>
      <c r="G57" s="32" t="s">
        <v>5062</v>
      </c>
      <c r="H57" s="39" t="s">
        <v>5123</v>
      </c>
    </row>
    <row r="58" ht="12.75" customHeight="1">
      <c r="A58" s="32" t="s">
        <v>1808</v>
      </c>
      <c r="B58" s="32" t="s">
        <v>1809</v>
      </c>
      <c r="C58" s="32" t="s">
        <v>1810</v>
      </c>
      <c r="D58" s="2" t="s">
        <v>1</v>
      </c>
      <c r="E58" s="32" t="s">
        <v>4275</v>
      </c>
      <c r="F58" s="32" t="s">
        <v>5051</v>
      </c>
      <c r="G58" s="32" t="s">
        <v>5044</v>
      </c>
      <c r="H58" s="39" t="s">
        <v>5149</v>
      </c>
    </row>
    <row r="59" ht="12.75" customHeight="1">
      <c r="A59" s="32" t="s">
        <v>1656</v>
      </c>
      <c r="B59" s="32" t="s">
        <v>1657</v>
      </c>
      <c r="C59" s="32" t="s">
        <v>1658</v>
      </c>
      <c r="D59" s="2" t="s">
        <v>1</v>
      </c>
      <c r="E59" s="32" t="s">
        <v>3534</v>
      </c>
      <c r="F59" s="32" t="s">
        <v>5066</v>
      </c>
      <c r="G59" s="32" t="s">
        <v>5044</v>
      </c>
      <c r="H59" s="39" t="s">
        <v>5152</v>
      </c>
    </row>
    <row r="60" ht="12.75" customHeight="1">
      <c r="A60" s="32" t="s">
        <v>2184</v>
      </c>
      <c r="B60" s="32" t="s">
        <v>2185</v>
      </c>
      <c r="C60" s="32" t="s">
        <v>2186</v>
      </c>
      <c r="D60" s="2" t="s">
        <v>1</v>
      </c>
      <c r="E60" s="32" t="s">
        <v>4227</v>
      </c>
      <c r="F60" s="32" t="s">
        <v>5066</v>
      </c>
      <c r="G60" s="32" t="s">
        <v>5078</v>
      </c>
      <c r="H60" s="39" t="s">
        <v>5055</v>
      </c>
    </row>
    <row r="61" ht="12.75" customHeight="1">
      <c r="A61" s="32" t="s">
        <v>1491</v>
      </c>
      <c r="B61" s="32" t="s">
        <v>1492</v>
      </c>
      <c r="C61" s="32" t="s">
        <v>1493</v>
      </c>
      <c r="D61" s="2" t="s">
        <v>1</v>
      </c>
      <c r="E61" s="32" t="s">
        <v>4748</v>
      </c>
      <c r="F61" s="2" t="s">
        <v>5264</v>
      </c>
      <c r="G61" s="32" t="s">
        <v>5062</v>
      </c>
      <c r="H61" s="39" t="s">
        <v>5055</v>
      </c>
    </row>
    <row r="62" ht="12.75" customHeight="1">
      <c r="A62" s="32" t="s">
        <v>1993</v>
      </c>
      <c r="B62" s="32" t="s">
        <v>1994</v>
      </c>
      <c r="C62" s="32" t="s">
        <v>1995</v>
      </c>
      <c r="D62" s="2" t="s">
        <v>1</v>
      </c>
      <c r="E62" s="32" t="s">
        <v>4178</v>
      </c>
      <c r="F62" s="32" t="s">
        <v>5160</v>
      </c>
      <c r="G62" s="32" t="s">
        <v>5106</v>
      </c>
      <c r="H62" s="39" t="s">
        <v>5050</v>
      </c>
    </row>
    <row r="63" ht="12.75" customHeight="1">
      <c r="A63" s="32" t="s">
        <v>1678</v>
      </c>
      <c r="B63" s="32" t="s">
        <v>3750</v>
      </c>
      <c r="C63" s="32" t="s">
        <v>1680</v>
      </c>
      <c r="D63" s="2" t="s">
        <v>1</v>
      </c>
      <c r="E63" s="32" t="s">
        <v>3761</v>
      </c>
      <c r="F63" s="32" t="s">
        <v>5066</v>
      </c>
      <c r="G63" s="32" t="s">
        <v>5078</v>
      </c>
      <c r="H63" s="39" t="s">
        <v>5152</v>
      </c>
    </row>
    <row r="64" ht="12.75" customHeight="1">
      <c r="A64" s="32" t="s">
        <v>1398</v>
      </c>
      <c r="B64" s="32" t="s">
        <v>1399</v>
      </c>
      <c r="C64" s="32" t="s">
        <v>1400</v>
      </c>
      <c r="D64" s="2" t="s">
        <v>1</v>
      </c>
      <c r="E64" s="32" t="s">
        <v>2778</v>
      </c>
      <c r="F64" s="32" t="s">
        <v>5051</v>
      </c>
      <c r="G64" s="32" t="s">
        <v>5062</v>
      </c>
      <c r="H64" s="39" t="s">
        <v>5070</v>
      </c>
    </row>
    <row r="65" ht="12.75" customHeight="1">
      <c r="A65" s="32" t="s">
        <v>1582</v>
      </c>
      <c r="B65" s="32" t="s">
        <v>1583</v>
      </c>
      <c r="C65" s="32" t="s">
        <v>1584</v>
      </c>
      <c r="D65" s="2" t="s">
        <v>1</v>
      </c>
      <c r="E65" s="32" t="s">
        <v>4051</v>
      </c>
      <c r="F65" s="32" t="s">
        <v>5066</v>
      </c>
      <c r="G65" s="32" t="s">
        <v>5078</v>
      </c>
      <c r="H65" s="39" t="s">
        <v>5123</v>
      </c>
    </row>
    <row r="66" ht="12.75" customHeight="1">
      <c r="A66" s="32" t="s">
        <v>1627</v>
      </c>
      <c r="B66" s="32" t="s">
        <v>1628</v>
      </c>
      <c r="C66" s="32" t="s">
        <v>1629</v>
      </c>
      <c r="D66" s="2" t="s">
        <v>1</v>
      </c>
      <c r="E66" s="32" t="s">
        <v>4320</v>
      </c>
      <c r="F66" s="32" t="s">
        <v>5051</v>
      </c>
      <c r="G66" s="32" t="s">
        <v>5078</v>
      </c>
      <c r="H66" s="39" t="s">
        <v>5152</v>
      </c>
    </row>
    <row r="67" ht="12.75" customHeight="1">
      <c r="A67" s="32" t="s">
        <v>1843</v>
      </c>
      <c r="B67" s="32" t="s">
        <v>1844</v>
      </c>
      <c r="C67" s="32" t="s">
        <v>1845</v>
      </c>
      <c r="D67" s="2" t="s">
        <v>1</v>
      </c>
      <c r="E67" s="32" t="s">
        <v>3133</v>
      </c>
      <c r="F67" s="32" t="s">
        <v>5048</v>
      </c>
      <c r="G67" s="32" t="s">
        <v>5044</v>
      </c>
      <c r="H67" s="39" t="s">
        <v>5055</v>
      </c>
    </row>
    <row r="68" ht="12.75" customHeight="1">
      <c r="A68" s="32" t="s">
        <v>2195</v>
      </c>
      <c r="B68" s="32" t="s">
        <v>2196</v>
      </c>
      <c r="C68" s="32" t="s">
        <v>2197</v>
      </c>
      <c r="D68" s="2" t="s">
        <v>1</v>
      </c>
      <c r="E68" s="32" t="s">
        <v>3827</v>
      </c>
      <c r="F68" s="32" t="s">
        <v>5051</v>
      </c>
      <c r="G68" s="32" t="s">
        <v>5044</v>
      </c>
      <c r="H68" s="39" t="s">
        <v>5045</v>
      </c>
    </row>
    <row r="69" ht="12.75" customHeight="1">
      <c r="A69" s="32" t="s">
        <v>2211</v>
      </c>
      <c r="B69" s="32" t="s">
        <v>2212</v>
      </c>
      <c r="C69" s="32" t="s">
        <v>2213</v>
      </c>
      <c r="D69" s="2" t="s">
        <v>1</v>
      </c>
      <c r="E69" s="32" t="s">
        <v>3374</v>
      </c>
      <c r="F69" s="32" t="s">
        <v>5066</v>
      </c>
      <c r="G69" s="32" t="s">
        <v>5062</v>
      </c>
      <c r="H69" s="39" t="s">
        <v>5107</v>
      </c>
    </row>
    <row r="70" ht="12.75" customHeight="1">
      <c r="A70" s="32" t="s">
        <v>1977</v>
      </c>
      <c r="B70" s="32" t="s">
        <v>1978</v>
      </c>
      <c r="C70" s="32" t="s">
        <v>1979</v>
      </c>
      <c r="D70" s="2" t="s">
        <v>1</v>
      </c>
      <c r="E70" s="32" t="s">
        <v>3407</v>
      </c>
      <c r="F70" s="32" t="s">
        <v>5066</v>
      </c>
      <c r="G70" s="32" t="s">
        <v>5078</v>
      </c>
      <c r="H70" s="39" t="s">
        <v>5123</v>
      </c>
    </row>
    <row r="71" ht="12.75" customHeight="1">
      <c r="A71" s="32" t="s">
        <v>2009</v>
      </c>
      <c r="B71" s="32" t="s">
        <v>2010</v>
      </c>
      <c r="C71" s="32" t="s">
        <v>2011</v>
      </c>
      <c r="D71" s="2" t="s">
        <v>1</v>
      </c>
      <c r="E71" s="32" t="s">
        <v>2497</v>
      </c>
      <c r="F71" s="32" t="s">
        <v>5051</v>
      </c>
      <c r="G71" s="32" t="s">
        <v>5044</v>
      </c>
      <c r="H71" s="39" t="s">
        <v>5050</v>
      </c>
    </row>
    <row r="72" ht="12.75" customHeight="1">
      <c r="A72" s="32" t="s">
        <v>1342</v>
      </c>
      <c r="B72" s="32" t="s">
        <v>1343</v>
      </c>
      <c r="C72" s="32" t="s">
        <v>1344</v>
      </c>
      <c r="D72" s="2" t="s">
        <v>1</v>
      </c>
      <c r="E72" s="32" t="s">
        <v>2737</v>
      </c>
      <c r="F72" s="32" t="s">
        <v>5051</v>
      </c>
      <c r="G72" s="32" t="s">
        <v>5062</v>
      </c>
      <c r="H72" s="39" t="s">
        <v>5152</v>
      </c>
    </row>
    <row r="73" ht="12.75" customHeight="1">
      <c r="A73" s="32" t="s">
        <v>1966</v>
      </c>
      <c r="B73" s="32" t="s">
        <v>1967</v>
      </c>
      <c r="C73" s="32" t="s">
        <v>1968</v>
      </c>
      <c r="D73" s="2" t="s">
        <v>1</v>
      </c>
      <c r="E73" s="32" t="s">
        <v>2540</v>
      </c>
      <c r="F73" s="32" t="s">
        <v>5051</v>
      </c>
      <c r="G73" s="32" t="s">
        <v>5062</v>
      </c>
      <c r="H73" s="39" t="s">
        <v>5185</v>
      </c>
    </row>
    <row r="74" ht="12.75" customHeight="1">
      <c r="A74" s="32" t="s">
        <v>1971</v>
      </c>
      <c r="B74" s="32" t="s">
        <v>1972</v>
      </c>
      <c r="C74" s="32" t="s">
        <v>1973</v>
      </c>
      <c r="D74" s="2" t="s">
        <v>1</v>
      </c>
      <c r="E74" s="32" t="s">
        <v>2910</v>
      </c>
      <c r="F74" s="32" t="s">
        <v>5066</v>
      </c>
      <c r="G74" s="32" t="s">
        <v>5106</v>
      </c>
      <c r="H74" s="39" t="s">
        <v>5045</v>
      </c>
    </row>
    <row r="75" ht="12.75" customHeight="1">
      <c r="A75" s="32" t="s">
        <v>1910</v>
      </c>
      <c r="B75" s="32" t="s">
        <v>1911</v>
      </c>
      <c r="C75" s="32" t="s">
        <v>1912</v>
      </c>
      <c r="D75" s="2" t="s">
        <v>1</v>
      </c>
      <c r="E75" s="32" t="s">
        <v>3051</v>
      </c>
      <c r="F75" s="2" t="s">
        <v>5262</v>
      </c>
      <c r="G75" s="32" t="s">
        <v>5049</v>
      </c>
      <c r="H75" s="39" t="s">
        <v>5055</v>
      </c>
    </row>
    <row r="76" ht="12.75" customHeight="1">
      <c r="A76" s="32" t="s">
        <v>1694</v>
      </c>
      <c r="B76" s="32" t="s">
        <v>2741</v>
      </c>
      <c r="C76" s="32" t="s">
        <v>1696</v>
      </c>
      <c r="D76" s="2" t="s">
        <v>1</v>
      </c>
      <c r="E76" s="32" t="s">
        <v>2756</v>
      </c>
      <c r="F76" s="32" t="s">
        <v>5051</v>
      </c>
      <c r="G76" s="32" t="s">
        <v>5044</v>
      </c>
      <c r="H76" s="39" t="s">
        <v>5128</v>
      </c>
    </row>
    <row r="77" ht="12.75" customHeight="1">
      <c r="A77" s="32" t="s">
        <v>1710</v>
      </c>
      <c r="B77" s="32" t="s">
        <v>2563</v>
      </c>
      <c r="C77" s="32" t="s">
        <v>1712</v>
      </c>
      <c r="D77" s="2" t="s">
        <v>1</v>
      </c>
      <c r="E77" s="32" t="s">
        <v>2580</v>
      </c>
      <c r="F77" s="2" t="s">
        <v>5262</v>
      </c>
      <c r="G77" s="32" t="s">
        <v>5044</v>
      </c>
      <c r="H77" s="39" t="s">
        <v>5192</v>
      </c>
    </row>
    <row r="78" ht="12.75" customHeight="1">
      <c r="A78" s="32" t="s">
        <v>1512</v>
      </c>
      <c r="B78" s="32" t="s">
        <v>1513</v>
      </c>
      <c r="C78" s="32" t="s">
        <v>1514</v>
      </c>
      <c r="D78" s="2" t="s">
        <v>1</v>
      </c>
      <c r="E78" s="32" t="s">
        <v>2716</v>
      </c>
      <c r="F78" s="2" t="s">
        <v>5262</v>
      </c>
      <c r="G78" s="32" t="s">
        <v>5044</v>
      </c>
      <c r="H78" s="39" t="s">
        <v>5082</v>
      </c>
    </row>
    <row r="79" ht="12.75" customHeight="1">
      <c r="A79" s="32" t="s">
        <v>4795</v>
      </c>
      <c r="B79" s="32" t="s">
        <v>1880</v>
      </c>
      <c r="C79" s="32" t="s">
        <v>1881</v>
      </c>
      <c r="D79" s="2" t="s">
        <v>1</v>
      </c>
      <c r="E79" s="32" t="s">
        <v>4804</v>
      </c>
      <c r="F79" s="32" t="s">
        <v>5043</v>
      </c>
      <c r="G79" s="32" t="s">
        <v>5044</v>
      </c>
      <c r="H79" s="39" t="s">
        <v>5192</v>
      </c>
    </row>
    <row r="80" ht="12.75" customHeight="1">
      <c r="A80" s="32" t="s">
        <v>2161</v>
      </c>
      <c r="B80" s="32" t="s">
        <v>4325</v>
      </c>
      <c r="C80" s="32" t="s">
        <v>2163</v>
      </c>
      <c r="D80" s="2" t="s">
        <v>1</v>
      </c>
      <c r="E80" s="32" t="s">
        <v>4335</v>
      </c>
      <c r="F80" s="32" t="s">
        <v>5048</v>
      </c>
      <c r="G80" s="32" t="s">
        <v>5062</v>
      </c>
      <c r="H80" s="39" t="s">
        <v>5107</v>
      </c>
    </row>
    <row r="81" ht="12.75" customHeight="1">
      <c r="A81" s="32" t="s">
        <v>2222</v>
      </c>
      <c r="B81" s="32" t="s">
        <v>2223</v>
      </c>
      <c r="C81" s="32" t="s">
        <v>2224</v>
      </c>
      <c r="D81" s="2" t="s">
        <v>1</v>
      </c>
      <c r="E81" s="32" t="s">
        <v>4775</v>
      </c>
      <c r="F81" s="32" t="s">
        <v>5048</v>
      </c>
      <c r="G81" s="32" t="s">
        <v>5106</v>
      </c>
      <c r="H81" s="39" t="s">
        <v>5196</v>
      </c>
    </row>
    <row r="82" ht="12.75" customHeight="1">
      <c r="A82" s="32" t="s">
        <v>1594</v>
      </c>
      <c r="B82" s="32" t="s">
        <v>4584</v>
      </c>
      <c r="C82" s="32" t="s">
        <v>1596</v>
      </c>
      <c r="D82" s="2" t="s">
        <v>1</v>
      </c>
      <c r="E82" s="32" t="s">
        <v>4597</v>
      </c>
      <c r="F82" s="32" t="s">
        <v>5048</v>
      </c>
      <c r="G82" s="32" t="s">
        <v>5106</v>
      </c>
      <c r="H82" s="39" t="s">
        <v>5107</v>
      </c>
    </row>
    <row r="83" ht="12.75" customHeight="1">
      <c r="A83" s="32" t="s">
        <v>2602</v>
      </c>
      <c r="B83" s="32" t="s">
        <v>2605</v>
      </c>
      <c r="C83" s="32" t="s">
        <v>2074</v>
      </c>
      <c r="D83" s="2" t="s">
        <v>1</v>
      </c>
      <c r="E83" s="32" t="s">
        <v>2619</v>
      </c>
      <c r="F83" s="2" t="s">
        <v>5262</v>
      </c>
      <c r="G83" s="32" t="s">
        <v>5078</v>
      </c>
      <c r="H83" s="39" t="s">
        <v>5200</v>
      </c>
    </row>
    <row r="84" ht="12.75" customHeight="1">
      <c r="A84" s="32" t="s">
        <v>2255</v>
      </c>
      <c r="B84" s="32" t="s">
        <v>2256</v>
      </c>
      <c r="C84" s="32" t="s">
        <v>2257</v>
      </c>
      <c r="D84" s="2" t="s">
        <v>1</v>
      </c>
      <c r="E84" s="32" t="s">
        <v>4035</v>
      </c>
      <c r="F84" s="32" t="s">
        <v>5066</v>
      </c>
      <c r="G84" s="32" t="s">
        <v>5078</v>
      </c>
      <c r="H84" s="39" t="s">
        <v>5203</v>
      </c>
    </row>
    <row r="85" ht="12.75" customHeight="1">
      <c r="A85" s="32" t="s">
        <v>1651</v>
      </c>
      <c r="B85" s="32" t="s">
        <v>1652</v>
      </c>
      <c r="C85" s="32" t="s">
        <v>1653</v>
      </c>
      <c r="D85" s="2" t="s">
        <v>1</v>
      </c>
      <c r="E85" s="32" t="s">
        <v>3503</v>
      </c>
      <c r="F85" s="32" t="s">
        <v>5066</v>
      </c>
      <c r="G85" s="32" t="s">
        <v>5044</v>
      </c>
      <c r="H85" s="39" t="s">
        <v>5196</v>
      </c>
    </row>
    <row r="86" ht="12.75" customHeight="1">
      <c r="A86" s="32" t="s">
        <v>1705</v>
      </c>
      <c r="B86" s="32" t="s">
        <v>1706</v>
      </c>
      <c r="C86" s="32" t="s">
        <v>1707</v>
      </c>
      <c r="D86" s="2" t="s">
        <v>1</v>
      </c>
      <c r="E86" s="32" t="s">
        <v>3436</v>
      </c>
      <c r="F86" s="2" t="s">
        <v>5262</v>
      </c>
      <c r="G86" s="32" t="s">
        <v>5062</v>
      </c>
      <c r="H86" s="39" t="s">
        <v>5185</v>
      </c>
    </row>
    <row r="87" ht="12.75" customHeight="1">
      <c r="A87" s="32" t="s">
        <v>1890</v>
      </c>
      <c r="B87" s="32" t="s">
        <v>1891</v>
      </c>
      <c r="C87" s="32" t="s">
        <v>1892</v>
      </c>
      <c r="D87" s="2" t="s">
        <v>1</v>
      </c>
      <c r="E87" s="32" t="s">
        <v>4943</v>
      </c>
      <c r="F87" s="32" t="s">
        <v>5066</v>
      </c>
      <c r="G87" s="32" t="s">
        <v>5049</v>
      </c>
      <c r="H87" s="39" t="s">
        <v>5196</v>
      </c>
    </row>
    <row r="88" ht="12.75" customHeight="1">
      <c r="A88" s="32" t="s">
        <v>1786</v>
      </c>
      <c r="B88" s="32" t="s">
        <v>4955</v>
      </c>
      <c r="C88" s="32" t="s">
        <v>1788</v>
      </c>
      <c r="D88" s="2" t="s">
        <v>1</v>
      </c>
      <c r="E88" s="32" t="s">
        <v>4963</v>
      </c>
      <c r="F88" s="32" t="s">
        <v>5051</v>
      </c>
      <c r="G88" s="32" t="s">
        <v>5044</v>
      </c>
      <c r="H88" s="39" t="s">
        <v>5207</v>
      </c>
    </row>
    <row r="89" ht="12.75" customHeight="1">
      <c r="A89" s="32" t="s">
        <v>2019</v>
      </c>
      <c r="B89" s="32" t="s">
        <v>2020</v>
      </c>
      <c r="C89" s="32" t="s">
        <v>2021</v>
      </c>
      <c r="D89" s="2" t="s">
        <v>1</v>
      </c>
      <c r="E89" s="32" t="s">
        <v>4645</v>
      </c>
      <c r="F89" s="32" t="s">
        <v>5051</v>
      </c>
      <c r="G89" s="32" t="s">
        <v>5044</v>
      </c>
      <c r="H89" s="39" t="s">
        <v>5196</v>
      </c>
    </row>
    <row r="90" ht="12.75" customHeight="1">
      <c r="A90" s="32" t="s">
        <v>2105</v>
      </c>
      <c r="B90" s="32" t="s">
        <v>2106</v>
      </c>
      <c r="C90" s="32" t="s">
        <v>2107</v>
      </c>
      <c r="D90" s="2" t="s">
        <v>1</v>
      </c>
      <c r="E90" s="32" t="s">
        <v>3360</v>
      </c>
      <c r="F90" s="32" t="s">
        <v>5043</v>
      </c>
      <c r="G90" s="32" t="s">
        <v>5044</v>
      </c>
      <c r="H90" s="39" t="s">
        <v>5045</v>
      </c>
    </row>
    <row r="91" ht="12.75" customHeight="1">
      <c r="A91" s="32" t="s">
        <v>1622</v>
      </c>
      <c r="B91" s="32" t="s">
        <v>1623</v>
      </c>
      <c r="C91" s="32" t="s">
        <v>1624</v>
      </c>
      <c r="D91" s="2" t="s">
        <v>1</v>
      </c>
      <c r="E91" s="32" t="s">
        <v>4254</v>
      </c>
      <c r="F91" s="32" t="s">
        <v>5066</v>
      </c>
      <c r="G91" s="32" t="s">
        <v>5078</v>
      </c>
      <c r="H91" s="39" t="s">
        <v>5110</v>
      </c>
    </row>
    <row r="92" ht="12.75" customHeight="1">
      <c r="A92" s="32" t="s">
        <v>2387</v>
      </c>
      <c r="B92" s="32" t="s">
        <v>2291</v>
      </c>
      <c r="C92" s="32" t="s">
        <v>2405</v>
      </c>
      <c r="D92" s="2" t="s">
        <v>1</v>
      </c>
      <c r="E92" s="32" t="s">
        <v>2411</v>
      </c>
      <c r="F92" s="2" t="s">
        <v>5262</v>
      </c>
      <c r="G92" s="32" t="s">
        <v>5212</v>
      </c>
      <c r="H92" s="39" t="s">
        <v>5207</v>
      </c>
    </row>
    <row r="93" ht="12.75" customHeight="1">
      <c r="A93" s="32" t="s">
        <v>1732</v>
      </c>
      <c r="B93" s="32" t="s">
        <v>1733</v>
      </c>
      <c r="C93" s="32" t="s">
        <v>1734</v>
      </c>
      <c r="D93" s="2" t="s">
        <v>1</v>
      </c>
      <c r="E93" s="32" t="s">
        <v>3746</v>
      </c>
      <c r="F93" s="32" t="s">
        <v>5066</v>
      </c>
      <c r="G93" s="32" t="s">
        <v>5062</v>
      </c>
      <c r="H93" s="39" t="s">
        <v>5152</v>
      </c>
    </row>
    <row r="94" ht="12.75" customHeight="1">
      <c r="A94" s="32" t="s">
        <v>2155</v>
      </c>
      <c r="B94" s="32" t="s">
        <v>4780</v>
      </c>
      <c r="C94" s="32" t="s">
        <v>2157</v>
      </c>
      <c r="D94" s="2" t="s">
        <v>1</v>
      </c>
      <c r="E94" s="32" t="s">
        <v>4793</v>
      </c>
      <c r="F94" s="2" t="s">
        <v>5263</v>
      </c>
      <c r="G94" s="32" t="s">
        <v>5078</v>
      </c>
      <c r="H94" s="39" t="s">
        <v>5217</v>
      </c>
    </row>
    <row r="95" ht="12.75" customHeight="1">
      <c r="A95" s="32" t="s">
        <v>1748</v>
      </c>
      <c r="B95" s="32" t="s">
        <v>1749</v>
      </c>
      <c r="C95" s="32" t="s">
        <v>1750</v>
      </c>
      <c r="D95" s="2" t="s">
        <v>1</v>
      </c>
      <c r="E95" s="32" t="s">
        <v>2599</v>
      </c>
      <c r="F95" s="2" t="s">
        <v>5263</v>
      </c>
      <c r="G95" s="32" t="s">
        <v>5044</v>
      </c>
      <c r="H95" s="39" t="s">
        <v>5045</v>
      </c>
    </row>
    <row r="96" ht="12.75" customHeight="1">
      <c r="A96" s="32" t="s">
        <v>1874</v>
      </c>
      <c r="B96" s="32" t="s">
        <v>1875</v>
      </c>
      <c r="C96" s="32" t="s">
        <v>1876</v>
      </c>
      <c r="D96" s="2" t="s">
        <v>1</v>
      </c>
      <c r="E96" s="32" t="s">
        <v>4195</v>
      </c>
      <c r="F96" s="2" t="s">
        <v>5262</v>
      </c>
      <c r="G96" s="32" t="s">
        <v>5078</v>
      </c>
      <c r="H96" s="39" t="s">
        <v>5217</v>
      </c>
    </row>
    <row r="97" ht="12.75" customHeight="1">
      <c r="A97" s="32" t="s">
        <v>1683</v>
      </c>
      <c r="B97" s="32" t="s">
        <v>1684</v>
      </c>
      <c r="C97" s="32" t="s">
        <v>1685</v>
      </c>
      <c r="D97" s="2" t="s">
        <v>1</v>
      </c>
      <c r="E97" s="32" t="s">
        <v>3784</v>
      </c>
      <c r="F97" s="32" t="s">
        <v>5051</v>
      </c>
      <c r="G97" s="32" t="s">
        <v>5049</v>
      </c>
      <c r="H97" s="39" t="s">
        <v>5110</v>
      </c>
    </row>
    <row r="98" ht="12.75" customHeight="1">
      <c r="A98" s="32" t="s">
        <v>1931</v>
      </c>
      <c r="B98" s="32" t="s">
        <v>1932</v>
      </c>
      <c r="C98" s="32" t="s">
        <v>1933</v>
      </c>
      <c r="D98" s="2" t="s">
        <v>1</v>
      </c>
      <c r="E98" s="32" t="s">
        <v>3450</v>
      </c>
      <c r="F98" s="32" t="s">
        <v>5051</v>
      </c>
      <c r="G98" s="32" t="s">
        <v>5062</v>
      </c>
      <c r="H98" s="39" t="s">
        <v>5123</v>
      </c>
    </row>
    <row r="99" ht="12.75" customHeight="1">
      <c r="A99" s="32" t="s">
        <v>2121</v>
      </c>
      <c r="B99" s="32" t="s">
        <v>2122</v>
      </c>
      <c r="C99" s="32" t="s">
        <v>2123</v>
      </c>
      <c r="D99" s="2" t="s">
        <v>1</v>
      </c>
      <c r="E99" s="32" t="s">
        <v>4761</v>
      </c>
      <c r="F99" s="32" t="s">
        <v>5051</v>
      </c>
      <c r="G99" s="32" t="s">
        <v>5044</v>
      </c>
      <c r="H99" s="39" t="s">
        <v>5045</v>
      </c>
    </row>
    <row r="100" ht="12.75" customHeight="1">
      <c r="A100" s="32" t="s">
        <v>2099</v>
      </c>
      <c r="B100" s="32" t="s">
        <v>3337</v>
      </c>
      <c r="C100" s="32" t="s">
        <v>2101</v>
      </c>
      <c r="D100" s="2" t="s">
        <v>1</v>
      </c>
      <c r="E100" s="32" t="s">
        <v>3347</v>
      </c>
      <c r="F100" s="32" t="s">
        <v>5066</v>
      </c>
      <c r="G100" s="32" t="s">
        <v>5049</v>
      </c>
      <c r="H100" s="39" t="s">
        <v>5110</v>
      </c>
    </row>
    <row r="101" ht="12.75" customHeight="1">
      <c r="A101" s="32" t="s">
        <v>1541</v>
      </c>
      <c r="B101" s="32" t="s">
        <v>2949</v>
      </c>
      <c r="C101" s="32" t="s">
        <v>1543</v>
      </c>
      <c r="D101" s="2" t="s">
        <v>1</v>
      </c>
      <c r="E101" s="32" t="s">
        <v>2966</v>
      </c>
      <c r="F101" s="32" t="s">
        <v>5066</v>
      </c>
      <c r="G101" s="32" t="s">
        <v>5044</v>
      </c>
      <c r="H101" s="39" t="s">
        <v>5086</v>
      </c>
    </row>
    <row r="102" ht="12.75" customHeight="1">
      <c r="A102" s="32" t="s">
        <v>1758</v>
      </c>
      <c r="B102" s="32" t="s">
        <v>1759</v>
      </c>
      <c r="C102" s="32" t="s">
        <v>1760</v>
      </c>
      <c r="D102" s="2" t="s">
        <v>1</v>
      </c>
      <c r="E102" s="32" t="s">
        <v>4089</v>
      </c>
      <c r="F102" s="32" t="s">
        <v>5043</v>
      </c>
      <c r="G102" s="32" t="s">
        <v>5044</v>
      </c>
      <c r="H102" s="39" t="s">
        <v>5230</v>
      </c>
    </row>
    <row r="103" ht="12.75" customHeight="1">
      <c r="A103" s="32" t="s">
        <v>1764</v>
      </c>
      <c r="B103" s="32" t="s">
        <v>1765</v>
      </c>
      <c r="C103" s="32" t="s">
        <v>1766</v>
      </c>
      <c r="D103" s="2" t="s">
        <v>1</v>
      </c>
      <c r="E103" s="32" t="s">
        <v>4820</v>
      </c>
      <c r="F103" s="32" t="s">
        <v>5051</v>
      </c>
      <c r="G103" s="32" t="s">
        <v>5078</v>
      </c>
      <c r="H103" s="39" t="s">
        <v>5217</v>
      </c>
    </row>
    <row r="104" ht="12.75" customHeight="1">
      <c r="A104" s="32" t="s">
        <v>2216</v>
      </c>
      <c r="B104" s="32" t="s">
        <v>2217</v>
      </c>
      <c r="C104" s="32" t="s">
        <v>2218</v>
      </c>
      <c r="D104" s="2" t="s">
        <v>1</v>
      </c>
      <c r="E104" s="32" t="s">
        <v>3418</v>
      </c>
      <c r="F104" s="32" t="s">
        <v>5048</v>
      </c>
      <c r="G104" s="32" t="s">
        <v>5106</v>
      </c>
      <c r="H104" s="39" t="s">
        <v>5107</v>
      </c>
    </row>
    <row r="105" ht="12.75" customHeight="1">
      <c r="A105" s="32" t="s">
        <v>1770</v>
      </c>
      <c r="B105" s="32" t="s">
        <v>1771</v>
      </c>
      <c r="C105" s="32" t="s">
        <v>1772</v>
      </c>
      <c r="D105" s="2" t="s">
        <v>1</v>
      </c>
      <c r="E105" s="32" t="s">
        <v>3190</v>
      </c>
      <c r="F105" s="32" t="s">
        <v>5051</v>
      </c>
      <c r="G105" s="32" t="s">
        <v>5078</v>
      </c>
      <c r="H105" s="39" t="s">
        <v>5185</v>
      </c>
    </row>
    <row r="106" ht="12.75" customHeight="1">
      <c r="A106" s="32" t="s">
        <v>2060</v>
      </c>
      <c r="B106" s="32" t="s">
        <v>2061</v>
      </c>
      <c r="C106" s="32" t="s">
        <v>2062</v>
      </c>
      <c r="D106" s="2" t="s">
        <v>1</v>
      </c>
      <c r="E106" s="32" t="s">
        <v>3859</v>
      </c>
      <c r="F106" s="32" t="s">
        <v>5043</v>
      </c>
      <c r="G106" s="32" t="s">
        <v>5062</v>
      </c>
      <c r="H106" s="39" t="s">
        <v>5234</v>
      </c>
    </row>
    <row r="107" ht="12.75" customHeight="1">
      <c r="A107" s="32" t="s">
        <v>1412</v>
      </c>
      <c r="B107" s="32" t="s">
        <v>1413</v>
      </c>
      <c r="C107" s="32" t="s">
        <v>1414</v>
      </c>
      <c r="D107" s="2" t="s">
        <v>1</v>
      </c>
      <c r="E107" s="32" t="s">
        <v>4580</v>
      </c>
      <c r="F107" s="32" t="s">
        <v>5066</v>
      </c>
      <c r="G107" s="32" t="s">
        <v>5062</v>
      </c>
      <c r="H107" s="39" t="s">
        <v>5070</v>
      </c>
    </row>
    <row r="108" ht="12.75" customHeight="1">
      <c r="A108" s="32" t="s">
        <v>4838</v>
      </c>
      <c r="B108" s="32" t="s">
        <v>4841</v>
      </c>
      <c r="C108" s="32" t="s">
        <v>2056</v>
      </c>
      <c r="D108" s="2" t="s">
        <v>1</v>
      </c>
      <c r="E108" s="32" t="s">
        <v>4854</v>
      </c>
      <c r="F108" s="32" t="s">
        <v>5066</v>
      </c>
      <c r="G108" s="32" t="s">
        <v>5101</v>
      </c>
      <c r="H108" s="39" t="s">
        <v>5123</v>
      </c>
    </row>
    <row r="109" ht="12.75" customHeight="1">
      <c r="A109" s="32" t="s">
        <v>1937</v>
      </c>
      <c r="B109" s="32" t="s">
        <v>1938</v>
      </c>
      <c r="C109" s="32" t="s">
        <v>1939</v>
      </c>
      <c r="D109" s="2" t="s">
        <v>1</v>
      </c>
      <c r="E109" s="32" t="s">
        <v>2559</v>
      </c>
      <c r="F109" s="32" t="s">
        <v>5051</v>
      </c>
      <c r="G109" s="32" t="s">
        <v>5044</v>
      </c>
      <c r="H109" s="39" t="s">
        <v>5045</v>
      </c>
    </row>
    <row r="110" ht="12.75" customHeight="1">
      <c r="A110" s="32" t="s">
        <v>1668</v>
      </c>
      <c r="B110" s="32" t="s">
        <v>1669</v>
      </c>
      <c r="C110" s="32" t="s">
        <v>1670</v>
      </c>
      <c r="D110" s="2" t="s">
        <v>1</v>
      </c>
      <c r="E110" s="32" t="s">
        <v>3773</v>
      </c>
      <c r="F110" s="2" t="s">
        <v>5262</v>
      </c>
      <c r="G110" s="32" t="s">
        <v>5044</v>
      </c>
      <c r="H110" s="39" t="s">
        <v>5055</v>
      </c>
    </row>
    <row r="111" ht="12.75" customHeight="1">
      <c r="A111" s="32" t="s">
        <v>4921</v>
      </c>
      <c r="B111" s="32" t="s">
        <v>1869</v>
      </c>
      <c r="C111" s="32" t="s">
        <v>1870</v>
      </c>
      <c r="D111" s="2" t="s">
        <v>1</v>
      </c>
      <c r="E111" s="32" t="s">
        <v>4933</v>
      </c>
      <c r="F111" s="32" t="s">
        <v>5051</v>
      </c>
      <c r="G111" s="32" t="s">
        <v>5044</v>
      </c>
      <c r="H111" s="39" t="s">
        <v>5045</v>
      </c>
    </row>
    <row r="112" ht="12.75" customHeight="1">
      <c r="A112" s="32" t="s">
        <v>2115</v>
      </c>
      <c r="B112" s="32" t="s">
        <v>2116</v>
      </c>
      <c r="C112" s="32" t="s">
        <v>2117</v>
      </c>
      <c r="D112" s="2" t="s">
        <v>1</v>
      </c>
      <c r="E112" s="32" t="s">
        <v>4289</v>
      </c>
      <c r="F112" s="2" t="s">
        <v>5262</v>
      </c>
      <c r="G112" s="32" t="s">
        <v>5106</v>
      </c>
      <c r="H112" s="39" t="s">
        <v>5107</v>
      </c>
    </row>
    <row r="113" ht="12.75" customHeight="1">
      <c r="A113" s="32" t="s">
        <v>1988</v>
      </c>
      <c r="B113" s="32" t="s">
        <v>3595</v>
      </c>
      <c r="C113" s="32" t="s">
        <v>1990</v>
      </c>
      <c r="D113" s="2" t="s">
        <v>1</v>
      </c>
      <c r="E113" s="32" t="s">
        <v>3610</v>
      </c>
      <c r="F113" s="2" t="s">
        <v>5262</v>
      </c>
      <c r="G113" s="32" t="s">
        <v>5101</v>
      </c>
      <c r="H113" s="39" t="s">
        <v>5207</v>
      </c>
    </row>
    <row r="114" ht="12.75" customHeight="1">
      <c r="A114" s="32" t="s">
        <v>1646</v>
      </c>
      <c r="B114" s="32" t="s">
        <v>1647</v>
      </c>
      <c r="C114" s="32" t="s">
        <v>1648</v>
      </c>
      <c r="D114" s="2" t="s">
        <v>1</v>
      </c>
      <c r="E114" s="32" t="s">
        <v>2929</v>
      </c>
      <c r="F114" s="32" t="s">
        <v>5048</v>
      </c>
      <c r="G114" s="32" t="s">
        <v>5044</v>
      </c>
      <c r="H114" s="39" t="s">
        <v>5110</v>
      </c>
    </row>
    <row r="115" ht="12.75" customHeight="1">
      <c r="A115" s="32" t="s">
        <v>2206</v>
      </c>
      <c r="B115" s="32" t="s">
        <v>3243</v>
      </c>
      <c r="C115" s="32" t="s">
        <v>2208</v>
      </c>
      <c r="D115" s="2" t="s">
        <v>1</v>
      </c>
      <c r="E115" s="32" t="s">
        <v>3259</v>
      </c>
      <c r="F115" s="32" t="s">
        <v>5066</v>
      </c>
      <c r="G115" s="32" t="s">
        <v>5044</v>
      </c>
      <c r="H115" s="39" t="s">
        <v>5050</v>
      </c>
    </row>
    <row r="116" ht="12.75" customHeight="1">
      <c r="A116" s="32" t="s">
        <v>1753</v>
      </c>
      <c r="B116" s="32" t="s">
        <v>1754</v>
      </c>
      <c r="C116" s="32" t="s">
        <v>1755</v>
      </c>
      <c r="D116" s="2" t="s">
        <v>1</v>
      </c>
      <c r="E116" s="32" t="s">
        <v>2634</v>
      </c>
      <c r="F116" s="32" t="s">
        <v>5051</v>
      </c>
      <c r="G116" s="32" t="s">
        <v>5049</v>
      </c>
      <c r="H116" s="39" t="s">
        <v>5192</v>
      </c>
    </row>
    <row r="117" ht="12.75" customHeight="1">
      <c r="A117" s="32" t="s">
        <v>2037</v>
      </c>
      <c r="B117" s="32" t="s">
        <v>2038</v>
      </c>
      <c r="C117" s="32" t="s">
        <v>2039</v>
      </c>
      <c r="D117" s="2" t="s">
        <v>1</v>
      </c>
      <c r="E117" s="32" t="s">
        <v>3389</v>
      </c>
      <c r="F117" s="32" t="s">
        <v>5066</v>
      </c>
      <c r="G117" s="32" t="s">
        <v>5062</v>
      </c>
      <c r="H117" s="39" t="s">
        <v>5070</v>
      </c>
    </row>
    <row r="118" ht="12.75" customHeight="1">
      <c r="A118" s="32" t="s">
        <v>1982</v>
      </c>
      <c r="B118" s="32" t="s">
        <v>1983</v>
      </c>
      <c r="C118" s="32" t="s">
        <v>1984</v>
      </c>
      <c r="D118" s="2" t="s">
        <v>1</v>
      </c>
      <c r="E118" s="32" t="s">
        <v>4159</v>
      </c>
      <c r="F118" s="32" t="s">
        <v>5043</v>
      </c>
      <c r="G118" s="32" t="s">
        <v>5078</v>
      </c>
      <c r="H118" s="39" t="s">
        <v>5070</v>
      </c>
    </row>
    <row r="119" ht="12.75" customHeight="1">
      <c r="A119" s="32" t="s">
        <v>1576</v>
      </c>
      <c r="B119" s="32" t="s">
        <v>1577</v>
      </c>
      <c r="C119" s="32" t="s">
        <v>1578</v>
      </c>
      <c r="D119" s="2" t="s">
        <v>1</v>
      </c>
      <c r="E119" s="32" t="s">
        <v>4077</v>
      </c>
      <c r="F119" s="32" t="s">
        <v>5051</v>
      </c>
      <c r="G119" s="32" t="s">
        <v>5078</v>
      </c>
      <c r="H119" s="39" t="s">
        <v>5248</v>
      </c>
    </row>
    <row r="120" ht="12.75" customHeight="1">
      <c r="A120" s="32" t="s">
        <v>1825</v>
      </c>
      <c r="B120" s="32" t="s">
        <v>1826</v>
      </c>
      <c r="C120" s="32" t="s">
        <v>1827</v>
      </c>
      <c r="D120" s="2" t="s">
        <v>1</v>
      </c>
      <c r="E120" s="32" t="s">
        <v>4952</v>
      </c>
      <c r="F120" s="32" t="s">
        <v>5051</v>
      </c>
      <c r="G120" s="32" t="s">
        <v>5044</v>
      </c>
      <c r="H120" s="39" t="s">
        <v>5192</v>
      </c>
    </row>
    <row r="121" ht="12.75" customHeight="1">
      <c r="A121" s="32" t="s">
        <v>1438</v>
      </c>
      <c r="B121" s="32" t="s">
        <v>1439</v>
      </c>
      <c r="C121" s="32" t="s">
        <v>1440</v>
      </c>
      <c r="D121" s="2" t="s">
        <v>1</v>
      </c>
      <c r="E121" s="32" t="s">
        <v>3549</v>
      </c>
      <c r="F121" s="32" t="s">
        <v>5048</v>
      </c>
      <c r="G121" s="32" t="s">
        <v>5106</v>
      </c>
      <c r="H121" s="39" t="s">
        <v>5107</v>
      </c>
    </row>
    <row r="122" ht="12.75" customHeight="1">
      <c r="A122" s="32" t="s">
        <v>2137</v>
      </c>
      <c r="B122" s="32" t="s">
        <v>2138</v>
      </c>
      <c r="C122" s="32" t="s">
        <v>2139</v>
      </c>
      <c r="D122" s="2" t="s">
        <v>1</v>
      </c>
      <c r="E122" s="32" t="s">
        <v>4147</v>
      </c>
      <c r="F122" s="32" t="s">
        <v>5051</v>
      </c>
      <c r="G122" s="32" t="s">
        <v>5044</v>
      </c>
      <c r="H122" s="39" t="s">
        <v>5200</v>
      </c>
    </row>
    <row r="123" ht="12.75" customHeight="1">
      <c r="A123" s="32" t="s">
        <v>1610</v>
      </c>
      <c r="B123" s="32" t="s">
        <v>1611</v>
      </c>
      <c r="C123" s="32" t="s">
        <v>1612</v>
      </c>
      <c r="D123" s="2" t="s">
        <v>1</v>
      </c>
      <c r="E123" s="32" t="s">
        <v>4662</v>
      </c>
      <c r="F123" s="2" t="s">
        <v>5262</v>
      </c>
      <c r="G123" s="32" t="s">
        <v>5044</v>
      </c>
      <c r="H123" s="39" t="s">
        <v>5045</v>
      </c>
    </row>
    <row r="124" ht="12.75" customHeight="1">
      <c r="A124" s="32" t="s">
        <v>2014</v>
      </c>
      <c r="B124" s="32" t="s">
        <v>2015</v>
      </c>
      <c r="C124" s="32" t="s">
        <v>2016</v>
      </c>
      <c r="D124" s="2" t="s">
        <v>1</v>
      </c>
      <c r="E124" s="32" t="s">
        <v>3896</v>
      </c>
      <c r="F124" s="32" t="s">
        <v>5051</v>
      </c>
      <c r="G124" s="32" t="s">
        <v>5044</v>
      </c>
      <c r="H124" s="39" t="s">
        <v>5050</v>
      </c>
    </row>
    <row r="125" ht="12.75" customHeight="1">
      <c r="A125" s="32" t="s">
        <v>1478</v>
      </c>
      <c r="B125" s="32" t="s">
        <v>1479</v>
      </c>
      <c r="C125" s="32" t="s">
        <v>1480</v>
      </c>
      <c r="D125" s="2" t="s">
        <v>1</v>
      </c>
      <c r="E125" s="32" t="s">
        <v>2432</v>
      </c>
      <c r="F125" s="32" t="s">
        <v>5043</v>
      </c>
      <c r="G125" s="32" t="s">
        <v>5044</v>
      </c>
      <c r="H125" s="39" t="s">
        <v>5045</v>
      </c>
    </row>
    <row r="126" ht="12.75" customHeight="1">
      <c r="A126" s="32" t="s">
        <v>1484</v>
      </c>
      <c r="B126" s="32" t="s">
        <v>1485</v>
      </c>
      <c r="C126" s="32" t="s">
        <v>1486</v>
      </c>
      <c r="D126" s="2" t="s">
        <v>1</v>
      </c>
      <c r="E126" s="32" t="s">
        <v>4570</v>
      </c>
      <c r="F126" s="2" t="s">
        <v>5262</v>
      </c>
      <c r="G126" s="32" t="s">
        <v>5062</v>
      </c>
      <c r="H126" s="39" t="s">
        <v>5050</v>
      </c>
    </row>
    <row r="127" ht="12.75" customHeight="1">
      <c r="A127" s="32" t="s">
        <v>1420</v>
      </c>
      <c r="B127" s="32" t="s">
        <v>1421</v>
      </c>
      <c r="C127" s="32" t="s">
        <v>1422</v>
      </c>
      <c r="D127" s="2" t="s">
        <v>1</v>
      </c>
      <c r="E127" s="32" t="s">
        <v>4718</v>
      </c>
      <c r="F127" s="32" t="s">
        <v>5051</v>
      </c>
      <c r="G127" s="32" t="s">
        <v>5062</v>
      </c>
      <c r="H127" s="39" t="s">
        <v>5070</v>
      </c>
    </row>
    <row r="128" ht="12.75" customHeight="1">
      <c r="A128" s="32" t="s">
        <v>1564</v>
      </c>
      <c r="B128" s="32" t="s">
        <v>1565</v>
      </c>
      <c r="C128" s="32" t="s">
        <v>1566</v>
      </c>
      <c r="D128" s="2" t="s">
        <v>1</v>
      </c>
      <c r="E128" s="32" t="s">
        <v>4022</v>
      </c>
      <c r="F128" s="32" t="s">
        <v>5066</v>
      </c>
      <c r="G128" s="32" t="s">
        <v>5044</v>
      </c>
      <c r="H128" s="39" t="s">
        <v>5070</v>
      </c>
    </row>
    <row r="129" ht="12.75" customHeight="1">
      <c r="A129" s="32" t="s">
        <v>1796</v>
      </c>
      <c r="B129" s="32" t="s">
        <v>1797</v>
      </c>
      <c r="C129" s="32" t="s">
        <v>1798</v>
      </c>
      <c r="D129" s="2" t="s">
        <v>1</v>
      </c>
      <c r="E129" s="32" t="s">
        <v>2880</v>
      </c>
      <c r="F129" s="32" t="s">
        <v>5048</v>
      </c>
      <c r="G129" s="32" t="s">
        <v>5078</v>
      </c>
      <c r="H129" s="39" t="s">
        <v>5055</v>
      </c>
    </row>
    <row r="130" ht="12.75" customHeight="1">
      <c r="H130" s="39"/>
    </row>
    <row r="131" ht="12.75" customHeight="1">
      <c r="H131" s="39"/>
    </row>
    <row r="132" ht="12.75" customHeight="1">
      <c r="H132" s="39"/>
    </row>
    <row r="133" ht="12.75" customHeight="1">
      <c r="H133" s="39"/>
    </row>
    <row r="134" ht="12.75" customHeight="1">
      <c r="H134" s="39"/>
    </row>
    <row r="135" ht="12.75" customHeight="1">
      <c r="H135" s="39"/>
    </row>
    <row r="136" ht="12.75" customHeight="1">
      <c r="H136" s="39"/>
    </row>
    <row r="137" ht="12.75" customHeight="1">
      <c r="H137" s="39"/>
    </row>
    <row r="138" ht="12.75" customHeight="1">
      <c r="H138" s="39"/>
    </row>
    <row r="139" ht="12.75" customHeight="1">
      <c r="H139" s="39"/>
    </row>
    <row r="140" ht="12.75" customHeight="1">
      <c r="H140" s="39"/>
    </row>
    <row r="141" ht="12.75" customHeight="1">
      <c r="H141" s="39"/>
    </row>
    <row r="142" ht="12.75" customHeight="1">
      <c r="H142" s="39"/>
    </row>
    <row r="143" ht="12.75" customHeight="1">
      <c r="H143" s="39"/>
    </row>
    <row r="144" ht="12.75" customHeight="1">
      <c r="H144" s="39"/>
    </row>
    <row r="145" ht="12.75" customHeight="1">
      <c r="H145" s="39"/>
    </row>
    <row r="146" ht="12.75" customHeight="1">
      <c r="H146" s="39"/>
    </row>
    <row r="147" ht="12.75" customHeight="1">
      <c r="H147" s="39"/>
    </row>
    <row r="148" ht="12.75" customHeight="1">
      <c r="H148" s="39"/>
    </row>
    <row r="149" ht="12.75" customHeight="1">
      <c r="H149" s="39"/>
    </row>
    <row r="150" ht="12.75" customHeight="1">
      <c r="H150" s="39"/>
    </row>
    <row r="151" ht="12.75" customHeight="1">
      <c r="H151" s="39"/>
    </row>
    <row r="152" ht="12.75" customHeight="1">
      <c r="H152" s="39"/>
    </row>
    <row r="153" ht="12.75" customHeight="1">
      <c r="H153" s="39"/>
    </row>
    <row r="154" ht="12.75" customHeight="1">
      <c r="H154" s="39"/>
    </row>
    <row r="155" ht="12.75" customHeight="1">
      <c r="H155" s="39"/>
    </row>
    <row r="156" ht="12.75" customHeight="1">
      <c r="H156" s="39"/>
    </row>
    <row r="157" ht="12.75" customHeight="1">
      <c r="H157" s="39"/>
    </row>
    <row r="158" ht="12.75" customHeight="1">
      <c r="H158" s="39"/>
    </row>
    <row r="159" ht="12.75" customHeight="1">
      <c r="H159" s="39"/>
    </row>
    <row r="160" ht="12.75" customHeight="1">
      <c r="H160" s="39"/>
    </row>
    <row r="161" ht="12.75" customHeight="1">
      <c r="H161" s="39"/>
    </row>
    <row r="162" ht="12.75" customHeight="1">
      <c r="H162" s="39"/>
    </row>
    <row r="163" ht="12.75" customHeight="1">
      <c r="H163" s="39"/>
    </row>
    <row r="164" ht="12.75" customHeight="1">
      <c r="H164" s="39"/>
    </row>
    <row r="165" ht="12.75" customHeight="1">
      <c r="H165" s="39"/>
    </row>
    <row r="166" ht="12.75" customHeight="1">
      <c r="H166" s="39"/>
    </row>
    <row r="167" ht="12.75" customHeight="1">
      <c r="H167" s="39"/>
    </row>
    <row r="168" ht="12.75" customHeight="1">
      <c r="H168" s="39"/>
    </row>
    <row r="169" ht="12.75" customHeight="1">
      <c r="H169" s="39"/>
    </row>
    <row r="170" ht="12.75" customHeight="1">
      <c r="H170" s="39"/>
    </row>
    <row r="171" ht="12.75" customHeight="1">
      <c r="H171" s="39"/>
    </row>
    <row r="172" ht="12.75" customHeight="1">
      <c r="H172" s="39"/>
    </row>
    <row r="173" ht="12.75" customHeight="1">
      <c r="H173" s="39"/>
    </row>
    <row r="174" ht="12.75" customHeight="1">
      <c r="H174" s="39"/>
    </row>
    <row r="175" ht="12.75" customHeight="1">
      <c r="H175" s="39"/>
    </row>
    <row r="176" ht="12.75" customHeight="1">
      <c r="H176" s="39"/>
    </row>
    <row r="177" ht="12.75" customHeight="1">
      <c r="H177" s="39"/>
    </row>
    <row r="178" ht="12.75" customHeight="1">
      <c r="H178" s="39"/>
    </row>
    <row r="179" ht="12.75" customHeight="1">
      <c r="H179" s="39"/>
    </row>
    <row r="180" ht="12.75" customHeight="1">
      <c r="H180" s="39"/>
    </row>
    <row r="181" ht="12.75" customHeight="1">
      <c r="H181" s="39"/>
    </row>
    <row r="182" ht="12.75" customHeight="1">
      <c r="H182" s="39"/>
    </row>
    <row r="183" ht="12.75" customHeight="1">
      <c r="H183" s="39"/>
    </row>
    <row r="184" ht="12.75" customHeight="1">
      <c r="H184" s="39"/>
    </row>
    <row r="185" ht="12.75" customHeight="1">
      <c r="H185" s="39"/>
    </row>
    <row r="186" ht="12.75" customHeight="1">
      <c r="H186" s="39"/>
    </row>
    <row r="187" ht="12.75" customHeight="1">
      <c r="H187" s="39"/>
    </row>
    <row r="188" ht="12.75" customHeight="1">
      <c r="H188" s="39"/>
    </row>
    <row r="189" ht="12.75" customHeight="1">
      <c r="H189" s="39"/>
    </row>
    <row r="190" ht="12.75" customHeight="1">
      <c r="H190" s="39"/>
    </row>
    <row r="191" ht="12.75" customHeight="1">
      <c r="H191" s="39"/>
    </row>
    <row r="192" ht="12.75" customHeight="1">
      <c r="H192" s="39"/>
    </row>
    <row r="193" ht="12.75" customHeight="1">
      <c r="H193" s="39"/>
    </row>
    <row r="194" ht="12.75" customHeight="1">
      <c r="H194" s="39"/>
    </row>
    <row r="195" ht="12.75" customHeight="1">
      <c r="H195" s="39"/>
    </row>
    <row r="196" ht="12.75" customHeight="1">
      <c r="H196" s="39"/>
    </row>
    <row r="197" ht="12.75" customHeight="1">
      <c r="H197" s="39"/>
    </row>
    <row r="198" ht="12.75" customHeight="1">
      <c r="H198" s="39"/>
    </row>
    <row r="199" ht="12.75" customHeight="1">
      <c r="H199" s="39"/>
    </row>
    <row r="200" ht="12.75" customHeight="1">
      <c r="H200" s="39"/>
    </row>
    <row r="201" ht="12.75" customHeight="1">
      <c r="H201" s="39"/>
    </row>
    <row r="202" ht="12.75" customHeight="1">
      <c r="H202" s="39"/>
    </row>
    <row r="203" ht="12.75" customHeight="1">
      <c r="H203" s="39"/>
    </row>
    <row r="204" ht="12.75" customHeight="1">
      <c r="H204" s="39"/>
    </row>
    <row r="205" ht="12.75" customHeight="1">
      <c r="H205" s="39"/>
    </row>
    <row r="206" ht="12.75" customHeight="1">
      <c r="H206" s="39"/>
    </row>
    <row r="207" ht="12.75" customHeight="1">
      <c r="H207" s="39"/>
    </row>
    <row r="208" ht="12.75" customHeight="1">
      <c r="H208" s="39"/>
    </row>
    <row r="209" ht="12.75" customHeight="1">
      <c r="H209" s="39"/>
    </row>
    <row r="210" ht="12.75" customHeight="1">
      <c r="H210" s="39"/>
    </row>
    <row r="211" ht="12.75" customHeight="1">
      <c r="H211" s="39"/>
    </row>
    <row r="212" ht="12.75" customHeight="1">
      <c r="H212" s="39"/>
    </row>
    <row r="213" ht="12.75" customHeight="1">
      <c r="H213" s="39"/>
    </row>
    <row r="214" ht="12.75" customHeight="1">
      <c r="H214" s="39"/>
    </row>
    <row r="215" ht="12.75" customHeight="1">
      <c r="H215" s="39"/>
    </row>
    <row r="216" ht="12.75" customHeight="1">
      <c r="H216" s="39"/>
    </row>
    <row r="217" ht="12.75" customHeight="1">
      <c r="H217" s="39"/>
    </row>
    <row r="218" ht="12.75" customHeight="1">
      <c r="H218" s="39"/>
    </row>
    <row r="219" ht="12.75" customHeight="1">
      <c r="H219" s="39"/>
    </row>
    <row r="220" ht="12.75" customHeight="1">
      <c r="H220" s="39"/>
    </row>
    <row r="221" ht="12.75" customHeight="1">
      <c r="H221" s="39"/>
    </row>
    <row r="222" ht="12.75" customHeight="1">
      <c r="H222" s="39"/>
    </row>
    <row r="223" ht="12.75" customHeight="1">
      <c r="H223" s="39"/>
    </row>
    <row r="224" ht="12.75" customHeight="1">
      <c r="H224" s="39"/>
    </row>
    <row r="225" ht="12.75" customHeight="1">
      <c r="H225" s="39"/>
    </row>
    <row r="226" ht="12.75" customHeight="1">
      <c r="H226" s="39"/>
    </row>
    <row r="227" ht="12.75" customHeight="1">
      <c r="H227" s="39"/>
    </row>
    <row r="228" ht="12.75" customHeight="1">
      <c r="H228" s="39"/>
    </row>
    <row r="229" ht="12.75" customHeight="1">
      <c r="H229" s="39"/>
    </row>
    <row r="230" ht="12.75" customHeight="1">
      <c r="H230" s="39"/>
    </row>
    <row r="231" ht="12.75" customHeight="1">
      <c r="H231" s="39"/>
    </row>
    <row r="232" ht="12.75" customHeight="1">
      <c r="H232" s="39"/>
    </row>
    <row r="233" ht="12.75" customHeight="1">
      <c r="H233" s="39"/>
    </row>
    <row r="234" ht="12.75" customHeight="1">
      <c r="H234" s="39"/>
    </row>
    <row r="235" ht="12.75" customHeight="1">
      <c r="H235" s="39"/>
    </row>
    <row r="236" ht="12.75" customHeight="1">
      <c r="H236" s="39"/>
    </row>
    <row r="237" ht="12.75" customHeight="1">
      <c r="H237" s="39"/>
    </row>
    <row r="238" ht="12.75" customHeight="1">
      <c r="H238" s="39"/>
    </row>
    <row r="239" ht="12.75" customHeight="1">
      <c r="H239" s="39"/>
    </row>
    <row r="240" ht="12.75" customHeight="1">
      <c r="H240" s="39"/>
    </row>
    <row r="241" ht="12.75" customHeight="1">
      <c r="H241" s="39"/>
    </row>
    <row r="242" ht="12.75" customHeight="1">
      <c r="H242" s="39"/>
    </row>
    <row r="243" ht="12.75" customHeight="1">
      <c r="H243" s="39"/>
    </row>
    <row r="244" ht="12.75" customHeight="1">
      <c r="H244" s="39"/>
    </row>
    <row r="245" ht="12.75" customHeight="1">
      <c r="H245" s="39"/>
    </row>
    <row r="246" ht="12.75" customHeight="1">
      <c r="H246" s="39"/>
    </row>
    <row r="247" ht="12.75" customHeight="1">
      <c r="H247" s="39"/>
    </row>
    <row r="248" ht="12.75" customHeight="1">
      <c r="H248" s="39"/>
    </row>
    <row r="249" ht="12.75" customHeight="1">
      <c r="H249" s="39"/>
    </row>
    <row r="250" ht="12.75" customHeight="1">
      <c r="H250" s="39"/>
    </row>
    <row r="251" ht="12.75" customHeight="1">
      <c r="H251" s="39"/>
    </row>
    <row r="252" ht="12.75" customHeight="1">
      <c r="H252" s="39"/>
    </row>
    <row r="253" ht="12.75" customHeight="1">
      <c r="H253" s="39"/>
    </row>
    <row r="254" ht="12.75" customHeight="1">
      <c r="H254" s="39"/>
    </row>
    <row r="255" ht="12.75" customHeight="1">
      <c r="H255" s="39"/>
    </row>
    <row r="256" ht="12.75" customHeight="1">
      <c r="H256" s="39"/>
    </row>
    <row r="257" ht="12.75" customHeight="1">
      <c r="H257" s="39"/>
    </row>
    <row r="258" ht="12.75" customHeight="1">
      <c r="H258" s="39"/>
    </row>
    <row r="259" ht="12.75" customHeight="1">
      <c r="H259" s="39"/>
    </row>
    <row r="260" ht="12.75" customHeight="1">
      <c r="H260" s="39"/>
    </row>
    <row r="261" ht="12.75" customHeight="1">
      <c r="H261" s="39"/>
    </row>
    <row r="262" ht="12.75" customHeight="1">
      <c r="H262" s="39"/>
    </row>
    <row r="263" ht="12.75" customHeight="1">
      <c r="H263" s="39"/>
    </row>
    <row r="264" ht="12.75" customHeight="1">
      <c r="H264" s="39"/>
    </row>
    <row r="265" ht="12.75" customHeight="1">
      <c r="H265" s="39"/>
    </row>
    <row r="266" ht="12.75" customHeight="1">
      <c r="H266" s="39"/>
    </row>
    <row r="267" ht="12.75" customHeight="1">
      <c r="H267" s="39"/>
    </row>
    <row r="268" ht="12.75" customHeight="1">
      <c r="H268" s="39"/>
    </row>
    <row r="269" ht="12.75" customHeight="1">
      <c r="H269" s="39"/>
    </row>
    <row r="270" ht="12.75" customHeight="1">
      <c r="H270" s="39"/>
    </row>
    <row r="271" ht="12.75" customHeight="1">
      <c r="H271" s="39"/>
    </row>
    <row r="272" ht="12.75" customHeight="1">
      <c r="H272" s="39"/>
    </row>
    <row r="273" ht="12.75" customHeight="1">
      <c r="H273" s="39"/>
    </row>
    <row r="274" ht="12.75" customHeight="1">
      <c r="H274" s="39"/>
    </row>
    <row r="275" ht="12.75" customHeight="1">
      <c r="H275" s="39"/>
    </row>
    <row r="276" ht="12.75" customHeight="1">
      <c r="H276" s="39"/>
    </row>
    <row r="277" ht="12.75" customHeight="1">
      <c r="H277" s="39"/>
    </row>
    <row r="278" ht="12.75" customHeight="1">
      <c r="H278" s="39"/>
    </row>
    <row r="279" ht="12.75" customHeight="1">
      <c r="H279" s="39"/>
    </row>
    <row r="280" ht="12.75" customHeight="1">
      <c r="H280" s="39"/>
    </row>
    <row r="281" ht="12.75" customHeight="1">
      <c r="H281" s="39"/>
    </row>
    <row r="282" ht="12.75" customHeight="1">
      <c r="H282" s="39"/>
    </row>
    <row r="283" ht="12.75" customHeight="1">
      <c r="H283" s="39"/>
    </row>
    <row r="284" ht="12.75" customHeight="1">
      <c r="H284" s="39"/>
    </row>
    <row r="285" ht="12.75" customHeight="1">
      <c r="H285" s="39"/>
    </row>
    <row r="286" ht="12.75" customHeight="1">
      <c r="H286" s="39"/>
    </row>
    <row r="287" ht="12.75" customHeight="1">
      <c r="H287" s="39"/>
    </row>
    <row r="288" ht="12.75" customHeight="1">
      <c r="H288" s="39"/>
    </row>
    <row r="289" ht="12.75" customHeight="1">
      <c r="H289" s="39"/>
    </row>
    <row r="290" ht="12.75" customHeight="1">
      <c r="H290" s="39"/>
    </row>
    <row r="291" ht="12.75" customHeight="1">
      <c r="H291" s="39"/>
    </row>
    <row r="292" ht="12.75" customHeight="1">
      <c r="H292" s="39"/>
    </row>
    <row r="293" ht="12.75" customHeight="1">
      <c r="H293" s="39"/>
    </row>
    <row r="294" ht="12.75" customHeight="1">
      <c r="H294" s="39"/>
    </row>
    <row r="295" ht="12.75" customHeight="1">
      <c r="H295" s="39"/>
    </row>
    <row r="296" ht="12.75" customHeight="1">
      <c r="H296" s="39"/>
    </row>
    <row r="297" ht="12.75" customHeight="1">
      <c r="H297" s="39"/>
    </row>
    <row r="298" ht="12.75" customHeight="1">
      <c r="H298" s="39"/>
    </row>
    <row r="299" ht="12.75" customHeight="1">
      <c r="H299" s="39"/>
    </row>
    <row r="300" ht="12.75" customHeight="1">
      <c r="H300" s="39"/>
    </row>
    <row r="301" ht="12.75" customHeight="1">
      <c r="H301" s="39"/>
    </row>
    <row r="302" ht="12.75" customHeight="1">
      <c r="H302" s="39"/>
    </row>
    <row r="303" ht="12.75" customHeight="1">
      <c r="H303" s="39"/>
    </row>
    <row r="304" ht="12.75" customHeight="1">
      <c r="H304" s="39"/>
    </row>
    <row r="305" ht="12.75" customHeight="1">
      <c r="H305" s="39"/>
    </row>
    <row r="306" ht="12.75" customHeight="1">
      <c r="H306" s="39"/>
    </row>
    <row r="307" ht="12.75" customHeight="1">
      <c r="H307" s="39"/>
    </row>
    <row r="308" ht="12.75" customHeight="1">
      <c r="H308" s="39"/>
    </row>
    <row r="309" ht="12.75" customHeight="1">
      <c r="H309" s="39"/>
    </row>
    <row r="310" ht="12.75" customHeight="1">
      <c r="H310" s="39"/>
    </row>
    <row r="311" ht="12.75" customHeight="1">
      <c r="H311" s="39"/>
    </row>
    <row r="312" ht="12.75" customHeight="1">
      <c r="H312" s="39"/>
    </row>
    <row r="313" ht="12.75" customHeight="1">
      <c r="H313" s="39"/>
    </row>
    <row r="314" ht="12.75" customHeight="1">
      <c r="H314" s="39"/>
    </row>
    <row r="315" ht="12.75" customHeight="1">
      <c r="H315" s="39"/>
    </row>
    <row r="316" ht="12.75" customHeight="1">
      <c r="H316" s="39"/>
    </row>
    <row r="317" ht="12.75" customHeight="1">
      <c r="H317" s="39"/>
    </row>
    <row r="318" ht="12.75" customHeight="1">
      <c r="H318" s="39"/>
    </row>
    <row r="319" ht="12.75" customHeight="1">
      <c r="H319" s="39"/>
    </row>
    <row r="320" ht="12.75" customHeight="1">
      <c r="H320" s="39"/>
    </row>
    <row r="321" ht="12.75" customHeight="1">
      <c r="H321" s="39"/>
    </row>
    <row r="322" ht="12.75" customHeight="1">
      <c r="H322" s="39"/>
    </row>
    <row r="323" ht="12.75" customHeight="1">
      <c r="H323" s="39"/>
    </row>
    <row r="324" ht="12.75" customHeight="1">
      <c r="H324" s="39"/>
    </row>
    <row r="325" ht="12.75" customHeight="1">
      <c r="H325" s="39"/>
    </row>
    <row r="326" ht="12.75" customHeight="1">
      <c r="H326" s="39"/>
    </row>
    <row r="327" ht="12.75" customHeight="1">
      <c r="H327" s="39"/>
    </row>
    <row r="328" ht="12.75" customHeight="1">
      <c r="H328" s="39"/>
    </row>
    <row r="329" ht="12.75" customHeight="1">
      <c r="H329" s="39"/>
    </row>
    <row r="330" ht="12.75" customHeight="1">
      <c r="H330" s="39"/>
    </row>
    <row r="331" ht="12.75" customHeight="1">
      <c r="H331" s="39"/>
    </row>
    <row r="332" ht="12.75" customHeight="1">
      <c r="H332" s="39"/>
    </row>
    <row r="333" ht="12.75" customHeight="1">
      <c r="H333" s="39"/>
    </row>
    <row r="334" ht="12.75" customHeight="1">
      <c r="H334" s="39"/>
    </row>
    <row r="335" ht="12.75" customHeight="1">
      <c r="H335" s="39"/>
    </row>
    <row r="336" ht="12.75" customHeight="1">
      <c r="H336" s="39"/>
    </row>
    <row r="337" ht="12.75" customHeight="1">
      <c r="H337" s="39"/>
    </row>
    <row r="338" ht="12.75" customHeight="1">
      <c r="H338" s="39"/>
    </row>
    <row r="339" ht="12.75" customHeight="1">
      <c r="H339" s="39"/>
    </row>
    <row r="340" ht="12.75" customHeight="1">
      <c r="H340" s="39"/>
    </row>
    <row r="341" ht="12.75" customHeight="1">
      <c r="H341" s="39"/>
    </row>
    <row r="342" ht="12.75" customHeight="1">
      <c r="H342" s="39"/>
    </row>
    <row r="343" ht="12.75" customHeight="1">
      <c r="H343" s="39"/>
    </row>
    <row r="344" ht="12.75" customHeight="1">
      <c r="H344" s="39"/>
    </row>
    <row r="345" ht="12.75" customHeight="1">
      <c r="H345" s="39"/>
    </row>
    <row r="346" ht="12.75" customHeight="1">
      <c r="H346" s="39"/>
    </row>
    <row r="347" ht="12.75" customHeight="1">
      <c r="H347" s="39"/>
    </row>
    <row r="348" ht="12.75" customHeight="1">
      <c r="H348" s="39"/>
    </row>
    <row r="349" ht="12.75" customHeight="1">
      <c r="H349" s="39"/>
    </row>
    <row r="350" ht="12.75" customHeight="1">
      <c r="H350" s="39"/>
    </row>
    <row r="351" ht="12.75" customHeight="1">
      <c r="H351" s="39"/>
    </row>
    <row r="352" ht="12.75" customHeight="1">
      <c r="H352" s="39"/>
    </row>
    <row r="353" ht="12.75" customHeight="1">
      <c r="H353" s="39"/>
    </row>
    <row r="354" ht="12.75" customHeight="1">
      <c r="H354" s="39"/>
    </row>
    <row r="355" ht="12.75" customHeight="1">
      <c r="H355" s="39"/>
    </row>
    <row r="356" ht="12.75" customHeight="1">
      <c r="H356" s="39"/>
    </row>
    <row r="357" ht="12.75" customHeight="1">
      <c r="H357" s="39"/>
    </row>
    <row r="358" ht="12.75" customHeight="1">
      <c r="H358" s="39"/>
    </row>
    <row r="359" ht="12.75" customHeight="1">
      <c r="H359" s="39"/>
    </row>
    <row r="360" ht="12.75" customHeight="1">
      <c r="H360" s="39"/>
    </row>
    <row r="361" ht="12.75" customHeight="1">
      <c r="H361" s="39"/>
    </row>
    <row r="362" ht="12.75" customHeight="1">
      <c r="H362" s="39"/>
    </row>
    <row r="363" ht="12.75" customHeight="1">
      <c r="H363" s="39"/>
    </row>
    <row r="364" ht="12.75" customHeight="1">
      <c r="H364" s="39"/>
    </row>
    <row r="365" ht="12.75" customHeight="1">
      <c r="H365" s="39"/>
    </row>
    <row r="366" ht="12.75" customHeight="1">
      <c r="H366" s="39"/>
    </row>
    <row r="367" ht="12.75" customHeight="1">
      <c r="H367" s="39"/>
    </row>
    <row r="368" ht="12.75" customHeight="1">
      <c r="H368" s="39"/>
    </row>
    <row r="369" ht="12.75" customHeight="1">
      <c r="H369" s="39"/>
    </row>
    <row r="370" ht="12.75" customHeight="1">
      <c r="H370" s="39"/>
    </row>
    <row r="371" ht="12.75" customHeight="1">
      <c r="H371" s="39"/>
    </row>
    <row r="372" ht="12.75" customHeight="1">
      <c r="H372" s="39"/>
    </row>
    <row r="373" ht="12.75" customHeight="1">
      <c r="H373" s="39"/>
    </row>
    <row r="374" ht="12.75" customHeight="1">
      <c r="H374" s="39"/>
    </row>
    <row r="375" ht="12.75" customHeight="1">
      <c r="H375" s="39"/>
    </row>
    <row r="376" ht="12.75" customHeight="1">
      <c r="H376" s="39"/>
    </row>
    <row r="377" ht="12.75" customHeight="1">
      <c r="H377" s="39"/>
    </row>
    <row r="378" ht="12.75" customHeight="1">
      <c r="H378" s="39"/>
    </row>
    <row r="379" ht="12.75" customHeight="1">
      <c r="H379" s="39"/>
    </row>
    <row r="380" ht="12.75" customHeight="1">
      <c r="H380" s="39"/>
    </row>
    <row r="381" ht="12.75" customHeight="1">
      <c r="H381" s="39"/>
    </row>
    <row r="382" ht="12.75" customHeight="1">
      <c r="H382" s="39"/>
    </row>
    <row r="383" ht="12.75" customHeight="1">
      <c r="H383" s="39"/>
    </row>
    <row r="384" ht="12.75" customHeight="1">
      <c r="H384" s="39"/>
    </row>
    <row r="385" ht="12.75" customHeight="1">
      <c r="H385" s="39"/>
    </row>
    <row r="386" ht="12.75" customHeight="1">
      <c r="H386" s="39"/>
    </row>
    <row r="387" ht="12.75" customHeight="1">
      <c r="H387" s="39"/>
    </row>
    <row r="388" ht="12.75" customHeight="1">
      <c r="H388" s="39"/>
    </row>
    <row r="389" ht="12.75" customHeight="1">
      <c r="H389" s="39"/>
    </row>
    <row r="390" ht="12.75" customHeight="1">
      <c r="H390" s="39"/>
    </row>
    <row r="391" ht="12.75" customHeight="1">
      <c r="H391" s="39"/>
    </row>
    <row r="392" ht="12.75" customHeight="1">
      <c r="H392" s="39"/>
    </row>
    <row r="393" ht="12.75" customHeight="1">
      <c r="H393" s="39"/>
    </row>
    <row r="394" ht="12.75" customHeight="1">
      <c r="H394" s="39"/>
    </row>
    <row r="395" ht="12.75" customHeight="1">
      <c r="H395" s="39"/>
    </row>
    <row r="396" ht="12.75" customHeight="1">
      <c r="H396" s="39"/>
    </row>
    <row r="397" ht="12.75" customHeight="1">
      <c r="H397" s="39"/>
    </row>
    <row r="398" ht="12.75" customHeight="1">
      <c r="H398" s="39"/>
    </row>
    <row r="399" ht="12.75" customHeight="1">
      <c r="H399" s="39"/>
    </row>
    <row r="400" ht="12.75" customHeight="1">
      <c r="H400" s="39"/>
    </row>
    <row r="401" ht="12.75" customHeight="1">
      <c r="H401" s="39"/>
    </row>
    <row r="402" ht="12.75" customHeight="1">
      <c r="H402" s="39"/>
    </row>
    <row r="403" ht="12.75" customHeight="1">
      <c r="H403" s="39"/>
    </row>
    <row r="404" ht="12.75" customHeight="1">
      <c r="H404" s="39"/>
    </row>
    <row r="405" ht="12.75" customHeight="1">
      <c r="H405" s="39"/>
    </row>
    <row r="406" ht="12.75" customHeight="1">
      <c r="H406" s="39"/>
    </row>
    <row r="407" ht="12.75" customHeight="1">
      <c r="H407" s="39"/>
    </row>
    <row r="408" ht="12.75" customHeight="1">
      <c r="H408" s="39"/>
    </row>
    <row r="409" ht="12.75" customHeight="1">
      <c r="H409" s="39"/>
    </row>
    <row r="410" ht="12.75" customHeight="1">
      <c r="H410" s="39"/>
    </row>
    <row r="411" ht="12.75" customHeight="1">
      <c r="H411" s="39"/>
    </row>
    <row r="412" ht="12.75" customHeight="1">
      <c r="H412" s="39"/>
    </row>
    <row r="413" ht="12.75" customHeight="1">
      <c r="H413" s="39"/>
    </row>
    <row r="414" ht="12.75" customHeight="1">
      <c r="H414" s="39"/>
    </row>
    <row r="415" ht="12.75" customHeight="1">
      <c r="H415" s="39"/>
    </row>
    <row r="416" ht="12.75" customHeight="1">
      <c r="H416" s="39"/>
    </row>
    <row r="417" ht="12.75" customHeight="1">
      <c r="H417" s="39"/>
    </row>
    <row r="418" ht="12.75" customHeight="1">
      <c r="H418" s="39"/>
    </row>
    <row r="419" ht="12.75" customHeight="1">
      <c r="H419" s="39"/>
    </row>
    <row r="420" ht="12.75" customHeight="1">
      <c r="H420" s="39"/>
    </row>
    <row r="421" ht="12.75" customHeight="1">
      <c r="H421" s="39"/>
    </row>
    <row r="422" ht="12.75" customHeight="1">
      <c r="H422" s="39"/>
    </row>
    <row r="423" ht="12.75" customHeight="1">
      <c r="H423" s="39"/>
    </row>
    <row r="424" ht="12.75" customHeight="1">
      <c r="H424" s="39"/>
    </row>
    <row r="425" ht="12.75" customHeight="1">
      <c r="H425" s="39"/>
    </row>
    <row r="426" ht="12.75" customHeight="1">
      <c r="H426" s="39"/>
    </row>
    <row r="427" ht="12.75" customHeight="1">
      <c r="H427" s="39"/>
    </row>
    <row r="428" ht="12.75" customHeight="1">
      <c r="H428" s="39"/>
    </row>
    <row r="429" ht="12.75" customHeight="1">
      <c r="H429" s="39"/>
    </row>
    <row r="430" ht="12.75" customHeight="1">
      <c r="H430" s="39"/>
    </row>
    <row r="431" ht="12.75" customHeight="1">
      <c r="H431" s="39"/>
    </row>
    <row r="432" ht="12.75" customHeight="1">
      <c r="H432" s="39"/>
    </row>
    <row r="433" ht="12.75" customHeight="1">
      <c r="H433" s="39"/>
    </row>
    <row r="434" ht="12.75" customHeight="1">
      <c r="H434" s="39"/>
    </row>
    <row r="435" ht="12.75" customHeight="1">
      <c r="H435" s="39"/>
    </row>
    <row r="436" ht="12.75" customHeight="1">
      <c r="H436" s="39"/>
    </row>
    <row r="437" ht="12.75" customHeight="1">
      <c r="H437" s="39"/>
    </row>
    <row r="438" ht="12.75" customHeight="1">
      <c r="H438" s="39"/>
    </row>
    <row r="439" ht="12.75" customHeight="1">
      <c r="H439" s="39"/>
    </row>
    <row r="440" ht="12.75" customHeight="1">
      <c r="H440" s="39"/>
    </row>
    <row r="441" ht="12.75" customHeight="1">
      <c r="H441" s="39"/>
    </row>
    <row r="442" ht="12.75" customHeight="1">
      <c r="H442" s="39"/>
    </row>
    <row r="443" ht="12.75" customHeight="1">
      <c r="H443" s="39"/>
    </row>
    <row r="444" ht="12.75" customHeight="1">
      <c r="H444" s="39"/>
    </row>
    <row r="445" ht="12.75" customHeight="1">
      <c r="H445" s="39"/>
    </row>
    <row r="446" ht="12.75" customHeight="1">
      <c r="H446" s="39"/>
    </row>
    <row r="447" ht="12.75" customHeight="1">
      <c r="H447" s="39"/>
    </row>
    <row r="448" ht="12.75" customHeight="1">
      <c r="H448" s="39"/>
    </row>
    <row r="449" ht="12.75" customHeight="1">
      <c r="H449" s="39"/>
    </row>
    <row r="450" ht="12.75" customHeight="1">
      <c r="H450" s="39"/>
    </row>
    <row r="451" ht="12.75" customHeight="1">
      <c r="H451" s="39"/>
    </row>
    <row r="452" ht="12.75" customHeight="1">
      <c r="H452" s="39"/>
    </row>
    <row r="453" ht="12.75" customHeight="1">
      <c r="H453" s="39"/>
    </row>
    <row r="454" ht="12.75" customHeight="1">
      <c r="H454" s="39"/>
    </row>
    <row r="455" ht="12.75" customHeight="1">
      <c r="H455" s="39"/>
    </row>
    <row r="456" ht="12.75" customHeight="1">
      <c r="H456" s="39"/>
    </row>
    <row r="457" ht="12.75" customHeight="1">
      <c r="H457" s="39"/>
    </row>
    <row r="458" ht="12.75" customHeight="1">
      <c r="H458" s="39"/>
    </row>
    <row r="459" ht="12.75" customHeight="1">
      <c r="H459" s="39"/>
    </row>
    <row r="460" ht="12.75" customHeight="1">
      <c r="H460" s="39"/>
    </row>
    <row r="461" ht="12.75" customHeight="1">
      <c r="H461" s="39"/>
    </row>
    <row r="462" ht="12.75" customHeight="1">
      <c r="H462" s="39"/>
    </row>
    <row r="463" ht="12.75" customHeight="1">
      <c r="H463" s="39"/>
    </row>
    <row r="464" ht="12.75" customHeight="1">
      <c r="H464" s="39"/>
    </row>
    <row r="465" ht="12.75" customHeight="1">
      <c r="H465" s="39"/>
    </row>
    <row r="466" ht="12.75" customHeight="1">
      <c r="H466" s="39"/>
    </row>
    <row r="467" ht="12.75" customHeight="1">
      <c r="H467" s="39"/>
    </row>
    <row r="468" ht="12.75" customHeight="1">
      <c r="H468" s="39"/>
    </row>
    <row r="469" ht="12.75" customHeight="1">
      <c r="H469" s="39"/>
    </row>
    <row r="470" ht="12.75" customHeight="1">
      <c r="H470" s="39"/>
    </row>
    <row r="471" ht="12.75" customHeight="1">
      <c r="H471" s="39"/>
    </row>
    <row r="472" ht="12.75" customHeight="1">
      <c r="H472" s="39"/>
    </row>
    <row r="473" ht="12.75" customHeight="1">
      <c r="H473" s="39"/>
    </row>
    <row r="474" ht="12.75" customHeight="1">
      <c r="H474" s="39"/>
    </row>
    <row r="475" ht="12.75" customHeight="1">
      <c r="H475" s="39"/>
    </row>
    <row r="476" ht="12.75" customHeight="1">
      <c r="H476" s="39"/>
    </row>
    <row r="477" ht="12.75" customHeight="1">
      <c r="H477" s="39"/>
    </row>
    <row r="478" ht="12.75" customHeight="1">
      <c r="H478" s="39"/>
    </row>
    <row r="479" ht="12.75" customHeight="1">
      <c r="H479" s="39"/>
    </row>
    <row r="480" ht="12.75" customHeight="1">
      <c r="H480" s="39"/>
    </row>
    <row r="481" ht="12.75" customHeight="1">
      <c r="H481" s="39"/>
    </row>
    <row r="482" ht="12.75" customHeight="1">
      <c r="H482" s="39"/>
    </row>
    <row r="483" ht="12.75" customHeight="1">
      <c r="H483" s="39"/>
    </row>
    <row r="484" ht="12.75" customHeight="1">
      <c r="H484" s="39"/>
    </row>
    <row r="485" ht="12.75" customHeight="1">
      <c r="H485" s="39"/>
    </row>
    <row r="486" ht="12.75" customHeight="1">
      <c r="H486" s="39"/>
    </row>
    <row r="487" ht="12.75" customHeight="1">
      <c r="H487" s="39"/>
    </row>
    <row r="488" ht="12.75" customHeight="1">
      <c r="H488" s="39"/>
    </row>
    <row r="489" ht="12.75" customHeight="1">
      <c r="H489" s="39"/>
    </row>
    <row r="490" ht="12.75" customHeight="1">
      <c r="H490" s="39"/>
    </row>
    <row r="491" ht="12.75" customHeight="1">
      <c r="H491" s="39"/>
    </row>
    <row r="492" ht="12.75" customHeight="1">
      <c r="H492" s="39"/>
    </row>
    <row r="493" ht="12.75" customHeight="1">
      <c r="H493" s="39"/>
    </row>
    <row r="494" ht="12.75" customHeight="1">
      <c r="H494" s="39"/>
    </row>
    <row r="495" ht="12.75" customHeight="1">
      <c r="H495" s="39"/>
    </row>
    <row r="496" ht="12.75" customHeight="1">
      <c r="H496" s="39"/>
    </row>
    <row r="497" ht="12.75" customHeight="1">
      <c r="H497" s="39"/>
    </row>
    <row r="498" ht="12.75" customHeight="1">
      <c r="H498" s="39"/>
    </row>
    <row r="499" ht="12.75" customHeight="1">
      <c r="H499" s="39"/>
    </row>
    <row r="500" ht="12.75" customHeight="1">
      <c r="H500" s="39"/>
    </row>
    <row r="501" ht="12.75" customHeight="1">
      <c r="H501" s="39"/>
    </row>
    <row r="502" ht="12.75" customHeight="1">
      <c r="H502" s="39"/>
    </row>
    <row r="503" ht="12.75" customHeight="1">
      <c r="H503" s="39"/>
    </row>
    <row r="504" ht="12.75" customHeight="1">
      <c r="H504" s="39"/>
    </row>
    <row r="505" ht="12.75" customHeight="1">
      <c r="H505" s="39"/>
    </row>
    <row r="506" ht="12.75" customHeight="1">
      <c r="H506" s="39"/>
    </row>
    <row r="507" ht="12.75" customHeight="1">
      <c r="H507" s="39"/>
    </row>
    <row r="508" ht="12.75" customHeight="1">
      <c r="H508" s="39"/>
    </row>
    <row r="509" ht="12.75" customHeight="1">
      <c r="H509" s="39"/>
    </row>
    <row r="510" ht="12.75" customHeight="1">
      <c r="H510" s="39"/>
    </row>
    <row r="511" ht="12.75" customHeight="1">
      <c r="H511" s="39"/>
    </row>
    <row r="512" ht="12.75" customHeight="1">
      <c r="H512" s="39"/>
    </row>
    <row r="513" ht="12.75" customHeight="1">
      <c r="H513" s="39"/>
    </row>
    <row r="514" ht="12.75" customHeight="1">
      <c r="H514" s="39"/>
    </row>
    <row r="515" ht="12.75" customHeight="1">
      <c r="H515" s="39"/>
    </row>
    <row r="516" ht="12.75" customHeight="1">
      <c r="H516" s="39"/>
    </row>
    <row r="517" ht="12.75" customHeight="1">
      <c r="H517" s="39"/>
    </row>
    <row r="518" ht="12.75" customHeight="1">
      <c r="H518" s="39"/>
    </row>
    <row r="519" ht="12.75" customHeight="1">
      <c r="H519" s="39"/>
    </row>
    <row r="520" ht="12.75" customHeight="1">
      <c r="H520" s="39"/>
    </row>
    <row r="521" ht="12.75" customHeight="1">
      <c r="H521" s="39"/>
    </row>
    <row r="522" ht="12.75" customHeight="1">
      <c r="H522" s="39"/>
    </row>
    <row r="523" ht="12.75" customHeight="1">
      <c r="H523" s="39"/>
    </row>
    <row r="524" ht="12.75" customHeight="1">
      <c r="H524" s="39"/>
    </row>
    <row r="525" ht="12.75" customHeight="1">
      <c r="H525" s="39"/>
    </row>
    <row r="526" ht="12.75" customHeight="1">
      <c r="H526" s="39"/>
    </row>
    <row r="527" ht="12.75" customHeight="1">
      <c r="H527" s="39"/>
    </row>
    <row r="528" ht="12.75" customHeight="1">
      <c r="H528" s="39"/>
    </row>
    <row r="529" ht="12.75" customHeight="1">
      <c r="H529" s="39"/>
    </row>
    <row r="530" ht="12.75" customHeight="1">
      <c r="H530" s="39"/>
    </row>
    <row r="531" ht="12.75" customHeight="1">
      <c r="H531" s="39"/>
    </row>
    <row r="532" ht="12.75" customHeight="1">
      <c r="H532" s="39"/>
    </row>
    <row r="533" ht="12.75" customHeight="1">
      <c r="H533" s="39"/>
    </row>
    <row r="534" ht="12.75" customHeight="1">
      <c r="H534" s="39"/>
    </row>
    <row r="535" ht="12.75" customHeight="1">
      <c r="H535" s="39"/>
    </row>
    <row r="536" ht="12.75" customHeight="1">
      <c r="H536" s="39"/>
    </row>
    <row r="537" ht="12.75" customHeight="1">
      <c r="H537" s="39"/>
    </row>
    <row r="538" ht="12.75" customHeight="1">
      <c r="H538" s="39"/>
    </row>
    <row r="539" ht="12.75" customHeight="1">
      <c r="H539" s="39"/>
    </row>
    <row r="540" ht="12.75" customHeight="1">
      <c r="H540" s="39"/>
    </row>
    <row r="541" ht="12.75" customHeight="1">
      <c r="H541" s="39"/>
    </row>
    <row r="542" ht="12.75" customHeight="1">
      <c r="H542" s="39"/>
    </row>
    <row r="543" ht="12.75" customHeight="1">
      <c r="H543" s="39"/>
    </row>
    <row r="544" ht="12.75" customHeight="1">
      <c r="H544" s="39"/>
    </row>
    <row r="545" ht="12.75" customHeight="1">
      <c r="H545" s="39"/>
    </row>
    <row r="546" ht="12.75" customHeight="1">
      <c r="H546" s="39"/>
    </row>
    <row r="547" ht="12.75" customHeight="1">
      <c r="H547" s="39"/>
    </row>
    <row r="548" ht="12.75" customHeight="1">
      <c r="H548" s="39"/>
    </row>
    <row r="549" ht="12.75" customHeight="1">
      <c r="H549" s="39"/>
    </row>
    <row r="550" ht="12.75" customHeight="1">
      <c r="H550" s="39"/>
    </row>
    <row r="551" ht="12.75" customHeight="1">
      <c r="H551" s="39"/>
    </row>
    <row r="552" ht="12.75" customHeight="1">
      <c r="H552" s="39"/>
    </row>
    <row r="553" ht="12.75" customHeight="1">
      <c r="H553" s="39"/>
    </row>
    <row r="554" ht="12.75" customHeight="1">
      <c r="H554" s="39"/>
    </row>
    <row r="555" ht="12.75" customHeight="1">
      <c r="H555" s="39"/>
    </row>
    <row r="556" ht="12.75" customHeight="1">
      <c r="H556" s="39"/>
    </row>
    <row r="557" ht="12.75" customHeight="1">
      <c r="H557" s="39"/>
    </row>
    <row r="558" ht="12.75" customHeight="1">
      <c r="H558" s="39"/>
    </row>
    <row r="559" ht="12.75" customHeight="1">
      <c r="H559" s="39"/>
    </row>
    <row r="560" ht="12.75" customHeight="1">
      <c r="H560" s="39"/>
    </row>
    <row r="561" ht="12.75" customHeight="1">
      <c r="H561" s="39"/>
    </row>
    <row r="562" ht="12.75" customHeight="1">
      <c r="H562" s="39"/>
    </row>
    <row r="563" ht="12.75" customHeight="1">
      <c r="H563" s="39"/>
    </row>
    <row r="564" ht="12.75" customHeight="1">
      <c r="H564" s="39"/>
    </row>
    <row r="565" ht="12.75" customHeight="1">
      <c r="H565" s="39"/>
    </row>
    <row r="566" ht="12.75" customHeight="1">
      <c r="H566" s="39"/>
    </row>
    <row r="567" ht="12.75" customHeight="1">
      <c r="H567" s="39"/>
    </row>
    <row r="568" ht="12.75" customHeight="1">
      <c r="H568" s="39"/>
    </row>
    <row r="569" ht="12.75" customHeight="1">
      <c r="H569" s="39"/>
    </row>
    <row r="570" ht="12.75" customHeight="1">
      <c r="H570" s="39"/>
    </row>
    <row r="571" ht="12.75" customHeight="1">
      <c r="H571" s="39"/>
    </row>
    <row r="572" ht="12.75" customHeight="1">
      <c r="H572" s="39"/>
    </row>
    <row r="573" ht="12.75" customHeight="1">
      <c r="H573" s="39"/>
    </row>
    <row r="574" ht="12.75" customHeight="1">
      <c r="H574" s="39"/>
    </row>
    <row r="575" ht="12.75" customHeight="1">
      <c r="H575" s="39"/>
    </row>
    <row r="576" ht="12.75" customHeight="1">
      <c r="H576" s="39"/>
    </row>
    <row r="577" ht="12.75" customHeight="1">
      <c r="H577" s="39"/>
    </row>
    <row r="578" ht="12.75" customHeight="1">
      <c r="H578" s="39"/>
    </row>
    <row r="579" ht="12.75" customHeight="1">
      <c r="H579" s="39"/>
    </row>
    <row r="580" ht="12.75" customHeight="1">
      <c r="H580" s="39"/>
    </row>
    <row r="581" ht="12.75" customHeight="1">
      <c r="H581" s="39"/>
    </row>
    <row r="582" ht="12.75" customHeight="1">
      <c r="H582" s="39"/>
    </row>
    <row r="583" ht="12.75" customHeight="1">
      <c r="H583" s="39"/>
    </row>
    <row r="584" ht="12.75" customHeight="1">
      <c r="H584" s="39"/>
    </row>
    <row r="585" ht="12.75" customHeight="1">
      <c r="H585" s="39"/>
    </row>
    <row r="586" ht="12.75" customHeight="1">
      <c r="H586" s="39"/>
    </row>
    <row r="587" ht="12.75" customHeight="1">
      <c r="H587" s="39"/>
    </row>
    <row r="588" ht="12.75" customHeight="1">
      <c r="H588" s="39"/>
    </row>
    <row r="589" ht="12.75" customHeight="1">
      <c r="H589" s="39"/>
    </row>
    <row r="590" ht="12.75" customHeight="1">
      <c r="H590" s="39"/>
    </row>
    <row r="591" ht="12.75" customHeight="1">
      <c r="H591" s="39"/>
    </row>
    <row r="592" ht="12.75" customHeight="1">
      <c r="H592" s="39"/>
    </row>
    <row r="593" ht="12.75" customHeight="1">
      <c r="H593" s="39"/>
    </row>
    <row r="594" ht="12.75" customHeight="1">
      <c r="H594" s="39"/>
    </row>
    <row r="595" ht="12.75" customHeight="1">
      <c r="H595" s="39"/>
    </row>
    <row r="596" ht="12.75" customHeight="1">
      <c r="H596" s="39"/>
    </row>
    <row r="597" ht="12.75" customHeight="1">
      <c r="H597" s="39"/>
    </row>
    <row r="598" ht="12.75" customHeight="1">
      <c r="H598" s="39"/>
    </row>
    <row r="599" ht="12.75" customHeight="1">
      <c r="H599" s="39"/>
    </row>
    <row r="600" ht="12.75" customHeight="1">
      <c r="H600" s="39"/>
    </row>
    <row r="601" ht="12.75" customHeight="1">
      <c r="H601" s="39"/>
    </row>
    <row r="602" ht="12.75" customHeight="1">
      <c r="H602" s="39"/>
    </row>
    <row r="603" ht="12.75" customHeight="1">
      <c r="H603" s="39"/>
    </row>
    <row r="604" ht="12.75" customHeight="1">
      <c r="H604" s="39"/>
    </row>
    <row r="605" ht="12.75" customHeight="1">
      <c r="H605" s="39"/>
    </row>
    <row r="606" ht="12.75" customHeight="1">
      <c r="H606" s="39"/>
    </row>
    <row r="607" ht="12.75" customHeight="1">
      <c r="H607" s="39"/>
    </row>
    <row r="608" ht="12.75" customHeight="1">
      <c r="H608" s="39"/>
    </row>
    <row r="609" ht="12.75" customHeight="1">
      <c r="H609" s="39"/>
    </row>
    <row r="610" ht="12.75" customHeight="1">
      <c r="H610" s="39"/>
    </row>
    <row r="611" ht="12.75" customHeight="1">
      <c r="H611" s="39"/>
    </row>
    <row r="612" ht="12.75" customHeight="1">
      <c r="H612" s="39"/>
    </row>
    <row r="613" ht="12.75" customHeight="1">
      <c r="H613" s="39"/>
    </row>
    <row r="614" ht="12.75" customHeight="1">
      <c r="H614" s="39"/>
    </row>
    <row r="615" ht="12.75" customHeight="1">
      <c r="H615" s="39"/>
    </row>
    <row r="616" ht="12.75" customHeight="1">
      <c r="H616" s="39"/>
    </row>
    <row r="617" ht="12.75" customHeight="1">
      <c r="H617" s="39"/>
    </row>
    <row r="618" ht="12.75" customHeight="1">
      <c r="H618" s="39"/>
    </row>
    <row r="619" ht="12.75" customHeight="1">
      <c r="H619" s="39"/>
    </row>
    <row r="620" ht="12.75" customHeight="1">
      <c r="H620" s="39"/>
    </row>
    <row r="621" ht="12.75" customHeight="1">
      <c r="H621" s="39"/>
    </row>
    <row r="622" ht="12.75" customHeight="1">
      <c r="H622" s="39"/>
    </row>
    <row r="623" ht="12.75" customHeight="1">
      <c r="H623" s="39"/>
    </row>
    <row r="624" ht="12.75" customHeight="1">
      <c r="H624" s="39"/>
    </row>
    <row r="625" ht="12.75" customHeight="1">
      <c r="H625" s="39"/>
    </row>
    <row r="626" ht="12.75" customHeight="1">
      <c r="H626" s="39"/>
    </row>
    <row r="627" ht="12.75" customHeight="1">
      <c r="H627" s="39"/>
    </row>
    <row r="628" ht="12.75" customHeight="1">
      <c r="H628" s="39"/>
    </row>
    <row r="629" ht="12.75" customHeight="1">
      <c r="H629" s="39"/>
    </row>
    <row r="630" ht="12.75" customHeight="1">
      <c r="H630" s="39"/>
    </row>
    <row r="631" ht="12.75" customHeight="1">
      <c r="H631" s="39"/>
    </row>
    <row r="632" ht="12.75" customHeight="1">
      <c r="H632" s="39"/>
    </row>
    <row r="633" ht="12.75" customHeight="1">
      <c r="H633" s="39"/>
    </row>
    <row r="634" ht="12.75" customHeight="1">
      <c r="H634" s="39"/>
    </row>
    <row r="635" ht="12.75" customHeight="1">
      <c r="H635" s="39"/>
    </row>
    <row r="636" ht="12.75" customHeight="1">
      <c r="H636" s="39"/>
    </row>
    <row r="637" ht="12.75" customHeight="1">
      <c r="H637" s="39"/>
    </row>
    <row r="638" ht="12.75" customHeight="1">
      <c r="H638" s="39"/>
    </row>
    <row r="639" ht="12.75" customHeight="1">
      <c r="H639" s="39"/>
    </row>
    <row r="640" ht="12.75" customHeight="1">
      <c r="H640" s="39"/>
    </row>
    <row r="641" ht="12.75" customHeight="1">
      <c r="H641" s="39"/>
    </row>
    <row r="642" ht="12.75" customHeight="1">
      <c r="H642" s="39"/>
    </row>
    <row r="643" ht="12.75" customHeight="1">
      <c r="H643" s="39"/>
    </row>
    <row r="644" ht="12.75" customHeight="1">
      <c r="H644" s="39"/>
    </row>
    <row r="645" ht="12.75" customHeight="1">
      <c r="H645" s="39"/>
    </row>
    <row r="646" ht="12.75" customHeight="1">
      <c r="H646" s="39"/>
    </row>
    <row r="647" ht="12.75" customHeight="1">
      <c r="H647" s="39"/>
    </row>
    <row r="648" ht="12.75" customHeight="1">
      <c r="H648" s="39"/>
    </row>
    <row r="649" ht="12.75" customHeight="1">
      <c r="H649" s="39"/>
    </row>
    <row r="650" ht="12.75" customHeight="1">
      <c r="H650" s="39"/>
    </row>
    <row r="651" ht="12.75" customHeight="1">
      <c r="H651" s="39"/>
    </row>
    <row r="652" ht="12.75" customHeight="1">
      <c r="H652" s="39"/>
    </row>
    <row r="653" ht="12.75" customHeight="1">
      <c r="H653" s="39"/>
    </row>
    <row r="654" ht="12.75" customHeight="1">
      <c r="H654" s="39"/>
    </row>
    <row r="655" ht="12.75" customHeight="1">
      <c r="H655" s="39"/>
    </row>
    <row r="656" ht="12.75" customHeight="1">
      <c r="H656" s="39"/>
    </row>
    <row r="657" ht="12.75" customHeight="1">
      <c r="H657" s="39"/>
    </row>
    <row r="658" ht="12.75" customHeight="1">
      <c r="H658" s="39"/>
    </row>
    <row r="659" ht="12.75" customHeight="1">
      <c r="H659" s="39"/>
    </row>
    <row r="660" ht="12.75" customHeight="1">
      <c r="H660" s="39"/>
    </row>
    <row r="661" ht="12.75" customHeight="1">
      <c r="H661" s="39"/>
    </row>
    <row r="662" ht="12.75" customHeight="1">
      <c r="H662" s="39"/>
    </row>
    <row r="663" ht="12.75" customHeight="1">
      <c r="H663" s="39"/>
    </row>
    <row r="664" ht="12.75" customHeight="1">
      <c r="H664" s="39"/>
    </row>
    <row r="665" ht="12.75" customHeight="1">
      <c r="H665" s="39"/>
    </row>
    <row r="666" ht="12.75" customHeight="1">
      <c r="H666" s="39"/>
    </row>
    <row r="667" ht="12.75" customHeight="1">
      <c r="H667" s="39"/>
    </row>
    <row r="668" ht="12.75" customHeight="1">
      <c r="H668" s="39"/>
    </row>
    <row r="669" ht="12.75" customHeight="1">
      <c r="H669" s="39"/>
    </row>
    <row r="670" ht="12.75" customHeight="1">
      <c r="H670" s="39"/>
    </row>
    <row r="671" ht="12.75" customHeight="1">
      <c r="H671" s="39"/>
    </row>
    <row r="672" ht="12.75" customHeight="1">
      <c r="H672" s="39"/>
    </row>
    <row r="673" ht="12.75" customHeight="1">
      <c r="H673" s="39"/>
    </row>
    <row r="674" ht="12.75" customHeight="1">
      <c r="H674" s="39"/>
    </row>
    <row r="675" ht="12.75" customHeight="1">
      <c r="H675" s="39"/>
    </row>
    <row r="676" ht="12.75" customHeight="1">
      <c r="H676" s="39"/>
    </row>
    <row r="677" ht="12.75" customHeight="1">
      <c r="H677" s="39"/>
    </row>
    <row r="678" ht="12.75" customHeight="1">
      <c r="H678" s="39"/>
    </row>
    <row r="679" ht="12.75" customHeight="1">
      <c r="H679" s="39"/>
    </row>
    <row r="680" ht="12.75" customHeight="1">
      <c r="H680" s="39"/>
    </row>
    <row r="681" ht="12.75" customHeight="1">
      <c r="H681" s="39"/>
    </row>
    <row r="682" ht="12.75" customHeight="1">
      <c r="H682" s="39"/>
    </row>
    <row r="683" ht="12.75" customHeight="1">
      <c r="H683" s="39"/>
    </row>
    <row r="684" ht="12.75" customHeight="1">
      <c r="H684" s="39"/>
    </row>
    <row r="685" ht="12.75" customHeight="1">
      <c r="H685" s="39"/>
    </row>
    <row r="686" ht="12.75" customHeight="1">
      <c r="H686" s="39"/>
    </row>
    <row r="687" ht="12.75" customHeight="1">
      <c r="H687" s="39"/>
    </row>
    <row r="688" ht="12.75" customHeight="1">
      <c r="H688" s="39"/>
    </row>
    <row r="689" ht="12.75" customHeight="1">
      <c r="H689" s="39"/>
    </row>
    <row r="690" ht="12.75" customHeight="1">
      <c r="H690" s="39"/>
    </row>
    <row r="691" ht="12.75" customHeight="1">
      <c r="H691" s="39"/>
    </row>
    <row r="692" ht="12.75" customHeight="1">
      <c r="H692" s="39"/>
    </row>
    <row r="693" ht="12.75" customHeight="1">
      <c r="H693" s="39"/>
    </row>
    <row r="694" ht="12.75" customHeight="1">
      <c r="H694" s="39"/>
    </row>
    <row r="695" ht="12.75" customHeight="1">
      <c r="H695" s="39"/>
    </row>
    <row r="696" ht="12.75" customHeight="1">
      <c r="H696" s="39"/>
    </row>
    <row r="697" ht="12.75" customHeight="1">
      <c r="H697" s="39"/>
    </row>
    <row r="698" ht="12.75" customHeight="1">
      <c r="H698" s="39"/>
    </row>
    <row r="699" ht="12.75" customHeight="1">
      <c r="H699" s="39"/>
    </row>
    <row r="700" ht="12.75" customHeight="1">
      <c r="H700" s="39"/>
    </row>
    <row r="701" ht="12.75" customHeight="1">
      <c r="H701" s="39"/>
    </row>
    <row r="702" ht="12.75" customHeight="1">
      <c r="H702" s="39"/>
    </row>
    <row r="703" ht="12.75" customHeight="1">
      <c r="H703" s="39"/>
    </row>
    <row r="704" ht="12.75" customHeight="1">
      <c r="H704" s="39"/>
    </row>
    <row r="705" ht="12.75" customHeight="1">
      <c r="H705" s="39"/>
    </row>
    <row r="706" ht="12.75" customHeight="1">
      <c r="H706" s="39"/>
    </row>
    <row r="707" ht="12.75" customHeight="1">
      <c r="H707" s="39"/>
    </row>
    <row r="708" ht="12.75" customHeight="1">
      <c r="H708" s="39"/>
    </row>
    <row r="709" ht="12.75" customHeight="1">
      <c r="H709" s="39"/>
    </row>
    <row r="710" ht="12.75" customHeight="1">
      <c r="H710" s="39"/>
    </row>
    <row r="711" ht="12.75" customHeight="1">
      <c r="H711" s="39"/>
    </row>
    <row r="712" ht="12.75" customHeight="1">
      <c r="H712" s="39"/>
    </row>
    <row r="713" ht="12.75" customHeight="1">
      <c r="H713" s="39"/>
    </row>
    <row r="714" ht="12.75" customHeight="1">
      <c r="H714" s="39"/>
    </row>
    <row r="715" ht="12.75" customHeight="1">
      <c r="H715" s="39"/>
    </row>
    <row r="716" ht="12.75" customHeight="1">
      <c r="H716" s="39"/>
    </row>
    <row r="717" ht="12.75" customHeight="1">
      <c r="H717" s="39"/>
    </row>
    <row r="718" ht="12.75" customHeight="1">
      <c r="H718" s="39"/>
    </row>
    <row r="719" ht="12.75" customHeight="1">
      <c r="H719" s="39"/>
    </row>
    <row r="720" ht="12.75" customHeight="1">
      <c r="H720" s="39"/>
    </row>
    <row r="721" ht="12.75" customHeight="1">
      <c r="H721" s="39"/>
    </row>
    <row r="722" ht="12.75" customHeight="1">
      <c r="H722" s="39"/>
    </row>
    <row r="723" ht="12.75" customHeight="1">
      <c r="H723" s="39"/>
    </row>
    <row r="724" ht="12.75" customHeight="1">
      <c r="H724" s="39"/>
    </row>
    <row r="725" ht="12.75" customHeight="1">
      <c r="H725" s="39"/>
    </row>
    <row r="726" ht="12.75" customHeight="1">
      <c r="H726" s="39"/>
    </row>
    <row r="727" ht="12.75" customHeight="1">
      <c r="H727" s="39"/>
    </row>
    <row r="728" ht="12.75" customHeight="1">
      <c r="H728" s="39"/>
    </row>
    <row r="729" ht="12.75" customHeight="1">
      <c r="H729" s="39"/>
    </row>
    <row r="730" ht="12.75" customHeight="1">
      <c r="H730" s="39"/>
    </row>
    <row r="731" ht="12.75" customHeight="1">
      <c r="H731" s="39"/>
    </row>
    <row r="732" ht="12.75" customHeight="1">
      <c r="H732" s="39"/>
    </row>
    <row r="733" ht="12.75" customHeight="1">
      <c r="H733" s="39"/>
    </row>
    <row r="734" ht="12.75" customHeight="1">
      <c r="H734" s="39"/>
    </row>
    <row r="735" ht="12.75" customHeight="1">
      <c r="H735" s="39"/>
    </row>
    <row r="736" ht="12.75" customHeight="1">
      <c r="H736" s="39"/>
    </row>
    <row r="737" ht="12.75" customHeight="1">
      <c r="H737" s="39"/>
    </row>
    <row r="738" ht="12.75" customHeight="1">
      <c r="H738" s="39"/>
    </row>
    <row r="739" ht="12.75" customHeight="1">
      <c r="H739" s="39"/>
    </row>
    <row r="740" ht="12.75" customHeight="1">
      <c r="H740" s="39"/>
    </row>
    <row r="741" ht="12.75" customHeight="1">
      <c r="H741" s="39"/>
    </row>
    <row r="742" ht="12.75" customHeight="1">
      <c r="H742" s="39"/>
    </row>
    <row r="743" ht="12.75" customHeight="1">
      <c r="H743" s="39"/>
    </row>
    <row r="744" ht="12.75" customHeight="1">
      <c r="H744" s="39"/>
    </row>
    <row r="745" ht="12.75" customHeight="1">
      <c r="H745" s="39"/>
    </row>
    <row r="746" ht="12.75" customHeight="1">
      <c r="H746" s="39"/>
    </row>
    <row r="747" ht="12.75" customHeight="1">
      <c r="H747" s="39"/>
    </row>
    <row r="748" ht="12.75" customHeight="1">
      <c r="H748" s="39"/>
    </row>
    <row r="749" ht="12.75" customHeight="1">
      <c r="H749" s="39"/>
    </row>
    <row r="750" ht="12.75" customHeight="1">
      <c r="H750" s="39"/>
    </row>
    <row r="751" ht="12.75" customHeight="1">
      <c r="H751" s="39"/>
    </row>
    <row r="752" ht="12.75" customHeight="1">
      <c r="H752" s="39"/>
    </row>
    <row r="753" ht="12.75" customHeight="1">
      <c r="H753" s="39"/>
    </row>
    <row r="754" ht="12.75" customHeight="1">
      <c r="H754" s="39"/>
    </row>
    <row r="755" ht="12.75" customHeight="1">
      <c r="H755" s="39"/>
    </row>
    <row r="756" ht="12.75" customHeight="1">
      <c r="H756" s="39"/>
    </row>
    <row r="757" ht="12.75" customHeight="1">
      <c r="H757" s="39"/>
    </row>
    <row r="758" ht="12.75" customHeight="1">
      <c r="H758" s="39"/>
    </row>
    <row r="759" ht="12.75" customHeight="1">
      <c r="H759" s="39"/>
    </row>
    <row r="760" ht="12.75" customHeight="1">
      <c r="H760" s="39"/>
    </row>
    <row r="761" ht="12.75" customHeight="1">
      <c r="H761" s="39"/>
    </row>
    <row r="762" ht="12.75" customHeight="1">
      <c r="H762" s="39"/>
    </row>
    <row r="763" ht="12.75" customHeight="1">
      <c r="H763" s="39"/>
    </row>
    <row r="764" ht="12.75" customHeight="1">
      <c r="H764" s="39"/>
    </row>
    <row r="765" ht="12.75" customHeight="1">
      <c r="H765" s="39"/>
    </row>
    <row r="766" ht="12.75" customHeight="1">
      <c r="H766" s="39"/>
    </row>
    <row r="767" ht="12.75" customHeight="1">
      <c r="H767" s="39"/>
    </row>
    <row r="768" ht="12.75" customHeight="1">
      <c r="H768" s="39"/>
    </row>
    <row r="769" ht="12.75" customHeight="1">
      <c r="H769" s="39"/>
    </row>
    <row r="770" ht="12.75" customHeight="1">
      <c r="H770" s="39"/>
    </row>
    <row r="771" ht="12.75" customHeight="1">
      <c r="H771" s="39"/>
    </row>
    <row r="772" ht="12.75" customHeight="1">
      <c r="H772" s="39"/>
    </row>
    <row r="773" ht="12.75" customHeight="1">
      <c r="H773" s="39"/>
    </row>
    <row r="774" ht="12.75" customHeight="1">
      <c r="H774" s="39"/>
    </row>
    <row r="775" ht="12.75" customHeight="1">
      <c r="H775" s="39"/>
    </row>
    <row r="776" ht="12.75" customHeight="1">
      <c r="H776" s="39"/>
    </row>
    <row r="777" ht="12.75" customHeight="1">
      <c r="H777" s="39"/>
    </row>
    <row r="778" ht="12.75" customHeight="1">
      <c r="H778" s="39"/>
    </row>
    <row r="779" ht="12.75" customHeight="1">
      <c r="H779" s="39"/>
    </row>
    <row r="780" ht="12.75" customHeight="1">
      <c r="H780" s="39"/>
    </row>
    <row r="781" ht="12.75" customHeight="1">
      <c r="H781" s="39"/>
    </row>
    <row r="782" ht="12.75" customHeight="1">
      <c r="H782" s="39"/>
    </row>
    <row r="783" ht="12.75" customHeight="1">
      <c r="H783" s="39"/>
    </row>
    <row r="784" ht="12.75" customHeight="1">
      <c r="H784" s="39"/>
    </row>
    <row r="785" ht="12.75" customHeight="1">
      <c r="H785" s="39"/>
    </row>
    <row r="786" ht="12.75" customHeight="1">
      <c r="H786" s="39"/>
    </row>
    <row r="787" ht="12.75" customHeight="1">
      <c r="H787" s="39"/>
    </row>
    <row r="788" ht="12.75" customHeight="1">
      <c r="H788" s="39"/>
    </row>
    <row r="789" ht="12.75" customHeight="1">
      <c r="H789" s="39"/>
    </row>
    <row r="790" ht="12.75" customHeight="1">
      <c r="H790" s="39"/>
    </row>
    <row r="791" ht="12.75" customHeight="1">
      <c r="H791" s="39"/>
    </row>
    <row r="792" ht="12.75" customHeight="1">
      <c r="H792" s="39"/>
    </row>
    <row r="793" ht="12.75" customHeight="1">
      <c r="H793" s="39"/>
    </row>
    <row r="794" ht="12.75" customHeight="1">
      <c r="H794" s="39"/>
    </row>
    <row r="795" ht="12.75" customHeight="1">
      <c r="H795" s="39"/>
    </row>
    <row r="796" ht="12.75" customHeight="1">
      <c r="H796" s="39"/>
    </row>
    <row r="797" ht="12.75" customHeight="1">
      <c r="H797" s="39"/>
    </row>
    <row r="798" ht="12.75" customHeight="1">
      <c r="H798" s="39"/>
    </row>
    <row r="799" ht="12.75" customHeight="1">
      <c r="H799" s="39"/>
    </row>
    <row r="800" ht="12.75" customHeight="1">
      <c r="H800" s="39"/>
    </row>
    <row r="801" ht="12.75" customHeight="1">
      <c r="H801" s="39"/>
    </row>
    <row r="802" ht="12.75" customHeight="1">
      <c r="H802" s="39"/>
    </row>
    <row r="803" ht="12.75" customHeight="1">
      <c r="H803" s="39"/>
    </row>
    <row r="804" ht="12.75" customHeight="1">
      <c r="H804" s="39"/>
    </row>
    <row r="805" ht="12.75" customHeight="1">
      <c r="H805" s="39"/>
    </row>
    <row r="806" ht="12.75" customHeight="1">
      <c r="H806" s="39"/>
    </row>
    <row r="807" ht="12.75" customHeight="1">
      <c r="H807" s="39"/>
    </row>
    <row r="808" ht="12.75" customHeight="1">
      <c r="H808" s="39"/>
    </row>
    <row r="809" ht="12.75" customHeight="1">
      <c r="H809" s="39"/>
    </row>
    <row r="810" ht="12.75" customHeight="1">
      <c r="H810" s="39"/>
    </row>
    <row r="811" ht="12.75" customHeight="1">
      <c r="H811" s="39"/>
    </row>
    <row r="812" ht="12.75" customHeight="1">
      <c r="H812" s="39"/>
    </row>
    <row r="813" ht="12.75" customHeight="1">
      <c r="H813" s="39"/>
    </row>
    <row r="814" ht="12.75" customHeight="1">
      <c r="H814" s="39"/>
    </row>
    <row r="815" ht="12.75" customHeight="1">
      <c r="H815" s="39"/>
    </row>
    <row r="816" ht="12.75" customHeight="1">
      <c r="H816" s="39"/>
    </row>
    <row r="817" ht="12.75" customHeight="1">
      <c r="H817" s="39"/>
    </row>
    <row r="818" ht="12.75" customHeight="1">
      <c r="H818" s="39"/>
    </row>
    <row r="819" ht="12.75" customHeight="1">
      <c r="H819" s="39"/>
    </row>
    <row r="820" ht="12.75" customHeight="1">
      <c r="H820" s="39"/>
    </row>
    <row r="821" ht="12.75" customHeight="1">
      <c r="H821" s="39"/>
    </row>
    <row r="822" ht="12.75" customHeight="1">
      <c r="H822" s="39"/>
    </row>
    <row r="823" ht="12.75" customHeight="1">
      <c r="H823" s="39"/>
    </row>
    <row r="824" ht="12.75" customHeight="1">
      <c r="H824" s="39"/>
    </row>
    <row r="825" ht="12.75" customHeight="1">
      <c r="H825" s="39"/>
    </row>
    <row r="826" ht="12.75" customHeight="1">
      <c r="H826" s="39"/>
    </row>
    <row r="827" ht="12.75" customHeight="1">
      <c r="H827" s="39"/>
    </row>
    <row r="828" ht="12.75" customHeight="1">
      <c r="H828" s="39"/>
    </row>
    <row r="829" ht="12.75" customHeight="1">
      <c r="H829" s="39"/>
    </row>
    <row r="830" ht="12.75" customHeight="1">
      <c r="H830" s="39"/>
    </row>
    <row r="831" ht="12.75" customHeight="1">
      <c r="H831" s="39"/>
    </row>
    <row r="832" ht="12.75" customHeight="1">
      <c r="H832" s="39"/>
    </row>
    <row r="833" ht="12.75" customHeight="1">
      <c r="H833" s="39"/>
    </row>
    <row r="834" ht="12.75" customHeight="1">
      <c r="H834" s="39"/>
    </row>
    <row r="835" ht="12.75" customHeight="1">
      <c r="H835" s="39"/>
    </row>
    <row r="836" ht="12.75" customHeight="1">
      <c r="H836" s="39"/>
    </row>
    <row r="837" ht="12.75" customHeight="1">
      <c r="H837" s="39"/>
    </row>
    <row r="838" ht="12.75" customHeight="1">
      <c r="H838" s="39"/>
    </row>
    <row r="839" ht="12.75" customHeight="1">
      <c r="H839" s="39"/>
    </row>
    <row r="840" ht="12.75" customHeight="1">
      <c r="H840" s="39"/>
    </row>
    <row r="841" ht="12.75" customHeight="1">
      <c r="H841" s="39"/>
    </row>
    <row r="842" ht="12.75" customHeight="1">
      <c r="H842" s="39"/>
    </row>
    <row r="843" ht="12.75" customHeight="1">
      <c r="H843" s="39"/>
    </row>
    <row r="844" ht="12.75" customHeight="1">
      <c r="H844" s="39"/>
    </row>
    <row r="845" ht="12.75" customHeight="1">
      <c r="H845" s="39"/>
    </row>
    <row r="846" ht="12.75" customHeight="1">
      <c r="H846" s="39"/>
    </row>
    <row r="847" ht="12.75" customHeight="1">
      <c r="H847" s="39"/>
    </row>
    <row r="848" ht="12.75" customHeight="1">
      <c r="H848" s="39"/>
    </row>
    <row r="849" ht="12.75" customHeight="1">
      <c r="H849" s="39"/>
    </row>
    <row r="850" ht="12.75" customHeight="1">
      <c r="H850" s="39"/>
    </row>
    <row r="851" ht="12.75" customHeight="1">
      <c r="H851" s="39"/>
    </row>
    <row r="852" ht="12.75" customHeight="1">
      <c r="H852" s="39"/>
    </row>
    <row r="853" ht="12.75" customHeight="1">
      <c r="H853" s="39"/>
    </row>
    <row r="854" ht="12.75" customHeight="1">
      <c r="H854" s="39"/>
    </row>
    <row r="855" ht="12.75" customHeight="1">
      <c r="H855" s="39"/>
    </row>
    <row r="856" ht="12.75" customHeight="1">
      <c r="H856" s="39"/>
    </row>
    <row r="857" ht="12.75" customHeight="1">
      <c r="H857" s="39"/>
    </row>
    <row r="858" ht="12.75" customHeight="1">
      <c r="H858" s="39"/>
    </row>
    <row r="859" ht="12.75" customHeight="1">
      <c r="H859" s="39"/>
    </row>
    <row r="860" ht="12.75" customHeight="1">
      <c r="H860" s="39"/>
    </row>
    <row r="861" ht="12.75" customHeight="1">
      <c r="H861" s="39"/>
    </row>
    <row r="862" ht="12.75" customHeight="1">
      <c r="H862" s="39"/>
    </row>
    <row r="863" ht="12.75" customHeight="1">
      <c r="H863" s="39"/>
    </row>
    <row r="864" ht="12.75" customHeight="1">
      <c r="H864" s="39"/>
    </row>
    <row r="865" ht="12.75" customHeight="1">
      <c r="H865" s="39"/>
    </row>
    <row r="866" ht="12.75" customHeight="1">
      <c r="H866" s="39"/>
    </row>
    <row r="867" ht="12.75" customHeight="1">
      <c r="H867" s="39"/>
    </row>
    <row r="868" ht="12.75" customHeight="1">
      <c r="H868" s="39"/>
    </row>
    <row r="869" ht="12.75" customHeight="1">
      <c r="H869" s="39"/>
    </row>
    <row r="870" ht="12.75" customHeight="1">
      <c r="H870" s="39"/>
    </row>
    <row r="871" ht="12.75" customHeight="1">
      <c r="H871" s="39"/>
    </row>
    <row r="872" ht="12.75" customHeight="1">
      <c r="H872" s="39"/>
    </row>
    <row r="873" ht="12.75" customHeight="1">
      <c r="H873" s="39"/>
    </row>
    <row r="874" ht="12.75" customHeight="1">
      <c r="H874" s="39"/>
    </row>
    <row r="875" ht="12.75" customHeight="1">
      <c r="H875" s="39"/>
    </row>
    <row r="876" ht="12.75" customHeight="1">
      <c r="H876" s="39"/>
    </row>
    <row r="877" ht="12.75" customHeight="1">
      <c r="H877" s="39"/>
    </row>
    <row r="878" ht="12.75" customHeight="1">
      <c r="H878" s="39"/>
    </row>
    <row r="879" ht="12.75" customHeight="1">
      <c r="H879" s="39"/>
    </row>
    <row r="880" ht="12.75" customHeight="1">
      <c r="H880" s="39"/>
    </row>
    <row r="881" ht="12.75" customHeight="1">
      <c r="H881" s="39"/>
    </row>
    <row r="882" ht="12.75" customHeight="1">
      <c r="H882" s="39"/>
    </row>
    <row r="883" ht="12.75" customHeight="1">
      <c r="H883" s="39"/>
    </row>
    <row r="884" ht="12.75" customHeight="1">
      <c r="H884" s="39"/>
    </row>
    <row r="885" ht="12.75" customHeight="1">
      <c r="H885" s="39"/>
    </row>
    <row r="886" ht="12.75" customHeight="1">
      <c r="H886" s="39"/>
    </row>
    <row r="887" ht="12.75" customHeight="1">
      <c r="H887" s="39"/>
    </row>
    <row r="888" ht="12.75" customHeight="1">
      <c r="H888" s="39"/>
    </row>
    <row r="889" ht="12.75" customHeight="1">
      <c r="H889" s="39"/>
    </row>
    <row r="890" ht="12.75" customHeight="1">
      <c r="H890" s="39"/>
    </row>
    <row r="891" ht="12.75" customHeight="1">
      <c r="H891" s="39"/>
    </row>
    <row r="892" ht="12.75" customHeight="1">
      <c r="H892" s="39"/>
    </row>
    <row r="893" ht="12.75" customHeight="1">
      <c r="H893" s="39"/>
    </row>
    <row r="894" ht="12.75" customHeight="1">
      <c r="H894" s="39"/>
    </row>
    <row r="895" ht="12.75" customHeight="1">
      <c r="H895" s="39"/>
    </row>
    <row r="896" ht="12.75" customHeight="1">
      <c r="H896" s="39"/>
    </row>
    <row r="897" ht="12.75" customHeight="1">
      <c r="H897" s="39"/>
    </row>
    <row r="898" ht="12.75" customHeight="1">
      <c r="H898" s="39"/>
    </row>
    <row r="899" ht="12.75" customHeight="1">
      <c r="H899" s="39"/>
    </row>
    <row r="900" ht="12.75" customHeight="1">
      <c r="H900" s="39"/>
    </row>
    <row r="901" ht="12.75" customHeight="1">
      <c r="H901" s="39"/>
    </row>
    <row r="902" ht="12.75" customHeight="1">
      <c r="H902" s="39"/>
    </row>
    <row r="903" ht="12.75" customHeight="1">
      <c r="H903" s="39"/>
    </row>
    <row r="904" ht="12.75" customHeight="1">
      <c r="H904" s="39"/>
    </row>
    <row r="905" ht="12.75" customHeight="1">
      <c r="H905" s="39"/>
    </row>
    <row r="906" ht="12.75" customHeight="1">
      <c r="H906" s="39"/>
    </row>
    <row r="907" ht="12.75" customHeight="1">
      <c r="H907" s="39"/>
    </row>
    <row r="908" ht="12.75" customHeight="1">
      <c r="H908" s="39"/>
    </row>
    <row r="909" ht="12.75" customHeight="1">
      <c r="H909" s="39"/>
    </row>
    <row r="910" ht="12.75" customHeight="1">
      <c r="H910" s="39"/>
    </row>
    <row r="911" ht="12.75" customHeight="1">
      <c r="H911" s="39"/>
    </row>
    <row r="912" ht="12.75" customHeight="1">
      <c r="H912" s="39"/>
    </row>
    <row r="913" ht="12.75" customHeight="1">
      <c r="H913" s="39"/>
    </row>
    <row r="914" ht="12.75" customHeight="1">
      <c r="H914" s="39"/>
    </row>
    <row r="915" ht="12.75" customHeight="1">
      <c r="H915" s="39"/>
    </row>
    <row r="916" ht="12.75" customHeight="1">
      <c r="H916" s="39"/>
    </row>
    <row r="917" ht="12.75" customHeight="1">
      <c r="H917" s="39"/>
    </row>
    <row r="918" ht="12.75" customHeight="1">
      <c r="H918" s="39"/>
    </row>
    <row r="919" ht="12.75" customHeight="1">
      <c r="H919" s="39"/>
    </row>
    <row r="920" ht="12.75" customHeight="1">
      <c r="H920" s="39"/>
    </row>
    <row r="921" ht="12.75" customHeight="1">
      <c r="H921" s="39"/>
    </row>
    <row r="922" ht="12.75" customHeight="1">
      <c r="H922" s="39"/>
    </row>
    <row r="923" ht="12.75" customHeight="1">
      <c r="H923" s="39"/>
    </row>
    <row r="924" ht="12.75" customHeight="1">
      <c r="H924" s="39"/>
    </row>
    <row r="925" ht="12.75" customHeight="1">
      <c r="H925" s="39"/>
    </row>
    <row r="926" ht="12.75" customHeight="1">
      <c r="H926" s="39"/>
    </row>
    <row r="927" ht="12.75" customHeight="1">
      <c r="H927" s="39"/>
    </row>
    <row r="928" ht="12.75" customHeight="1">
      <c r="H928" s="39"/>
    </row>
    <row r="929" ht="12.75" customHeight="1">
      <c r="H929" s="39"/>
    </row>
    <row r="930" ht="12.75" customHeight="1">
      <c r="H930" s="39"/>
    </row>
    <row r="931" ht="12.75" customHeight="1">
      <c r="H931" s="39"/>
    </row>
    <row r="932" ht="12.75" customHeight="1">
      <c r="H932" s="39"/>
    </row>
    <row r="933" ht="12.75" customHeight="1">
      <c r="H933" s="39"/>
    </row>
    <row r="934" ht="12.75" customHeight="1">
      <c r="H934" s="39"/>
    </row>
    <row r="935" ht="12.75" customHeight="1">
      <c r="H935" s="39"/>
    </row>
    <row r="936" ht="12.75" customHeight="1">
      <c r="H936" s="39"/>
    </row>
    <row r="937" ht="12.75" customHeight="1">
      <c r="H937" s="39"/>
    </row>
    <row r="938" ht="12.75" customHeight="1">
      <c r="H938" s="39"/>
    </row>
    <row r="939" ht="12.75" customHeight="1">
      <c r="H939" s="39"/>
    </row>
    <row r="940" ht="12.75" customHeight="1">
      <c r="H940" s="39"/>
    </row>
    <row r="941" ht="12.75" customHeight="1">
      <c r="H941" s="39"/>
    </row>
    <row r="942" ht="12.75" customHeight="1">
      <c r="H942" s="39"/>
    </row>
    <row r="943" ht="12.75" customHeight="1">
      <c r="H943" s="39"/>
    </row>
    <row r="944" ht="12.75" customHeight="1">
      <c r="H944" s="39"/>
    </row>
    <row r="945" ht="12.75" customHeight="1">
      <c r="H945" s="39"/>
    </row>
    <row r="946" ht="12.75" customHeight="1">
      <c r="H946" s="39"/>
    </row>
    <row r="947" ht="12.75" customHeight="1">
      <c r="H947" s="39"/>
    </row>
    <row r="948" ht="12.75" customHeight="1">
      <c r="H948" s="39"/>
    </row>
    <row r="949" ht="12.75" customHeight="1">
      <c r="H949" s="39"/>
    </row>
    <row r="950" ht="12.75" customHeight="1">
      <c r="H950" s="39"/>
    </row>
    <row r="951" ht="12.75" customHeight="1">
      <c r="H951" s="39"/>
    </row>
    <row r="952" ht="12.75" customHeight="1">
      <c r="H952" s="39"/>
    </row>
    <row r="953" ht="12.75" customHeight="1">
      <c r="H953" s="39"/>
    </row>
    <row r="954" ht="12.75" customHeight="1">
      <c r="H954" s="39"/>
    </row>
    <row r="955" ht="12.75" customHeight="1">
      <c r="H955" s="39"/>
    </row>
    <row r="956" ht="12.75" customHeight="1">
      <c r="H956" s="39"/>
    </row>
    <row r="957" ht="12.75" customHeight="1">
      <c r="H957" s="39"/>
    </row>
    <row r="958" ht="12.75" customHeight="1">
      <c r="H958" s="39"/>
    </row>
    <row r="959" ht="12.75" customHeight="1">
      <c r="H959" s="39"/>
    </row>
    <row r="960" ht="12.75" customHeight="1">
      <c r="H960" s="39"/>
    </row>
    <row r="961" ht="12.75" customHeight="1">
      <c r="H961" s="39"/>
    </row>
    <row r="962" ht="12.75" customHeight="1">
      <c r="H962" s="39"/>
    </row>
    <row r="963" ht="12.75" customHeight="1">
      <c r="H963" s="39"/>
    </row>
    <row r="964" ht="12.75" customHeight="1">
      <c r="H964" s="39"/>
    </row>
    <row r="965" ht="12.75" customHeight="1">
      <c r="H965" s="39"/>
    </row>
    <row r="966" ht="12.75" customHeight="1">
      <c r="H966" s="39"/>
    </row>
    <row r="967" ht="12.75" customHeight="1">
      <c r="H967" s="39"/>
    </row>
    <row r="968" ht="12.75" customHeight="1">
      <c r="H968" s="39"/>
    </row>
    <row r="969" ht="12.75" customHeight="1">
      <c r="H969" s="39"/>
    </row>
    <row r="970" ht="12.75" customHeight="1">
      <c r="H970" s="39"/>
    </row>
    <row r="971" ht="12.75" customHeight="1">
      <c r="H971" s="39"/>
    </row>
    <row r="972" ht="12.75" customHeight="1">
      <c r="H972" s="39"/>
    </row>
    <row r="973" ht="12.75" customHeight="1">
      <c r="H973" s="39"/>
    </row>
    <row r="974" ht="12.75" customHeight="1">
      <c r="H974" s="39"/>
    </row>
    <row r="975" ht="12.75" customHeight="1">
      <c r="H975" s="39"/>
    </row>
    <row r="976" ht="12.75" customHeight="1">
      <c r="H976" s="39"/>
    </row>
    <row r="977" ht="12.75" customHeight="1">
      <c r="H977" s="39"/>
    </row>
    <row r="978" ht="12.75" customHeight="1">
      <c r="H978" s="39"/>
    </row>
    <row r="979" ht="12.75" customHeight="1">
      <c r="H979" s="39"/>
    </row>
    <row r="980" ht="12.75" customHeight="1">
      <c r="H980" s="39"/>
    </row>
    <row r="981" ht="12.75" customHeight="1">
      <c r="H981" s="39"/>
    </row>
    <row r="982" ht="12.75" customHeight="1">
      <c r="H982" s="39"/>
    </row>
    <row r="983" ht="12.75" customHeight="1">
      <c r="H983" s="39"/>
    </row>
    <row r="984" ht="12.75" customHeight="1">
      <c r="H984" s="39"/>
    </row>
    <row r="985" ht="12.75" customHeight="1">
      <c r="H985" s="39"/>
    </row>
    <row r="986" ht="12.75" customHeight="1">
      <c r="H986" s="39"/>
    </row>
    <row r="987" ht="12.75" customHeight="1">
      <c r="H987" s="39"/>
    </row>
    <row r="988" ht="12.75" customHeight="1">
      <c r="H988" s="39"/>
    </row>
    <row r="989" ht="12.75" customHeight="1">
      <c r="H989" s="39"/>
    </row>
    <row r="990" ht="12.75" customHeight="1">
      <c r="H990" s="39"/>
    </row>
    <row r="991" ht="12.75" customHeight="1">
      <c r="H991" s="39"/>
    </row>
    <row r="992" ht="12.75" customHeight="1">
      <c r="H992" s="39"/>
    </row>
    <row r="993" ht="12.75" customHeight="1">
      <c r="H993" s="39"/>
    </row>
    <row r="994" ht="12.75" customHeight="1">
      <c r="H994" s="39"/>
    </row>
    <row r="995" ht="12.75" customHeight="1">
      <c r="H995" s="39"/>
    </row>
    <row r="996" ht="12.75" customHeight="1">
      <c r="H996" s="39"/>
    </row>
    <row r="997" ht="12.75" customHeight="1">
      <c r="H997" s="39"/>
    </row>
    <row r="998" ht="12.75" customHeight="1">
      <c r="H998" s="39"/>
    </row>
    <row r="999" ht="12.75" customHeight="1">
      <c r="H999" s="39"/>
    </row>
    <row r="1000" ht="12.75" customHeight="1">
      <c r="H1000" s="39"/>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8.0"/>
    <col customWidth="1" min="4" max="6" width="21.88"/>
  </cols>
  <sheetData>
    <row r="1" ht="42.0" customHeight="1">
      <c r="A1" s="32" t="s">
        <v>16</v>
      </c>
      <c r="B1" s="32" t="s">
        <v>19</v>
      </c>
      <c r="C1" s="32" t="s">
        <v>20</v>
      </c>
      <c r="D1" s="2" t="s">
        <v>5261</v>
      </c>
      <c r="E1" s="32" t="s">
        <v>24</v>
      </c>
      <c r="F1" s="40" t="s">
        <v>5265</v>
      </c>
    </row>
    <row r="2" ht="12.75" customHeight="1">
      <c r="A2" s="32" t="s">
        <v>2143</v>
      </c>
      <c r="B2" s="32" t="s">
        <v>2144</v>
      </c>
      <c r="C2" s="32" t="s">
        <v>2145</v>
      </c>
      <c r="D2" s="2" t="s">
        <v>1</v>
      </c>
      <c r="E2" s="32" t="s">
        <v>4886</v>
      </c>
      <c r="F2" s="41" t="s">
        <v>5266</v>
      </c>
    </row>
    <row r="3" ht="12.75" customHeight="1">
      <c r="A3" s="32" t="s">
        <v>1458</v>
      </c>
      <c r="B3" s="32" t="s">
        <v>1459</v>
      </c>
      <c r="C3" s="32" t="s">
        <v>1460</v>
      </c>
      <c r="D3" s="2" t="s">
        <v>1</v>
      </c>
      <c r="E3" s="32" t="s">
        <v>3948</v>
      </c>
      <c r="F3" s="41" t="s">
        <v>5266</v>
      </c>
    </row>
    <row r="4" ht="12.75" customHeight="1">
      <c r="A4" s="32" t="s">
        <v>1831</v>
      </c>
      <c r="B4" s="32" t="s">
        <v>1832</v>
      </c>
      <c r="C4" s="32" t="s">
        <v>1833</v>
      </c>
      <c r="D4" s="2" t="s">
        <v>1</v>
      </c>
      <c r="E4" s="32" t="s">
        <v>4977</v>
      </c>
      <c r="F4" s="41" t="s">
        <v>5266</v>
      </c>
    </row>
    <row r="5" ht="12.75" customHeight="1">
      <c r="A5" s="32" t="s">
        <v>1998</v>
      </c>
      <c r="B5" s="32" t="s">
        <v>1999</v>
      </c>
      <c r="C5" s="32" t="s">
        <v>2000</v>
      </c>
      <c r="D5" s="2" t="s">
        <v>1</v>
      </c>
      <c r="E5" s="32" t="s">
        <v>3704</v>
      </c>
      <c r="F5" s="41" t="s">
        <v>5266</v>
      </c>
    </row>
    <row r="6" ht="12.75" customHeight="1">
      <c r="A6" s="32" t="s">
        <v>2178</v>
      </c>
      <c r="B6" s="32" t="s">
        <v>2179</v>
      </c>
      <c r="C6" s="32" t="s">
        <v>2180</v>
      </c>
      <c r="D6" s="2" t="s">
        <v>1</v>
      </c>
      <c r="E6" s="32" t="s">
        <v>4347</v>
      </c>
      <c r="F6" s="41" t="s">
        <v>5266</v>
      </c>
    </row>
    <row r="7" ht="12.75" customHeight="1">
      <c r="A7" s="32" t="s">
        <v>1635</v>
      </c>
      <c r="B7" s="32" t="s">
        <v>1636</v>
      </c>
      <c r="C7" s="32" t="s">
        <v>1637</v>
      </c>
      <c r="D7" s="2" t="s">
        <v>1</v>
      </c>
      <c r="E7" s="32" t="s">
        <v>3671</v>
      </c>
      <c r="F7" s="41" t="s">
        <v>5266</v>
      </c>
    </row>
    <row r="8" ht="12.75" customHeight="1">
      <c r="A8" s="32" t="s">
        <v>2065</v>
      </c>
      <c r="B8" s="32" t="s">
        <v>4389</v>
      </c>
      <c r="C8" s="32" t="s">
        <v>2067</v>
      </c>
      <c r="D8" s="2" t="s">
        <v>1</v>
      </c>
      <c r="E8" s="32" t="s">
        <v>4399</v>
      </c>
      <c r="F8" s="41" t="s">
        <v>5266</v>
      </c>
    </row>
    <row r="9" ht="12.75" customHeight="1">
      <c r="A9" s="32" t="s">
        <v>2003</v>
      </c>
      <c r="B9" s="32" t="s">
        <v>2004</v>
      </c>
      <c r="C9" s="32" t="s">
        <v>2005</v>
      </c>
      <c r="D9" s="2" t="s">
        <v>1</v>
      </c>
      <c r="E9" s="32" t="s">
        <v>3975</v>
      </c>
      <c r="F9" s="41" t="s">
        <v>5266</v>
      </c>
    </row>
    <row r="10" ht="12.75" customHeight="1">
      <c r="A10" s="32" t="s">
        <v>2167</v>
      </c>
      <c r="B10" s="32" t="s">
        <v>2168</v>
      </c>
      <c r="C10" s="32" t="s">
        <v>2169</v>
      </c>
      <c r="D10" s="2" t="s">
        <v>1</v>
      </c>
      <c r="E10" s="32" t="s">
        <v>3932</v>
      </c>
      <c r="F10" s="41" t="s">
        <v>5266</v>
      </c>
    </row>
    <row r="11" ht="12.75" customHeight="1">
      <c r="A11" s="32" t="s">
        <v>1406</v>
      </c>
      <c r="B11" s="32" t="s">
        <v>1407</v>
      </c>
      <c r="C11" s="32" t="s">
        <v>1408</v>
      </c>
      <c r="D11" s="2" t="s">
        <v>1</v>
      </c>
      <c r="E11" s="32" t="s">
        <v>3012</v>
      </c>
      <c r="F11" s="41" t="s">
        <v>5266</v>
      </c>
    </row>
    <row r="12" ht="12.75" customHeight="1">
      <c r="A12" s="32" t="s">
        <v>2132</v>
      </c>
      <c r="B12" s="32" t="s">
        <v>2133</v>
      </c>
      <c r="C12" s="32" t="s">
        <v>2134</v>
      </c>
      <c r="D12" s="2" t="s">
        <v>1</v>
      </c>
      <c r="E12" s="32" t="s">
        <v>3805</v>
      </c>
      <c r="F12" s="41" t="s">
        <v>5266</v>
      </c>
    </row>
    <row r="13" ht="12.75" customHeight="1">
      <c r="A13" s="32" t="s">
        <v>1726</v>
      </c>
      <c r="B13" s="32" t="s">
        <v>1727</v>
      </c>
      <c r="C13" s="32" t="s">
        <v>1728</v>
      </c>
      <c r="D13" s="2" t="s">
        <v>1</v>
      </c>
      <c r="E13" s="32" t="s">
        <v>4541</v>
      </c>
      <c r="F13" s="41" t="s">
        <v>5266</v>
      </c>
    </row>
    <row r="14" ht="12.75" customHeight="1">
      <c r="A14" s="32" t="s">
        <v>2149</v>
      </c>
      <c r="B14" s="32" t="s">
        <v>2150</v>
      </c>
      <c r="C14" s="32" t="s">
        <v>2151</v>
      </c>
      <c r="D14" s="2" t="s">
        <v>1</v>
      </c>
      <c r="E14" s="32" t="s">
        <v>3912</v>
      </c>
      <c r="F14" s="41" t="s">
        <v>5266</v>
      </c>
    </row>
    <row r="15" ht="12.75" customHeight="1">
      <c r="A15" s="32" t="s">
        <v>1377</v>
      </c>
      <c r="B15" s="32" t="s">
        <v>1378</v>
      </c>
      <c r="C15" s="32" t="s">
        <v>1379</v>
      </c>
      <c r="D15" s="2" t="s">
        <v>1</v>
      </c>
      <c r="E15" s="32" t="s">
        <v>3072</v>
      </c>
      <c r="F15" s="41" t="s">
        <v>5266</v>
      </c>
    </row>
    <row r="16" ht="12.75" customHeight="1">
      <c r="A16" s="32" t="s">
        <v>2042</v>
      </c>
      <c r="B16" s="32" t="s">
        <v>2043</v>
      </c>
      <c r="C16" s="32" t="s">
        <v>2044</v>
      </c>
      <c r="D16" s="2" t="s">
        <v>1</v>
      </c>
      <c r="E16" s="32" t="s">
        <v>3563</v>
      </c>
      <c r="F16" s="41" t="s">
        <v>5266</v>
      </c>
    </row>
    <row r="17" ht="12.75" customHeight="1">
      <c r="A17" s="32" t="s">
        <v>2049</v>
      </c>
      <c r="B17" s="32" t="s">
        <v>2050</v>
      </c>
      <c r="C17" s="32" t="s">
        <v>2051</v>
      </c>
      <c r="D17" s="2" t="s">
        <v>1</v>
      </c>
      <c r="E17" s="32" t="s">
        <v>3492</v>
      </c>
      <c r="F17" s="41" t="s">
        <v>5266</v>
      </c>
    </row>
    <row r="18" ht="12.75" customHeight="1">
      <c r="A18" s="32" t="s">
        <v>1599</v>
      </c>
      <c r="B18" s="32" t="s">
        <v>1600</v>
      </c>
      <c r="C18" s="32" t="s">
        <v>1601</v>
      </c>
      <c r="D18" s="2" t="s">
        <v>1</v>
      </c>
      <c r="E18" s="32" t="s">
        <v>4501</v>
      </c>
      <c r="F18" s="41" t="s">
        <v>5266</v>
      </c>
    </row>
    <row r="19" ht="12.75" customHeight="1">
      <c r="A19" s="32" t="s">
        <v>2239</v>
      </c>
      <c r="B19" s="32" t="s">
        <v>2240</v>
      </c>
      <c r="C19" s="32" t="s">
        <v>2241</v>
      </c>
      <c r="D19" s="2" t="s">
        <v>1</v>
      </c>
      <c r="E19" s="32" t="s">
        <v>2475</v>
      </c>
      <c r="F19" s="41" t="s">
        <v>5266</v>
      </c>
    </row>
    <row r="20" ht="12.75" customHeight="1">
      <c r="A20" s="32" t="s">
        <v>2201</v>
      </c>
      <c r="B20" s="32" t="s">
        <v>2202</v>
      </c>
      <c r="C20" s="32" t="s">
        <v>2203</v>
      </c>
      <c r="D20" s="2" t="s">
        <v>1</v>
      </c>
      <c r="E20" s="32" t="s">
        <v>3520</v>
      </c>
      <c r="F20" s="41" t="s">
        <v>5266</v>
      </c>
    </row>
    <row r="21" ht="12.75" customHeight="1">
      <c r="A21" s="32" t="s">
        <v>2084</v>
      </c>
      <c r="B21" s="32" t="s">
        <v>3155</v>
      </c>
      <c r="C21" s="32" t="s">
        <v>2086</v>
      </c>
      <c r="D21" s="2" t="s">
        <v>1</v>
      </c>
      <c r="E21" s="32" t="s">
        <v>3172</v>
      </c>
      <c r="F21" s="41" t="s">
        <v>5266</v>
      </c>
    </row>
    <row r="22" ht="12.75" customHeight="1">
      <c r="A22" s="32" t="s">
        <v>1814</v>
      </c>
      <c r="B22" s="32" t="s">
        <v>1815</v>
      </c>
      <c r="C22" s="32" t="s">
        <v>1816</v>
      </c>
      <c r="D22" s="2" t="s">
        <v>1</v>
      </c>
      <c r="E22" s="32" t="s">
        <v>4418</v>
      </c>
      <c r="F22" s="41" t="s">
        <v>5266</v>
      </c>
    </row>
    <row r="23" ht="12.75" customHeight="1">
      <c r="A23" s="32" t="s">
        <v>2190</v>
      </c>
      <c r="B23" s="32" t="s">
        <v>2191</v>
      </c>
      <c r="C23" s="32" t="s">
        <v>2192</v>
      </c>
      <c r="D23" s="2" t="s">
        <v>1</v>
      </c>
      <c r="E23" s="32" t="s">
        <v>4107</v>
      </c>
      <c r="F23" s="41" t="s">
        <v>5266</v>
      </c>
    </row>
    <row r="24" ht="12.75" customHeight="1">
      <c r="A24" s="32" t="s">
        <v>2025</v>
      </c>
      <c r="B24" s="32" t="s">
        <v>3636</v>
      </c>
      <c r="C24" s="32" t="s">
        <v>2027</v>
      </c>
      <c r="D24" s="2" t="s">
        <v>1</v>
      </c>
      <c r="E24" s="32" t="s">
        <v>3651</v>
      </c>
      <c r="F24" s="41" t="s">
        <v>5266</v>
      </c>
    </row>
    <row r="25" ht="12.75" customHeight="1">
      <c r="A25" s="32" t="s">
        <v>1791</v>
      </c>
      <c r="B25" s="32" t="s">
        <v>1792</v>
      </c>
      <c r="C25" s="32" t="s">
        <v>1793</v>
      </c>
      <c r="D25" s="2" t="s">
        <v>1</v>
      </c>
      <c r="E25" s="32" t="s">
        <v>2898</v>
      </c>
      <c r="F25" s="41" t="s">
        <v>5266</v>
      </c>
    </row>
    <row r="26" ht="12.75" customHeight="1">
      <c r="A26" s="32" t="s">
        <v>1802</v>
      </c>
      <c r="B26" s="32" t="s">
        <v>1803</v>
      </c>
      <c r="C26" s="32" t="s">
        <v>1804</v>
      </c>
      <c r="D26" s="2" t="s">
        <v>1</v>
      </c>
      <c r="E26" s="32" t="s">
        <v>5000</v>
      </c>
      <c r="F26" s="41" t="s">
        <v>5266</v>
      </c>
    </row>
    <row r="27" ht="12.75" customHeight="1">
      <c r="A27" s="32" t="s">
        <v>2031</v>
      </c>
      <c r="B27" s="32" t="s">
        <v>2032</v>
      </c>
      <c r="C27" s="32" t="s">
        <v>2033</v>
      </c>
      <c r="D27" s="2" t="s">
        <v>1</v>
      </c>
      <c r="E27" s="32" t="s">
        <v>2861</v>
      </c>
      <c r="F27" s="41" t="s">
        <v>5266</v>
      </c>
    </row>
    <row r="28" ht="12.75" customHeight="1">
      <c r="A28" s="32" t="s">
        <v>1354</v>
      </c>
      <c r="B28" s="32" t="s">
        <v>1355</v>
      </c>
      <c r="C28" s="32" t="s">
        <v>1356</v>
      </c>
      <c r="D28" s="2" t="s">
        <v>1</v>
      </c>
      <c r="E28" s="32" t="s">
        <v>3115</v>
      </c>
      <c r="F28" s="41" t="s">
        <v>5266</v>
      </c>
    </row>
    <row r="29" ht="12.75" customHeight="1">
      <c r="A29" s="32" t="s">
        <v>1854</v>
      </c>
      <c r="B29" s="32" t="s">
        <v>1855</v>
      </c>
      <c r="C29" s="32" t="s">
        <v>1856</v>
      </c>
      <c r="D29" s="2" t="s">
        <v>1</v>
      </c>
      <c r="E29" s="32" t="s">
        <v>4733</v>
      </c>
      <c r="F29" s="41" t="s">
        <v>5266</v>
      </c>
    </row>
    <row r="30" ht="12.75" customHeight="1">
      <c r="A30" s="32" t="s">
        <v>1926</v>
      </c>
      <c r="B30" s="32" t="s">
        <v>1927</v>
      </c>
      <c r="C30" s="32" t="s">
        <v>1928</v>
      </c>
      <c r="D30" s="2" t="s">
        <v>1</v>
      </c>
      <c r="E30" s="32" t="s">
        <v>3277</v>
      </c>
      <c r="F30" s="41" t="s">
        <v>5266</v>
      </c>
    </row>
    <row r="31" ht="12.75" customHeight="1">
      <c r="A31" s="32" t="s">
        <v>1547</v>
      </c>
      <c r="B31" s="32" t="s">
        <v>3281</v>
      </c>
      <c r="C31" s="32" t="s">
        <v>1549</v>
      </c>
      <c r="D31" s="2" t="s">
        <v>1</v>
      </c>
      <c r="E31" s="32" t="s">
        <v>3289</v>
      </c>
      <c r="F31" s="41" t="s">
        <v>5266</v>
      </c>
    </row>
    <row r="32" ht="12.75" customHeight="1">
      <c r="A32" s="32" t="s">
        <v>1915</v>
      </c>
      <c r="B32" s="32" t="s">
        <v>1916</v>
      </c>
      <c r="C32" s="32" t="s">
        <v>1917</v>
      </c>
      <c r="D32" s="2" t="s">
        <v>1</v>
      </c>
      <c r="E32" s="32" t="s">
        <v>3226</v>
      </c>
      <c r="F32" s="41" t="s">
        <v>5266</v>
      </c>
    </row>
    <row r="33" ht="12.75" customHeight="1">
      <c r="A33" s="32" t="s">
        <v>2173</v>
      </c>
      <c r="B33" s="32" t="s">
        <v>2174</v>
      </c>
      <c r="C33" s="32" t="s">
        <v>2175</v>
      </c>
      <c r="D33" s="2" t="s">
        <v>1</v>
      </c>
      <c r="E33" s="32" t="s">
        <v>3881</v>
      </c>
      <c r="F33" s="41" t="s">
        <v>5266</v>
      </c>
    </row>
    <row r="34" ht="12.75" customHeight="1">
      <c r="A34" s="32" t="s">
        <v>1673</v>
      </c>
      <c r="B34" s="32" t="s">
        <v>1674</v>
      </c>
      <c r="C34" s="32" t="s">
        <v>1675</v>
      </c>
      <c r="D34" s="2" t="s">
        <v>1</v>
      </c>
      <c r="E34" s="32" t="s">
        <v>3030</v>
      </c>
      <c r="F34" s="41" t="s">
        <v>5266</v>
      </c>
    </row>
    <row r="35" ht="12.75" customHeight="1">
      <c r="A35" s="32" t="s">
        <v>2089</v>
      </c>
      <c r="B35" s="32" t="s">
        <v>2090</v>
      </c>
      <c r="C35" s="32" t="s">
        <v>2091</v>
      </c>
      <c r="D35" s="2" t="s">
        <v>1</v>
      </c>
      <c r="E35" s="32" t="s">
        <v>2945</v>
      </c>
      <c r="F35" s="41" t="s">
        <v>5266</v>
      </c>
    </row>
    <row r="36" ht="12.75" customHeight="1">
      <c r="A36" s="32" t="s">
        <v>1662</v>
      </c>
      <c r="B36" s="32" t="s">
        <v>1663</v>
      </c>
      <c r="C36" s="32" t="s">
        <v>1664</v>
      </c>
      <c r="D36" s="2" t="s">
        <v>1</v>
      </c>
      <c r="E36" s="32" t="s">
        <v>3577</v>
      </c>
      <c r="F36" s="41" t="s">
        <v>5266</v>
      </c>
    </row>
    <row r="37" ht="12.75" customHeight="1">
      <c r="A37" s="32" t="s">
        <v>1920</v>
      </c>
      <c r="B37" s="32" t="s">
        <v>1921</v>
      </c>
      <c r="C37" s="32" t="s">
        <v>1922</v>
      </c>
      <c r="D37" s="2" t="s">
        <v>1</v>
      </c>
      <c r="E37" s="32" t="s">
        <v>3841</v>
      </c>
      <c r="F37" s="41" t="s">
        <v>5266</v>
      </c>
    </row>
    <row r="38" ht="12.75" customHeight="1">
      <c r="A38" s="32" t="s">
        <v>2266</v>
      </c>
      <c r="B38" s="2" t="s">
        <v>5267</v>
      </c>
      <c r="C38" s="32" t="s">
        <v>1324</v>
      </c>
      <c r="D38" s="2" t="s">
        <v>1</v>
      </c>
      <c r="E38" s="32" t="s">
        <v>2451</v>
      </c>
      <c r="F38" s="41" t="s">
        <v>5266</v>
      </c>
    </row>
    <row r="39" ht="12.75" customHeight="1">
      <c r="A39" s="32" t="s">
        <v>1743</v>
      </c>
      <c r="B39" s="32" t="s">
        <v>1744</v>
      </c>
      <c r="C39" s="32" t="s">
        <v>1745</v>
      </c>
      <c r="D39" s="2" t="s">
        <v>1</v>
      </c>
      <c r="E39" s="32" t="s">
        <v>4521</v>
      </c>
      <c r="F39" s="41" t="s">
        <v>5266</v>
      </c>
    </row>
    <row r="40" ht="12.75" customHeight="1">
      <c r="A40" s="32" t="s">
        <v>2245</v>
      </c>
      <c r="B40" s="32" t="s">
        <v>2804</v>
      </c>
      <c r="C40" s="32" t="s">
        <v>2247</v>
      </c>
      <c r="D40" s="2" t="s">
        <v>1</v>
      </c>
      <c r="E40" s="32" t="s">
        <v>2822</v>
      </c>
      <c r="F40" s="41" t="s">
        <v>5266</v>
      </c>
    </row>
    <row r="41" ht="12.75" customHeight="1">
      <c r="A41" s="32" t="s">
        <v>2228</v>
      </c>
      <c r="B41" s="32" t="s">
        <v>4824</v>
      </c>
      <c r="C41" s="32" t="s">
        <v>2230</v>
      </c>
      <c r="D41" s="2" t="s">
        <v>1</v>
      </c>
      <c r="E41" s="32" t="s">
        <v>4836</v>
      </c>
      <c r="F41" s="41" t="s">
        <v>5266</v>
      </c>
    </row>
    <row r="42" ht="12.75" customHeight="1">
      <c r="A42" s="32" t="s">
        <v>1700</v>
      </c>
      <c r="B42" s="32" t="s">
        <v>1701</v>
      </c>
      <c r="C42" s="32" t="s">
        <v>1702</v>
      </c>
      <c r="D42" s="2" t="s">
        <v>1</v>
      </c>
      <c r="E42" s="32" t="s">
        <v>3151</v>
      </c>
      <c r="F42" s="41" t="s">
        <v>5266</v>
      </c>
    </row>
    <row r="43" ht="12.75" customHeight="1">
      <c r="A43" s="32" t="s">
        <v>1775</v>
      </c>
      <c r="B43" s="32" t="s">
        <v>1776</v>
      </c>
      <c r="C43" s="32" t="s">
        <v>1777</v>
      </c>
      <c r="D43" s="2" t="s">
        <v>1</v>
      </c>
      <c r="E43" s="32" t="s">
        <v>2800</v>
      </c>
      <c r="F43" s="41" t="s">
        <v>5266</v>
      </c>
    </row>
    <row r="44" ht="12.75" customHeight="1">
      <c r="A44" s="32" t="s">
        <v>1559</v>
      </c>
      <c r="B44" s="32" t="s">
        <v>3194</v>
      </c>
      <c r="C44" s="32" t="s">
        <v>1561</v>
      </c>
      <c r="D44" s="2" t="s">
        <v>1</v>
      </c>
      <c r="E44" s="32" t="s">
        <v>3210</v>
      </c>
      <c r="F44" s="41" t="s">
        <v>5266</v>
      </c>
    </row>
    <row r="45" ht="12.75" customHeight="1">
      <c r="A45" s="32" t="s">
        <v>1955</v>
      </c>
      <c r="B45" s="32" t="s">
        <v>1956</v>
      </c>
      <c r="C45" s="32" t="s">
        <v>1957</v>
      </c>
      <c r="D45" s="2" t="s">
        <v>1</v>
      </c>
      <c r="E45" s="32" t="s">
        <v>2518</v>
      </c>
      <c r="F45" s="41" t="s">
        <v>5266</v>
      </c>
    </row>
    <row r="46" ht="12.75" customHeight="1">
      <c r="A46" s="32" t="s">
        <v>2260</v>
      </c>
      <c r="B46" s="32" t="s">
        <v>4545</v>
      </c>
      <c r="C46" s="32" t="s">
        <v>2262</v>
      </c>
      <c r="D46" s="2" t="s">
        <v>1</v>
      </c>
      <c r="E46" s="32" t="s">
        <v>4556</v>
      </c>
      <c r="F46" s="41" t="s">
        <v>5266</v>
      </c>
    </row>
    <row r="47" ht="12.75" customHeight="1">
      <c r="A47" s="32" t="s">
        <v>1604</v>
      </c>
      <c r="B47" s="32" t="s">
        <v>4441</v>
      </c>
      <c r="C47" s="32" t="s">
        <v>1606</v>
      </c>
      <c r="D47" s="2" t="s">
        <v>1</v>
      </c>
      <c r="E47" s="32" t="s">
        <v>4450</v>
      </c>
      <c r="F47" s="41" t="s">
        <v>5266</v>
      </c>
    </row>
    <row r="48" ht="12.75" customHeight="1">
      <c r="A48" s="32" t="s">
        <v>1960</v>
      </c>
      <c r="B48" s="32" t="s">
        <v>1961</v>
      </c>
      <c r="C48" s="32" t="s">
        <v>1962</v>
      </c>
      <c r="D48" s="2" t="s">
        <v>1</v>
      </c>
      <c r="E48" s="32" t="s">
        <v>2982</v>
      </c>
      <c r="F48" s="41" t="s">
        <v>5266</v>
      </c>
    </row>
    <row r="49" ht="12.75" customHeight="1">
      <c r="A49" s="32" t="s">
        <v>1391</v>
      </c>
      <c r="B49" s="32" t="s">
        <v>1392</v>
      </c>
      <c r="C49" s="32" t="s">
        <v>1393</v>
      </c>
      <c r="D49" s="2" t="s">
        <v>1</v>
      </c>
      <c r="E49" s="32" t="s">
        <v>3239</v>
      </c>
      <c r="F49" s="41" t="s">
        <v>5266</v>
      </c>
    </row>
    <row r="50" ht="12.75" customHeight="1">
      <c r="A50" s="32" t="s">
        <v>1641</v>
      </c>
      <c r="B50" s="32" t="s">
        <v>2826</v>
      </c>
      <c r="C50" s="32" t="s">
        <v>1643</v>
      </c>
      <c r="D50" s="2" t="s">
        <v>1</v>
      </c>
      <c r="E50" s="32" t="s">
        <v>2842</v>
      </c>
      <c r="F50" s="41" t="s">
        <v>5266</v>
      </c>
    </row>
    <row r="51" ht="12.75" customHeight="1">
      <c r="A51" s="32" t="s">
        <v>1448</v>
      </c>
      <c r="B51" s="32" t="s">
        <v>1449</v>
      </c>
      <c r="C51" s="32" t="s">
        <v>1450</v>
      </c>
      <c r="D51" s="2" t="s">
        <v>1</v>
      </c>
      <c r="E51" s="32" t="s">
        <v>3591</v>
      </c>
      <c r="F51" s="41" t="s">
        <v>5266</v>
      </c>
    </row>
    <row r="52" ht="12.75" customHeight="1">
      <c r="A52" s="32" t="s">
        <v>1383</v>
      </c>
      <c r="B52" s="32" t="s">
        <v>1384</v>
      </c>
      <c r="C52" s="32" t="s">
        <v>1385</v>
      </c>
      <c r="D52" s="2" t="s">
        <v>1</v>
      </c>
      <c r="E52" s="32" t="s">
        <v>4008</v>
      </c>
      <c r="F52" s="41" t="s">
        <v>5266</v>
      </c>
    </row>
    <row r="53" ht="12.75" customHeight="1">
      <c r="A53" s="32" t="s">
        <v>1689</v>
      </c>
      <c r="B53" s="32" t="s">
        <v>1690</v>
      </c>
      <c r="C53" s="32" t="s">
        <v>1691</v>
      </c>
      <c r="D53" s="2" t="s">
        <v>1</v>
      </c>
      <c r="E53" s="32" t="s">
        <v>2673</v>
      </c>
      <c r="F53" s="41" t="s">
        <v>5266</v>
      </c>
    </row>
    <row r="54" ht="12.75" customHeight="1">
      <c r="A54" s="32" t="s">
        <v>1849</v>
      </c>
      <c r="B54" s="32" t="s">
        <v>1850</v>
      </c>
      <c r="C54" s="32" t="s">
        <v>1851</v>
      </c>
      <c r="D54" s="2" t="s">
        <v>1</v>
      </c>
      <c r="E54" s="32" t="s">
        <v>4306</v>
      </c>
      <c r="F54" s="41" t="s">
        <v>5266</v>
      </c>
    </row>
    <row r="55" ht="12.75" customHeight="1">
      <c r="A55" s="32" t="s">
        <v>1472</v>
      </c>
      <c r="B55" s="32" t="s">
        <v>1473</v>
      </c>
      <c r="C55" s="32" t="s">
        <v>1474</v>
      </c>
      <c r="D55" s="2" t="s">
        <v>1</v>
      </c>
      <c r="E55" s="32" t="s">
        <v>4209</v>
      </c>
      <c r="F55" s="41" t="s">
        <v>5266</v>
      </c>
    </row>
    <row r="56" ht="12.75" customHeight="1">
      <c r="A56" s="32" t="s">
        <v>1617</v>
      </c>
      <c r="B56" s="32" t="s">
        <v>4858</v>
      </c>
      <c r="C56" s="32" t="s">
        <v>1619</v>
      </c>
      <c r="D56" s="2" t="s">
        <v>1</v>
      </c>
      <c r="E56" s="32" t="s">
        <v>4870</v>
      </c>
      <c r="F56" s="41" t="s">
        <v>5266</v>
      </c>
    </row>
    <row r="57" ht="12.75" customHeight="1">
      <c r="A57" s="32" t="s">
        <v>1737</v>
      </c>
      <c r="B57" s="32" t="s">
        <v>1738</v>
      </c>
      <c r="C57" s="32" t="s">
        <v>1739</v>
      </c>
      <c r="D57" s="2" t="s">
        <v>1</v>
      </c>
      <c r="E57" s="32" t="s">
        <v>4240</v>
      </c>
      <c r="F57" s="41" t="s">
        <v>5266</v>
      </c>
    </row>
    <row r="58" ht="12.75" customHeight="1">
      <c r="A58" s="32" t="s">
        <v>1808</v>
      </c>
      <c r="B58" s="32" t="s">
        <v>1809</v>
      </c>
      <c r="C58" s="32" t="s">
        <v>1810</v>
      </c>
      <c r="D58" s="2" t="s">
        <v>1</v>
      </c>
      <c r="E58" s="32" t="s">
        <v>4275</v>
      </c>
      <c r="F58" s="41" t="s">
        <v>5266</v>
      </c>
    </row>
    <row r="59" ht="12.75" customHeight="1">
      <c r="A59" s="32" t="s">
        <v>1656</v>
      </c>
      <c r="B59" s="32" t="s">
        <v>1657</v>
      </c>
      <c r="C59" s="32" t="s">
        <v>1658</v>
      </c>
      <c r="D59" s="2" t="s">
        <v>1</v>
      </c>
      <c r="E59" s="32" t="s">
        <v>3534</v>
      </c>
      <c r="F59" s="41" t="s">
        <v>5266</v>
      </c>
    </row>
    <row r="60" ht="12.75" customHeight="1">
      <c r="A60" s="32" t="s">
        <v>2184</v>
      </c>
      <c r="B60" s="32" t="s">
        <v>2185</v>
      </c>
      <c r="C60" s="32" t="s">
        <v>2186</v>
      </c>
      <c r="D60" s="2" t="s">
        <v>1</v>
      </c>
      <c r="E60" s="32" t="s">
        <v>4227</v>
      </c>
      <c r="F60" s="41" t="s">
        <v>5266</v>
      </c>
    </row>
    <row r="61" ht="12.75" customHeight="1">
      <c r="A61" s="32" t="s">
        <v>1491</v>
      </c>
      <c r="B61" s="32" t="s">
        <v>1492</v>
      </c>
      <c r="C61" s="32" t="s">
        <v>1493</v>
      </c>
      <c r="D61" s="2" t="s">
        <v>1</v>
      </c>
      <c r="E61" s="32" t="s">
        <v>4748</v>
      </c>
      <c r="F61" s="41" t="s">
        <v>5266</v>
      </c>
    </row>
    <row r="62" ht="12.75" customHeight="1">
      <c r="A62" s="32" t="s">
        <v>1993</v>
      </c>
      <c r="B62" s="32" t="s">
        <v>1994</v>
      </c>
      <c r="C62" s="32" t="s">
        <v>1995</v>
      </c>
      <c r="D62" s="2" t="s">
        <v>1</v>
      </c>
      <c r="E62" s="32" t="s">
        <v>4178</v>
      </c>
      <c r="F62" s="41" t="s">
        <v>5266</v>
      </c>
    </row>
    <row r="63" ht="12.75" customHeight="1">
      <c r="A63" s="32" t="s">
        <v>1678</v>
      </c>
      <c r="B63" s="32" t="s">
        <v>3750</v>
      </c>
      <c r="C63" s="32" t="s">
        <v>1680</v>
      </c>
      <c r="D63" s="2" t="s">
        <v>1</v>
      </c>
      <c r="E63" s="32" t="s">
        <v>3761</v>
      </c>
      <c r="F63" s="41" t="s">
        <v>5266</v>
      </c>
    </row>
    <row r="64" ht="12.75" customHeight="1">
      <c r="A64" s="32" t="s">
        <v>1398</v>
      </c>
      <c r="B64" s="32" t="s">
        <v>1399</v>
      </c>
      <c r="C64" s="32" t="s">
        <v>1400</v>
      </c>
      <c r="D64" s="2" t="s">
        <v>1</v>
      </c>
      <c r="E64" s="32" t="s">
        <v>2778</v>
      </c>
      <c r="F64" s="41" t="s">
        <v>5266</v>
      </c>
    </row>
    <row r="65" ht="12.75" customHeight="1">
      <c r="A65" s="32" t="s">
        <v>1582</v>
      </c>
      <c r="B65" s="32" t="s">
        <v>1583</v>
      </c>
      <c r="C65" s="32" t="s">
        <v>1584</v>
      </c>
      <c r="D65" s="2" t="s">
        <v>1</v>
      </c>
      <c r="E65" s="32" t="s">
        <v>4051</v>
      </c>
      <c r="F65" s="41" t="s">
        <v>5266</v>
      </c>
    </row>
    <row r="66" ht="12.75" customHeight="1">
      <c r="A66" s="32" t="s">
        <v>1627</v>
      </c>
      <c r="B66" s="32" t="s">
        <v>1628</v>
      </c>
      <c r="C66" s="32" t="s">
        <v>1629</v>
      </c>
      <c r="D66" s="2" t="s">
        <v>1</v>
      </c>
      <c r="E66" s="32" t="s">
        <v>4320</v>
      </c>
      <c r="F66" s="41" t="s">
        <v>5266</v>
      </c>
    </row>
    <row r="67" ht="12.75" customHeight="1">
      <c r="A67" s="32" t="s">
        <v>1843</v>
      </c>
      <c r="B67" s="32" t="s">
        <v>1844</v>
      </c>
      <c r="C67" s="32" t="s">
        <v>1845</v>
      </c>
      <c r="D67" s="2" t="s">
        <v>1</v>
      </c>
      <c r="E67" s="32" t="s">
        <v>3133</v>
      </c>
      <c r="F67" s="41" t="s">
        <v>5266</v>
      </c>
    </row>
    <row r="68" ht="12.75" customHeight="1">
      <c r="A68" s="32" t="s">
        <v>2195</v>
      </c>
      <c r="B68" s="32" t="s">
        <v>2196</v>
      </c>
      <c r="C68" s="32" t="s">
        <v>2197</v>
      </c>
      <c r="D68" s="2" t="s">
        <v>1</v>
      </c>
      <c r="E68" s="32" t="s">
        <v>3827</v>
      </c>
      <c r="F68" s="41" t="s">
        <v>5266</v>
      </c>
    </row>
    <row r="69" ht="12.75" customHeight="1">
      <c r="A69" s="32" t="s">
        <v>2211</v>
      </c>
      <c r="B69" s="32" t="s">
        <v>2212</v>
      </c>
      <c r="C69" s="32" t="s">
        <v>2213</v>
      </c>
      <c r="D69" s="2" t="s">
        <v>1</v>
      </c>
      <c r="E69" s="32" t="s">
        <v>3374</v>
      </c>
      <c r="F69" s="41" t="s">
        <v>5266</v>
      </c>
    </row>
    <row r="70" ht="12.75" customHeight="1">
      <c r="A70" s="32" t="s">
        <v>1977</v>
      </c>
      <c r="B70" s="32" t="s">
        <v>1978</v>
      </c>
      <c r="C70" s="32" t="s">
        <v>1979</v>
      </c>
      <c r="D70" s="2" t="s">
        <v>1</v>
      </c>
      <c r="E70" s="32" t="s">
        <v>3407</v>
      </c>
      <c r="F70" s="41" t="s">
        <v>5266</v>
      </c>
    </row>
    <row r="71" ht="12.75" customHeight="1">
      <c r="A71" s="32" t="s">
        <v>2009</v>
      </c>
      <c r="B71" s="32" t="s">
        <v>2010</v>
      </c>
      <c r="C71" s="32" t="s">
        <v>2011</v>
      </c>
      <c r="D71" s="2" t="s">
        <v>1</v>
      </c>
      <c r="E71" s="32" t="s">
        <v>2497</v>
      </c>
      <c r="F71" s="41" t="s">
        <v>5266</v>
      </c>
    </row>
    <row r="72" ht="12.75" customHeight="1">
      <c r="A72" s="32" t="s">
        <v>1342</v>
      </c>
      <c r="B72" s="32" t="s">
        <v>1343</v>
      </c>
      <c r="C72" s="32" t="s">
        <v>1344</v>
      </c>
      <c r="D72" s="2" t="s">
        <v>1</v>
      </c>
      <c r="E72" s="32" t="s">
        <v>2737</v>
      </c>
      <c r="F72" s="41" t="s">
        <v>5266</v>
      </c>
    </row>
    <row r="73" ht="12.75" customHeight="1">
      <c r="A73" s="32" t="s">
        <v>1966</v>
      </c>
      <c r="B73" s="32" t="s">
        <v>1967</v>
      </c>
      <c r="C73" s="32" t="s">
        <v>1968</v>
      </c>
      <c r="D73" s="2" t="s">
        <v>1</v>
      </c>
      <c r="E73" s="32" t="s">
        <v>2540</v>
      </c>
      <c r="F73" s="41" t="s">
        <v>5266</v>
      </c>
    </row>
    <row r="74" ht="12.75" customHeight="1">
      <c r="A74" s="32" t="s">
        <v>1971</v>
      </c>
      <c r="B74" s="32" t="s">
        <v>1972</v>
      </c>
      <c r="C74" s="32" t="s">
        <v>1973</v>
      </c>
      <c r="D74" s="2" t="s">
        <v>1</v>
      </c>
      <c r="E74" s="32" t="s">
        <v>2910</v>
      </c>
      <c r="F74" s="41" t="s">
        <v>5266</v>
      </c>
    </row>
    <row r="75" ht="12.75" customHeight="1">
      <c r="A75" s="32" t="s">
        <v>1910</v>
      </c>
      <c r="B75" s="32" t="s">
        <v>1911</v>
      </c>
      <c r="C75" s="32" t="s">
        <v>1912</v>
      </c>
      <c r="D75" s="2" t="s">
        <v>1</v>
      </c>
      <c r="E75" s="32" t="s">
        <v>3051</v>
      </c>
      <c r="F75" s="41" t="s">
        <v>5266</v>
      </c>
    </row>
    <row r="76" ht="12.75" customHeight="1">
      <c r="A76" s="32" t="s">
        <v>1694</v>
      </c>
      <c r="B76" s="32" t="s">
        <v>2741</v>
      </c>
      <c r="C76" s="32" t="s">
        <v>1696</v>
      </c>
      <c r="D76" s="2" t="s">
        <v>1</v>
      </c>
      <c r="E76" s="32" t="s">
        <v>2756</v>
      </c>
      <c r="F76" s="41" t="s">
        <v>5266</v>
      </c>
    </row>
    <row r="77" ht="12.75" customHeight="1">
      <c r="A77" s="32" t="s">
        <v>1710</v>
      </c>
      <c r="B77" s="32" t="s">
        <v>2563</v>
      </c>
      <c r="C77" s="32" t="s">
        <v>1712</v>
      </c>
      <c r="D77" s="2" t="s">
        <v>1</v>
      </c>
      <c r="E77" s="32" t="s">
        <v>2580</v>
      </c>
      <c r="F77" s="41" t="s">
        <v>5266</v>
      </c>
    </row>
    <row r="78" ht="12.75" customHeight="1">
      <c r="A78" s="32" t="s">
        <v>1512</v>
      </c>
      <c r="B78" s="32" t="s">
        <v>1513</v>
      </c>
      <c r="C78" s="32" t="s">
        <v>1514</v>
      </c>
      <c r="D78" s="2" t="s">
        <v>1</v>
      </c>
      <c r="E78" s="32" t="s">
        <v>2716</v>
      </c>
      <c r="F78" s="41" t="s">
        <v>5266</v>
      </c>
    </row>
    <row r="79" ht="12.75" customHeight="1">
      <c r="A79" s="32" t="s">
        <v>4795</v>
      </c>
      <c r="B79" s="32" t="s">
        <v>1880</v>
      </c>
      <c r="C79" s="32" t="s">
        <v>1881</v>
      </c>
      <c r="D79" s="2" t="s">
        <v>1</v>
      </c>
      <c r="E79" s="32" t="s">
        <v>4804</v>
      </c>
      <c r="F79" s="41" t="s">
        <v>5266</v>
      </c>
    </row>
    <row r="80" ht="12.75" customHeight="1">
      <c r="A80" s="32" t="s">
        <v>2161</v>
      </c>
      <c r="B80" s="32" t="s">
        <v>4325</v>
      </c>
      <c r="C80" s="32" t="s">
        <v>2163</v>
      </c>
      <c r="D80" s="2" t="s">
        <v>1</v>
      </c>
      <c r="E80" s="32" t="s">
        <v>4335</v>
      </c>
      <c r="F80" s="41" t="s">
        <v>5266</v>
      </c>
    </row>
    <row r="81" ht="12.75" customHeight="1">
      <c r="A81" s="32" t="s">
        <v>2222</v>
      </c>
      <c r="B81" s="32" t="s">
        <v>2223</v>
      </c>
      <c r="C81" s="32" t="s">
        <v>2224</v>
      </c>
      <c r="D81" s="2" t="s">
        <v>1</v>
      </c>
      <c r="E81" s="32" t="s">
        <v>4775</v>
      </c>
      <c r="F81" s="41" t="s">
        <v>5266</v>
      </c>
    </row>
    <row r="82" ht="12.75" customHeight="1">
      <c r="A82" s="32" t="s">
        <v>1594</v>
      </c>
      <c r="B82" s="32" t="s">
        <v>4584</v>
      </c>
      <c r="C82" s="32" t="s">
        <v>1596</v>
      </c>
      <c r="D82" s="2" t="s">
        <v>1</v>
      </c>
      <c r="E82" s="32" t="s">
        <v>4597</v>
      </c>
      <c r="F82" s="41" t="s">
        <v>5266</v>
      </c>
    </row>
    <row r="83" ht="12.75" customHeight="1">
      <c r="A83" s="32" t="s">
        <v>2602</v>
      </c>
      <c r="B83" s="32" t="s">
        <v>2605</v>
      </c>
      <c r="C83" s="32" t="s">
        <v>2074</v>
      </c>
      <c r="D83" s="2" t="s">
        <v>1</v>
      </c>
      <c r="E83" s="32" t="s">
        <v>2619</v>
      </c>
      <c r="F83" s="41" t="s">
        <v>5266</v>
      </c>
    </row>
    <row r="84" ht="12.75" customHeight="1">
      <c r="A84" s="32" t="s">
        <v>2255</v>
      </c>
      <c r="B84" s="32" t="s">
        <v>2256</v>
      </c>
      <c r="C84" s="32" t="s">
        <v>2257</v>
      </c>
      <c r="D84" s="2" t="s">
        <v>1</v>
      </c>
      <c r="E84" s="32" t="s">
        <v>4035</v>
      </c>
      <c r="F84" s="41" t="s">
        <v>5266</v>
      </c>
    </row>
    <row r="85" ht="12.75" customHeight="1">
      <c r="A85" s="32" t="s">
        <v>1651</v>
      </c>
      <c r="B85" s="32" t="s">
        <v>1652</v>
      </c>
      <c r="C85" s="32" t="s">
        <v>1653</v>
      </c>
      <c r="D85" s="2" t="s">
        <v>1</v>
      </c>
      <c r="E85" s="32" t="s">
        <v>3503</v>
      </c>
      <c r="F85" s="41" t="s">
        <v>5266</v>
      </c>
    </row>
    <row r="86" ht="12.75" customHeight="1">
      <c r="A86" s="32" t="s">
        <v>1705</v>
      </c>
      <c r="B86" s="32" t="s">
        <v>1706</v>
      </c>
      <c r="C86" s="32" t="s">
        <v>1707</v>
      </c>
      <c r="D86" s="2" t="s">
        <v>1</v>
      </c>
      <c r="E86" s="32" t="s">
        <v>3436</v>
      </c>
      <c r="F86" s="41" t="s">
        <v>5266</v>
      </c>
    </row>
    <row r="87" ht="12.75" customHeight="1">
      <c r="A87" s="32" t="s">
        <v>1890</v>
      </c>
      <c r="B87" s="32" t="s">
        <v>1891</v>
      </c>
      <c r="C87" s="32" t="s">
        <v>1892</v>
      </c>
      <c r="D87" s="2" t="s">
        <v>1</v>
      </c>
      <c r="E87" s="32" t="s">
        <v>4943</v>
      </c>
      <c r="F87" s="41" t="s">
        <v>5266</v>
      </c>
    </row>
    <row r="88" ht="12.75" customHeight="1">
      <c r="A88" s="32" t="s">
        <v>1786</v>
      </c>
      <c r="B88" s="32" t="s">
        <v>4955</v>
      </c>
      <c r="C88" s="32" t="s">
        <v>1788</v>
      </c>
      <c r="D88" s="2" t="s">
        <v>1</v>
      </c>
      <c r="E88" s="32" t="s">
        <v>4963</v>
      </c>
      <c r="F88" s="41" t="s">
        <v>5266</v>
      </c>
    </row>
    <row r="89" ht="12.75" customHeight="1">
      <c r="A89" s="32" t="s">
        <v>2019</v>
      </c>
      <c r="B89" s="32" t="s">
        <v>2020</v>
      </c>
      <c r="C89" s="32" t="s">
        <v>2021</v>
      </c>
      <c r="D89" s="2" t="s">
        <v>1</v>
      </c>
      <c r="E89" s="32" t="s">
        <v>4645</v>
      </c>
      <c r="F89" s="41" t="s">
        <v>5266</v>
      </c>
    </row>
    <row r="90" ht="12.75" customHeight="1">
      <c r="A90" s="32" t="s">
        <v>2105</v>
      </c>
      <c r="B90" s="32" t="s">
        <v>2106</v>
      </c>
      <c r="C90" s="32" t="s">
        <v>2107</v>
      </c>
      <c r="D90" s="2" t="s">
        <v>1</v>
      </c>
      <c r="E90" s="32" t="s">
        <v>3360</v>
      </c>
      <c r="F90" s="41" t="s">
        <v>5266</v>
      </c>
    </row>
    <row r="91" ht="12.75" customHeight="1">
      <c r="A91" s="32" t="s">
        <v>1622</v>
      </c>
      <c r="B91" s="32" t="s">
        <v>1623</v>
      </c>
      <c r="C91" s="32" t="s">
        <v>1624</v>
      </c>
      <c r="D91" s="2" t="s">
        <v>1</v>
      </c>
      <c r="E91" s="32" t="s">
        <v>4254</v>
      </c>
      <c r="F91" s="41" t="s">
        <v>5266</v>
      </c>
    </row>
    <row r="92" ht="12.75" customHeight="1">
      <c r="A92" s="32" t="s">
        <v>2387</v>
      </c>
      <c r="B92" s="32" t="s">
        <v>2291</v>
      </c>
      <c r="C92" s="32" t="s">
        <v>2405</v>
      </c>
      <c r="D92" s="2" t="s">
        <v>1</v>
      </c>
      <c r="E92" s="32" t="s">
        <v>2411</v>
      </c>
      <c r="F92" s="41" t="s">
        <v>5266</v>
      </c>
    </row>
    <row r="93" ht="12.75" customHeight="1">
      <c r="A93" s="32" t="s">
        <v>1732</v>
      </c>
      <c r="B93" s="32" t="s">
        <v>1733</v>
      </c>
      <c r="C93" s="32" t="s">
        <v>1734</v>
      </c>
      <c r="D93" s="2" t="s">
        <v>1</v>
      </c>
      <c r="E93" s="32" t="s">
        <v>3746</v>
      </c>
      <c r="F93" s="41" t="s">
        <v>5266</v>
      </c>
    </row>
    <row r="94" ht="12.75" customHeight="1">
      <c r="A94" s="32" t="s">
        <v>2155</v>
      </c>
      <c r="B94" s="32" t="s">
        <v>4780</v>
      </c>
      <c r="C94" s="32" t="s">
        <v>2157</v>
      </c>
      <c r="D94" s="2" t="s">
        <v>1</v>
      </c>
      <c r="E94" s="32" t="s">
        <v>4793</v>
      </c>
      <c r="F94" s="41" t="s">
        <v>5266</v>
      </c>
    </row>
    <row r="95" ht="12.75" customHeight="1">
      <c r="A95" s="32" t="s">
        <v>1748</v>
      </c>
      <c r="B95" s="32" t="s">
        <v>1749</v>
      </c>
      <c r="C95" s="32" t="s">
        <v>1750</v>
      </c>
      <c r="D95" s="2" t="s">
        <v>1</v>
      </c>
      <c r="E95" s="32" t="s">
        <v>2599</v>
      </c>
      <c r="F95" s="41" t="s">
        <v>5266</v>
      </c>
    </row>
    <row r="96" ht="12.75" customHeight="1">
      <c r="A96" s="32" t="s">
        <v>1874</v>
      </c>
      <c r="B96" s="32" t="s">
        <v>1875</v>
      </c>
      <c r="C96" s="32" t="s">
        <v>1876</v>
      </c>
      <c r="D96" s="2" t="s">
        <v>1</v>
      </c>
      <c r="E96" s="32" t="s">
        <v>4195</v>
      </c>
      <c r="F96" s="41" t="s">
        <v>5266</v>
      </c>
    </row>
    <row r="97" ht="12.75" customHeight="1">
      <c r="A97" s="32" t="s">
        <v>1683</v>
      </c>
      <c r="B97" s="32" t="s">
        <v>1684</v>
      </c>
      <c r="C97" s="32" t="s">
        <v>1685</v>
      </c>
      <c r="D97" s="2" t="s">
        <v>1</v>
      </c>
      <c r="E97" s="32" t="s">
        <v>3784</v>
      </c>
      <c r="F97" s="41" t="s">
        <v>5266</v>
      </c>
    </row>
    <row r="98" ht="12.75" customHeight="1">
      <c r="A98" s="32" t="s">
        <v>1931</v>
      </c>
      <c r="B98" s="32" t="s">
        <v>1932</v>
      </c>
      <c r="C98" s="32" t="s">
        <v>1933</v>
      </c>
      <c r="D98" s="2" t="s">
        <v>1</v>
      </c>
      <c r="E98" s="32" t="s">
        <v>3450</v>
      </c>
      <c r="F98" s="41" t="s">
        <v>5266</v>
      </c>
    </row>
    <row r="99" ht="12.75" customHeight="1">
      <c r="A99" s="32" t="s">
        <v>2121</v>
      </c>
      <c r="B99" s="32" t="s">
        <v>2122</v>
      </c>
      <c r="C99" s="32" t="s">
        <v>2123</v>
      </c>
      <c r="D99" s="2" t="s">
        <v>1</v>
      </c>
      <c r="E99" s="32" t="s">
        <v>4761</v>
      </c>
      <c r="F99" s="41" t="s">
        <v>5266</v>
      </c>
    </row>
    <row r="100" ht="12.75" customHeight="1">
      <c r="A100" s="32" t="s">
        <v>2099</v>
      </c>
      <c r="B100" s="32" t="s">
        <v>3337</v>
      </c>
      <c r="C100" s="32" t="s">
        <v>2101</v>
      </c>
      <c r="D100" s="2" t="s">
        <v>1</v>
      </c>
      <c r="E100" s="32" t="s">
        <v>3347</v>
      </c>
      <c r="F100" s="41" t="s">
        <v>5266</v>
      </c>
    </row>
    <row r="101" ht="12.75" customHeight="1">
      <c r="A101" s="32" t="s">
        <v>1541</v>
      </c>
      <c r="B101" s="32" t="s">
        <v>2949</v>
      </c>
      <c r="C101" s="32" t="s">
        <v>1543</v>
      </c>
      <c r="D101" s="2" t="s">
        <v>1</v>
      </c>
      <c r="E101" s="32" t="s">
        <v>2966</v>
      </c>
      <c r="F101" s="41" t="s">
        <v>5266</v>
      </c>
    </row>
    <row r="102" ht="12.75" customHeight="1">
      <c r="A102" s="32" t="s">
        <v>1758</v>
      </c>
      <c r="B102" s="32" t="s">
        <v>1759</v>
      </c>
      <c r="C102" s="32" t="s">
        <v>1760</v>
      </c>
      <c r="D102" s="2" t="s">
        <v>1</v>
      </c>
      <c r="E102" s="32" t="s">
        <v>4089</v>
      </c>
      <c r="F102" s="41" t="s">
        <v>5266</v>
      </c>
    </row>
    <row r="103" ht="12.75" customHeight="1">
      <c r="A103" s="32" t="s">
        <v>1764</v>
      </c>
      <c r="B103" s="32" t="s">
        <v>1765</v>
      </c>
      <c r="C103" s="32" t="s">
        <v>1766</v>
      </c>
      <c r="D103" s="2" t="s">
        <v>1</v>
      </c>
      <c r="E103" s="32" t="s">
        <v>4820</v>
      </c>
      <c r="F103" s="41" t="s">
        <v>5266</v>
      </c>
    </row>
    <row r="104" ht="12.75" customHeight="1">
      <c r="A104" s="32" t="s">
        <v>2216</v>
      </c>
      <c r="B104" s="32" t="s">
        <v>2217</v>
      </c>
      <c r="C104" s="32" t="s">
        <v>2218</v>
      </c>
      <c r="D104" s="2" t="s">
        <v>1</v>
      </c>
      <c r="E104" s="32" t="s">
        <v>3418</v>
      </c>
      <c r="F104" s="41" t="s">
        <v>5266</v>
      </c>
    </row>
    <row r="105" ht="12.75" customHeight="1">
      <c r="A105" s="32" t="s">
        <v>1770</v>
      </c>
      <c r="B105" s="32" t="s">
        <v>1771</v>
      </c>
      <c r="C105" s="32" t="s">
        <v>1772</v>
      </c>
      <c r="D105" s="2" t="s">
        <v>1</v>
      </c>
      <c r="E105" s="32" t="s">
        <v>3190</v>
      </c>
      <c r="F105" s="41" t="s">
        <v>5266</v>
      </c>
    </row>
    <row r="106" ht="12.75" customHeight="1">
      <c r="A106" s="32" t="s">
        <v>2060</v>
      </c>
      <c r="B106" s="32" t="s">
        <v>2061</v>
      </c>
      <c r="C106" s="32" t="s">
        <v>2062</v>
      </c>
      <c r="D106" s="2" t="s">
        <v>1</v>
      </c>
      <c r="E106" s="32" t="s">
        <v>3859</v>
      </c>
      <c r="F106" s="41" t="s">
        <v>5266</v>
      </c>
    </row>
    <row r="107" ht="12.75" customHeight="1">
      <c r="A107" s="32" t="s">
        <v>1412</v>
      </c>
      <c r="B107" s="32" t="s">
        <v>1413</v>
      </c>
      <c r="C107" s="32" t="s">
        <v>1414</v>
      </c>
      <c r="D107" s="2" t="s">
        <v>1</v>
      </c>
      <c r="E107" s="32" t="s">
        <v>4580</v>
      </c>
      <c r="F107" s="41" t="s">
        <v>5266</v>
      </c>
    </row>
    <row r="108" ht="12.75" customHeight="1">
      <c r="A108" s="32" t="s">
        <v>4838</v>
      </c>
      <c r="B108" s="32" t="s">
        <v>4841</v>
      </c>
      <c r="C108" s="32" t="s">
        <v>2056</v>
      </c>
      <c r="D108" s="2" t="s">
        <v>1</v>
      </c>
      <c r="E108" s="32" t="s">
        <v>4854</v>
      </c>
      <c r="F108" s="41" t="s">
        <v>5266</v>
      </c>
    </row>
    <row r="109" ht="12.75" customHeight="1">
      <c r="A109" s="32" t="s">
        <v>1937</v>
      </c>
      <c r="B109" s="32" t="s">
        <v>1938</v>
      </c>
      <c r="C109" s="32" t="s">
        <v>1939</v>
      </c>
      <c r="D109" s="2" t="s">
        <v>1</v>
      </c>
      <c r="E109" s="32" t="s">
        <v>2559</v>
      </c>
      <c r="F109" s="41" t="s">
        <v>5266</v>
      </c>
    </row>
    <row r="110" ht="12.75" customHeight="1">
      <c r="A110" s="32" t="s">
        <v>1668</v>
      </c>
      <c r="B110" s="32" t="s">
        <v>1669</v>
      </c>
      <c r="C110" s="32" t="s">
        <v>1670</v>
      </c>
      <c r="D110" s="2" t="s">
        <v>1</v>
      </c>
      <c r="E110" s="32" t="s">
        <v>3773</v>
      </c>
      <c r="F110" s="41" t="s">
        <v>5266</v>
      </c>
    </row>
    <row r="111" ht="12.75" customHeight="1">
      <c r="A111" s="32" t="s">
        <v>4921</v>
      </c>
      <c r="B111" s="32" t="s">
        <v>1869</v>
      </c>
      <c r="C111" s="32" t="s">
        <v>1870</v>
      </c>
      <c r="D111" s="2" t="s">
        <v>1</v>
      </c>
      <c r="E111" s="32" t="s">
        <v>4933</v>
      </c>
      <c r="F111" s="41" t="s">
        <v>5266</v>
      </c>
    </row>
    <row r="112" ht="12.75" customHeight="1">
      <c r="A112" s="32" t="s">
        <v>2115</v>
      </c>
      <c r="B112" s="32" t="s">
        <v>2116</v>
      </c>
      <c r="C112" s="32" t="s">
        <v>2117</v>
      </c>
      <c r="D112" s="2" t="s">
        <v>1</v>
      </c>
      <c r="E112" s="32" t="s">
        <v>4289</v>
      </c>
      <c r="F112" s="41" t="s">
        <v>5266</v>
      </c>
    </row>
    <row r="113" ht="12.75" customHeight="1">
      <c r="A113" s="32" t="s">
        <v>1988</v>
      </c>
      <c r="B113" s="32" t="s">
        <v>3595</v>
      </c>
      <c r="C113" s="32" t="s">
        <v>1990</v>
      </c>
      <c r="D113" s="2" t="s">
        <v>1</v>
      </c>
      <c r="E113" s="32" t="s">
        <v>3610</v>
      </c>
      <c r="F113" s="41" t="s">
        <v>5266</v>
      </c>
    </row>
    <row r="114" ht="12.75" customHeight="1">
      <c r="A114" s="32" t="s">
        <v>1646</v>
      </c>
      <c r="B114" s="32" t="s">
        <v>1647</v>
      </c>
      <c r="C114" s="32" t="s">
        <v>1648</v>
      </c>
      <c r="D114" s="2" t="s">
        <v>1</v>
      </c>
      <c r="E114" s="32" t="s">
        <v>2929</v>
      </c>
      <c r="F114" s="41" t="s">
        <v>5266</v>
      </c>
    </row>
    <row r="115" ht="12.75" customHeight="1">
      <c r="A115" s="32" t="s">
        <v>2206</v>
      </c>
      <c r="B115" s="32" t="s">
        <v>3243</v>
      </c>
      <c r="C115" s="32" t="s">
        <v>2208</v>
      </c>
      <c r="D115" s="2" t="s">
        <v>1</v>
      </c>
      <c r="E115" s="32" t="s">
        <v>3259</v>
      </c>
      <c r="F115" s="41" t="s">
        <v>5266</v>
      </c>
    </row>
    <row r="116" ht="12.75" customHeight="1">
      <c r="A116" s="32" t="s">
        <v>1753</v>
      </c>
      <c r="B116" s="32" t="s">
        <v>1754</v>
      </c>
      <c r="C116" s="32" t="s">
        <v>1755</v>
      </c>
      <c r="D116" s="2" t="s">
        <v>1</v>
      </c>
      <c r="E116" s="32" t="s">
        <v>2634</v>
      </c>
      <c r="F116" s="41" t="s">
        <v>5266</v>
      </c>
    </row>
    <row r="117" ht="12.75" customHeight="1">
      <c r="A117" s="32" t="s">
        <v>2037</v>
      </c>
      <c r="B117" s="32" t="s">
        <v>2038</v>
      </c>
      <c r="C117" s="32" t="s">
        <v>2039</v>
      </c>
      <c r="D117" s="2" t="s">
        <v>1</v>
      </c>
      <c r="E117" s="32" t="s">
        <v>3389</v>
      </c>
      <c r="F117" s="41" t="s">
        <v>5266</v>
      </c>
    </row>
    <row r="118" ht="12.75" customHeight="1">
      <c r="A118" s="32" t="s">
        <v>1982</v>
      </c>
      <c r="B118" s="32" t="s">
        <v>1983</v>
      </c>
      <c r="C118" s="32" t="s">
        <v>1984</v>
      </c>
      <c r="D118" s="2" t="s">
        <v>1</v>
      </c>
      <c r="E118" s="32" t="s">
        <v>4159</v>
      </c>
      <c r="F118" s="41" t="s">
        <v>5266</v>
      </c>
    </row>
    <row r="119" ht="12.75" customHeight="1">
      <c r="A119" s="32" t="s">
        <v>1576</v>
      </c>
      <c r="B119" s="32" t="s">
        <v>1577</v>
      </c>
      <c r="C119" s="32" t="s">
        <v>1578</v>
      </c>
      <c r="D119" s="2" t="s">
        <v>1</v>
      </c>
      <c r="E119" s="32" t="s">
        <v>4077</v>
      </c>
      <c r="F119" s="41" t="s">
        <v>5266</v>
      </c>
    </row>
    <row r="120" ht="12.75" customHeight="1">
      <c r="A120" s="32" t="s">
        <v>1825</v>
      </c>
      <c r="B120" s="32" t="s">
        <v>1826</v>
      </c>
      <c r="C120" s="32" t="s">
        <v>1827</v>
      </c>
      <c r="D120" s="2" t="s">
        <v>1</v>
      </c>
      <c r="E120" s="32" t="s">
        <v>4952</v>
      </c>
      <c r="F120" s="41" t="s">
        <v>5266</v>
      </c>
    </row>
    <row r="121" ht="12.75" customHeight="1">
      <c r="A121" s="32" t="s">
        <v>1438</v>
      </c>
      <c r="B121" s="32" t="s">
        <v>1439</v>
      </c>
      <c r="C121" s="32" t="s">
        <v>1440</v>
      </c>
      <c r="D121" s="2" t="s">
        <v>1</v>
      </c>
      <c r="E121" s="32" t="s">
        <v>3549</v>
      </c>
      <c r="F121" s="41" t="s">
        <v>5266</v>
      </c>
    </row>
    <row r="122" ht="12.75" customHeight="1">
      <c r="A122" s="32" t="s">
        <v>2137</v>
      </c>
      <c r="B122" s="32" t="s">
        <v>2138</v>
      </c>
      <c r="C122" s="32" t="s">
        <v>2139</v>
      </c>
      <c r="D122" s="2" t="s">
        <v>1</v>
      </c>
      <c r="E122" s="32" t="s">
        <v>4147</v>
      </c>
      <c r="F122" s="41" t="s">
        <v>5266</v>
      </c>
    </row>
    <row r="123" ht="12.75" customHeight="1">
      <c r="A123" s="32" t="s">
        <v>1610</v>
      </c>
      <c r="B123" s="32" t="s">
        <v>1611</v>
      </c>
      <c r="C123" s="32" t="s">
        <v>1612</v>
      </c>
      <c r="D123" s="2" t="s">
        <v>1</v>
      </c>
      <c r="E123" s="32" t="s">
        <v>4662</v>
      </c>
      <c r="F123" s="41" t="s">
        <v>5266</v>
      </c>
    </row>
    <row r="124" ht="12.75" customHeight="1">
      <c r="A124" s="32" t="s">
        <v>2014</v>
      </c>
      <c r="B124" s="32" t="s">
        <v>2015</v>
      </c>
      <c r="C124" s="32" t="s">
        <v>2016</v>
      </c>
      <c r="D124" s="2" t="s">
        <v>1</v>
      </c>
      <c r="E124" s="32" t="s">
        <v>3896</v>
      </c>
      <c r="F124" s="41" t="s">
        <v>5266</v>
      </c>
    </row>
    <row r="125" ht="12.75" customHeight="1">
      <c r="A125" s="32" t="s">
        <v>1478</v>
      </c>
      <c r="B125" s="32" t="s">
        <v>1479</v>
      </c>
      <c r="C125" s="32" t="s">
        <v>1480</v>
      </c>
      <c r="D125" s="2" t="s">
        <v>1</v>
      </c>
      <c r="E125" s="32" t="s">
        <v>2432</v>
      </c>
      <c r="F125" s="41" t="s">
        <v>5266</v>
      </c>
    </row>
    <row r="126" ht="12.75" customHeight="1">
      <c r="A126" s="32" t="s">
        <v>1484</v>
      </c>
      <c r="B126" s="32" t="s">
        <v>1485</v>
      </c>
      <c r="C126" s="32" t="s">
        <v>1486</v>
      </c>
      <c r="D126" s="2" t="s">
        <v>1</v>
      </c>
      <c r="E126" s="32" t="s">
        <v>4570</v>
      </c>
      <c r="F126" s="41" t="s">
        <v>5266</v>
      </c>
    </row>
    <row r="127" ht="12.75" customHeight="1">
      <c r="A127" s="32" t="s">
        <v>1420</v>
      </c>
      <c r="B127" s="32" t="s">
        <v>1421</v>
      </c>
      <c r="C127" s="32" t="s">
        <v>1422</v>
      </c>
      <c r="D127" s="2" t="s">
        <v>1</v>
      </c>
      <c r="E127" s="32" t="s">
        <v>4718</v>
      </c>
      <c r="F127" s="41" t="s">
        <v>5266</v>
      </c>
    </row>
    <row r="128" ht="12.75" customHeight="1">
      <c r="A128" s="32" t="s">
        <v>1564</v>
      </c>
      <c r="B128" s="32" t="s">
        <v>1565</v>
      </c>
      <c r="C128" s="32" t="s">
        <v>1566</v>
      </c>
      <c r="D128" s="2" t="s">
        <v>1</v>
      </c>
      <c r="E128" s="32" t="s">
        <v>4022</v>
      </c>
      <c r="F128" s="41" t="s">
        <v>5266</v>
      </c>
    </row>
    <row r="129" ht="12.75" customHeight="1">
      <c r="A129" s="32" t="s">
        <v>1796</v>
      </c>
      <c r="B129" s="32" t="s">
        <v>1797</v>
      </c>
      <c r="C129" s="32" t="s">
        <v>1798</v>
      </c>
      <c r="D129" s="2" t="s">
        <v>1</v>
      </c>
      <c r="E129" s="32" t="s">
        <v>2880</v>
      </c>
      <c r="F129" s="41" t="s">
        <v>5266</v>
      </c>
    </row>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2" width="8.0"/>
  </cols>
  <sheetData>
    <row r="1" ht="12.75" customHeight="1">
      <c r="A1" s="32" t="s">
        <v>14</v>
      </c>
      <c r="B1" s="32" t="s">
        <v>15</v>
      </c>
      <c r="C1" s="32" t="s">
        <v>2303</v>
      </c>
      <c r="D1" s="32" t="s">
        <v>2304</v>
      </c>
      <c r="E1" s="32" t="s">
        <v>2305</v>
      </c>
      <c r="F1" s="32" t="s">
        <v>2306</v>
      </c>
      <c r="G1" s="32" t="s">
        <v>2307</v>
      </c>
      <c r="H1" s="32" t="s">
        <v>2308</v>
      </c>
      <c r="I1" s="32" t="s">
        <v>16</v>
      </c>
      <c r="J1" s="32" t="s">
        <v>17</v>
      </c>
      <c r="K1" s="32" t="s">
        <v>2309</v>
      </c>
      <c r="L1" s="32" t="s">
        <v>2310</v>
      </c>
      <c r="M1" s="32" t="s">
        <v>2311</v>
      </c>
      <c r="N1" s="32" t="s">
        <v>18</v>
      </c>
      <c r="O1" s="32" t="s">
        <v>2312</v>
      </c>
      <c r="P1" s="32" t="s">
        <v>2313</v>
      </c>
      <c r="Q1" s="32" t="s">
        <v>2314</v>
      </c>
      <c r="R1" s="32" t="s">
        <v>2315</v>
      </c>
      <c r="S1" s="32" t="s">
        <v>2316</v>
      </c>
      <c r="T1" s="32" t="s">
        <v>2317</v>
      </c>
      <c r="U1" s="32" t="s">
        <v>2318</v>
      </c>
      <c r="V1" s="32" t="s">
        <v>19</v>
      </c>
      <c r="W1" s="32" t="s">
        <v>2319</v>
      </c>
      <c r="X1" s="32" t="s">
        <v>2320</v>
      </c>
      <c r="Y1" s="32" t="s">
        <v>2321</v>
      </c>
      <c r="Z1" s="32" t="s">
        <v>2322</v>
      </c>
      <c r="AA1" s="32" t="s">
        <v>2323</v>
      </c>
      <c r="AB1" s="32" t="s">
        <v>2324</v>
      </c>
      <c r="AC1" s="32" t="s">
        <v>2325</v>
      </c>
      <c r="AD1" s="32" t="s">
        <v>2326</v>
      </c>
      <c r="AE1" s="32" t="s">
        <v>2327</v>
      </c>
      <c r="AF1" s="32" t="s">
        <v>2328</v>
      </c>
      <c r="AG1" s="32" t="s">
        <v>2329</v>
      </c>
      <c r="AH1" s="32" t="s">
        <v>2330</v>
      </c>
      <c r="AI1" s="32" t="s">
        <v>2331</v>
      </c>
      <c r="AJ1" s="32" t="s">
        <v>2332</v>
      </c>
      <c r="AK1" s="32" t="s">
        <v>2333</v>
      </c>
      <c r="AL1" s="32" t="s">
        <v>2334</v>
      </c>
      <c r="AM1" s="32" t="s">
        <v>2335</v>
      </c>
      <c r="AN1" s="32" t="s">
        <v>2336</v>
      </c>
      <c r="AO1" s="32" t="s">
        <v>2337</v>
      </c>
      <c r="AP1" s="32" t="s">
        <v>2338</v>
      </c>
      <c r="AQ1" s="32" t="s">
        <v>2339</v>
      </c>
      <c r="AR1" s="32" t="s">
        <v>2340</v>
      </c>
      <c r="AS1" s="32" t="s">
        <v>2341</v>
      </c>
      <c r="AT1" s="32" t="s">
        <v>2342</v>
      </c>
      <c r="AU1" s="32" t="s">
        <v>2343</v>
      </c>
      <c r="AV1" s="32" t="s">
        <v>2344</v>
      </c>
      <c r="AW1" s="32" t="s">
        <v>2345</v>
      </c>
      <c r="AX1" s="32" t="s">
        <v>2346</v>
      </c>
      <c r="AY1" s="32" t="s">
        <v>2347</v>
      </c>
      <c r="AZ1" s="32" t="s">
        <v>2348</v>
      </c>
      <c r="BA1" s="32" t="s">
        <v>2349</v>
      </c>
      <c r="BB1" s="32" t="s">
        <v>2350</v>
      </c>
      <c r="BC1" s="32" t="s">
        <v>2351</v>
      </c>
      <c r="BD1" s="32" t="s">
        <v>2352</v>
      </c>
      <c r="BE1" s="32" t="s">
        <v>20</v>
      </c>
      <c r="BF1" s="32" t="s">
        <v>21</v>
      </c>
      <c r="BG1" s="32" t="s">
        <v>2353</v>
      </c>
      <c r="BH1" s="32" t="s">
        <v>2354</v>
      </c>
      <c r="BI1" s="32" t="s">
        <v>2355</v>
      </c>
      <c r="BJ1" s="32" t="s">
        <v>22</v>
      </c>
      <c r="BK1" s="32" t="s">
        <v>2356</v>
      </c>
      <c r="BL1" s="32" t="s">
        <v>2357</v>
      </c>
      <c r="BM1" s="32" t="s">
        <v>2358</v>
      </c>
      <c r="BN1" s="32" t="s">
        <v>2359</v>
      </c>
      <c r="BO1" s="32" t="s">
        <v>2360</v>
      </c>
      <c r="BP1" s="32" t="s">
        <v>2361</v>
      </c>
      <c r="BQ1" s="32" t="s">
        <v>2362</v>
      </c>
      <c r="BR1" s="32" t="s">
        <v>23</v>
      </c>
      <c r="BS1" s="32" t="s">
        <v>24</v>
      </c>
      <c r="BT1" s="32" t="s">
        <v>25</v>
      </c>
    </row>
    <row r="2" ht="12.75" customHeight="1">
      <c r="A2" s="32" t="s">
        <v>26</v>
      </c>
      <c r="B2" s="32" t="s">
        <v>2363</v>
      </c>
      <c r="C2" s="32" t="s">
        <v>1324</v>
      </c>
      <c r="D2" s="32" t="s">
        <v>1324</v>
      </c>
      <c r="E2" s="32" t="s">
        <v>1324</v>
      </c>
      <c r="F2" s="32" t="s">
        <v>2293</v>
      </c>
      <c r="G2" s="32" t="s">
        <v>1324</v>
      </c>
      <c r="H2" s="32" t="s">
        <v>1324</v>
      </c>
      <c r="I2" s="32" t="s">
        <v>2295</v>
      </c>
      <c r="J2" s="32" t="s">
        <v>2294</v>
      </c>
      <c r="K2" s="32" t="s">
        <v>1324</v>
      </c>
      <c r="L2" s="32" t="s">
        <v>1324</v>
      </c>
      <c r="M2" s="32" t="s">
        <v>2364</v>
      </c>
      <c r="N2" s="32" t="s">
        <v>38</v>
      </c>
      <c r="O2" s="32" t="s">
        <v>1324</v>
      </c>
      <c r="P2" s="32" t="s">
        <v>1324</v>
      </c>
      <c r="Q2" s="32" t="s">
        <v>1324</v>
      </c>
      <c r="R2" s="32" t="s">
        <v>1324</v>
      </c>
      <c r="S2" s="32" t="s">
        <v>1324</v>
      </c>
      <c r="T2" s="32" t="s">
        <v>2365</v>
      </c>
      <c r="U2" s="32" t="s">
        <v>1324</v>
      </c>
      <c r="V2" s="32" t="s">
        <v>2296</v>
      </c>
      <c r="W2" s="32" t="s">
        <v>2366</v>
      </c>
      <c r="X2" s="32" t="s">
        <v>2367</v>
      </c>
      <c r="Y2" s="32" t="s">
        <v>2368</v>
      </c>
      <c r="Z2" s="32" t="s">
        <v>2369</v>
      </c>
      <c r="AA2" s="32" t="s">
        <v>2370</v>
      </c>
      <c r="AB2" s="32" t="s">
        <v>2371</v>
      </c>
      <c r="AC2" s="32" t="s">
        <v>1324</v>
      </c>
      <c r="AD2" s="32" t="s">
        <v>1324</v>
      </c>
      <c r="AE2" s="32" t="s">
        <v>1324</v>
      </c>
      <c r="AF2" s="32" t="s">
        <v>1324</v>
      </c>
      <c r="AG2" s="32">
        <v>15.0</v>
      </c>
      <c r="AH2" s="32">
        <v>3.0</v>
      </c>
      <c r="AI2" s="32">
        <v>3.0</v>
      </c>
      <c r="AJ2" s="32">
        <v>0.0</v>
      </c>
      <c r="AK2" s="32">
        <v>10.0</v>
      </c>
      <c r="AL2" s="32" t="s">
        <v>2372</v>
      </c>
      <c r="AM2" s="32" t="s">
        <v>2373</v>
      </c>
      <c r="AN2" s="32" t="s">
        <v>2374</v>
      </c>
      <c r="AO2" s="32" t="s">
        <v>2375</v>
      </c>
      <c r="AP2" s="32" t="s">
        <v>2376</v>
      </c>
      <c r="AQ2" s="32" t="s">
        <v>1324</v>
      </c>
      <c r="AR2" s="32" t="s">
        <v>2377</v>
      </c>
      <c r="AS2" s="32" t="s">
        <v>2378</v>
      </c>
      <c r="AT2" s="32" t="s">
        <v>2379</v>
      </c>
      <c r="AU2" s="32">
        <v>2015.0</v>
      </c>
      <c r="AV2" s="32">
        <v>6.0</v>
      </c>
      <c r="AW2" s="32">
        <v>4.0</v>
      </c>
      <c r="AX2" s="32" t="s">
        <v>1324</v>
      </c>
      <c r="AY2" s="32" t="s">
        <v>1324</v>
      </c>
      <c r="AZ2" s="32" t="s">
        <v>1324</v>
      </c>
      <c r="BA2" s="32" t="s">
        <v>1324</v>
      </c>
      <c r="BB2" s="32">
        <v>697.0</v>
      </c>
      <c r="BC2" s="32">
        <v>706.0</v>
      </c>
      <c r="BD2" s="32" t="s">
        <v>1324</v>
      </c>
      <c r="BE2" s="32" t="s">
        <v>1324</v>
      </c>
      <c r="BF2" s="32" t="s">
        <v>1324</v>
      </c>
      <c r="BG2" s="32" t="s">
        <v>1324</v>
      </c>
      <c r="BH2" s="32" t="s">
        <v>1324</v>
      </c>
      <c r="BI2" s="32">
        <v>10.0</v>
      </c>
      <c r="BJ2" s="32" t="s">
        <v>2380</v>
      </c>
      <c r="BK2" s="32" t="s">
        <v>2381</v>
      </c>
      <c r="BL2" s="32" t="s">
        <v>2380</v>
      </c>
      <c r="BM2" s="32" t="s">
        <v>2382</v>
      </c>
      <c r="BN2" s="32" t="s">
        <v>1324</v>
      </c>
      <c r="BO2" s="32" t="s">
        <v>1324</v>
      </c>
      <c r="BP2" s="32" t="s">
        <v>1324</v>
      </c>
      <c r="BQ2" s="32" t="s">
        <v>1324</v>
      </c>
      <c r="BR2" s="32" t="s">
        <v>5268</v>
      </c>
      <c r="BS2" s="32" t="s">
        <v>2384</v>
      </c>
      <c r="BT2" s="32" t="str">
        <f>HYPERLINK("https%3A%2F%2Fwww.webofscience.com%2Fwos%2Fwoscc%2Ffull-record%2FWOS:000366349700011","View Full Record in Web of Science")</f>
        <v>View Full Record in Web of Science</v>
      </c>
    </row>
    <row r="3" ht="12.75" customHeight="1">
      <c r="A3" s="32" t="s">
        <v>2433</v>
      </c>
      <c r="B3" s="32" t="s">
        <v>2434</v>
      </c>
      <c r="C3" s="32" t="s">
        <v>1324</v>
      </c>
      <c r="D3" s="32" t="s">
        <v>2435</v>
      </c>
      <c r="E3" s="32" t="s">
        <v>1324</v>
      </c>
      <c r="F3" s="32" t="s">
        <v>2264</v>
      </c>
      <c r="G3" s="32" t="s">
        <v>1324</v>
      </c>
      <c r="H3" s="32" t="s">
        <v>1324</v>
      </c>
      <c r="I3" s="32" t="s">
        <v>2266</v>
      </c>
      <c r="J3" s="32" t="s">
        <v>2265</v>
      </c>
      <c r="K3" s="32" t="s">
        <v>2436</v>
      </c>
      <c r="L3" s="32" t="s">
        <v>1324</v>
      </c>
      <c r="M3" s="32" t="s">
        <v>2364</v>
      </c>
      <c r="N3" s="32" t="s">
        <v>2437</v>
      </c>
      <c r="O3" s="32" t="s">
        <v>1324</v>
      </c>
      <c r="P3" s="32" t="s">
        <v>1324</v>
      </c>
      <c r="Q3" s="32" t="s">
        <v>1324</v>
      </c>
      <c r="R3" s="32" t="s">
        <v>1324</v>
      </c>
      <c r="S3" s="32" t="s">
        <v>1324</v>
      </c>
      <c r="T3" s="32" t="s">
        <v>1324</v>
      </c>
      <c r="U3" s="32" t="s">
        <v>2438</v>
      </c>
      <c r="V3" s="32" t="s">
        <v>1324</v>
      </c>
      <c r="W3" s="32" t="s">
        <v>2439</v>
      </c>
      <c r="X3" s="32" t="s">
        <v>2440</v>
      </c>
      <c r="Y3" s="32" t="s">
        <v>2441</v>
      </c>
      <c r="Z3" s="32" t="s">
        <v>1324</v>
      </c>
      <c r="AA3" s="32" t="s">
        <v>1324</v>
      </c>
      <c r="AB3" s="32" t="s">
        <v>1324</v>
      </c>
      <c r="AC3" s="32" t="s">
        <v>1324</v>
      </c>
      <c r="AD3" s="32" t="s">
        <v>1324</v>
      </c>
      <c r="AE3" s="32" t="s">
        <v>1324</v>
      </c>
      <c r="AF3" s="32" t="s">
        <v>1324</v>
      </c>
      <c r="AG3" s="32">
        <v>192.0</v>
      </c>
      <c r="AH3" s="32">
        <v>2.0</v>
      </c>
      <c r="AI3" s="32">
        <v>2.0</v>
      </c>
      <c r="AJ3" s="32">
        <v>1.0</v>
      </c>
      <c r="AK3" s="32">
        <v>5.0</v>
      </c>
      <c r="AL3" s="32" t="s">
        <v>2442</v>
      </c>
      <c r="AM3" s="32" t="s">
        <v>2400</v>
      </c>
      <c r="AN3" s="32" t="s">
        <v>2443</v>
      </c>
      <c r="AO3" s="32" t="s">
        <v>1324</v>
      </c>
      <c r="AP3" s="32" t="s">
        <v>1324</v>
      </c>
      <c r="AQ3" s="32" t="s">
        <v>2444</v>
      </c>
      <c r="AR3" s="32" t="s">
        <v>2445</v>
      </c>
      <c r="AS3" s="32" t="s">
        <v>1324</v>
      </c>
      <c r="AT3" s="32" t="s">
        <v>1324</v>
      </c>
      <c r="AU3" s="32">
        <v>2014.0</v>
      </c>
      <c r="AV3" s="32" t="s">
        <v>1324</v>
      </c>
      <c r="AW3" s="32" t="s">
        <v>1324</v>
      </c>
      <c r="AX3" s="32" t="s">
        <v>1324</v>
      </c>
      <c r="AY3" s="32" t="s">
        <v>1324</v>
      </c>
      <c r="AZ3" s="32" t="s">
        <v>1324</v>
      </c>
      <c r="BA3" s="32" t="s">
        <v>1324</v>
      </c>
      <c r="BB3" s="32">
        <v>113.0</v>
      </c>
      <c r="BC3" s="32">
        <v>212.0</v>
      </c>
      <c r="BD3" s="32" t="s">
        <v>1324</v>
      </c>
      <c r="BE3" s="32" t="s">
        <v>1324</v>
      </c>
      <c r="BF3" s="32" t="s">
        <v>1324</v>
      </c>
      <c r="BG3" s="32" t="s">
        <v>2446</v>
      </c>
      <c r="BH3" s="32" t="s">
        <v>1324</v>
      </c>
      <c r="BI3" s="32">
        <v>100.0</v>
      </c>
      <c r="BJ3" s="32" t="s">
        <v>2447</v>
      </c>
      <c r="BK3" s="32" t="s">
        <v>2448</v>
      </c>
      <c r="BL3" s="32" t="s">
        <v>2449</v>
      </c>
      <c r="BM3" s="32" t="s">
        <v>2450</v>
      </c>
      <c r="BN3" s="32" t="s">
        <v>1324</v>
      </c>
      <c r="BO3" s="32" t="s">
        <v>1324</v>
      </c>
      <c r="BP3" s="32" t="s">
        <v>1324</v>
      </c>
      <c r="BQ3" s="32" t="s">
        <v>1324</v>
      </c>
      <c r="BR3" s="32" t="s">
        <v>5268</v>
      </c>
      <c r="BS3" s="32" t="s">
        <v>2451</v>
      </c>
      <c r="BT3" s="32" t="str">
        <f>HYPERLINK("https%3A%2F%2Fwww.webofscience.com%2Fwos%2Fwoscc%2Ffull-record%2FWOS:000364520200005","View Full Record in Web of Science")</f>
        <v>View Full Record in Web of Science</v>
      </c>
    </row>
    <row r="4" ht="12.75" customHeight="1">
      <c r="A4" s="32" t="s">
        <v>26</v>
      </c>
      <c r="B4" s="32" t="s">
        <v>2452</v>
      </c>
      <c r="C4" s="32" t="s">
        <v>1324</v>
      </c>
      <c r="D4" s="32" t="s">
        <v>1324</v>
      </c>
      <c r="E4" s="32" t="s">
        <v>1324</v>
      </c>
      <c r="F4" s="32" t="s">
        <v>2238</v>
      </c>
      <c r="G4" s="32" t="s">
        <v>1324</v>
      </c>
      <c r="H4" s="32" t="s">
        <v>1324</v>
      </c>
      <c r="I4" s="32" t="s">
        <v>2239</v>
      </c>
      <c r="J4" s="32" t="s">
        <v>1419</v>
      </c>
      <c r="K4" s="32" t="s">
        <v>1324</v>
      </c>
      <c r="L4" s="32" t="s">
        <v>1324</v>
      </c>
      <c r="M4" s="32" t="s">
        <v>2364</v>
      </c>
      <c r="N4" s="32" t="s">
        <v>38</v>
      </c>
      <c r="O4" s="32" t="s">
        <v>1324</v>
      </c>
      <c r="P4" s="32" t="s">
        <v>1324</v>
      </c>
      <c r="Q4" s="32" t="s">
        <v>1324</v>
      </c>
      <c r="R4" s="32" t="s">
        <v>1324</v>
      </c>
      <c r="S4" s="32" t="s">
        <v>1324</v>
      </c>
      <c r="T4" s="32" t="s">
        <v>2453</v>
      </c>
      <c r="U4" s="32" t="s">
        <v>2454</v>
      </c>
      <c r="V4" s="32" t="s">
        <v>2240</v>
      </c>
      <c r="W4" s="32" t="s">
        <v>2455</v>
      </c>
      <c r="X4" s="32" t="s">
        <v>2456</v>
      </c>
      <c r="Y4" s="32" t="s">
        <v>2457</v>
      </c>
      <c r="Z4" s="32" t="s">
        <v>2458</v>
      </c>
      <c r="AA4" s="32" t="s">
        <v>2459</v>
      </c>
      <c r="AB4" s="32" t="s">
        <v>2460</v>
      </c>
      <c r="AC4" s="32" t="s">
        <v>2461</v>
      </c>
      <c r="AD4" s="32" t="s">
        <v>2462</v>
      </c>
      <c r="AE4" s="32" t="s">
        <v>2463</v>
      </c>
      <c r="AF4" s="32" t="s">
        <v>1324</v>
      </c>
      <c r="AG4" s="32">
        <v>127.0</v>
      </c>
      <c r="AH4" s="32">
        <v>12.0</v>
      </c>
      <c r="AI4" s="32">
        <v>14.0</v>
      </c>
      <c r="AJ4" s="32">
        <v>4.0</v>
      </c>
      <c r="AK4" s="32">
        <v>109.0</v>
      </c>
      <c r="AL4" s="32" t="s">
        <v>2464</v>
      </c>
      <c r="AM4" s="32" t="s">
        <v>2465</v>
      </c>
      <c r="AN4" s="32" t="s">
        <v>2466</v>
      </c>
      <c r="AO4" s="32" t="s">
        <v>2467</v>
      </c>
      <c r="AP4" s="32" t="s">
        <v>2468</v>
      </c>
      <c r="AQ4" s="32" t="s">
        <v>1324</v>
      </c>
      <c r="AR4" s="32" t="s">
        <v>2469</v>
      </c>
      <c r="AS4" s="32" t="s">
        <v>2470</v>
      </c>
      <c r="AT4" s="32" t="s">
        <v>2471</v>
      </c>
      <c r="AU4" s="32">
        <v>2018.0</v>
      </c>
      <c r="AV4" s="32">
        <v>28.0</v>
      </c>
      <c r="AW4" s="32">
        <v>6.0</v>
      </c>
      <c r="AX4" s="32" t="s">
        <v>1324</v>
      </c>
      <c r="AY4" s="32" t="s">
        <v>1324</v>
      </c>
      <c r="AZ4" s="32" t="s">
        <v>1324</v>
      </c>
      <c r="BA4" s="32" t="s">
        <v>1324</v>
      </c>
      <c r="BB4" s="32">
        <v>1377.0</v>
      </c>
      <c r="BC4" s="32">
        <v>1395.0</v>
      </c>
      <c r="BD4" s="32" t="s">
        <v>1324</v>
      </c>
      <c r="BE4" s="32" t="s">
        <v>2241</v>
      </c>
      <c r="BF4" s="38" t="str">
        <f>HYPERLINK("http://dx.doi.org/10.1002/eap.1755","http://dx.doi.org/10.1002/eap.1755")</f>
        <v>http://dx.doi.org/10.1002/eap.1755</v>
      </c>
      <c r="BG4" s="32" t="s">
        <v>1324</v>
      </c>
      <c r="BH4" s="32" t="s">
        <v>1324</v>
      </c>
      <c r="BI4" s="32">
        <v>19.0</v>
      </c>
      <c r="BJ4" s="32" t="s">
        <v>698</v>
      </c>
      <c r="BK4" s="32" t="s">
        <v>2407</v>
      </c>
      <c r="BL4" s="32" t="s">
        <v>2472</v>
      </c>
      <c r="BM4" s="32" t="s">
        <v>2473</v>
      </c>
      <c r="BN4" s="32">
        <v>2.9808543E7</v>
      </c>
      <c r="BO4" s="32" t="s">
        <v>2474</v>
      </c>
      <c r="BP4" s="32" t="s">
        <v>1324</v>
      </c>
      <c r="BQ4" s="32" t="s">
        <v>1324</v>
      </c>
      <c r="BR4" s="32" t="s">
        <v>5268</v>
      </c>
      <c r="BS4" s="32" t="s">
        <v>2475</v>
      </c>
      <c r="BT4" s="32" t="str">
        <f>HYPERLINK("https%3A%2F%2Fwww.webofscience.com%2Fwos%2Fwoscc%2Ffull-record%2FWOS:000443555100001","View Full Record in Web of Science")</f>
        <v>View Full Record in Web of Science</v>
      </c>
    </row>
    <row r="5" ht="12.75" customHeight="1">
      <c r="A5" s="32" t="s">
        <v>26</v>
      </c>
      <c r="B5" s="32" t="s">
        <v>2476</v>
      </c>
      <c r="C5" s="32" t="s">
        <v>1324</v>
      </c>
      <c r="D5" s="32" t="s">
        <v>1324</v>
      </c>
      <c r="E5" s="32" t="s">
        <v>1324</v>
      </c>
      <c r="F5" s="32" t="s">
        <v>2007</v>
      </c>
      <c r="G5" s="32" t="s">
        <v>1324</v>
      </c>
      <c r="H5" s="32" t="s">
        <v>1324</v>
      </c>
      <c r="I5" s="32" t="s">
        <v>2009</v>
      </c>
      <c r="J5" s="32" t="s">
        <v>2008</v>
      </c>
      <c r="K5" s="32" t="s">
        <v>1324</v>
      </c>
      <c r="L5" s="32" t="s">
        <v>1324</v>
      </c>
      <c r="M5" s="32" t="s">
        <v>2364</v>
      </c>
      <c r="N5" s="32" t="s">
        <v>38</v>
      </c>
      <c r="O5" s="32" t="s">
        <v>1324</v>
      </c>
      <c r="P5" s="32" t="s">
        <v>1324</v>
      </c>
      <c r="Q5" s="32" t="s">
        <v>1324</v>
      </c>
      <c r="R5" s="32" t="s">
        <v>1324</v>
      </c>
      <c r="S5" s="32" t="s">
        <v>1324</v>
      </c>
      <c r="T5" s="32" t="s">
        <v>2477</v>
      </c>
      <c r="U5" s="32" t="s">
        <v>2478</v>
      </c>
      <c r="V5" s="32" t="s">
        <v>2010</v>
      </c>
      <c r="W5" s="32" t="s">
        <v>2479</v>
      </c>
      <c r="X5" s="32" t="s">
        <v>2480</v>
      </c>
      <c r="Y5" s="32" t="s">
        <v>2481</v>
      </c>
      <c r="Z5" s="32" t="s">
        <v>2482</v>
      </c>
      <c r="AA5" s="32" t="s">
        <v>1324</v>
      </c>
      <c r="AB5" s="32" t="s">
        <v>5182</v>
      </c>
      <c r="AC5" s="32" t="s">
        <v>2484</v>
      </c>
      <c r="AD5" s="32" t="s">
        <v>2484</v>
      </c>
      <c r="AE5" s="32" t="s">
        <v>2485</v>
      </c>
      <c r="AF5" s="32" t="s">
        <v>1324</v>
      </c>
      <c r="AG5" s="32">
        <v>63.0</v>
      </c>
      <c r="AH5" s="32">
        <v>14.0</v>
      </c>
      <c r="AI5" s="32">
        <v>18.0</v>
      </c>
      <c r="AJ5" s="32">
        <v>0.0</v>
      </c>
      <c r="AK5" s="32">
        <v>35.0</v>
      </c>
      <c r="AL5" s="32" t="s">
        <v>2486</v>
      </c>
      <c r="AM5" s="32" t="s">
        <v>2487</v>
      </c>
      <c r="AN5" s="32" t="s">
        <v>2488</v>
      </c>
      <c r="AO5" s="32" t="s">
        <v>2489</v>
      </c>
      <c r="AP5" s="32" t="s">
        <v>2490</v>
      </c>
      <c r="AQ5" s="32" t="s">
        <v>1324</v>
      </c>
      <c r="AR5" s="32" t="s">
        <v>2491</v>
      </c>
      <c r="AS5" s="32" t="s">
        <v>2492</v>
      </c>
      <c r="AT5" s="32" t="s">
        <v>2493</v>
      </c>
      <c r="AU5" s="32">
        <v>2018.0</v>
      </c>
      <c r="AV5" s="32">
        <v>422.0</v>
      </c>
      <c r="AW5" s="32" t="s">
        <v>1324</v>
      </c>
      <c r="AX5" s="32" t="s">
        <v>1324</v>
      </c>
      <c r="AY5" s="32" t="s">
        <v>1324</v>
      </c>
      <c r="AZ5" s="32" t="s">
        <v>1324</v>
      </c>
      <c r="BA5" s="32" t="s">
        <v>1324</v>
      </c>
      <c r="BB5" s="32">
        <v>137.0</v>
      </c>
      <c r="BC5" s="32">
        <v>146.0</v>
      </c>
      <c r="BD5" s="32" t="s">
        <v>1324</v>
      </c>
      <c r="BE5" s="32" t="s">
        <v>2011</v>
      </c>
      <c r="BF5" s="38" t="str">
        <f>HYPERLINK("http://dx.doi.org/10.1016/j.foreco.2018.04.012","http://dx.doi.org/10.1016/j.foreco.2018.04.012")</f>
        <v>http://dx.doi.org/10.1016/j.foreco.2018.04.012</v>
      </c>
      <c r="BG5" s="32" t="s">
        <v>1324</v>
      </c>
      <c r="BH5" s="32" t="s">
        <v>1324</v>
      </c>
      <c r="BI5" s="32">
        <v>10.0</v>
      </c>
      <c r="BJ5" s="32" t="s">
        <v>2494</v>
      </c>
      <c r="BK5" s="32" t="s">
        <v>2407</v>
      </c>
      <c r="BL5" s="32" t="s">
        <v>2494</v>
      </c>
      <c r="BM5" s="32" t="s">
        <v>2495</v>
      </c>
      <c r="BN5" s="32" t="s">
        <v>1324</v>
      </c>
      <c r="BO5" s="32" t="s">
        <v>2496</v>
      </c>
      <c r="BP5" s="32" t="s">
        <v>1324</v>
      </c>
      <c r="BQ5" s="32" t="s">
        <v>1324</v>
      </c>
      <c r="BR5" s="32" t="s">
        <v>5268</v>
      </c>
      <c r="BS5" s="32" t="s">
        <v>2497</v>
      </c>
      <c r="BT5" s="32" t="str">
        <f>HYPERLINK("https%3A%2F%2Fwww.webofscience.com%2Fwos%2Fwoscc%2Ffull-record%2FWOS:000433653900015","View Full Record in Web of Science")</f>
        <v>View Full Record in Web of Science</v>
      </c>
    </row>
    <row r="6" ht="12.75" customHeight="1">
      <c r="A6" s="32" t="s">
        <v>26</v>
      </c>
      <c r="B6" s="32" t="s">
        <v>2498</v>
      </c>
      <c r="C6" s="32" t="s">
        <v>1324</v>
      </c>
      <c r="D6" s="32" t="s">
        <v>1324</v>
      </c>
      <c r="E6" s="32" t="s">
        <v>1324</v>
      </c>
      <c r="F6" s="32" t="s">
        <v>1954</v>
      </c>
      <c r="G6" s="32" t="s">
        <v>1324</v>
      </c>
      <c r="H6" s="32" t="s">
        <v>1324</v>
      </c>
      <c r="I6" s="32" t="s">
        <v>1955</v>
      </c>
      <c r="J6" s="32" t="s">
        <v>260</v>
      </c>
      <c r="K6" s="32" t="s">
        <v>1324</v>
      </c>
      <c r="L6" s="32" t="s">
        <v>1324</v>
      </c>
      <c r="M6" s="32" t="s">
        <v>2364</v>
      </c>
      <c r="N6" s="32" t="s">
        <v>38</v>
      </c>
      <c r="O6" s="32" t="s">
        <v>1324</v>
      </c>
      <c r="P6" s="32" t="s">
        <v>1324</v>
      </c>
      <c r="Q6" s="32" t="s">
        <v>1324</v>
      </c>
      <c r="R6" s="32" t="s">
        <v>1324</v>
      </c>
      <c r="S6" s="32" t="s">
        <v>1324</v>
      </c>
      <c r="T6" s="32" t="s">
        <v>2499</v>
      </c>
      <c r="U6" s="32" t="s">
        <v>2500</v>
      </c>
      <c r="V6" s="32" t="s">
        <v>1956</v>
      </c>
      <c r="W6" s="32" t="s">
        <v>2501</v>
      </c>
      <c r="X6" s="32" t="s">
        <v>2502</v>
      </c>
      <c r="Y6" s="32" t="s">
        <v>2503</v>
      </c>
      <c r="Z6" s="32" t="s">
        <v>2504</v>
      </c>
      <c r="AA6" s="32" t="s">
        <v>1324</v>
      </c>
      <c r="AB6" s="32" t="s">
        <v>1324</v>
      </c>
      <c r="AC6" s="32" t="s">
        <v>2505</v>
      </c>
      <c r="AD6" s="32" t="s">
        <v>2506</v>
      </c>
      <c r="AE6" s="32" t="s">
        <v>2507</v>
      </c>
      <c r="AF6" s="32" t="s">
        <v>1324</v>
      </c>
      <c r="AG6" s="32">
        <v>60.0</v>
      </c>
      <c r="AH6" s="32">
        <v>17.0</v>
      </c>
      <c r="AI6" s="32">
        <v>22.0</v>
      </c>
      <c r="AJ6" s="32">
        <v>1.0</v>
      </c>
      <c r="AK6" s="32">
        <v>71.0</v>
      </c>
      <c r="AL6" s="32" t="s">
        <v>2508</v>
      </c>
      <c r="AM6" s="32" t="s">
        <v>2509</v>
      </c>
      <c r="AN6" s="32" t="s">
        <v>2510</v>
      </c>
      <c r="AO6" s="32" t="s">
        <v>2511</v>
      </c>
      <c r="AP6" s="32" t="s">
        <v>2512</v>
      </c>
      <c r="AQ6" s="32" t="s">
        <v>1324</v>
      </c>
      <c r="AR6" s="32" t="s">
        <v>2513</v>
      </c>
      <c r="AS6" s="32" t="s">
        <v>2514</v>
      </c>
      <c r="AT6" s="32" t="s">
        <v>2515</v>
      </c>
      <c r="AU6" s="32">
        <v>2018.0</v>
      </c>
      <c r="AV6" s="32">
        <v>133.0</v>
      </c>
      <c r="AW6" s="32" t="s">
        <v>1324</v>
      </c>
      <c r="AX6" s="32" t="s">
        <v>1324</v>
      </c>
      <c r="AY6" s="32" t="s">
        <v>1324</v>
      </c>
      <c r="AZ6" s="32" t="s">
        <v>1324</v>
      </c>
      <c r="BA6" s="32" t="s">
        <v>1324</v>
      </c>
      <c r="BB6" s="32">
        <v>956.0</v>
      </c>
      <c r="BC6" s="32">
        <v>969.0</v>
      </c>
      <c r="BD6" s="32" t="s">
        <v>1324</v>
      </c>
      <c r="BE6" s="32" t="s">
        <v>1957</v>
      </c>
      <c r="BF6" s="38" t="str">
        <f>HYPERLINK("http://dx.doi.org/10.1016/j.marpolbul.2018.04.065","http://dx.doi.org/10.1016/j.marpolbul.2018.04.065")</f>
        <v>http://dx.doi.org/10.1016/j.marpolbul.2018.04.065</v>
      </c>
      <c r="BG6" s="32" t="s">
        <v>1324</v>
      </c>
      <c r="BH6" s="32" t="s">
        <v>1324</v>
      </c>
      <c r="BI6" s="32">
        <v>14.0</v>
      </c>
      <c r="BJ6" s="32" t="s">
        <v>148</v>
      </c>
      <c r="BK6" s="32" t="s">
        <v>2407</v>
      </c>
      <c r="BL6" s="32" t="s">
        <v>2516</v>
      </c>
      <c r="BM6" s="32" t="s">
        <v>2517</v>
      </c>
      <c r="BN6" s="32">
        <v>2.9778407E7</v>
      </c>
      <c r="BO6" s="32" t="s">
        <v>1324</v>
      </c>
      <c r="BP6" s="32" t="s">
        <v>1324</v>
      </c>
      <c r="BQ6" s="32" t="s">
        <v>1324</v>
      </c>
      <c r="BR6" s="32" t="s">
        <v>5268</v>
      </c>
      <c r="BS6" s="32" t="s">
        <v>2518</v>
      </c>
      <c r="BT6" s="32" t="str">
        <f>HYPERLINK("https%3A%2F%2Fwww.webofscience.com%2Fwos%2Fwoscc%2Ffull-record%2FWOS:000441853600107","View Full Record in Web of Science")</f>
        <v>View Full Record in Web of Science</v>
      </c>
    </row>
    <row r="7" ht="12.75" customHeight="1">
      <c r="A7" s="32" t="s">
        <v>26</v>
      </c>
      <c r="B7" s="32" t="s">
        <v>2519</v>
      </c>
      <c r="C7" s="32" t="s">
        <v>1324</v>
      </c>
      <c r="D7" s="32" t="s">
        <v>1324</v>
      </c>
      <c r="E7" s="32" t="s">
        <v>1324</v>
      </c>
      <c r="F7" s="32" t="s">
        <v>1964</v>
      </c>
      <c r="G7" s="32" t="s">
        <v>1324</v>
      </c>
      <c r="H7" s="32" t="s">
        <v>1324</v>
      </c>
      <c r="I7" s="32" t="s">
        <v>1966</v>
      </c>
      <c r="J7" s="32" t="s">
        <v>1965</v>
      </c>
      <c r="K7" s="32" t="s">
        <v>1324</v>
      </c>
      <c r="L7" s="32" t="s">
        <v>1324</v>
      </c>
      <c r="M7" s="32" t="s">
        <v>2364</v>
      </c>
      <c r="N7" s="32" t="s">
        <v>38</v>
      </c>
      <c r="O7" s="32" t="s">
        <v>1324</v>
      </c>
      <c r="P7" s="32" t="s">
        <v>1324</v>
      </c>
      <c r="Q7" s="32" t="s">
        <v>1324</v>
      </c>
      <c r="R7" s="32" t="s">
        <v>1324</v>
      </c>
      <c r="S7" s="32" t="s">
        <v>1324</v>
      </c>
      <c r="T7" s="32" t="s">
        <v>2520</v>
      </c>
      <c r="U7" s="32" t="s">
        <v>2521</v>
      </c>
      <c r="V7" s="32" t="s">
        <v>1967</v>
      </c>
      <c r="W7" s="32" t="s">
        <v>2522</v>
      </c>
      <c r="X7" s="32" t="s">
        <v>2523</v>
      </c>
      <c r="Y7" s="32" t="s">
        <v>2524</v>
      </c>
      <c r="Z7" s="32" t="s">
        <v>2525</v>
      </c>
      <c r="AA7" s="32" t="s">
        <v>1324</v>
      </c>
      <c r="AB7" s="32" t="s">
        <v>2526</v>
      </c>
      <c r="AC7" s="32" t="s">
        <v>2527</v>
      </c>
      <c r="AD7" s="32" t="s">
        <v>2528</v>
      </c>
      <c r="AE7" s="32" t="s">
        <v>2529</v>
      </c>
      <c r="AF7" s="32" t="s">
        <v>1324</v>
      </c>
      <c r="AG7" s="32">
        <v>93.0</v>
      </c>
      <c r="AH7" s="32">
        <v>2.0</v>
      </c>
      <c r="AI7" s="32">
        <v>3.0</v>
      </c>
      <c r="AJ7" s="32">
        <v>0.0</v>
      </c>
      <c r="AK7" s="32">
        <v>29.0</v>
      </c>
      <c r="AL7" s="32" t="s">
        <v>2530</v>
      </c>
      <c r="AM7" s="32" t="s">
        <v>2531</v>
      </c>
      <c r="AN7" s="32" t="s">
        <v>2532</v>
      </c>
      <c r="AO7" s="32" t="s">
        <v>2533</v>
      </c>
      <c r="AP7" s="32" t="s">
        <v>2534</v>
      </c>
      <c r="AQ7" s="32" t="s">
        <v>1324</v>
      </c>
      <c r="AR7" s="32" t="s">
        <v>2535</v>
      </c>
      <c r="AS7" s="32" t="s">
        <v>2536</v>
      </c>
      <c r="AT7" s="32" t="s">
        <v>2515</v>
      </c>
      <c r="AU7" s="32">
        <v>2018.0</v>
      </c>
      <c r="AV7" s="32">
        <v>139.0</v>
      </c>
      <c r="AW7" s="32" t="s">
        <v>1324</v>
      </c>
      <c r="AX7" s="32" t="s">
        <v>1324</v>
      </c>
      <c r="AY7" s="32" t="s">
        <v>1324</v>
      </c>
      <c r="AZ7" s="32" t="s">
        <v>1324</v>
      </c>
      <c r="BA7" s="32" t="s">
        <v>1324</v>
      </c>
      <c r="BB7" s="32">
        <v>79.0</v>
      </c>
      <c r="BC7" s="32">
        <v>86.0</v>
      </c>
      <c r="BD7" s="32" t="s">
        <v>1324</v>
      </c>
      <c r="BE7" s="32" t="s">
        <v>1968</v>
      </c>
      <c r="BF7" s="38" t="str">
        <f>HYPERLINK("http://dx.doi.org/10.1016/j.marenvres.2018.05.008","http://dx.doi.org/10.1016/j.marenvres.2018.05.008")</f>
        <v>http://dx.doi.org/10.1016/j.marenvres.2018.05.008</v>
      </c>
      <c r="BG7" s="32" t="s">
        <v>1324</v>
      </c>
      <c r="BH7" s="32" t="s">
        <v>1324</v>
      </c>
      <c r="BI7" s="32">
        <v>8.0</v>
      </c>
      <c r="BJ7" s="32" t="s">
        <v>2537</v>
      </c>
      <c r="BK7" s="32" t="s">
        <v>2407</v>
      </c>
      <c r="BL7" s="32" t="s">
        <v>2538</v>
      </c>
      <c r="BM7" s="32" t="s">
        <v>2539</v>
      </c>
      <c r="BN7" s="32">
        <v>2.9773316E7</v>
      </c>
      <c r="BO7" s="32" t="s">
        <v>1324</v>
      </c>
      <c r="BP7" s="32" t="s">
        <v>1324</v>
      </c>
      <c r="BQ7" s="32" t="s">
        <v>1324</v>
      </c>
      <c r="BR7" s="32" t="s">
        <v>5268</v>
      </c>
      <c r="BS7" s="32" t="s">
        <v>2540</v>
      </c>
      <c r="BT7" s="32" t="str">
        <f>HYPERLINK("https%3A%2F%2Fwww.webofscience.com%2Fwos%2Fwoscc%2Ffull-record%2FWOS:000436911600009","View Full Record in Web of Science")</f>
        <v>View Full Record in Web of Science</v>
      </c>
    </row>
    <row r="8" ht="12.75" customHeight="1">
      <c r="A8" s="32" t="s">
        <v>26</v>
      </c>
      <c r="B8" s="32" t="s">
        <v>2541</v>
      </c>
      <c r="C8" s="32" t="s">
        <v>1324</v>
      </c>
      <c r="D8" s="32" t="s">
        <v>1324</v>
      </c>
      <c r="E8" s="32" t="s">
        <v>1324</v>
      </c>
      <c r="F8" s="32" t="s">
        <v>1935</v>
      </c>
      <c r="G8" s="32" t="s">
        <v>1324</v>
      </c>
      <c r="H8" s="32" t="s">
        <v>1324</v>
      </c>
      <c r="I8" s="32" t="s">
        <v>1937</v>
      </c>
      <c r="J8" s="32" t="s">
        <v>1936</v>
      </c>
      <c r="K8" s="32" t="s">
        <v>1324</v>
      </c>
      <c r="L8" s="32" t="s">
        <v>1324</v>
      </c>
      <c r="M8" s="32" t="s">
        <v>2364</v>
      </c>
      <c r="N8" s="32" t="s">
        <v>38</v>
      </c>
      <c r="O8" s="32" t="s">
        <v>1324</v>
      </c>
      <c r="P8" s="32" t="s">
        <v>1324</v>
      </c>
      <c r="Q8" s="32" t="s">
        <v>1324</v>
      </c>
      <c r="R8" s="32" t="s">
        <v>1324</v>
      </c>
      <c r="S8" s="32" t="s">
        <v>1324</v>
      </c>
      <c r="T8" s="32" t="s">
        <v>2542</v>
      </c>
      <c r="U8" s="32" t="s">
        <v>2543</v>
      </c>
      <c r="V8" s="32" t="s">
        <v>1938</v>
      </c>
      <c r="W8" s="32" t="s">
        <v>2544</v>
      </c>
      <c r="X8" s="32" t="s">
        <v>2545</v>
      </c>
      <c r="Y8" s="32" t="s">
        <v>2546</v>
      </c>
      <c r="Z8" s="32" t="s">
        <v>2547</v>
      </c>
      <c r="AA8" s="32" t="s">
        <v>1324</v>
      </c>
      <c r="AB8" s="32" t="s">
        <v>1324</v>
      </c>
      <c r="AC8" s="32" t="s">
        <v>2548</v>
      </c>
      <c r="AD8" s="32" t="s">
        <v>2548</v>
      </c>
      <c r="AE8" s="32" t="s">
        <v>2549</v>
      </c>
      <c r="AF8" s="32" t="s">
        <v>1324</v>
      </c>
      <c r="AG8" s="32">
        <v>82.0</v>
      </c>
      <c r="AH8" s="32">
        <v>7.0</v>
      </c>
      <c r="AI8" s="32">
        <v>8.0</v>
      </c>
      <c r="AJ8" s="32">
        <v>0.0</v>
      </c>
      <c r="AK8" s="32">
        <v>24.0</v>
      </c>
      <c r="AL8" s="32" t="s">
        <v>2550</v>
      </c>
      <c r="AM8" s="32" t="s">
        <v>2551</v>
      </c>
      <c r="AN8" s="32" t="s">
        <v>2552</v>
      </c>
      <c r="AO8" s="32" t="s">
        <v>2553</v>
      </c>
      <c r="AP8" s="32" t="s">
        <v>2554</v>
      </c>
      <c r="AQ8" s="32" t="s">
        <v>1324</v>
      </c>
      <c r="AR8" s="32" t="s">
        <v>2555</v>
      </c>
      <c r="AS8" s="32" t="s">
        <v>2556</v>
      </c>
      <c r="AT8" s="32" t="s">
        <v>2557</v>
      </c>
      <c r="AU8" s="32">
        <v>2018.0</v>
      </c>
      <c r="AV8" s="32">
        <v>71.0</v>
      </c>
      <c r="AW8" s="32">
        <v>4.0</v>
      </c>
      <c r="AX8" s="32" t="s">
        <v>1324</v>
      </c>
      <c r="AY8" s="32" t="s">
        <v>1324</v>
      </c>
      <c r="AZ8" s="32" t="s">
        <v>1324</v>
      </c>
      <c r="BA8" s="32" t="s">
        <v>1324</v>
      </c>
      <c r="BB8" s="32">
        <v>458.0</v>
      </c>
      <c r="BC8" s="32">
        <v>469.0</v>
      </c>
      <c r="BD8" s="32" t="s">
        <v>1324</v>
      </c>
      <c r="BE8" s="32" t="s">
        <v>1939</v>
      </c>
      <c r="BF8" s="38" t="str">
        <f>HYPERLINK("http://dx.doi.org/10.1016/j.rama.2018.02.008","http://dx.doi.org/10.1016/j.rama.2018.02.008")</f>
        <v>http://dx.doi.org/10.1016/j.rama.2018.02.008</v>
      </c>
      <c r="BG8" s="32" t="s">
        <v>1324</v>
      </c>
      <c r="BH8" s="32" t="s">
        <v>1324</v>
      </c>
      <c r="BI8" s="32">
        <v>12.0</v>
      </c>
      <c r="BJ8" s="32" t="s">
        <v>698</v>
      </c>
      <c r="BK8" s="32" t="s">
        <v>2407</v>
      </c>
      <c r="BL8" s="32" t="s">
        <v>2472</v>
      </c>
      <c r="BM8" s="32" t="s">
        <v>2558</v>
      </c>
      <c r="BN8" s="32" t="s">
        <v>1324</v>
      </c>
      <c r="BO8" s="32" t="s">
        <v>1324</v>
      </c>
      <c r="BP8" s="32" t="s">
        <v>1324</v>
      </c>
      <c r="BQ8" s="32" t="s">
        <v>1324</v>
      </c>
      <c r="BR8" s="32" t="s">
        <v>5268</v>
      </c>
      <c r="BS8" s="32" t="s">
        <v>2559</v>
      </c>
      <c r="BT8" s="32" t="str">
        <f>HYPERLINK("https%3A%2F%2Fwww.webofscience.com%2Fwos%2Fwoscc%2Ffull-record%2FWOS:000435480900008","View Full Record in Web of Science")</f>
        <v>View Full Record in Web of Science</v>
      </c>
    </row>
    <row r="9" ht="12.75" customHeight="1">
      <c r="A9" s="32" t="s">
        <v>26</v>
      </c>
      <c r="B9" s="32" t="s">
        <v>2560</v>
      </c>
      <c r="C9" s="32" t="s">
        <v>1324</v>
      </c>
      <c r="D9" s="32" t="s">
        <v>1324</v>
      </c>
      <c r="E9" s="32" t="s">
        <v>1324</v>
      </c>
      <c r="F9" s="32" t="s">
        <v>1709</v>
      </c>
      <c r="G9" s="32" t="s">
        <v>1324</v>
      </c>
      <c r="H9" s="32" t="s">
        <v>1324</v>
      </c>
      <c r="I9" s="32" t="s">
        <v>1710</v>
      </c>
      <c r="J9" s="32" t="s">
        <v>1151</v>
      </c>
      <c r="K9" s="32" t="s">
        <v>1324</v>
      </c>
      <c r="L9" s="32" t="s">
        <v>1324</v>
      </c>
      <c r="M9" s="32" t="s">
        <v>2364</v>
      </c>
      <c r="N9" s="32" t="s">
        <v>38</v>
      </c>
      <c r="O9" s="32" t="s">
        <v>1324</v>
      </c>
      <c r="P9" s="32" t="s">
        <v>1324</v>
      </c>
      <c r="Q9" s="32" t="s">
        <v>1324</v>
      </c>
      <c r="R9" s="32" t="s">
        <v>1324</v>
      </c>
      <c r="S9" s="32" t="s">
        <v>1324</v>
      </c>
      <c r="T9" s="32" t="s">
        <v>2561</v>
      </c>
      <c r="U9" s="32" t="s">
        <v>2562</v>
      </c>
      <c r="V9" s="32" t="s">
        <v>2563</v>
      </c>
      <c r="W9" s="32" t="s">
        <v>2564</v>
      </c>
      <c r="X9" s="32" t="s">
        <v>2565</v>
      </c>
      <c r="Y9" s="32" t="s">
        <v>2566</v>
      </c>
      <c r="Z9" s="32" t="s">
        <v>2567</v>
      </c>
      <c r="AA9" s="32" t="s">
        <v>5269</v>
      </c>
      <c r="AB9" s="32" t="s">
        <v>5191</v>
      </c>
      <c r="AC9" s="32" t="s">
        <v>2570</v>
      </c>
      <c r="AD9" s="32" t="s">
        <v>2571</v>
      </c>
      <c r="AE9" s="32" t="s">
        <v>2572</v>
      </c>
      <c r="AF9" s="32" t="s">
        <v>1324</v>
      </c>
      <c r="AG9" s="32">
        <v>62.0</v>
      </c>
      <c r="AH9" s="32">
        <v>29.0</v>
      </c>
      <c r="AI9" s="32">
        <v>32.0</v>
      </c>
      <c r="AJ9" s="32">
        <v>1.0</v>
      </c>
      <c r="AK9" s="32">
        <v>49.0</v>
      </c>
      <c r="AL9" s="32" t="s">
        <v>2464</v>
      </c>
      <c r="AM9" s="32" t="s">
        <v>2465</v>
      </c>
      <c r="AN9" s="32" t="s">
        <v>2466</v>
      </c>
      <c r="AO9" s="32" t="s">
        <v>2573</v>
      </c>
      <c r="AP9" s="32" t="s">
        <v>2574</v>
      </c>
      <c r="AQ9" s="32" t="s">
        <v>1324</v>
      </c>
      <c r="AR9" s="32" t="s">
        <v>2575</v>
      </c>
      <c r="AS9" s="32" t="s">
        <v>2576</v>
      </c>
      <c r="AT9" s="32" t="s">
        <v>2557</v>
      </c>
      <c r="AU9" s="32">
        <v>2018.0</v>
      </c>
      <c r="AV9" s="32">
        <v>55.0</v>
      </c>
      <c r="AW9" s="32">
        <v>4.0</v>
      </c>
      <c r="AX9" s="32" t="s">
        <v>1324</v>
      </c>
      <c r="AY9" s="32" t="s">
        <v>1324</v>
      </c>
      <c r="AZ9" s="32" t="s">
        <v>1324</v>
      </c>
      <c r="BA9" s="32" t="s">
        <v>1324</v>
      </c>
      <c r="BB9" s="32">
        <v>1626.0</v>
      </c>
      <c r="BC9" s="32">
        <v>1636.0</v>
      </c>
      <c r="BD9" s="32" t="s">
        <v>1324</v>
      </c>
      <c r="BE9" s="32" t="s">
        <v>1712</v>
      </c>
      <c r="BF9" s="38" t="str">
        <f>HYPERLINK("http://dx.doi.org/10.1111/1365-2664.13137","http://dx.doi.org/10.1111/1365-2664.13137")</f>
        <v>http://dx.doi.org/10.1111/1365-2664.13137</v>
      </c>
      <c r="BG9" s="32" t="s">
        <v>1324</v>
      </c>
      <c r="BH9" s="32" t="s">
        <v>1324</v>
      </c>
      <c r="BI9" s="32">
        <v>11.0</v>
      </c>
      <c r="BJ9" s="32" t="s">
        <v>1124</v>
      </c>
      <c r="BK9" s="32" t="s">
        <v>2407</v>
      </c>
      <c r="BL9" s="32" t="s">
        <v>2577</v>
      </c>
      <c r="BM9" s="32" t="s">
        <v>2578</v>
      </c>
      <c r="BN9" s="32" t="s">
        <v>1324</v>
      </c>
      <c r="BO9" s="32" t="s">
        <v>2579</v>
      </c>
      <c r="BP9" s="32" t="s">
        <v>1324</v>
      </c>
      <c r="BQ9" s="32" t="s">
        <v>1324</v>
      </c>
      <c r="BR9" s="32" t="s">
        <v>5268</v>
      </c>
      <c r="BS9" s="32" t="s">
        <v>2580</v>
      </c>
      <c r="BT9" s="32" t="str">
        <f>HYPERLINK("https%3A%2F%2Fwww.webofscience.com%2Fwos%2Fwoscc%2Ffull-record%2FWOS:000434970200007","View Full Record in Web of Science")</f>
        <v>View Full Record in Web of Science</v>
      </c>
    </row>
    <row r="10" ht="12.75" customHeight="1">
      <c r="A10" s="32" t="s">
        <v>26</v>
      </c>
      <c r="B10" s="32" t="s">
        <v>2581</v>
      </c>
      <c r="C10" s="32" t="s">
        <v>1324</v>
      </c>
      <c r="D10" s="32" t="s">
        <v>1324</v>
      </c>
      <c r="E10" s="32" t="s">
        <v>1324</v>
      </c>
      <c r="F10" s="32" t="s">
        <v>1747</v>
      </c>
      <c r="G10" s="32" t="s">
        <v>1324</v>
      </c>
      <c r="H10" s="32" t="s">
        <v>1324</v>
      </c>
      <c r="I10" s="32" t="s">
        <v>1748</v>
      </c>
      <c r="J10" s="32" t="s">
        <v>318</v>
      </c>
      <c r="K10" s="32" t="s">
        <v>1324</v>
      </c>
      <c r="L10" s="32" t="s">
        <v>1324</v>
      </c>
      <c r="M10" s="32" t="s">
        <v>2364</v>
      </c>
      <c r="N10" s="32" t="s">
        <v>38</v>
      </c>
      <c r="O10" s="32" t="s">
        <v>1324</v>
      </c>
      <c r="P10" s="32" t="s">
        <v>1324</v>
      </c>
      <c r="Q10" s="32" t="s">
        <v>1324</v>
      </c>
      <c r="R10" s="32" t="s">
        <v>1324</v>
      </c>
      <c r="S10" s="32" t="s">
        <v>1324</v>
      </c>
      <c r="T10" s="32" t="s">
        <v>2582</v>
      </c>
      <c r="U10" s="32" t="s">
        <v>2583</v>
      </c>
      <c r="V10" s="32" t="s">
        <v>1749</v>
      </c>
      <c r="W10" s="32" t="s">
        <v>2584</v>
      </c>
      <c r="X10" s="32" t="s">
        <v>2585</v>
      </c>
      <c r="Y10" s="32" t="s">
        <v>2586</v>
      </c>
      <c r="Z10" s="32" t="s">
        <v>2587</v>
      </c>
      <c r="AA10" s="32" t="s">
        <v>5270</v>
      </c>
      <c r="AB10" s="32" t="s">
        <v>2589</v>
      </c>
      <c r="AC10" s="32" t="s">
        <v>1324</v>
      </c>
      <c r="AD10" s="32" t="s">
        <v>1324</v>
      </c>
      <c r="AE10" s="32" t="s">
        <v>1324</v>
      </c>
      <c r="AF10" s="32" t="s">
        <v>1324</v>
      </c>
      <c r="AG10" s="32">
        <v>49.0</v>
      </c>
      <c r="AH10" s="32">
        <v>185.0</v>
      </c>
      <c r="AI10" s="32">
        <v>221.0</v>
      </c>
      <c r="AJ10" s="32">
        <v>0.0</v>
      </c>
      <c r="AK10" s="32">
        <v>71.0</v>
      </c>
      <c r="AL10" s="32" t="s">
        <v>2590</v>
      </c>
      <c r="AM10" s="32" t="s">
        <v>2591</v>
      </c>
      <c r="AN10" s="32" t="s">
        <v>2592</v>
      </c>
      <c r="AO10" s="32" t="s">
        <v>2593</v>
      </c>
      <c r="AP10" s="32" t="s">
        <v>1324</v>
      </c>
      <c r="AQ10" s="32" t="s">
        <v>1324</v>
      </c>
      <c r="AR10" s="32" t="s">
        <v>2594</v>
      </c>
      <c r="AS10" s="32" t="s">
        <v>2595</v>
      </c>
      <c r="AT10" s="32" t="s">
        <v>2557</v>
      </c>
      <c r="AU10" s="32">
        <v>2018.0</v>
      </c>
      <c r="AV10" s="32">
        <v>13.0</v>
      </c>
      <c r="AW10" s="32">
        <v>7.0</v>
      </c>
      <c r="AX10" s="32" t="s">
        <v>1324</v>
      </c>
      <c r="AY10" s="32" t="s">
        <v>1324</v>
      </c>
      <c r="AZ10" s="32" t="s">
        <v>1324</v>
      </c>
      <c r="BA10" s="32" t="s">
        <v>1324</v>
      </c>
      <c r="BB10" s="32" t="s">
        <v>1324</v>
      </c>
      <c r="BC10" s="32" t="s">
        <v>1324</v>
      </c>
      <c r="BD10" s="32">
        <v>74028.0</v>
      </c>
      <c r="BE10" s="32" t="s">
        <v>1750</v>
      </c>
      <c r="BF10" s="38" t="str">
        <f>HYPERLINK("http://dx.doi.org/10.1088/1748-9326/aacd1c","http://dx.doi.org/10.1088/1748-9326/aacd1c")</f>
        <v>http://dx.doi.org/10.1088/1748-9326/aacd1c</v>
      </c>
      <c r="BG10" s="32" t="s">
        <v>1324</v>
      </c>
      <c r="BH10" s="32" t="s">
        <v>1324</v>
      </c>
      <c r="BI10" s="32">
        <v>15.0</v>
      </c>
      <c r="BJ10" s="32" t="s">
        <v>322</v>
      </c>
      <c r="BK10" s="32" t="s">
        <v>2407</v>
      </c>
      <c r="BL10" s="32" t="s">
        <v>2596</v>
      </c>
      <c r="BM10" s="32" t="s">
        <v>2597</v>
      </c>
      <c r="BN10" s="32" t="s">
        <v>1324</v>
      </c>
      <c r="BO10" s="32" t="s">
        <v>2598</v>
      </c>
      <c r="BP10" s="32" t="s">
        <v>1324</v>
      </c>
      <c r="BQ10" s="32" t="s">
        <v>1324</v>
      </c>
      <c r="BR10" s="32" t="s">
        <v>5268</v>
      </c>
      <c r="BS10" s="32" t="s">
        <v>2599</v>
      </c>
      <c r="BT10" s="32" t="str">
        <f>HYPERLINK("https%3A%2F%2Fwww.webofscience.com%2Fwos%2Fwoscc%2Ffull-record%2FWOS:000438666900001","View Full Record in Web of Science")</f>
        <v>View Full Record in Web of Science</v>
      </c>
    </row>
    <row r="11" ht="12.75" customHeight="1">
      <c r="A11" s="32" t="s">
        <v>26</v>
      </c>
      <c r="B11" s="32" t="s">
        <v>2600</v>
      </c>
      <c r="C11" s="32" t="s">
        <v>1324</v>
      </c>
      <c r="D11" s="32" t="s">
        <v>1324</v>
      </c>
      <c r="E11" s="32" t="s">
        <v>1324</v>
      </c>
      <c r="F11" s="32" t="s">
        <v>2601</v>
      </c>
      <c r="G11" s="32" t="s">
        <v>1324</v>
      </c>
      <c r="H11" s="32" t="s">
        <v>1324</v>
      </c>
      <c r="I11" s="32" t="s">
        <v>2602</v>
      </c>
      <c r="J11" s="32" t="s">
        <v>703</v>
      </c>
      <c r="K11" s="32" t="s">
        <v>1324</v>
      </c>
      <c r="L11" s="32" t="s">
        <v>1324</v>
      </c>
      <c r="M11" s="32" t="s">
        <v>2364</v>
      </c>
      <c r="N11" s="32" t="s">
        <v>38</v>
      </c>
      <c r="O11" s="32" t="s">
        <v>1324</v>
      </c>
      <c r="P11" s="32" t="s">
        <v>1324</v>
      </c>
      <c r="Q11" s="32" t="s">
        <v>1324</v>
      </c>
      <c r="R11" s="32" t="s">
        <v>1324</v>
      </c>
      <c r="S11" s="32" t="s">
        <v>1324</v>
      </c>
      <c r="T11" s="32" t="s">
        <v>2603</v>
      </c>
      <c r="U11" s="32" t="s">
        <v>2604</v>
      </c>
      <c r="V11" s="32" t="s">
        <v>2605</v>
      </c>
      <c r="W11" s="32" t="s">
        <v>2606</v>
      </c>
      <c r="X11" s="32" t="s">
        <v>2607</v>
      </c>
      <c r="Y11" s="32" t="s">
        <v>2608</v>
      </c>
      <c r="Z11" s="32" t="s">
        <v>2609</v>
      </c>
      <c r="AA11" s="32" t="s">
        <v>1324</v>
      </c>
      <c r="AB11" s="32" t="s">
        <v>5271</v>
      </c>
      <c r="AC11" s="32" t="s">
        <v>2611</v>
      </c>
      <c r="AD11" s="32" t="s">
        <v>2612</v>
      </c>
      <c r="AE11" s="32" t="s">
        <v>2613</v>
      </c>
      <c r="AF11" s="32" t="s">
        <v>1324</v>
      </c>
      <c r="AG11" s="32">
        <v>79.0</v>
      </c>
      <c r="AH11" s="32">
        <v>63.0</v>
      </c>
      <c r="AI11" s="32">
        <v>71.0</v>
      </c>
      <c r="AJ11" s="32">
        <v>4.0</v>
      </c>
      <c r="AK11" s="32">
        <v>131.0</v>
      </c>
      <c r="AL11" s="32" t="s">
        <v>2486</v>
      </c>
      <c r="AM11" s="32" t="s">
        <v>2487</v>
      </c>
      <c r="AN11" s="32" t="s">
        <v>2488</v>
      </c>
      <c r="AO11" s="32" t="s">
        <v>2614</v>
      </c>
      <c r="AP11" s="32" t="s">
        <v>2615</v>
      </c>
      <c r="AQ11" s="32" t="s">
        <v>1324</v>
      </c>
      <c r="AR11" s="32" t="s">
        <v>2616</v>
      </c>
      <c r="AS11" s="32" t="s">
        <v>2617</v>
      </c>
      <c r="AT11" s="32" t="s">
        <v>2557</v>
      </c>
      <c r="AU11" s="32">
        <v>2018.0</v>
      </c>
      <c r="AV11" s="32">
        <v>90.0</v>
      </c>
      <c r="AW11" s="32" t="s">
        <v>1324</v>
      </c>
      <c r="AX11" s="32" t="s">
        <v>1324</v>
      </c>
      <c r="AY11" s="32" t="s">
        <v>1324</v>
      </c>
      <c r="AZ11" s="32" t="s">
        <v>1324</v>
      </c>
      <c r="BA11" s="32" t="s">
        <v>1324</v>
      </c>
      <c r="BB11" s="32">
        <v>261.0</v>
      </c>
      <c r="BC11" s="32">
        <v>279.0</v>
      </c>
      <c r="BD11" s="32" t="s">
        <v>1324</v>
      </c>
      <c r="BE11" s="32" t="s">
        <v>2074</v>
      </c>
      <c r="BF11" s="38" t="str">
        <f>HYPERLINK("http://dx.doi.org/10.1016/j.ecolind.2018.03.004","http://dx.doi.org/10.1016/j.ecolind.2018.03.004")</f>
        <v>http://dx.doi.org/10.1016/j.ecolind.2018.03.004</v>
      </c>
      <c r="BG11" s="32" t="s">
        <v>1324</v>
      </c>
      <c r="BH11" s="32" t="s">
        <v>1324</v>
      </c>
      <c r="BI11" s="32">
        <v>19.0</v>
      </c>
      <c r="BJ11" s="32" t="s">
        <v>707</v>
      </c>
      <c r="BK11" s="32" t="s">
        <v>2407</v>
      </c>
      <c r="BL11" s="32" t="s">
        <v>2577</v>
      </c>
      <c r="BM11" s="32" t="s">
        <v>2618</v>
      </c>
      <c r="BN11" s="32" t="s">
        <v>1324</v>
      </c>
      <c r="BO11" s="32" t="s">
        <v>1324</v>
      </c>
      <c r="BP11" s="32" t="s">
        <v>1324</v>
      </c>
      <c r="BQ11" s="32" t="s">
        <v>1324</v>
      </c>
      <c r="BR11" s="32" t="s">
        <v>5268</v>
      </c>
      <c r="BS11" s="32" t="s">
        <v>2619</v>
      </c>
      <c r="BT11" s="32" t="str">
        <f>HYPERLINK("https%3A%2F%2Fwww.webofscience.com%2Fwos%2Fwoscc%2Ffull-record%2FWOS:000440266100029","View Full Record in Web of Science")</f>
        <v>View Full Record in Web of Science</v>
      </c>
    </row>
    <row r="12" ht="12.75" customHeight="1">
      <c r="A12" s="32" t="s">
        <v>26</v>
      </c>
      <c r="B12" s="32" t="s">
        <v>2620</v>
      </c>
      <c r="C12" s="32" t="s">
        <v>1324</v>
      </c>
      <c r="D12" s="32" t="s">
        <v>1324</v>
      </c>
      <c r="E12" s="32" t="s">
        <v>1324</v>
      </c>
      <c r="F12" s="32" t="s">
        <v>1752</v>
      </c>
      <c r="G12" s="32" t="s">
        <v>1324</v>
      </c>
      <c r="H12" s="32" t="s">
        <v>1324</v>
      </c>
      <c r="I12" s="32" t="s">
        <v>1753</v>
      </c>
      <c r="J12" s="32" t="s">
        <v>318</v>
      </c>
      <c r="K12" s="32" t="s">
        <v>1324</v>
      </c>
      <c r="L12" s="32" t="s">
        <v>1324</v>
      </c>
      <c r="M12" s="32" t="s">
        <v>2364</v>
      </c>
      <c r="N12" s="32" t="s">
        <v>38</v>
      </c>
      <c r="O12" s="32" t="s">
        <v>1324</v>
      </c>
      <c r="P12" s="32" t="s">
        <v>1324</v>
      </c>
      <c r="Q12" s="32" t="s">
        <v>1324</v>
      </c>
      <c r="R12" s="32" t="s">
        <v>1324</v>
      </c>
      <c r="S12" s="32" t="s">
        <v>1324</v>
      </c>
      <c r="T12" s="32" t="s">
        <v>2621</v>
      </c>
      <c r="U12" s="32" t="s">
        <v>2622</v>
      </c>
      <c r="V12" s="32" t="s">
        <v>1754</v>
      </c>
      <c r="W12" s="32" t="s">
        <v>2623</v>
      </c>
      <c r="X12" s="32" t="s">
        <v>5272</v>
      </c>
      <c r="Y12" s="32" t="s">
        <v>2625</v>
      </c>
      <c r="Z12" s="32" t="s">
        <v>2626</v>
      </c>
      <c r="AA12" s="32" t="s">
        <v>5273</v>
      </c>
      <c r="AB12" s="32" t="s">
        <v>5274</v>
      </c>
      <c r="AC12" s="32" t="s">
        <v>2629</v>
      </c>
      <c r="AD12" s="32" t="s">
        <v>2630</v>
      </c>
      <c r="AE12" s="32" t="s">
        <v>2631</v>
      </c>
      <c r="AF12" s="32" t="s">
        <v>1324</v>
      </c>
      <c r="AG12" s="32">
        <v>59.0</v>
      </c>
      <c r="AH12" s="32">
        <v>96.0</v>
      </c>
      <c r="AI12" s="32">
        <v>106.0</v>
      </c>
      <c r="AJ12" s="32">
        <v>1.0</v>
      </c>
      <c r="AK12" s="32">
        <v>76.0</v>
      </c>
      <c r="AL12" s="32" t="s">
        <v>2590</v>
      </c>
      <c r="AM12" s="32" t="s">
        <v>2591</v>
      </c>
      <c r="AN12" s="32" t="s">
        <v>2592</v>
      </c>
      <c r="AO12" s="32" t="s">
        <v>2593</v>
      </c>
      <c r="AP12" s="32" t="s">
        <v>1324</v>
      </c>
      <c r="AQ12" s="32" t="s">
        <v>1324</v>
      </c>
      <c r="AR12" s="32" t="s">
        <v>2594</v>
      </c>
      <c r="AS12" s="32" t="s">
        <v>2595</v>
      </c>
      <c r="AT12" s="32" t="s">
        <v>2632</v>
      </c>
      <c r="AU12" s="32">
        <v>2018.0</v>
      </c>
      <c r="AV12" s="32">
        <v>13.0</v>
      </c>
      <c r="AW12" s="32">
        <v>6.0</v>
      </c>
      <c r="AX12" s="32" t="s">
        <v>1324</v>
      </c>
      <c r="AY12" s="32" t="s">
        <v>1324</v>
      </c>
      <c r="AZ12" s="32" t="s">
        <v>1324</v>
      </c>
      <c r="BA12" s="32" t="s">
        <v>1324</v>
      </c>
      <c r="BB12" s="32" t="s">
        <v>1324</v>
      </c>
      <c r="BC12" s="32" t="s">
        <v>1324</v>
      </c>
      <c r="BD12" s="32">
        <v>65013.0</v>
      </c>
      <c r="BE12" s="32" t="s">
        <v>1755</v>
      </c>
      <c r="BF12" s="38" t="str">
        <f>HYPERLINK("http://dx.doi.org/10.1088/1748-9326/aac331","http://dx.doi.org/10.1088/1748-9326/aac331")</f>
        <v>http://dx.doi.org/10.1088/1748-9326/aac331</v>
      </c>
      <c r="BG12" s="32" t="s">
        <v>1324</v>
      </c>
      <c r="BH12" s="32" t="s">
        <v>1324</v>
      </c>
      <c r="BI12" s="32">
        <v>12.0</v>
      </c>
      <c r="BJ12" s="32" t="s">
        <v>322</v>
      </c>
      <c r="BK12" s="32" t="s">
        <v>2407</v>
      </c>
      <c r="BL12" s="32" t="s">
        <v>2596</v>
      </c>
      <c r="BM12" s="32" t="s">
        <v>2633</v>
      </c>
      <c r="BN12" s="32" t="s">
        <v>1324</v>
      </c>
      <c r="BO12" s="32" t="s">
        <v>2598</v>
      </c>
      <c r="BP12" s="32" t="s">
        <v>1324</v>
      </c>
      <c r="BQ12" s="32" t="s">
        <v>1324</v>
      </c>
      <c r="BR12" s="32" t="s">
        <v>5268</v>
      </c>
      <c r="BS12" s="32" t="s">
        <v>2634</v>
      </c>
      <c r="BT12" s="32" t="str">
        <f>HYPERLINK("https%3A%2F%2Fwww.webofscience.com%2Fwos%2Fwoscc%2Ffull-record%2FWOS:000434818600001","View Full Record in Web of Science")</f>
        <v>View Full Record in Web of Science</v>
      </c>
    </row>
    <row r="13" ht="12.75" customHeight="1">
      <c r="A13" s="32" t="s">
        <v>26</v>
      </c>
      <c r="B13" s="32" t="s">
        <v>2635</v>
      </c>
      <c r="C13" s="32" t="s">
        <v>1324</v>
      </c>
      <c r="D13" s="32" t="s">
        <v>1324</v>
      </c>
      <c r="E13" s="32" t="s">
        <v>1324</v>
      </c>
      <c r="F13" s="32" t="s">
        <v>2125</v>
      </c>
      <c r="G13" s="32" t="s">
        <v>1324</v>
      </c>
      <c r="H13" s="32" t="s">
        <v>1324</v>
      </c>
      <c r="I13" s="32" t="s">
        <v>2126</v>
      </c>
      <c r="J13" s="32" t="s">
        <v>949</v>
      </c>
      <c r="K13" s="32" t="s">
        <v>1324</v>
      </c>
      <c r="L13" s="32" t="s">
        <v>1324</v>
      </c>
      <c r="M13" s="32" t="s">
        <v>2364</v>
      </c>
      <c r="N13" s="32" t="s">
        <v>38</v>
      </c>
      <c r="O13" s="32" t="s">
        <v>1324</v>
      </c>
      <c r="P13" s="32" t="s">
        <v>1324</v>
      </c>
      <c r="Q13" s="32" t="s">
        <v>1324</v>
      </c>
      <c r="R13" s="32" t="s">
        <v>1324</v>
      </c>
      <c r="S13" s="32" t="s">
        <v>1324</v>
      </c>
      <c r="T13" s="32" t="s">
        <v>2636</v>
      </c>
      <c r="U13" s="32" t="s">
        <v>2637</v>
      </c>
      <c r="V13" s="32" t="s">
        <v>2127</v>
      </c>
      <c r="W13" s="32" t="s">
        <v>2638</v>
      </c>
      <c r="X13" s="32" t="s">
        <v>2639</v>
      </c>
      <c r="Y13" s="32" t="s">
        <v>2640</v>
      </c>
      <c r="Z13" s="32" t="s">
        <v>2641</v>
      </c>
      <c r="AA13" s="32" t="s">
        <v>5275</v>
      </c>
      <c r="AB13" s="32" t="s">
        <v>5276</v>
      </c>
      <c r="AC13" s="32" t="s">
        <v>2644</v>
      </c>
      <c r="AD13" s="32" t="s">
        <v>2644</v>
      </c>
      <c r="AE13" s="32" t="s">
        <v>2645</v>
      </c>
      <c r="AF13" s="32" t="s">
        <v>1324</v>
      </c>
      <c r="AG13" s="32">
        <v>62.0</v>
      </c>
      <c r="AH13" s="32">
        <v>40.0</v>
      </c>
      <c r="AI13" s="32">
        <v>44.0</v>
      </c>
      <c r="AJ13" s="32">
        <v>0.0</v>
      </c>
      <c r="AK13" s="32">
        <v>89.0</v>
      </c>
      <c r="AL13" s="32" t="s">
        <v>2530</v>
      </c>
      <c r="AM13" s="32" t="s">
        <v>2509</v>
      </c>
      <c r="AN13" s="32" t="s">
        <v>2646</v>
      </c>
      <c r="AO13" s="32" t="s">
        <v>2647</v>
      </c>
      <c r="AP13" s="32" t="s">
        <v>2648</v>
      </c>
      <c r="AQ13" s="32" t="s">
        <v>1324</v>
      </c>
      <c r="AR13" s="32" t="s">
        <v>2649</v>
      </c>
      <c r="AS13" s="32" t="s">
        <v>2650</v>
      </c>
      <c r="AT13" s="32" t="s">
        <v>2651</v>
      </c>
      <c r="AU13" s="32">
        <v>2018.0</v>
      </c>
      <c r="AV13" s="32">
        <v>94.0</v>
      </c>
      <c r="AW13" s="32" t="s">
        <v>1324</v>
      </c>
      <c r="AX13" s="32" t="s">
        <v>1324</v>
      </c>
      <c r="AY13" s="32" t="s">
        <v>1324</v>
      </c>
      <c r="AZ13" s="32" t="s">
        <v>1324</v>
      </c>
      <c r="BA13" s="32" t="s">
        <v>1324</v>
      </c>
      <c r="BB13" s="32">
        <v>71.0</v>
      </c>
      <c r="BC13" s="32">
        <v>83.0</v>
      </c>
      <c r="BD13" s="32" t="s">
        <v>1324</v>
      </c>
      <c r="BE13" s="32" t="s">
        <v>2128</v>
      </c>
      <c r="BF13" s="38" t="str">
        <f>HYPERLINK("http://dx.doi.org/10.1016/j.apgeog.2018.03.006","http://dx.doi.org/10.1016/j.apgeog.2018.03.006")</f>
        <v>http://dx.doi.org/10.1016/j.apgeog.2018.03.006</v>
      </c>
      <c r="BG13" s="32" t="s">
        <v>1324</v>
      </c>
      <c r="BH13" s="32" t="s">
        <v>1324</v>
      </c>
      <c r="BI13" s="32">
        <v>13.0</v>
      </c>
      <c r="BJ13" s="32" t="s">
        <v>953</v>
      </c>
      <c r="BK13" s="32" t="s">
        <v>2652</v>
      </c>
      <c r="BL13" s="32" t="s">
        <v>953</v>
      </c>
      <c r="BM13" s="32" t="s">
        <v>2653</v>
      </c>
      <c r="BN13" s="32" t="s">
        <v>1324</v>
      </c>
      <c r="BO13" s="32" t="s">
        <v>2474</v>
      </c>
      <c r="BP13" s="32" t="s">
        <v>1324</v>
      </c>
      <c r="BQ13" s="32" t="s">
        <v>1324</v>
      </c>
      <c r="BR13" s="32" t="s">
        <v>5268</v>
      </c>
      <c r="BS13" s="32" t="s">
        <v>2654</v>
      </c>
      <c r="BT13" s="32" t="str">
        <f>HYPERLINK("https%3A%2F%2Fwww.webofscience.com%2Fwos%2Fwoscc%2Ffull-record%2FWOS:000432233800006","View Full Record in Web of Science")</f>
        <v>View Full Record in Web of Science</v>
      </c>
    </row>
    <row r="14" ht="12.75" customHeight="1">
      <c r="A14" s="32" t="s">
        <v>26</v>
      </c>
      <c r="B14" s="32" t="s">
        <v>2655</v>
      </c>
      <c r="C14" s="32" t="s">
        <v>1324</v>
      </c>
      <c r="D14" s="32" t="s">
        <v>1324</v>
      </c>
      <c r="E14" s="32" t="s">
        <v>1324</v>
      </c>
      <c r="F14" s="32" t="s">
        <v>1687</v>
      </c>
      <c r="G14" s="32" t="s">
        <v>1324</v>
      </c>
      <c r="H14" s="32" t="s">
        <v>1324</v>
      </c>
      <c r="I14" s="32" t="s">
        <v>1689</v>
      </c>
      <c r="J14" s="32" t="s">
        <v>1688</v>
      </c>
      <c r="K14" s="32" t="s">
        <v>1324</v>
      </c>
      <c r="L14" s="32" t="s">
        <v>1324</v>
      </c>
      <c r="M14" s="32" t="s">
        <v>2364</v>
      </c>
      <c r="N14" s="32" t="s">
        <v>38</v>
      </c>
      <c r="O14" s="32" t="s">
        <v>1324</v>
      </c>
      <c r="P14" s="32" t="s">
        <v>1324</v>
      </c>
      <c r="Q14" s="32" t="s">
        <v>1324</v>
      </c>
      <c r="R14" s="32" t="s">
        <v>1324</v>
      </c>
      <c r="S14" s="32" t="s">
        <v>1324</v>
      </c>
      <c r="T14" s="32" t="s">
        <v>2656</v>
      </c>
      <c r="U14" s="32" t="s">
        <v>2657</v>
      </c>
      <c r="V14" s="32" t="s">
        <v>1690</v>
      </c>
      <c r="W14" s="32" t="s">
        <v>2658</v>
      </c>
      <c r="X14" s="32" t="s">
        <v>2659</v>
      </c>
      <c r="Y14" s="32" t="s">
        <v>2660</v>
      </c>
      <c r="Z14" s="32" t="s">
        <v>2661</v>
      </c>
      <c r="AA14" s="32" t="s">
        <v>5277</v>
      </c>
      <c r="AB14" s="32" t="s">
        <v>5278</v>
      </c>
      <c r="AC14" s="32" t="s">
        <v>5279</v>
      </c>
      <c r="AD14" s="32" t="s">
        <v>5280</v>
      </c>
      <c r="AE14" s="32" t="s">
        <v>2666</v>
      </c>
      <c r="AF14" s="32" t="s">
        <v>1324</v>
      </c>
      <c r="AG14" s="32">
        <v>66.0</v>
      </c>
      <c r="AH14" s="32">
        <v>35.0</v>
      </c>
      <c r="AI14" s="32">
        <v>35.0</v>
      </c>
      <c r="AJ14" s="32">
        <v>1.0</v>
      </c>
      <c r="AK14" s="32">
        <v>45.0</v>
      </c>
      <c r="AL14" s="32" t="s">
        <v>2464</v>
      </c>
      <c r="AM14" s="32" t="s">
        <v>2465</v>
      </c>
      <c r="AN14" s="32" t="s">
        <v>2466</v>
      </c>
      <c r="AO14" s="32" t="s">
        <v>2667</v>
      </c>
      <c r="AP14" s="32" t="s">
        <v>2668</v>
      </c>
      <c r="AQ14" s="32" t="s">
        <v>1324</v>
      </c>
      <c r="AR14" s="32" t="s">
        <v>2669</v>
      </c>
      <c r="AS14" s="32" t="s">
        <v>2670</v>
      </c>
      <c r="AT14" s="32" t="s">
        <v>2651</v>
      </c>
      <c r="AU14" s="32">
        <v>2018.0</v>
      </c>
      <c r="AV14" s="32">
        <v>27.0</v>
      </c>
      <c r="AW14" s="32">
        <v>3.0</v>
      </c>
      <c r="AX14" s="32" t="s">
        <v>1324</v>
      </c>
      <c r="AY14" s="32" t="s">
        <v>1324</v>
      </c>
      <c r="AZ14" s="32" t="s">
        <v>1324</v>
      </c>
      <c r="BA14" s="32" t="s">
        <v>1324</v>
      </c>
      <c r="BB14" s="32">
        <v>212.0</v>
      </c>
      <c r="BC14" s="32">
        <v>221.0</v>
      </c>
      <c r="BD14" s="32" t="s">
        <v>1324</v>
      </c>
      <c r="BE14" s="32" t="s">
        <v>1691</v>
      </c>
      <c r="BF14" s="38" t="str">
        <f>HYPERLINK("http://dx.doi.org/10.1111/fog.12246","http://dx.doi.org/10.1111/fog.12246")</f>
        <v>http://dx.doi.org/10.1111/fog.12246</v>
      </c>
      <c r="BG14" s="32" t="s">
        <v>1324</v>
      </c>
      <c r="BH14" s="32" t="s">
        <v>1324</v>
      </c>
      <c r="BI14" s="32">
        <v>10.0</v>
      </c>
      <c r="BJ14" s="32" t="s">
        <v>2671</v>
      </c>
      <c r="BK14" s="32" t="s">
        <v>2407</v>
      </c>
      <c r="BL14" s="32" t="s">
        <v>2671</v>
      </c>
      <c r="BM14" s="32" t="s">
        <v>2672</v>
      </c>
      <c r="BN14" s="32" t="s">
        <v>1324</v>
      </c>
      <c r="BO14" s="32" t="s">
        <v>1324</v>
      </c>
      <c r="BP14" s="32" t="s">
        <v>1324</v>
      </c>
      <c r="BQ14" s="32" t="s">
        <v>1324</v>
      </c>
      <c r="BR14" s="32" t="s">
        <v>5268</v>
      </c>
      <c r="BS14" s="32" t="s">
        <v>2673</v>
      </c>
      <c r="BT14" s="32" t="str">
        <f>HYPERLINK("https%3A%2F%2Fwww.webofscience.com%2Fwos%2Fwoscc%2Ffull-record%2FWOS:000428400500003","View Full Record in Web of Science")</f>
        <v>View Full Record in Web of Science</v>
      </c>
    </row>
    <row r="15" ht="12.75" customHeight="1">
      <c r="A15" s="32" t="s">
        <v>26</v>
      </c>
      <c r="B15" s="32" t="s">
        <v>2694</v>
      </c>
      <c r="C15" s="32" t="s">
        <v>1324</v>
      </c>
      <c r="D15" s="32" t="s">
        <v>1324</v>
      </c>
      <c r="E15" s="32" t="s">
        <v>1324</v>
      </c>
      <c r="F15" s="32" t="s">
        <v>1510</v>
      </c>
      <c r="G15" s="32" t="s">
        <v>1324</v>
      </c>
      <c r="H15" s="32" t="s">
        <v>1324</v>
      </c>
      <c r="I15" s="32" t="s">
        <v>1512</v>
      </c>
      <c r="J15" s="32" t="s">
        <v>1511</v>
      </c>
      <c r="K15" s="32" t="s">
        <v>1324</v>
      </c>
      <c r="L15" s="32" t="s">
        <v>1324</v>
      </c>
      <c r="M15" s="32" t="s">
        <v>2364</v>
      </c>
      <c r="N15" s="32" t="s">
        <v>38</v>
      </c>
      <c r="O15" s="32" t="s">
        <v>1324</v>
      </c>
      <c r="P15" s="32" t="s">
        <v>1324</v>
      </c>
      <c r="Q15" s="32" t="s">
        <v>1324</v>
      </c>
      <c r="R15" s="32" t="s">
        <v>1324</v>
      </c>
      <c r="S15" s="32" t="s">
        <v>1324</v>
      </c>
      <c r="T15" s="32" t="s">
        <v>2695</v>
      </c>
      <c r="U15" s="32" t="s">
        <v>2696</v>
      </c>
      <c r="V15" s="32" t="s">
        <v>1513</v>
      </c>
      <c r="W15" s="32" t="s">
        <v>2697</v>
      </c>
      <c r="X15" s="32" t="s">
        <v>2698</v>
      </c>
      <c r="Y15" s="32" t="s">
        <v>2699</v>
      </c>
      <c r="Z15" s="32" t="s">
        <v>2700</v>
      </c>
      <c r="AA15" s="32" t="s">
        <v>2701</v>
      </c>
      <c r="AB15" s="32" t="s">
        <v>1324</v>
      </c>
      <c r="AC15" s="32" t="s">
        <v>2702</v>
      </c>
      <c r="AD15" s="32" t="s">
        <v>2703</v>
      </c>
      <c r="AE15" s="32" t="s">
        <v>2704</v>
      </c>
      <c r="AF15" s="32" t="s">
        <v>1324</v>
      </c>
      <c r="AG15" s="32">
        <v>33.0</v>
      </c>
      <c r="AH15" s="32">
        <v>6.0</v>
      </c>
      <c r="AI15" s="32">
        <v>7.0</v>
      </c>
      <c r="AJ15" s="32">
        <v>0.0</v>
      </c>
      <c r="AK15" s="32">
        <v>28.0</v>
      </c>
      <c r="AL15" s="32" t="s">
        <v>2705</v>
      </c>
      <c r="AM15" s="32" t="s">
        <v>2706</v>
      </c>
      <c r="AN15" s="32" t="s">
        <v>2707</v>
      </c>
      <c r="AO15" s="32" t="s">
        <v>2708</v>
      </c>
      <c r="AP15" s="32" t="s">
        <v>1324</v>
      </c>
      <c r="AQ15" s="32" t="s">
        <v>1324</v>
      </c>
      <c r="AR15" s="32" t="s">
        <v>2709</v>
      </c>
      <c r="AS15" s="32" t="s">
        <v>2710</v>
      </c>
      <c r="AT15" s="32" t="s">
        <v>2711</v>
      </c>
      <c r="AU15" s="32">
        <v>2018.0</v>
      </c>
      <c r="AV15" s="32">
        <v>11.0</v>
      </c>
      <c r="AW15" s="32" t="s">
        <v>1324</v>
      </c>
      <c r="AX15" s="32" t="s">
        <v>1324</v>
      </c>
      <c r="AY15" s="32" t="s">
        <v>1324</v>
      </c>
      <c r="AZ15" s="32" t="s">
        <v>1324</v>
      </c>
      <c r="BA15" s="32" t="s">
        <v>1324</v>
      </c>
      <c r="BB15" s="32" t="s">
        <v>1324</v>
      </c>
      <c r="BC15" s="32" t="s">
        <v>1324</v>
      </c>
      <c r="BD15" s="32" t="s">
        <v>1324</v>
      </c>
      <c r="BE15" s="32" t="s">
        <v>1514</v>
      </c>
      <c r="BF15" s="38" t="str">
        <f>HYPERLINK("http://dx.doi.org/10.1177/1940082918769460","http://dx.doi.org/10.1177/1940082918769460")</f>
        <v>http://dx.doi.org/10.1177/1940082918769460</v>
      </c>
      <c r="BG15" s="32" t="s">
        <v>1324</v>
      </c>
      <c r="BH15" s="32" t="s">
        <v>1324</v>
      </c>
      <c r="BI15" s="32">
        <v>8.0</v>
      </c>
      <c r="BJ15" s="32" t="s">
        <v>2712</v>
      </c>
      <c r="BK15" s="32" t="s">
        <v>2407</v>
      </c>
      <c r="BL15" s="32" t="s">
        <v>2713</v>
      </c>
      <c r="BM15" s="32" t="s">
        <v>2714</v>
      </c>
      <c r="BN15" s="32" t="s">
        <v>1324</v>
      </c>
      <c r="BO15" s="32" t="s">
        <v>2715</v>
      </c>
      <c r="BP15" s="32" t="s">
        <v>1324</v>
      </c>
      <c r="BQ15" s="32" t="s">
        <v>1324</v>
      </c>
      <c r="BR15" s="32" t="s">
        <v>5268</v>
      </c>
      <c r="BS15" s="32" t="s">
        <v>2716</v>
      </c>
      <c r="BT15" s="32" t="str">
        <f>HYPERLINK("https%3A%2F%2Fwww.webofscience.com%2Fwos%2Fwoscc%2Ffull-record%2FWOS:000437507600001","View Full Record in Web of Science")</f>
        <v>View Full Record in Web of Science</v>
      </c>
    </row>
    <row r="16" ht="12.75" customHeight="1">
      <c r="A16" s="32" t="s">
        <v>26</v>
      </c>
      <c r="B16" s="32" t="s">
        <v>2717</v>
      </c>
      <c r="C16" s="32" t="s">
        <v>1324</v>
      </c>
      <c r="D16" s="32" t="s">
        <v>1324</v>
      </c>
      <c r="E16" s="32" t="s">
        <v>1324</v>
      </c>
      <c r="F16" s="32" t="s">
        <v>1340</v>
      </c>
      <c r="G16" s="32" t="s">
        <v>1324</v>
      </c>
      <c r="H16" s="32" t="s">
        <v>1324</v>
      </c>
      <c r="I16" s="32" t="s">
        <v>1342</v>
      </c>
      <c r="J16" s="32" t="s">
        <v>1341</v>
      </c>
      <c r="K16" s="32" t="s">
        <v>1324</v>
      </c>
      <c r="L16" s="32" t="s">
        <v>1324</v>
      </c>
      <c r="M16" s="32" t="s">
        <v>2364</v>
      </c>
      <c r="N16" s="32" t="s">
        <v>38</v>
      </c>
      <c r="O16" s="32" t="s">
        <v>1324</v>
      </c>
      <c r="P16" s="32" t="s">
        <v>1324</v>
      </c>
      <c r="Q16" s="32" t="s">
        <v>1324</v>
      </c>
      <c r="R16" s="32" t="s">
        <v>1324</v>
      </c>
      <c r="S16" s="32" t="s">
        <v>1324</v>
      </c>
      <c r="T16" s="32" t="s">
        <v>1324</v>
      </c>
      <c r="U16" s="32" t="s">
        <v>2718</v>
      </c>
      <c r="V16" s="32" t="s">
        <v>1343</v>
      </c>
      <c r="W16" s="32" t="s">
        <v>2719</v>
      </c>
      <c r="X16" s="32" t="s">
        <v>2720</v>
      </c>
      <c r="Y16" s="32" t="s">
        <v>2721</v>
      </c>
      <c r="Z16" s="32" t="s">
        <v>2722</v>
      </c>
      <c r="AA16" s="32" t="s">
        <v>5281</v>
      </c>
      <c r="AB16" s="32" t="s">
        <v>5282</v>
      </c>
      <c r="AC16" s="32" t="s">
        <v>2725</v>
      </c>
      <c r="AD16" s="32" t="s">
        <v>2725</v>
      </c>
      <c r="AE16" s="32" t="s">
        <v>2726</v>
      </c>
      <c r="AF16" s="32" t="s">
        <v>1324</v>
      </c>
      <c r="AG16" s="32">
        <v>65.0</v>
      </c>
      <c r="AH16" s="32">
        <v>30.0</v>
      </c>
      <c r="AI16" s="32">
        <v>35.0</v>
      </c>
      <c r="AJ16" s="32">
        <v>0.0</v>
      </c>
      <c r="AK16" s="32">
        <v>96.0</v>
      </c>
      <c r="AL16" s="32" t="s">
        <v>2727</v>
      </c>
      <c r="AM16" s="32" t="s">
        <v>2728</v>
      </c>
      <c r="AN16" s="32" t="s">
        <v>2729</v>
      </c>
      <c r="AO16" s="32" t="s">
        <v>2730</v>
      </c>
      <c r="AP16" s="32" t="s">
        <v>2731</v>
      </c>
      <c r="AQ16" s="32" t="s">
        <v>1324</v>
      </c>
      <c r="AR16" s="32" t="s">
        <v>2732</v>
      </c>
      <c r="AS16" s="32" t="s">
        <v>2733</v>
      </c>
      <c r="AT16" s="32" t="s">
        <v>2734</v>
      </c>
      <c r="AU16" s="32">
        <v>2018.0</v>
      </c>
      <c r="AV16" s="32">
        <v>94.0</v>
      </c>
      <c r="AW16" s="32">
        <v>2.0</v>
      </c>
      <c r="AX16" s="32" t="s">
        <v>1324</v>
      </c>
      <c r="AY16" s="32" t="s">
        <v>1324</v>
      </c>
      <c r="AZ16" s="32" t="s">
        <v>1324</v>
      </c>
      <c r="BA16" s="32" t="s">
        <v>1324</v>
      </c>
      <c r="BB16" s="32">
        <v>213.0</v>
      </c>
      <c r="BC16" s="32">
        <v>228.0</v>
      </c>
      <c r="BD16" s="32" t="s">
        <v>1324</v>
      </c>
      <c r="BE16" s="32" t="s">
        <v>1344</v>
      </c>
      <c r="BF16" s="38" t="str">
        <f>HYPERLINK("http://dx.doi.org/10.5343/bms.2017.1061","http://dx.doi.org/10.5343/bms.2017.1061")</f>
        <v>http://dx.doi.org/10.5343/bms.2017.1061</v>
      </c>
      <c r="BG16" s="32" t="s">
        <v>1324</v>
      </c>
      <c r="BH16" s="32" t="s">
        <v>1324</v>
      </c>
      <c r="BI16" s="32">
        <v>16.0</v>
      </c>
      <c r="BJ16" s="32" t="s">
        <v>231</v>
      </c>
      <c r="BK16" s="32" t="s">
        <v>2407</v>
      </c>
      <c r="BL16" s="32" t="s">
        <v>231</v>
      </c>
      <c r="BM16" s="32" t="s">
        <v>2735</v>
      </c>
      <c r="BN16" s="32" t="s">
        <v>1324</v>
      </c>
      <c r="BO16" s="32" t="s">
        <v>2736</v>
      </c>
      <c r="BP16" s="32" t="s">
        <v>1324</v>
      </c>
      <c r="BQ16" s="32" t="s">
        <v>1324</v>
      </c>
      <c r="BR16" s="32" t="s">
        <v>5268</v>
      </c>
      <c r="BS16" s="32" t="s">
        <v>2737</v>
      </c>
      <c r="BT16" s="32" t="str">
        <f>HYPERLINK("https%3A%2F%2Fwww.webofscience.com%2Fwos%2Fwoscc%2Ffull-record%2FWOS:000439017000005","View Full Record in Web of Science")</f>
        <v>View Full Record in Web of Science</v>
      </c>
    </row>
    <row r="17" ht="12.75" customHeight="1">
      <c r="A17" s="32" t="s">
        <v>26</v>
      </c>
      <c r="B17" s="32" t="s">
        <v>2738</v>
      </c>
      <c r="C17" s="32" t="s">
        <v>1324</v>
      </c>
      <c r="D17" s="32" t="s">
        <v>1324</v>
      </c>
      <c r="E17" s="32" t="s">
        <v>1324</v>
      </c>
      <c r="F17" s="32" t="s">
        <v>1693</v>
      </c>
      <c r="G17" s="32" t="s">
        <v>1324</v>
      </c>
      <c r="H17" s="32" t="s">
        <v>1324</v>
      </c>
      <c r="I17" s="32" t="s">
        <v>1694</v>
      </c>
      <c r="J17" s="32" t="s">
        <v>1593</v>
      </c>
      <c r="K17" s="32" t="s">
        <v>1324</v>
      </c>
      <c r="L17" s="32" t="s">
        <v>1324</v>
      </c>
      <c r="M17" s="32" t="s">
        <v>2364</v>
      </c>
      <c r="N17" s="32" t="s">
        <v>38</v>
      </c>
      <c r="O17" s="32" t="s">
        <v>1324</v>
      </c>
      <c r="P17" s="32" t="s">
        <v>1324</v>
      </c>
      <c r="Q17" s="32" t="s">
        <v>1324</v>
      </c>
      <c r="R17" s="32" t="s">
        <v>1324</v>
      </c>
      <c r="S17" s="32" t="s">
        <v>1324</v>
      </c>
      <c r="T17" s="32" t="s">
        <v>2739</v>
      </c>
      <c r="U17" s="32" t="s">
        <v>2740</v>
      </c>
      <c r="V17" s="32" t="s">
        <v>2741</v>
      </c>
      <c r="W17" s="32" t="s">
        <v>2742</v>
      </c>
      <c r="X17" s="32" t="s">
        <v>2743</v>
      </c>
      <c r="Y17" s="32" t="s">
        <v>2744</v>
      </c>
      <c r="Z17" s="32" t="s">
        <v>2745</v>
      </c>
      <c r="AA17" s="32" t="s">
        <v>5188</v>
      </c>
      <c r="AB17" s="32" t="s">
        <v>5283</v>
      </c>
      <c r="AC17" s="32" t="s">
        <v>2748</v>
      </c>
      <c r="AD17" s="32" t="s">
        <v>2749</v>
      </c>
      <c r="AE17" s="32" t="s">
        <v>2750</v>
      </c>
      <c r="AF17" s="32" t="s">
        <v>1324</v>
      </c>
      <c r="AG17" s="32">
        <v>86.0</v>
      </c>
      <c r="AH17" s="32">
        <v>28.0</v>
      </c>
      <c r="AI17" s="32">
        <v>42.0</v>
      </c>
      <c r="AJ17" s="32">
        <v>1.0</v>
      </c>
      <c r="AK17" s="32">
        <v>181.0</v>
      </c>
      <c r="AL17" s="32" t="s">
        <v>2464</v>
      </c>
      <c r="AM17" s="32" t="s">
        <v>2465</v>
      </c>
      <c r="AN17" s="32" t="s">
        <v>2466</v>
      </c>
      <c r="AO17" s="32" t="s">
        <v>2751</v>
      </c>
      <c r="AP17" s="32" t="s">
        <v>2752</v>
      </c>
      <c r="AQ17" s="32" t="s">
        <v>1324</v>
      </c>
      <c r="AR17" s="32" t="s">
        <v>2753</v>
      </c>
      <c r="AS17" s="32" t="s">
        <v>2754</v>
      </c>
      <c r="AT17" s="32" t="s">
        <v>2734</v>
      </c>
      <c r="AU17" s="32">
        <v>2018.0</v>
      </c>
      <c r="AV17" s="32">
        <v>24.0</v>
      </c>
      <c r="AW17" s="32">
        <v>4.0</v>
      </c>
      <c r="AX17" s="32" t="s">
        <v>1324</v>
      </c>
      <c r="AY17" s="32" t="s">
        <v>1324</v>
      </c>
      <c r="AZ17" s="32" t="s">
        <v>1324</v>
      </c>
      <c r="BA17" s="32" t="s">
        <v>1324</v>
      </c>
      <c r="BB17" s="32">
        <v>497.0</v>
      </c>
      <c r="BC17" s="32">
        <v>508.0</v>
      </c>
      <c r="BD17" s="32" t="s">
        <v>1324</v>
      </c>
      <c r="BE17" s="32" t="s">
        <v>1696</v>
      </c>
      <c r="BF17" s="38" t="str">
        <f>HYPERLINK("http://dx.doi.org/10.1111/ddi.12693","http://dx.doi.org/10.1111/ddi.12693")</f>
        <v>http://dx.doi.org/10.1111/ddi.12693</v>
      </c>
      <c r="BG17" s="32" t="s">
        <v>1324</v>
      </c>
      <c r="BH17" s="32" t="s">
        <v>1324</v>
      </c>
      <c r="BI17" s="32">
        <v>12.0</v>
      </c>
      <c r="BJ17" s="32" t="s">
        <v>1124</v>
      </c>
      <c r="BK17" s="32" t="s">
        <v>2407</v>
      </c>
      <c r="BL17" s="32" t="s">
        <v>2577</v>
      </c>
      <c r="BM17" s="32" t="s">
        <v>2755</v>
      </c>
      <c r="BN17" s="32" t="s">
        <v>1324</v>
      </c>
      <c r="BO17" s="32" t="s">
        <v>2736</v>
      </c>
      <c r="BP17" s="32" t="s">
        <v>1324</v>
      </c>
      <c r="BQ17" s="32" t="s">
        <v>1324</v>
      </c>
      <c r="BR17" s="32" t="s">
        <v>5268</v>
      </c>
      <c r="BS17" s="32" t="s">
        <v>2756</v>
      </c>
      <c r="BT17" s="32" t="str">
        <f>HYPERLINK("https%3A%2F%2Fwww.webofscience.com%2Fwos%2Fwoscc%2Ffull-record%2FWOS:000427246300007","View Full Record in Web of Science")</f>
        <v>View Full Record in Web of Science</v>
      </c>
    </row>
    <row r="18" ht="12.75" customHeight="1">
      <c r="A18" s="32" t="s">
        <v>26</v>
      </c>
      <c r="B18" s="32" t="s">
        <v>2757</v>
      </c>
      <c r="C18" s="32" t="s">
        <v>1324</v>
      </c>
      <c r="D18" s="32" t="s">
        <v>1324</v>
      </c>
      <c r="E18" s="32" t="s">
        <v>1324</v>
      </c>
      <c r="F18" s="32" t="s">
        <v>1396</v>
      </c>
      <c r="G18" s="32" t="s">
        <v>1324</v>
      </c>
      <c r="H18" s="32" t="s">
        <v>1324</v>
      </c>
      <c r="I18" s="32" t="s">
        <v>1398</v>
      </c>
      <c r="J18" s="32" t="s">
        <v>1397</v>
      </c>
      <c r="K18" s="32" t="s">
        <v>1324</v>
      </c>
      <c r="L18" s="32" t="s">
        <v>1324</v>
      </c>
      <c r="M18" s="32" t="s">
        <v>2364</v>
      </c>
      <c r="N18" s="32" t="s">
        <v>38</v>
      </c>
      <c r="O18" s="32" t="s">
        <v>1324</v>
      </c>
      <c r="P18" s="32" t="s">
        <v>1324</v>
      </c>
      <c r="Q18" s="32" t="s">
        <v>1324</v>
      </c>
      <c r="R18" s="32" t="s">
        <v>1324</v>
      </c>
      <c r="S18" s="32" t="s">
        <v>1324</v>
      </c>
      <c r="T18" s="32" t="s">
        <v>2758</v>
      </c>
      <c r="U18" s="32" t="s">
        <v>2759</v>
      </c>
      <c r="V18" s="32" t="s">
        <v>1399</v>
      </c>
      <c r="W18" s="32" t="s">
        <v>2760</v>
      </c>
      <c r="X18" s="32" t="s">
        <v>2761</v>
      </c>
      <c r="Y18" s="32" t="s">
        <v>2762</v>
      </c>
      <c r="Z18" s="32" t="s">
        <v>2763</v>
      </c>
      <c r="AA18" s="32" t="s">
        <v>2764</v>
      </c>
      <c r="AB18" s="32" t="s">
        <v>2765</v>
      </c>
      <c r="AC18" s="32" t="s">
        <v>2766</v>
      </c>
      <c r="AD18" s="32" t="s">
        <v>2767</v>
      </c>
      <c r="AE18" s="32" t="s">
        <v>2768</v>
      </c>
      <c r="AF18" s="32" t="s">
        <v>1324</v>
      </c>
      <c r="AG18" s="32">
        <v>64.0</v>
      </c>
      <c r="AH18" s="32">
        <v>17.0</v>
      </c>
      <c r="AI18" s="32">
        <v>20.0</v>
      </c>
      <c r="AJ18" s="32">
        <v>1.0</v>
      </c>
      <c r="AK18" s="32">
        <v>55.0</v>
      </c>
      <c r="AL18" s="32" t="s">
        <v>2769</v>
      </c>
      <c r="AM18" s="32" t="s">
        <v>2770</v>
      </c>
      <c r="AN18" s="32" t="s">
        <v>2771</v>
      </c>
      <c r="AO18" s="32" t="s">
        <v>2772</v>
      </c>
      <c r="AP18" s="32" t="s">
        <v>2773</v>
      </c>
      <c r="AQ18" s="32" t="s">
        <v>1324</v>
      </c>
      <c r="AR18" s="32" t="s">
        <v>2774</v>
      </c>
      <c r="AS18" s="32" t="s">
        <v>2775</v>
      </c>
      <c r="AT18" s="32" t="s">
        <v>2776</v>
      </c>
      <c r="AU18" s="32">
        <v>2018.0</v>
      </c>
      <c r="AV18" s="32">
        <v>590.0</v>
      </c>
      <c r="AW18" s="32" t="s">
        <v>1324</v>
      </c>
      <c r="AX18" s="32" t="s">
        <v>1324</v>
      </c>
      <c r="AY18" s="32" t="s">
        <v>1324</v>
      </c>
      <c r="AZ18" s="32" t="s">
        <v>1324</v>
      </c>
      <c r="BA18" s="32" t="s">
        <v>1324</v>
      </c>
      <c r="BB18" s="32">
        <v>201.0</v>
      </c>
      <c r="BC18" s="32">
        <v>209.0</v>
      </c>
      <c r="BD18" s="32" t="s">
        <v>1324</v>
      </c>
      <c r="BE18" s="32" t="s">
        <v>1400</v>
      </c>
      <c r="BF18" s="38" t="str">
        <f>HYPERLINK("http://dx.doi.org/10.3354/meps12462","http://dx.doi.org/10.3354/meps12462")</f>
        <v>http://dx.doi.org/10.3354/meps12462</v>
      </c>
      <c r="BG18" s="32" t="s">
        <v>1324</v>
      </c>
      <c r="BH18" s="32" t="s">
        <v>1324</v>
      </c>
      <c r="BI18" s="32">
        <v>9.0</v>
      </c>
      <c r="BJ18" s="32" t="s">
        <v>2447</v>
      </c>
      <c r="BK18" s="32" t="s">
        <v>2407</v>
      </c>
      <c r="BL18" s="32" t="s">
        <v>2449</v>
      </c>
      <c r="BM18" s="32" t="s">
        <v>2777</v>
      </c>
      <c r="BN18" s="32" t="s">
        <v>1324</v>
      </c>
      <c r="BO18" s="32" t="s">
        <v>1324</v>
      </c>
      <c r="BP18" s="32" t="s">
        <v>1324</v>
      </c>
      <c r="BQ18" s="32" t="s">
        <v>1324</v>
      </c>
      <c r="BR18" s="32" t="s">
        <v>5268</v>
      </c>
      <c r="BS18" s="32" t="s">
        <v>2778</v>
      </c>
      <c r="BT18" s="32" t="str">
        <f>HYPERLINK("https%3A%2F%2Fwww.webofscience.com%2Fwos%2Fwoscc%2Ffull-record%2FWOS:000428817200014","View Full Record in Web of Science")</f>
        <v>View Full Record in Web of Science</v>
      </c>
    </row>
    <row r="19" ht="12.75" customHeight="1">
      <c r="A19" s="32" t="s">
        <v>26</v>
      </c>
      <c r="B19" s="32" t="s">
        <v>2779</v>
      </c>
      <c r="C19" s="32" t="s">
        <v>1324</v>
      </c>
      <c r="D19" s="32" t="s">
        <v>1324</v>
      </c>
      <c r="E19" s="32" t="s">
        <v>1324</v>
      </c>
      <c r="F19" s="32" t="s">
        <v>1774</v>
      </c>
      <c r="G19" s="32" t="s">
        <v>1324</v>
      </c>
      <c r="H19" s="32" t="s">
        <v>1324</v>
      </c>
      <c r="I19" s="32" t="s">
        <v>1775</v>
      </c>
      <c r="J19" s="32" t="s">
        <v>37</v>
      </c>
      <c r="K19" s="32" t="s">
        <v>1324</v>
      </c>
      <c r="L19" s="32" t="s">
        <v>1324</v>
      </c>
      <c r="M19" s="32" t="s">
        <v>2364</v>
      </c>
      <c r="N19" s="32" t="s">
        <v>38</v>
      </c>
      <c r="O19" s="32" t="s">
        <v>1324</v>
      </c>
      <c r="P19" s="32" t="s">
        <v>1324</v>
      </c>
      <c r="Q19" s="32" t="s">
        <v>1324</v>
      </c>
      <c r="R19" s="32" t="s">
        <v>1324</v>
      </c>
      <c r="S19" s="32" t="s">
        <v>1324</v>
      </c>
      <c r="T19" s="32" t="s">
        <v>2780</v>
      </c>
      <c r="U19" s="32" t="s">
        <v>2781</v>
      </c>
      <c r="V19" s="32" t="s">
        <v>1776</v>
      </c>
      <c r="W19" s="32" t="s">
        <v>2782</v>
      </c>
      <c r="X19" s="32" t="s">
        <v>2783</v>
      </c>
      <c r="Y19" s="32" t="s">
        <v>2784</v>
      </c>
      <c r="Z19" s="32" t="s">
        <v>2785</v>
      </c>
      <c r="AA19" s="32" t="s">
        <v>5284</v>
      </c>
      <c r="AB19" s="32" t="s">
        <v>5285</v>
      </c>
      <c r="AC19" s="32" t="s">
        <v>2788</v>
      </c>
      <c r="AD19" s="32" t="s">
        <v>2789</v>
      </c>
      <c r="AE19" s="32" t="s">
        <v>2790</v>
      </c>
      <c r="AF19" s="32" t="s">
        <v>1324</v>
      </c>
      <c r="AG19" s="32">
        <v>45.0</v>
      </c>
      <c r="AH19" s="32">
        <v>162.0</v>
      </c>
      <c r="AI19" s="32">
        <v>188.0</v>
      </c>
      <c r="AJ19" s="32">
        <v>4.0</v>
      </c>
      <c r="AK19" s="32">
        <v>141.0</v>
      </c>
      <c r="AL19" s="32" t="s">
        <v>2791</v>
      </c>
      <c r="AM19" s="32" t="s">
        <v>2792</v>
      </c>
      <c r="AN19" s="32" t="s">
        <v>2793</v>
      </c>
      <c r="AO19" s="32" t="s">
        <v>2794</v>
      </c>
      <c r="AP19" s="32" t="s">
        <v>2795</v>
      </c>
      <c r="AQ19" s="32" t="s">
        <v>1324</v>
      </c>
      <c r="AR19" s="32" t="s">
        <v>2796</v>
      </c>
      <c r="AS19" s="32" t="s">
        <v>2797</v>
      </c>
      <c r="AT19" s="32" t="s">
        <v>2798</v>
      </c>
      <c r="AU19" s="32">
        <v>2018.0</v>
      </c>
      <c r="AV19" s="32">
        <v>115.0</v>
      </c>
      <c r="AW19" s="32">
        <v>8.0</v>
      </c>
      <c r="AX19" s="32" t="s">
        <v>1324</v>
      </c>
      <c r="AY19" s="32" t="s">
        <v>1324</v>
      </c>
      <c r="AZ19" s="32" t="s">
        <v>1324</v>
      </c>
      <c r="BA19" s="32" t="s">
        <v>1324</v>
      </c>
      <c r="BB19" s="32">
        <v>1831.0</v>
      </c>
      <c r="BC19" s="32">
        <v>1836.0</v>
      </c>
      <c r="BD19" s="32" t="s">
        <v>1324</v>
      </c>
      <c r="BE19" s="32" t="s">
        <v>1777</v>
      </c>
      <c r="BF19" s="38" t="str">
        <f>HYPERLINK("http://dx.doi.org/10.1073/pnas.1711122115","http://dx.doi.org/10.1073/pnas.1711122115")</f>
        <v>http://dx.doi.org/10.1073/pnas.1711122115</v>
      </c>
      <c r="BG19" s="32" t="s">
        <v>1324</v>
      </c>
      <c r="BH19" s="32" t="s">
        <v>1324</v>
      </c>
      <c r="BI19" s="32">
        <v>6.0</v>
      </c>
      <c r="BJ19" s="32" t="s">
        <v>42</v>
      </c>
      <c r="BK19" s="32" t="s">
        <v>2407</v>
      </c>
      <c r="BL19" s="32" t="s">
        <v>2430</v>
      </c>
      <c r="BM19" s="32" t="s">
        <v>2799</v>
      </c>
      <c r="BN19" s="32">
        <v>2.9358389E7</v>
      </c>
      <c r="BO19" s="32" t="s">
        <v>2715</v>
      </c>
      <c r="BP19" s="32" t="s">
        <v>1324</v>
      </c>
      <c r="BQ19" s="32" t="s">
        <v>1324</v>
      </c>
      <c r="BR19" s="32" t="s">
        <v>5268</v>
      </c>
      <c r="BS19" s="32" t="s">
        <v>2800</v>
      </c>
      <c r="BT19" s="32" t="str">
        <f>HYPERLINK("https%3A%2F%2Fwww.webofscience.com%2Fwos%2Fwoscc%2Ffull-record%2FWOS:000425495000061","View Full Record in Web of Science")</f>
        <v>View Full Record in Web of Science</v>
      </c>
    </row>
    <row r="20" ht="12.75" customHeight="1">
      <c r="A20" s="32" t="s">
        <v>26</v>
      </c>
      <c r="B20" s="32" t="s">
        <v>2801</v>
      </c>
      <c r="C20" s="32" t="s">
        <v>1324</v>
      </c>
      <c r="D20" s="32" t="s">
        <v>1324</v>
      </c>
      <c r="E20" s="32" t="s">
        <v>1324</v>
      </c>
      <c r="F20" s="32" t="s">
        <v>2243</v>
      </c>
      <c r="G20" s="32" t="s">
        <v>1324</v>
      </c>
      <c r="H20" s="32" t="s">
        <v>1324</v>
      </c>
      <c r="I20" s="32" t="s">
        <v>2245</v>
      </c>
      <c r="J20" s="32" t="s">
        <v>2244</v>
      </c>
      <c r="K20" s="32" t="s">
        <v>1324</v>
      </c>
      <c r="L20" s="32" t="s">
        <v>1324</v>
      </c>
      <c r="M20" s="32" t="s">
        <v>2364</v>
      </c>
      <c r="N20" s="32" t="s">
        <v>38</v>
      </c>
      <c r="O20" s="32" t="s">
        <v>1324</v>
      </c>
      <c r="P20" s="32" t="s">
        <v>1324</v>
      </c>
      <c r="Q20" s="32" t="s">
        <v>1324</v>
      </c>
      <c r="R20" s="32" t="s">
        <v>1324</v>
      </c>
      <c r="S20" s="32" t="s">
        <v>1324</v>
      </c>
      <c r="T20" s="32" t="s">
        <v>2802</v>
      </c>
      <c r="U20" s="32" t="s">
        <v>2803</v>
      </c>
      <c r="V20" s="32" t="s">
        <v>2804</v>
      </c>
      <c r="W20" s="32" t="s">
        <v>2805</v>
      </c>
      <c r="X20" s="32" t="s">
        <v>2806</v>
      </c>
      <c r="Y20" s="32" t="s">
        <v>2807</v>
      </c>
      <c r="Z20" s="32" t="s">
        <v>2808</v>
      </c>
      <c r="AA20" s="32" t="s">
        <v>2809</v>
      </c>
      <c r="AB20" s="32" t="s">
        <v>2810</v>
      </c>
      <c r="AC20" s="32" t="s">
        <v>2811</v>
      </c>
      <c r="AD20" s="32" t="s">
        <v>2812</v>
      </c>
      <c r="AE20" s="32" t="s">
        <v>2813</v>
      </c>
      <c r="AF20" s="32" t="s">
        <v>1324</v>
      </c>
      <c r="AG20" s="32">
        <v>76.0</v>
      </c>
      <c r="AH20" s="32">
        <v>11.0</v>
      </c>
      <c r="AI20" s="32">
        <v>11.0</v>
      </c>
      <c r="AJ20" s="32">
        <v>0.0</v>
      </c>
      <c r="AK20" s="32">
        <v>16.0</v>
      </c>
      <c r="AL20" s="32" t="s">
        <v>2464</v>
      </c>
      <c r="AM20" s="32" t="s">
        <v>2465</v>
      </c>
      <c r="AN20" s="32" t="s">
        <v>2466</v>
      </c>
      <c r="AO20" s="32" t="s">
        <v>2814</v>
      </c>
      <c r="AP20" s="32" t="s">
        <v>2815</v>
      </c>
      <c r="AQ20" s="32" t="s">
        <v>1324</v>
      </c>
      <c r="AR20" s="32" t="s">
        <v>2816</v>
      </c>
      <c r="AS20" s="32" t="s">
        <v>2817</v>
      </c>
      <c r="AT20" s="32" t="s">
        <v>2818</v>
      </c>
      <c r="AU20" s="32">
        <v>2018.0</v>
      </c>
      <c r="AV20" s="32">
        <v>28.0</v>
      </c>
      <c r="AW20" s="32">
        <v>1.0</v>
      </c>
      <c r="AX20" s="32" t="s">
        <v>1324</v>
      </c>
      <c r="AY20" s="32" t="s">
        <v>1324</v>
      </c>
      <c r="AZ20" s="32" t="s">
        <v>1324</v>
      </c>
      <c r="BA20" s="32" t="s">
        <v>1324</v>
      </c>
      <c r="BB20" s="32">
        <v>55.0</v>
      </c>
      <c r="BC20" s="32">
        <v>67.0</v>
      </c>
      <c r="BD20" s="32" t="s">
        <v>1324</v>
      </c>
      <c r="BE20" s="32" t="s">
        <v>2247</v>
      </c>
      <c r="BF20" s="38" t="str">
        <f>HYPERLINK("http://dx.doi.org/10.1002/aqc.2850","http://dx.doi.org/10.1002/aqc.2850")</f>
        <v>http://dx.doi.org/10.1002/aqc.2850</v>
      </c>
      <c r="BG20" s="32" t="s">
        <v>1324</v>
      </c>
      <c r="BH20" s="32" t="s">
        <v>1324</v>
      </c>
      <c r="BI20" s="32">
        <v>13.0</v>
      </c>
      <c r="BJ20" s="32" t="s">
        <v>2819</v>
      </c>
      <c r="BK20" s="32" t="s">
        <v>2407</v>
      </c>
      <c r="BL20" s="32" t="s">
        <v>2820</v>
      </c>
      <c r="BM20" s="32" t="s">
        <v>2821</v>
      </c>
      <c r="BN20" s="32" t="s">
        <v>1324</v>
      </c>
      <c r="BO20" s="32" t="s">
        <v>1324</v>
      </c>
      <c r="BP20" s="32" t="s">
        <v>1324</v>
      </c>
      <c r="BQ20" s="32" t="s">
        <v>1324</v>
      </c>
      <c r="BR20" s="32" t="s">
        <v>5268</v>
      </c>
      <c r="BS20" s="32" t="s">
        <v>2822</v>
      </c>
      <c r="BT20" s="32" t="str">
        <f>HYPERLINK("https%3A%2F%2Fwww.webofscience.com%2Fwos%2Fwoscc%2Ffull-record%2FWOS:000425121900007","View Full Record in Web of Science")</f>
        <v>View Full Record in Web of Science</v>
      </c>
    </row>
    <row r="21" ht="12.75" customHeight="1">
      <c r="A21" s="32" t="s">
        <v>26</v>
      </c>
      <c r="B21" s="32" t="s">
        <v>2823</v>
      </c>
      <c r="C21" s="32" t="s">
        <v>1324</v>
      </c>
      <c r="D21" s="32" t="s">
        <v>1324</v>
      </c>
      <c r="E21" s="32" t="s">
        <v>1324</v>
      </c>
      <c r="F21" s="32" t="s">
        <v>1640</v>
      </c>
      <c r="G21" s="32" t="s">
        <v>1324</v>
      </c>
      <c r="H21" s="32" t="s">
        <v>1324</v>
      </c>
      <c r="I21" s="32" t="s">
        <v>1641</v>
      </c>
      <c r="J21" s="32" t="s">
        <v>1253</v>
      </c>
      <c r="K21" s="32" t="s">
        <v>1324</v>
      </c>
      <c r="L21" s="32" t="s">
        <v>1324</v>
      </c>
      <c r="M21" s="32" t="s">
        <v>2364</v>
      </c>
      <c r="N21" s="32" t="s">
        <v>38</v>
      </c>
      <c r="O21" s="32" t="s">
        <v>1324</v>
      </c>
      <c r="P21" s="32" t="s">
        <v>1324</v>
      </c>
      <c r="Q21" s="32" t="s">
        <v>1324</v>
      </c>
      <c r="R21" s="32" t="s">
        <v>1324</v>
      </c>
      <c r="S21" s="32" t="s">
        <v>1324</v>
      </c>
      <c r="T21" s="32" t="s">
        <v>2824</v>
      </c>
      <c r="U21" s="32" t="s">
        <v>2825</v>
      </c>
      <c r="V21" s="32" t="s">
        <v>2826</v>
      </c>
      <c r="W21" s="32" t="s">
        <v>2827</v>
      </c>
      <c r="X21" s="32" t="s">
        <v>5286</v>
      </c>
      <c r="Y21" s="32" t="s">
        <v>2829</v>
      </c>
      <c r="Z21" s="32" t="s">
        <v>2830</v>
      </c>
      <c r="AA21" s="32" t="s">
        <v>5287</v>
      </c>
      <c r="AB21" s="32" t="s">
        <v>2832</v>
      </c>
      <c r="AC21" s="32" t="s">
        <v>2833</v>
      </c>
      <c r="AD21" s="32" t="s">
        <v>2834</v>
      </c>
      <c r="AE21" s="32" t="s">
        <v>2835</v>
      </c>
      <c r="AF21" s="32" t="s">
        <v>1324</v>
      </c>
      <c r="AG21" s="32">
        <v>58.0</v>
      </c>
      <c r="AH21" s="32">
        <v>64.0</v>
      </c>
      <c r="AI21" s="32">
        <v>71.0</v>
      </c>
      <c r="AJ21" s="32">
        <v>3.0</v>
      </c>
      <c r="AK21" s="32">
        <v>98.0</v>
      </c>
      <c r="AL21" s="32" t="s">
        <v>2464</v>
      </c>
      <c r="AM21" s="32" t="s">
        <v>2465</v>
      </c>
      <c r="AN21" s="32" t="s">
        <v>2466</v>
      </c>
      <c r="AO21" s="32" t="s">
        <v>2836</v>
      </c>
      <c r="AP21" s="32" t="s">
        <v>2837</v>
      </c>
      <c r="AQ21" s="32" t="s">
        <v>1324</v>
      </c>
      <c r="AR21" s="32" t="s">
        <v>2838</v>
      </c>
      <c r="AS21" s="32" t="s">
        <v>2839</v>
      </c>
      <c r="AT21" s="32" t="s">
        <v>2818</v>
      </c>
      <c r="AU21" s="32">
        <v>2018.0</v>
      </c>
      <c r="AV21" s="32">
        <v>27.0</v>
      </c>
      <c r="AW21" s="32">
        <v>2.0</v>
      </c>
      <c r="AX21" s="32" t="s">
        <v>1324</v>
      </c>
      <c r="AY21" s="32" t="s">
        <v>1324</v>
      </c>
      <c r="AZ21" s="32" t="s">
        <v>1324</v>
      </c>
      <c r="BA21" s="32" t="s">
        <v>1324</v>
      </c>
      <c r="BB21" s="32">
        <v>213.0</v>
      </c>
      <c r="BC21" s="32">
        <v>222.0</v>
      </c>
      <c r="BD21" s="32" t="s">
        <v>1324</v>
      </c>
      <c r="BE21" s="32" t="s">
        <v>1643</v>
      </c>
      <c r="BF21" s="38" t="str">
        <f>HYPERLINK("http://dx.doi.org/10.1111/geb.12690","http://dx.doi.org/10.1111/geb.12690")</f>
        <v>http://dx.doi.org/10.1111/geb.12690</v>
      </c>
      <c r="BG21" s="32" t="s">
        <v>1324</v>
      </c>
      <c r="BH21" s="32" t="s">
        <v>1324</v>
      </c>
      <c r="BI21" s="32">
        <v>10.0</v>
      </c>
      <c r="BJ21" s="32" t="s">
        <v>1257</v>
      </c>
      <c r="BK21" s="32" t="s">
        <v>2407</v>
      </c>
      <c r="BL21" s="32" t="s">
        <v>2840</v>
      </c>
      <c r="BM21" s="32" t="s">
        <v>2841</v>
      </c>
      <c r="BN21" s="32" t="s">
        <v>1324</v>
      </c>
      <c r="BO21" s="32" t="s">
        <v>1324</v>
      </c>
      <c r="BP21" s="32" t="s">
        <v>1324</v>
      </c>
      <c r="BQ21" s="32" t="s">
        <v>1324</v>
      </c>
      <c r="BR21" s="32" t="s">
        <v>5268</v>
      </c>
      <c r="BS21" s="32" t="s">
        <v>2842</v>
      </c>
      <c r="BT21" s="32" t="str">
        <f>HYPERLINK("https%3A%2F%2Fwww.webofscience.com%2Fwos%2Fwoscc%2Ffull-record%2FWOS:000422750700005","View Full Record in Web of Science")</f>
        <v>View Full Record in Web of Science</v>
      </c>
    </row>
    <row r="22" ht="12.75" customHeight="1">
      <c r="A22" s="32" t="s">
        <v>26</v>
      </c>
      <c r="B22" s="32" t="s">
        <v>2843</v>
      </c>
      <c r="C22" s="32" t="s">
        <v>1324</v>
      </c>
      <c r="D22" s="32" t="s">
        <v>1324</v>
      </c>
      <c r="E22" s="32" t="s">
        <v>1324</v>
      </c>
      <c r="F22" s="32" t="s">
        <v>2029</v>
      </c>
      <c r="G22" s="32" t="s">
        <v>1324</v>
      </c>
      <c r="H22" s="32" t="s">
        <v>1324</v>
      </c>
      <c r="I22" s="32" t="s">
        <v>2031</v>
      </c>
      <c r="J22" s="32" t="s">
        <v>2030</v>
      </c>
      <c r="K22" s="32" t="s">
        <v>1324</v>
      </c>
      <c r="L22" s="32" t="s">
        <v>1324</v>
      </c>
      <c r="M22" s="32" t="s">
        <v>2364</v>
      </c>
      <c r="N22" s="32" t="s">
        <v>38</v>
      </c>
      <c r="O22" s="32" t="s">
        <v>1324</v>
      </c>
      <c r="P22" s="32" t="s">
        <v>1324</v>
      </c>
      <c r="Q22" s="32" t="s">
        <v>1324</v>
      </c>
      <c r="R22" s="32" t="s">
        <v>1324</v>
      </c>
      <c r="S22" s="32" t="s">
        <v>1324</v>
      </c>
      <c r="T22" s="32" t="s">
        <v>2844</v>
      </c>
      <c r="U22" s="32" t="s">
        <v>2845</v>
      </c>
      <c r="V22" s="32" t="s">
        <v>2032</v>
      </c>
      <c r="W22" s="32" t="s">
        <v>2846</v>
      </c>
      <c r="X22" s="32" t="s">
        <v>2847</v>
      </c>
      <c r="Y22" s="32" t="s">
        <v>2848</v>
      </c>
      <c r="Z22" s="32" t="s">
        <v>2849</v>
      </c>
      <c r="AA22" s="32" t="s">
        <v>5288</v>
      </c>
      <c r="AB22" s="32" t="s">
        <v>5289</v>
      </c>
      <c r="AC22" s="32" t="s">
        <v>2852</v>
      </c>
      <c r="AD22" s="32" t="s">
        <v>2853</v>
      </c>
      <c r="AE22" s="32" t="s">
        <v>2854</v>
      </c>
      <c r="AF22" s="32" t="s">
        <v>1324</v>
      </c>
      <c r="AG22" s="32">
        <v>87.0</v>
      </c>
      <c r="AH22" s="32">
        <v>59.0</v>
      </c>
      <c r="AI22" s="32">
        <v>68.0</v>
      </c>
      <c r="AJ22" s="32">
        <v>3.0</v>
      </c>
      <c r="AK22" s="32">
        <v>132.0</v>
      </c>
      <c r="AL22" s="32" t="s">
        <v>2486</v>
      </c>
      <c r="AM22" s="32" t="s">
        <v>2487</v>
      </c>
      <c r="AN22" s="32" t="s">
        <v>2488</v>
      </c>
      <c r="AO22" s="32" t="s">
        <v>2855</v>
      </c>
      <c r="AP22" s="32" t="s">
        <v>2856</v>
      </c>
      <c r="AQ22" s="32" t="s">
        <v>1324</v>
      </c>
      <c r="AR22" s="32" t="s">
        <v>2857</v>
      </c>
      <c r="AS22" s="32" t="s">
        <v>2858</v>
      </c>
      <c r="AT22" s="32" t="s">
        <v>2818</v>
      </c>
      <c r="AU22" s="32">
        <v>2018.0</v>
      </c>
      <c r="AV22" s="32">
        <v>198.0</v>
      </c>
      <c r="AW22" s="32" t="s">
        <v>1324</v>
      </c>
      <c r="AX22" s="32" t="s">
        <v>1324</v>
      </c>
      <c r="AY22" s="32" t="s">
        <v>1324</v>
      </c>
      <c r="AZ22" s="32" t="s">
        <v>1324</v>
      </c>
      <c r="BA22" s="32" t="s">
        <v>1324</v>
      </c>
      <c r="BB22" s="32">
        <v>78.0</v>
      </c>
      <c r="BC22" s="32">
        <v>85.0</v>
      </c>
      <c r="BD22" s="32" t="s">
        <v>1324</v>
      </c>
      <c r="BE22" s="32" t="s">
        <v>2033</v>
      </c>
      <c r="BF22" s="38" t="str">
        <f>HYPERLINK("http://dx.doi.org/10.1016/j.fishres.2017.10.012","http://dx.doi.org/10.1016/j.fishres.2017.10.012")</f>
        <v>http://dx.doi.org/10.1016/j.fishres.2017.10.012</v>
      </c>
      <c r="BG22" s="32" t="s">
        <v>1324</v>
      </c>
      <c r="BH22" s="32" t="s">
        <v>1324</v>
      </c>
      <c r="BI22" s="32">
        <v>8.0</v>
      </c>
      <c r="BJ22" s="32" t="s">
        <v>2859</v>
      </c>
      <c r="BK22" s="32" t="s">
        <v>2407</v>
      </c>
      <c r="BL22" s="32" t="s">
        <v>2859</v>
      </c>
      <c r="BM22" s="32" t="s">
        <v>2860</v>
      </c>
      <c r="BN22" s="32" t="s">
        <v>1324</v>
      </c>
      <c r="BO22" s="32" t="s">
        <v>1324</v>
      </c>
      <c r="BP22" s="32" t="s">
        <v>1324</v>
      </c>
      <c r="BQ22" s="32" t="s">
        <v>1324</v>
      </c>
      <c r="BR22" s="32" t="s">
        <v>5268</v>
      </c>
      <c r="BS22" s="32" t="s">
        <v>2861</v>
      </c>
      <c r="BT22" s="32" t="str">
        <f>HYPERLINK("https%3A%2F%2Fwww.webofscience.com%2Fwos%2Fwoscc%2Ffull-record%2FWOS:000416194200009","View Full Record in Web of Science")</f>
        <v>View Full Record in Web of Science</v>
      </c>
    </row>
    <row r="23" ht="12.75" customHeight="1">
      <c r="A23" s="32" t="s">
        <v>26</v>
      </c>
      <c r="B23" s="32" t="s">
        <v>2862</v>
      </c>
      <c r="C23" s="32" t="s">
        <v>1324</v>
      </c>
      <c r="D23" s="32" t="s">
        <v>1324</v>
      </c>
      <c r="E23" s="32" t="s">
        <v>1324</v>
      </c>
      <c r="F23" s="32" t="s">
        <v>1795</v>
      </c>
      <c r="G23" s="32" t="s">
        <v>1324</v>
      </c>
      <c r="H23" s="32" t="s">
        <v>1324</v>
      </c>
      <c r="I23" s="32" t="s">
        <v>1796</v>
      </c>
      <c r="J23" s="32" t="s">
        <v>278</v>
      </c>
      <c r="K23" s="32" t="s">
        <v>1324</v>
      </c>
      <c r="L23" s="32" t="s">
        <v>1324</v>
      </c>
      <c r="M23" s="32" t="s">
        <v>2364</v>
      </c>
      <c r="N23" s="32" t="s">
        <v>38</v>
      </c>
      <c r="O23" s="32" t="s">
        <v>1324</v>
      </c>
      <c r="P23" s="32" t="s">
        <v>1324</v>
      </c>
      <c r="Q23" s="32" t="s">
        <v>1324</v>
      </c>
      <c r="R23" s="32" t="s">
        <v>1324</v>
      </c>
      <c r="S23" s="32" t="s">
        <v>1324</v>
      </c>
      <c r="T23" s="32" t="s">
        <v>1324</v>
      </c>
      <c r="U23" s="32" t="s">
        <v>2863</v>
      </c>
      <c r="V23" s="32" t="s">
        <v>1797</v>
      </c>
      <c r="W23" s="32" t="s">
        <v>2864</v>
      </c>
      <c r="X23" s="32" t="s">
        <v>2865</v>
      </c>
      <c r="Y23" s="32" t="s">
        <v>2866</v>
      </c>
      <c r="Z23" s="32" t="s">
        <v>2867</v>
      </c>
      <c r="AA23" s="32" t="s">
        <v>5290</v>
      </c>
      <c r="AB23" s="32" t="s">
        <v>5291</v>
      </c>
      <c r="AC23" s="32" t="s">
        <v>1324</v>
      </c>
      <c r="AD23" s="32" t="s">
        <v>1324</v>
      </c>
      <c r="AE23" s="32" t="s">
        <v>1324</v>
      </c>
      <c r="AF23" s="32" t="s">
        <v>1324</v>
      </c>
      <c r="AG23" s="32">
        <v>69.0</v>
      </c>
      <c r="AH23" s="32">
        <v>189.0</v>
      </c>
      <c r="AI23" s="32">
        <v>219.0</v>
      </c>
      <c r="AJ23" s="32">
        <v>10.0</v>
      </c>
      <c r="AK23" s="32">
        <v>224.0</v>
      </c>
      <c r="AL23" s="32" t="s">
        <v>2870</v>
      </c>
      <c r="AM23" s="32" t="s">
        <v>2871</v>
      </c>
      <c r="AN23" s="32" t="s">
        <v>2872</v>
      </c>
      <c r="AO23" s="32" t="s">
        <v>2873</v>
      </c>
      <c r="AP23" s="32" t="s">
        <v>2874</v>
      </c>
      <c r="AQ23" s="32" t="s">
        <v>1324</v>
      </c>
      <c r="AR23" s="32" t="s">
        <v>278</v>
      </c>
      <c r="AS23" s="32" t="s">
        <v>2875</v>
      </c>
      <c r="AT23" s="32" t="s">
        <v>2876</v>
      </c>
      <c r="AU23" s="32">
        <v>2018.0</v>
      </c>
      <c r="AV23" s="32">
        <v>553.0</v>
      </c>
      <c r="AW23" s="32">
        <v>7687.0</v>
      </c>
      <c r="AX23" s="32" t="s">
        <v>1324</v>
      </c>
      <c r="AY23" s="32" t="s">
        <v>1324</v>
      </c>
      <c r="AZ23" s="32" t="s">
        <v>1324</v>
      </c>
      <c r="BA23" s="32" t="s">
        <v>1324</v>
      </c>
      <c r="BB23" s="32">
        <v>199.0</v>
      </c>
      <c r="BC23" s="32" t="s">
        <v>2877</v>
      </c>
      <c r="BD23" s="32" t="s">
        <v>1324</v>
      </c>
      <c r="BE23" s="32" t="s">
        <v>1798</v>
      </c>
      <c r="BF23" s="38" t="str">
        <f>HYPERLINK("http://dx.doi.org/10.1038/nature25139","http://dx.doi.org/10.1038/nature25139")</f>
        <v>http://dx.doi.org/10.1038/nature25139</v>
      </c>
      <c r="BG23" s="32" t="s">
        <v>1324</v>
      </c>
      <c r="BH23" s="32" t="s">
        <v>1324</v>
      </c>
      <c r="BI23" s="32">
        <v>18.0</v>
      </c>
      <c r="BJ23" s="32" t="s">
        <v>42</v>
      </c>
      <c r="BK23" s="32" t="s">
        <v>2878</v>
      </c>
      <c r="BL23" s="32" t="s">
        <v>2430</v>
      </c>
      <c r="BM23" s="32" t="s">
        <v>2879</v>
      </c>
      <c r="BN23" s="32">
        <v>2.9258291E7</v>
      </c>
      <c r="BO23" s="32" t="s">
        <v>1324</v>
      </c>
      <c r="BP23" s="32" t="s">
        <v>1324</v>
      </c>
      <c r="BQ23" s="32" t="s">
        <v>1324</v>
      </c>
      <c r="BR23" s="32" t="s">
        <v>5268</v>
      </c>
      <c r="BS23" s="32" t="s">
        <v>2880</v>
      </c>
      <c r="BT23" s="32" t="str">
        <f>HYPERLINK("https%3A%2F%2Fwww.webofscience.com%2Fwos%2Fwoscc%2Ffull-record%2FWOS:000419794800035","View Full Record in Web of Science")</f>
        <v>View Full Record in Web of Science</v>
      </c>
    </row>
    <row r="24" ht="12.75" customHeight="1">
      <c r="A24" s="32" t="s">
        <v>26</v>
      </c>
      <c r="B24" s="32" t="s">
        <v>2881</v>
      </c>
      <c r="C24" s="32" t="s">
        <v>1324</v>
      </c>
      <c r="D24" s="32" t="s">
        <v>1324</v>
      </c>
      <c r="E24" s="32" t="s">
        <v>1324</v>
      </c>
      <c r="F24" s="32" t="s">
        <v>1790</v>
      </c>
      <c r="G24" s="32" t="s">
        <v>1324</v>
      </c>
      <c r="H24" s="32" t="s">
        <v>1324</v>
      </c>
      <c r="I24" s="32" t="s">
        <v>1791</v>
      </c>
      <c r="J24" s="32" t="s">
        <v>104</v>
      </c>
      <c r="K24" s="32" t="s">
        <v>1324</v>
      </c>
      <c r="L24" s="32" t="s">
        <v>1324</v>
      </c>
      <c r="M24" s="32" t="s">
        <v>2364</v>
      </c>
      <c r="N24" s="32" t="s">
        <v>38</v>
      </c>
      <c r="O24" s="32" t="s">
        <v>1324</v>
      </c>
      <c r="P24" s="32" t="s">
        <v>1324</v>
      </c>
      <c r="Q24" s="32" t="s">
        <v>1324</v>
      </c>
      <c r="R24" s="32" t="s">
        <v>1324</v>
      </c>
      <c r="S24" s="32" t="s">
        <v>1324</v>
      </c>
      <c r="T24" s="32" t="s">
        <v>1324</v>
      </c>
      <c r="U24" s="32" t="s">
        <v>2882</v>
      </c>
      <c r="V24" s="32" t="s">
        <v>1792</v>
      </c>
      <c r="W24" s="32" t="s">
        <v>2883</v>
      </c>
      <c r="X24" s="32" t="s">
        <v>5292</v>
      </c>
      <c r="Y24" s="32" t="s">
        <v>2885</v>
      </c>
      <c r="Z24" s="32" t="s">
        <v>2886</v>
      </c>
      <c r="AA24" s="32" t="s">
        <v>5293</v>
      </c>
      <c r="AB24" s="32" t="s">
        <v>5294</v>
      </c>
      <c r="AC24" s="32" t="s">
        <v>5295</v>
      </c>
      <c r="AD24" s="32" t="s">
        <v>2890</v>
      </c>
      <c r="AE24" s="32" t="s">
        <v>2891</v>
      </c>
      <c r="AF24" s="32" t="s">
        <v>1324</v>
      </c>
      <c r="AG24" s="32">
        <v>82.0</v>
      </c>
      <c r="AH24" s="32">
        <v>141.0</v>
      </c>
      <c r="AI24" s="32">
        <v>158.0</v>
      </c>
      <c r="AJ24" s="32">
        <v>7.0</v>
      </c>
      <c r="AK24" s="32">
        <v>122.0</v>
      </c>
      <c r="AL24" s="32" t="s">
        <v>2870</v>
      </c>
      <c r="AM24" s="32" t="s">
        <v>2871</v>
      </c>
      <c r="AN24" s="32" t="s">
        <v>2872</v>
      </c>
      <c r="AO24" s="32" t="s">
        <v>1324</v>
      </c>
      <c r="AP24" s="32" t="s">
        <v>2892</v>
      </c>
      <c r="AQ24" s="32" t="s">
        <v>1324</v>
      </c>
      <c r="AR24" s="32" t="s">
        <v>2893</v>
      </c>
      <c r="AS24" s="32" t="s">
        <v>2894</v>
      </c>
      <c r="AT24" s="32" t="s">
        <v>2895</v>
      </c>
      <c r="AU24" s="32">
        <v>2017.0</v>
      </c>
      <c r="AV24" s="32">
        <v>8.0</v>
      </c>
      <c r="AW24" s="32" t="s">
        <v>1324</v>
      </c>
      <c r="AX24" s="32" t="s">
        <v>1324</v>
      </c>
      <c r="AY24" s="32" t="s">
        <v>1324</v>
      </c>
      <c r="AZ24" s="32" t="s">
        <v>1324</v>
      </c>
      <c r="BA24" s="32" t="s">
        <v>1324</v>
      </c>
      <c r="BB24" s="32" t="s">
        <v>1324</v>
      </c>
      <c r="BC24" s="32" t="s">
        <v>1324</v>
      </c>
      <c r="BD24" s="32">
        <v>1966.0</v>
      </c>
      <c r="BE24" s="32" t="s">
        <v>1793</v>
      </c>
      <c r="BF24" s="38" t="str">
        <f>HYPERLINK("http://dx.doi.org/10.1038/s41467-017-01997-0","http://dx.doi.org/10.1038/s41467-017-01997-0")</f>
        <v>http://dx.doi.org/10.1038/s41467-017-01997-0</v>
      </c>
      <c r="BG24" s="32" t="s">
        <v>1324</v>
      </c>
      <c r="BH24" s="32" t="s">
        <v>1324</v>
      </c>
      <c r="BI24" s="32">
        <v>11.0</v>
      </c>
      <c r="BJ24" s="32" t="s">
        <v>42</v>
      </c>
      <c r="BK24" s="32" t="s">
        <v>2407</v>
      </c>
      <c r="BL24" s="32" t="s">
        <v>2430</v>
      </c>
      <c r="BM24" s="32" t="s">
        <v>2896</v>
      </c>
      <c r="BN24" s="32">
        <v>2.9259276E7</v>
      </c>
      <c r="BO24" s="32" t="s">
        <v>2897</v>
      </c>
      <c r="BP24" s="32" t="s">
        <v>1324</v>
      </c>
      <c r="BQ24" s="32" t="s">
        <v>1324</v>
      </c>
      <c r="BR24" s="32" t="s">
        <v>5268</v>
      </c>
      <c r="BS24" s="32" t="s">
        <v>2898</v>
      </c>
      <c r="BT24" s="32" t="str">
        <f>HYPERLINK("https%3A%2F%2Fwww.webofscience.com%2Fwos%2Fwoscc%2Ffull-record%2FWOS:000418334200001","View Full Record in Web of Science")</f>
        <v>View Full Record in Web of Science</v>
      </c>
    </row>
    <row r="25" ht="12.75" customHeight="1">
      <c r="A25" s="32" t="s">
        <v>26</v>
      </c>
      <c r="B25" s="32" t="s">
        <v>2899</v>
      </c>
      <c r="C25" s="32" t="s">
        <v>1324</v>
      </c>
      <c r="D25" s="32" t="s">
        <v>1324</v>
      </c>
      <c r="E25" s="32" t="s">
        <v>1324</v>
      </c>
      <c r="F25" s="32" t="s">
        <v>1970</v>
      </c>
      <c r="G25" s="32" t="s">
        <v>1324</v>
      </c>
      <c r="H25" s="32" t="s">
        <v>1324</v>
      </c>
      <c r="I25" s="32" t="s">
        <v>1971</v>
      </c>
      <c r="J25" s="32" t="s">
        <v>168</v>
      </c>
      <c r="K25" s="32" t="s">
        <v>1324</v>
      </c>
      <c r="L25" s="32" t="s">
        <v>1324</v>
      </c>
      <c r="M25" s="32" t="s">
        <v>2364</v>
      </c>
      <c r="N25" s="32" t="s">
        <v>38</v>
      </c>
      <c r="O25" s="32" t="s">
        <v>1324</v>
      </c>
      <c r="P25" s="32" t="s">
        <v>1324</v>
      </c>
      <c r="Q25" s="32" t="s">
        <v>1324</v>
      </c>
      <c r="R25" s="32" t="s">
        <v>1324</v>
      </c>
      <c r="S25" s="32" t="s">
        <v>1324</v>
      </c>
      <c r="T25" s="32" t="s">
        <v>2900</v>
      </c>
      <c r="U25" s="32" t="s">
        <v>2901</v>
      </c>
      <c r="V25" s="32" t="s">
        <v>1972</v>
      </c>
      <c r="W25" s="32" t="s">
        <v>2902</v>
      </c>
      <c r="X25" s="32" t="s">
        <v>1324</v>
      </c>
      <c r="Y25" s="32" t="s">
        <v>2903</v>
      </c>
      <c r="Z25" s="32" t="s">
        <v>2904</v>
      </c>
      <c r="AA25" s="32" t="s">
        <v>1324</v>
      </c>
      <c r="AB25" s="32" t="s">
        <v>1324</v>
      </c>
      <c r="AC25" s="32" t="s">
        <v>1324</v>
      </c>
      <c r="AD25" s="32" t="s">
        <v>1324</v>
      </c>
      <c r="AE25" s="32" t="s">
        <v>1324</v>
      </c>
      <c r="AF25" s="32" t="s">
        <v>1324</v>
      </c>
      <c r="AG25" s="32">
        <v>47.0</v>
      </c>
      <c r="AH25" s="32">
        <v>24.0</v>
      </c>
      <c r="AI25" s="32">
        <v>27.0</v>
      </c>
      <c r="AJ25" s="32">
        <v>0.0</v>
      </c>
      <c r="AK25" s="32">
        <v>62.0</v>
      </c>
      <c r="AL25" s="32" t="s">
        <v>2530</v>
      </c>
      <c r="AM25" s="32" t="s">
        <v>2509</v>
      </c>
      <c r="AN25" s="32" t="s">
        <v>2646</v>
      </c>
      <c r="AO25" s="32" t="s">
        <v>2905</v>
      </c>
      <c r="AP25" s="32" t="s">
        <v>2906</v>
      </c>
      <c r="AQ25" s="32" t="s">
        <v>1324</v>
      </c>
      <c r="AR25" s="32" t="s">
        <v>168</v>
      </c>
      <c r="AS25" s="32" t="s">
        <v>2907</v>
      </c>
      <c r="AT25" s="32" t="s">
        <v>2908</v>
      </c>
      <c r="AU25" s="32">
        <v>2017.0</v>
      </c>
      <c r="AV25" s="32">
        <v>69.0</v>
      </c>
      <c r="AW25" s="32" t="s">
        <v>1324</v>
      </c>
      <c r="AX25" s="32" t="s">
        <v>1324</v>
      </c>
      <c r="AY25" s="32" t="s">
        <v>1324</v>
      </c>
      <c r="AZ25" s="32" t="s">
        <v>1324</v>
      </c>
      <c r="BA25" s="32" t="s">
        <v>1324</v>
      </c>
      <c r="BB25" s="32">
        <v>408.0</v>
      </c>
      <c r="BC25" s="32">
        <v>416.0</v>
      </c>
      <c r="BD25" s="32" t="s">
        <v>1324</v>
      </c>
      <c r="BE25" s="32" t="s">
        <v>1973</v>
      </c>
      <c r="BF25" s="38" t="str">
        <f>HYPERLINK("http://dx.doi.org/10.1016/j.landusepol.2017.09.045","http://dx.doi.org/10.1016/j.landusepol.2017.09.045")</f>
        <v>http://dx.doi.org/10.1016/j.landusepol.2017.09.045</v>
      </c>
      <c r="BG25" s="32" t="s">
        <v>1324</v>
      </c>
      <c r="BH25" s="32" t="s">
        <v>1324</v>
      </c>
      <c r="BI25" s="32">
        <v>9.0</v>
      </c>
      <c r="BJ25" s="32" t="s">
        <v>172</v>
      </c>
      <c r="BK25" s="32" t="s">
        <v>2652</v>
      </c>
      <c r="BL25" s="32" t="s">
        <v>2472</v>
      </c>
      <c r="BM25" s="32" t="s">
        <v>2909</v>
      </c>
      <c r="BN25" s="32" t="s">
        <v>1324</v>
      </c>
      <c r="BO25" s="32" t="s">
        <v>1324</v>
      </c>
      <c r="BP25" s="32" t="s">
        <v>1324</v>
      </c>
      <c r="BQ25" s="32" t="s">
        <v>1324</v>
      </c>
      <c r="BR25" s="32" t="s">
        <v>5268</v>
      </c>
      <c r="BS25" s="32" t="s">
        <v>2910</v>
      </c>
      <c r="BT25" s="32" t="str">
        <f>HYPERLINK("https%3A%2F%2Fwww.webofscience.com%2Fwos%2Fwoscc%2Ffull-record%2FWOS:000414881200040","View Full Record in Web of Science")</f>
        <v>View Full Record in Web of Science</v>
      </c>
    </row>
    <row r="26" ht="12.75" customHeight="1">
      <c r="A26" s="32" t="s">
        <v>26</v>
      </c>
      <c r="B26" s="32" t="s">
        <v>2911</v>
      </c>
      <c r="C26" s="32" t="s">
        <v>1324</v>
      </c>
      <c r="D26" s="32" t="s">
        <v>1324</v>
      </c>
      <c r="E26" s="32" t="s">
        <v>1324</v>
      </c>
      <c r="F26" s="32" t="s">
        <v>1645</v>
      </c>
      <c r="G26" s="32" t="s">
        <v>1324</v>
      </c>
      <c r="H26" s="32" t="s">
        <v>1324</v>
      </c>
      <c r="I26" s="32" t="s">
        <v>1646</v>
      </c>
      <c r="J26" s="32" t="s">
        <v>774</v>
      </c>
      <c r="K26" s="32" t="s">
        <v>1324</v>
      </c>
      <c r="L26" s="32" t="s">
        <v>1324</v>
      </c>
      <c r="M26" s="32" t="s">
        <v>2364</v>
      </c>
      <c r="N26" s="32" t="s">
        <v>38</v>
      </c>
      <c r="O26" s="32" t="s">
        <v>1324</v>
      </c>
      <c r="P26" s="32" t="s">
        <v>1324</v>
      </c>
      <c r="Q26" s="32" t="s">
        <v>1324</v>
      </c>
      <c r="R26" s="32" t="s">
        <v>1324</v>
      </c>
      <c r="S26" s="32" t="s">
        <v>1324</v>
      </c>
      <c r="T26" s="32" t="s">
        <v>2912</v>
      </c>
      <c r="U26" s="32" t="s">
        <v>2913</v>
      </c>
      <c r="V26" s="32" t="s">
        <v>1647</v>
      </c>
      <c r="W26" s="32" t="s">
        <v>2914</v>
      </c>
      <c r="X26" s="32" t="s">
        <v>2915</v>
      </c>
      <c r="Y26" s="32" t="s">
        <v>2916</v>
      </c>
      <c r="Z26" s="32" t="s">
        <v>2917</v>
      </c>
      <c r="AA26" s="32" t="s">
        <v>5296</v>
      </c>
      <c r="AB26" s="32" t="s">
        <v>5297</v>
      </c>
      <c r="AC26" s="32" t="s">
        <v>2920</v>
      </c>
      <c r="AD26" s="32" t="s">
        <v>2921</v>
      </c>
      <c r="AE26" s="32" t="s">
        <v>2922</v>
      </c>
      <c r="AF26" s="32" t="s">
        <v>1324</v>
      </c>
      <c r="AG26" s="32">
        <v>73.0</v>
      </c>
      <c r="AH26" s="32">
        <v>295.0</v>
      </c>
      <c r="AI26" s="32">
        <v>329.0</v>
      </c>
      <c r="AJ26" s="32">
        <v>19.0</v>
      </c>
      <c r="AK26" s="32">
        <v>347.0</v>
      </c>
      <c r="AL26" s="32" t="s">
        <v>2464</v>
      </c>
      <c r="AM26" s="32" t="s">
        <v>2465</v>
      </c>
      <c r="AN26" s="32" t="s">
        <v>2466</v>
      </c>
      <c r="AO26" s="32" t="s">
        <v>2923</v>
      </c>
      <c r="AP26" s="32" t="s">
        <v>2924</v>
      </c>
      <c r="AQ26" s="32" t="s">
        <v>1324</v>
      </c>
      <c r="AR26" s="32" t="s">
        <v>2925</v>
      </c>
      <c r="AS26" s="32" t="s">
        <v>2926</v>
      </c>
      <c r="AT26" s="32" t="s">
        <v>2927</v>
      </c>
      <c r="AU26" s="32">
        <v>2017.0</v>
      </c>
      <c r="AV26" s="32">
        <v>23.0</v>
      </c>
      <c r="AW26" s="32">
        <v>11.0</v>
      </c>
      <c r="AX26" s="32" t="s">
        <v>1324</v>
      </c>
      <c r="AY26" s="32" t="s">
        <v>1324</v>
      </c>
      <c r="AZ26" s="32" t="s">
        <v>1324</v>
      </c>
      <c r="BA26" s="32" t="s">
        <v>1324</v>
      </c>
      <c r="BB26" s="32">
        <v>4946.0</v>
      </c>
      <c r="BC26" s="32">
        <v>4957.0</v>
      </c>
      <c r="BD26" s="32" t="s">
        <v>1324</v>
      </c>
      <c r="BE26" s="32" t="s">
        <v>1648</v>
      </c>
      <c r="BF26" s="38" t="str">
        <f>HYPERLINK("http://dx.doi.org/10.1111/gcb.13714","http://dx.doi.org/10.1111/gcb.13714")</f>
        <v>http://dx.doi.org/10.1111/gcb.13714</v>
      </c>
      <c r="BG26" s="32" t="s">
        <v>1324</v>
      </c>
      <c r="BH26" s="32" t="s">
        <v>1324</v>
      </c>
      <c r="BI26" s="32">
        <v>12.0</v>
      </c>
      <c r="BJ26" s="32" t="s">
        <v>255</v>
      </c>
      <c r="BK26" s="32" t="s">
        <v>2407</v>
      </c>
      <c r="BL26" s="32" t="s">
        <v>2577</v>
      </c>
      <c r="BM26" s="32" t="s">
        <v>2928</v>
      </c>
      <c r="BN26" s="32">
        <v>2.8488295E7</v>
      </c>
      <c r="BO26" s="32" t="s">
        <v>2579</v>
      </c>
      <c r="BP26" s="32" t="s">
        <v>1324</v>
      </c>
      <c r="BQ26" s="32" t="s">
        <v>1324</v>
      </c>
      <c r="BR26" s="32" t="s">
        <v>5268</v>
      </c>
      <c r="BS26" s="32" t="s">
        <v>2929</v>
      </c>
      <c r="BT26" s="32" t="str">
        <f>HYPERLINK("https%3A%2F%2Fwww.webofscience.com%2Fwos%2Fwoscc%2Ffull-record%2FWOS:000412322700041","View Full Record in Web of Science")</f>
        <v>View Full Record in Web of Science</v>
      </c>
    </row>
    <row r="27" ht="12.75" customHeight="1">
      <c r="A27" s="32" t="s">
        <v>26</v>
      </c>
      <c r="B27" s="32" t="s">
        <v>2930</v>
      </c>
      <c r="C27" s="32" t="s">
        <v>1324</v>
      </c>
      <c r="D27" s="32" t="s">
        <v>1324</v>
      </c>
      <c r="E27" s="32" t="s">
        <v>1324</v>
      </c>
      <c r="F27" s="32" t="s">
        <v>2088</v>
      </c>
      <c r="G27" s="32" t="s">
        <v>1324</v>
      </c>
      <c r="H27" s="32" t="s">
        <v>1324</v>
      </c>
      <c r="I27" s="32" t="s">
        <v>2089</v>
      </c>
      <c r="J27" s="32" t="s">
        <v>251</v>
      </c>
      <c r="K27" s="32" t="s">
        <v>1324</v>
      </c>
      <c r="L27" s="32" t="s">
        <v>1324</v>
      </c>
      <c r="M27" s="32" t="s">
        <v>2364</v>
      </c>
      <c r="N27" s="32" t="s">
        <v>38</v>
      </c>
      <c r="O27" s="32" t="s">
        <v>1324</v>
      </c>
      <c r="P27" s="32" t="s">
        <v>1324</v>
      </c>
      <c r="Q27" s="32" t="s">
        <v>1324</v>
      </c>
      <c r="R27" s="32" t="s">
        <v>1324</v>
      </c>
      <c r="S27" s="32" t="s">
        <v>1324</v>
      </c>
      <c r="T27" s="32" t="s">
        <v>2931</v>
      </c>
      <c r="U27" s="32" t="s">
        <v>2932</v>
      </c>
      <c r="V27" s="32" t="s">
        <v>2090</v>
      </c>
      <c r="W27" s="32" t="s">
        <v>2933</v>
      </c>
      <c r="X27" s="32" t="s">
        <v>2934</v>
      </c>
      <c r="Y27" s="32" t="s">
        <v>2935</v>
      </c>
      <c r="Z27" s="32" t="s">
        <v>2936</v>
      </c>
      <c r="AA27" s="32" t="s">
        <v>5298</v>
      </c>
      <c r="AB27" s="32" t="s">
        <v>5299</v>
      </c>
      <c r="AC27" s="32" t="s">
        <v>1324</v>
      </c>
      <c r="AD27" s="32" t="s">
        <v>1324</v>
      </c>
      <c r="AE27" s="32" t="s">
        <v>1324</v>
      </c>
      <c r="AF27" s="32" t="s">
        <v>1324</v>
      </c>
      <c r="AG27" s="32">
        <v>64.0</v>
      </c>
      <c r="AH27" s="32">
        <v>11.0</v>
      </c>
      <c r="AI27" s="32">
        <v>11.0</v>
      </c>
      <c r="AJ27" s="32">
        <v>0.0</v>
      </c>
      <c r="AK27" s="32">
        <v>48.0</v>
      </c>
      <c r="AL27" s="32" t="s">
        <v>2530</v>
      </c>
      <c r="AM27" s="32" t="s">
        <v>2509</v>
      </c>
      <c r="AN27" s="32" t="s">
        <v>2646</v>
      </c>
      <c r="AO27" s="32" t="s">
        <v>2939</v>
      </c>
      <c r="AP27" s="32" t="s">
        <v>2940</v>
      </c>
      <c r="AQ27" s="32" t="s">
        <v>1324</v>
      </c>
      <c r="AR27" s="32" t="s">
        <v>2941</v>
      </c>
      <c r="AS27" s="32" t="s">
        <v>2942</v>
      </c>
      <c r="AT27" s="32" t="s">
        <v>2927</v>
      </c>
      <c r="AU27" s="32">
        <v>2017.0</v>
      </c>
      <c r="AV27" s="32">
        <v>215.0</v>
      </c>
      <c r="AW27" s="32" t="s">
        <v>1324</v>
      </c>
      <c r="AX27" s="32" t="s">
        <v>1324</v>
      </c>
      <c r="AY27" s="32" t="s">
        <v>1324</v>
      </c>
      <c r="AZ27" s="32" t="s">
        <v>1324</v>
      </c>
      <c r="BA27" s="32" t="s">
        <v>1324</v>
      </c>
      <c r="BB27" s="32">
        <v>19.0</v>
      </c>
      <c r="BC27" s="32">
        <v>29.0</v>
      </c>
      <c r="BD27" s="32" t="s">
        <v>1324</v>
      </c>
      <c r="BE27" s="32" t="s">
        <v>2091</v>
      </c>
      <c r="BF27" s="38" t="str">
        <f>HYPERLINK("http://dx.doi.org/10.1016/j.biocon.2017.08.032","http://dx.doi.org/10.1016/j.biocon.2017.08.032")</f>
        <v>http://dx.doi.org/10.1016/j.biocon.2017.08.032</v>
      </c>
      <c r="BG27" s="32" t="s">
        <v>1324</v>
      </c>
      <c r="BH27" s="32" t="s">
        <v>1324</v>
      </c>
      <c r="BI27" s="32">
        <v>11.0</v>
      </c>
      <c r="BJ27" s="32" t="s">
        <v>255</v>
      </c>
      <c r="BK27" s="32" t="s">
        <v>2407</v>
      </c>
      <c r="BL27" s="32" t="s">
        <v>2577</v>
      </c>
      <c r="BM27" s="32" t="s">
        <v>2943</v>
      </c>
      <c r="BN27" s="32" t="s">
        <v>1324</v>
      </c>
      <c r="BO27" s="32" t="s">
        <v>2944</v>
      </c>
      <c r="BP27" s="32" t="s">
        <v>1324</v>
      </c>
      <c r="BQ27" s="32" t="s">
        <v>1324</v>
      </c>
      <c r="BR27" s="32" t="s">
        <v>5268</v>
      </c>
      <c r="BS27" s="32" t="s">
        <v>2945</v>
      </c>
      <c r="BT27" s="32" t="str">
        <f>HYPERLINK("https%3A%2F%2Fwww.webofscience.com%2Fwos%2Fwoscc%2Ffull-record%2FWOS:000414883000003","View Full Record in Web of Science")</f>
        <v>View Full Record in Web of Science</v>
      </c>
    </row>
    <row r="28" ht="12.75" customHeight="1">
      <c r="A28" s="32" t="s">
        <v>26</v>
      </c>
      <c r="B28" s="32" t="s">
        <v>2946</v>
      </c>
      <c r="C28" s="32" t="s">
        <v>1324</v>
      </c>
      <c r="D28" s="32" t="s">
        <v>1324</v>
      </c>
      <c r="E28" s="32" t="s">
        <v>1324</v>
      </c>
      <c r="F28" s="32" t="s">
        <v>1539</v>
      </c>
      <c r="G28" s="32" t="s">
        <v>1324</v>
      </c>
      <c r="H28" s="32" t="s">
        <v>1324</v>
      </c>
      <c r="I28" s="32" t="s">
        <v>1541</v>
      </c>
      <c r="J28" s="32" t="s">
        <v>1540</v>
      </c>
      <c r="K28" s="32" t="s">
        <v>1324</v>
      </c>
      <c r="L28" s="32" t="s">
        <v>1324</v>
      </c>
      <c r="M28" s="32" t="s">
        <v>2364</v>
      </c>
      <c r="N28" s="32" t="s">
        <v>38</v>
      </c>
      <c r="O28" s="32" t="s">
        <v>1324</v>
      </c>
      <c r="P28" s="32" t="s">
        <v>1324</v>
      </c>
      <c r="Q28" s="32" t="s">
        <v>1324</v>
      </c>
      <c r="R28" s="32" t="s">
        <v>1324</v>
      </c>
      <c r="S28" s="32" t="s">
        <v>1324</v>
      </c>
      <c r="T28" s="32" t="s">
        <v>2947</v>
      </c>
      <c r="U28" s="32" t="s">
        <v>2948</v>
      </c>
      <c r="V28" s="32" t="s">
        <v>2949</v>
      </c>
      <c r="W28" s="32" t="s">
        <v>2950</v>
      </c>
      <c r="X28" s="32" t="s">
        <v>2951</v>
      </c>
      <c r="Y28" s="32" t="s">
        <v>2952</v>
      </c>
      <c r="Z28" s="32" t="s">
        <v>2953</v>
      </c>
      <c r="AA28" s="32" t="s">
        <v>5227</v>
      </c>
      <c r="AB28" s="32" t="s">
        <v>2955</v>
      </c>
      <c r="AC28" s="32" t="s">
        <v>2956</v>
      </c>
      <c r="AD28" s="32" t="s">
        <v>2957</v>
      </c>
      <c r="AE28" s="32" t="s">
        <v>2958</v>
      </c>
      <c r="AF28" s="32" t="s">
        <v>1324</v>
      </c>
      <c r="AG28" s="32">
        <v>72.0</v>
      </c>
      <c r="AH28" s="32">
        <v>45.0</v>
      </c>
      <c r="AI28" s="32">
        <v>48.0</v>
      </c>
      <c r="AJ28" s="32">
        <v>4.0</v>
      </c>
      <c r="AK28" s="32">
        <v>113.0</v>
      </c>
      <c r="AL28" s="32" t="s">
        <v>2464</v>
      </c>
      <c r="AM28" s="32" t="s">
        <v>2465</v>
      </c>
      <c r="AN28" s="32" t="s">
        <v>2466</v>
      </c>
      <c r="AO28" s="32" t="s">
        <v>2959</v>
      </c>
      <c r="AP28" s="32" t="s">
        <v>2960</v>
      </c>
      <c r="AQ28" s="32" t="s">
        <v>1324</v>
      </c>
      <c r="AR28" s="32" t="s">
        <v>2961</v>
      </c>
      <c r="AS28" s="32" t="s">
        <v>2962</v>
      </c>
      <c r="AT28" s="32" t="s">
        <v>2927</v>
      </c>
      <c r="AU28" s="32">
        <v>2017.0</v>
      </c>
      <c r="AV28" s="32">
        <v>28.0</v>
      </c>
      <c r="AW28" s="32">
        <v>6.0</v>
      </c>
      <c r="AX28" s="32" t="s">
        <v>1324</v>
      </c>
      <c r="AY28" s="32" t="s">
        <v>1324</v>
      </c>
      <c r="AZ28" s="32" t="s">
        <v>1324</v>
      </c>
      <c r="BA28" s="32" t="s">
        <v>1324</v>
      </c>
      <c r="BB28" s="32">
        <v>1220.0</v>
      </c>
      <c r="BC28" s="32">
        <v>1229.0</v>
      </c>
      <c r="BD28" s="32" t="s">
        <v>1324</v>
      </c>
      <c r="BE28" s="32" t="s">
        <v>1543</v>
      </c>
      <c r="BF28" s="38" t="str">
        <f>HYPERLINK("http://dx.doi.org/10.1111/jvs.12579","http://dx.doi.org/10.1111/jvs.12579")</f>
        <v>http://dx.doi.org/10.1111/jvs.12579</v>
      </c>
      <c r="BG28" s="32" t="s">
        <v>1324</v>
      </c>
      <c r="BH28" s="32" t="s">
        <v>1324</v>
      </c>
      <c r="BI28" s="32">
        <v>10.0</v>
      </c>
      <c r="BJ28" s="32" t="s">
        <v>2963</v>
      </c>
      <c r="BK28" s="32" t="s">
        <v>2407</v>
      </c>
      <c r="BL28" s="32" t="s">
        <v>2964</v>
      </c>
      <c r="BM28" s="32" t="s">
        <v>2965</v>
      </c>
      <c r="BN28" s="32" t="s">
        <v>1324</v>
      </c>
      <c r="BO28" s="32" t="s">
        <v>1324</v>
      </c>
      <c r="BP28" s="32" t="s">
        <v>1324</v>
      </c>
      <c r="BQ28" s="32" t="s">
        <v>1324</v>
      </c>
      <c r="BR28" s="32" t="s">
        <v>5268</v>
      </c>
      <c r="BS28" s="32" t="s">
        <v>2966</v>
      </c>
      <c r="BT28" s="32" t="str">
        <f>HYPERLINK("https%3A%2F%2Fwww.webofscience.com%2Fwos%2Fwoscc%2Ffull-record%2FWOS:000423189400012","View Full Record in Web of Science")</f>
        <v>View Full Record in Web of Science</v>
      </c>
    </row>
    <row r="29" ht="12.75" customHeight="1">
      <c r="A29" s="32" t="s">
        <v>26</v>
      </c>
      <c r="B29" s="32" t="s">
        <v>2967</v>
      </c>
      <c r="C29" s="32" t="s">
        <v>1324</v>
      </c>
      <c r="D29" s="32" t="s">
        <v>1324</v>
      </c>
      <c r="E29" s="32" t="s">
        <v>1324</v>
      </c>
      <c r="F29" s="32" t="s">
        <v>1959</v>
      </c>
      <c r="G29" s="32" t="s">
        <v>1324</v>
      </c>
      <c r="H29" s="32" t="s">
        <v>1324</v>
      </c>
      <c r="I29" s="32" t="s">
        <v>1960</v>
      </c>
      <c r="J29" s="32" t="s">
        <v>260</v>
      </c>
      <c r="K29" s="32" t="s">
        <v>1324</v>
      </c>
      <c r="L29" s="32" t="s">
        <v>1324</v>
      </c>
      <c r="M29" s="32" t="s">
        <v>2364</v>
      </c>
      <c r="N29" s="32" t="s">
        <v>38</v>
      </c>
      <c r="O29" s="32" t="s">
        <v>1324</v>
      </c>
      <c r="P29" s="32" t="s">
        <v>1324</v>
      </c>
      <c r="Q29" s="32" t="s">
        <v>1324</v>
      </c>
      <c r="R29" s="32" t="s">
        <v>1324</v>
      </c>
      <c r="S29" s="32" t="s">
        <v>1324</v>
      </c>
      <c r="T29" s="32" t="s">
        <v>2968</v>
      </c>
      <c r="U29" s="32" t="s">
        <v>2969</v>
      </c>
      <c r="V29" s="32" t="s">
        <v>1961</v>
      </c>
      <c r="W29" s="32" t="s">
        <v>2970</v>
      </c>
      <c r="X29" s="32" t="s">
        <v>2971</v>
      </c>
      <c r="Y29" s="32" t="s">
        <v>2972</v>
      </c>
      <c r="Z29" s="32" t="s">
        <v>2973</v>
      </c>
      <c r="AA29" s="32" t="s">
        <v>2974</v>
      </c>
      <c r="AB29" s="32" t="s">
        <v>2975</v>
      </c>
      <c r="AC29" s="32" t="s">
        <v>2976</v>
      </c>
      <c r="AD29" s="32" t="s">
        <v>2977</v>
      </c>
      <c r="AE29" s="32" t="s">
        <v>2978</v>
      </c>
      <c r="AF29" s="32" t="s">
        <v>1324</v>
      </c>
      <c r="AG29" s="32">
        <v>40.0</v>
      </c>
      <c r="AH29" s="32">
        <v>10.0</v>
      </c>
      <c r="AI29" s="32">
        <v>12.0</v>
      </c>
      <c r="AJ29" s="32">
        <v>0.0</v>
      </c>
      <c r="AK29" s="32">
        <v>36.0</v>
      </c>
      <c r="AL29" s="32" t="s">
        <v>2508</v>
      </c>
      <c r="AM29" s="32" t="s">
        <v>2509</v>
      </c>
      <c r="AN29" s="32" t="s">
        <v>2510</v>
      </c>
      <c r="AO29" s="32" t="s">
        <v>2511</v>
      </c>
      <c r="AP29" s="32" t="s">
        <v>2512</v>
      </c>
      <c r="AQ29" s="32" t="s">
        <v>1324</v>
      </c>
      <c r="AR29" s="32" t="s">
        <v>2513</v>
      </c>
      <c r="AS29" s="32" t="s">
        <v>2514</v>
      </c>
      <c r="AT29" s="32" t="s">
        <v>2979</v>
      </c>
      <c r="AU29" s="32">
        <v>2017.0</v>
      </c>
      <c r="AV29" s="32">
        <v>122.0</v>
      </c>
      <c r="AW29" s="32" t="s">
        <v>2980</v>
      </c>
      <c r="AX29" s="32" t="s">
        <v>1324</v>
      </c>
      <c r="AY29" s="32" t="s">
        <v>1324</v>
      </c>
      <c r="AZ29" s="32" t="s">
        <v>1324</v>
      </c>
      <c r="BA29" s="32" t="s">
        <v>1324</v>
      </c>
      <c r="BB29" s="32">
        <v>259.0</v>
      </c>
      <c r="BC29" s="32">
        <v>262.0</v>
      </c>
      <c r="BD29" s="32" t="s">
        <v>1324</v>
      </c>
      <c r="BE29" s="32" t="s">
        <v>1962</v>
      </c>
      <c r="BF29" s="38" t="str">
        <f>HYPERLINK("http://dx.doi.org/10.1016/j.marpolbul.2017.06.054","http://dx.doi.org/10.1016/j.marpolbul.2017.06.054")</f>
        <v>http://dx.doi.org/10.1016/j.marpolbul.2017.06.054</v>
      </c>
      <c r="BG29" s="32" t="s">
        <v>1324</v>
      </c>
      <c r="BH29" s="32" t="s">
        <v>1324</v>
      </c>
      <c r="BI29" s="32">
        <v>4.0</v>
      </c>
      <c r="BJ29" s="32" t="s">
        <v>148</v>
      </c>
      <c r="BK29" s="32" t="s">
        <v>2407</v>
      </c>
      <c r="BL29" s="32" t="s">
        <v>2516</v>
      </c>
      <c r="BM29" s="32" t="s">
        <v>2981</v>
      </c>
      <c r="BN29" s="32">
        <v>2.8662981E7</v>
      </c>
      <c r="BO29" s="32" t="s">
        <v>1324</v>
      </c>
      <c r="BP29" s="32" t="s">
        <v>1324</v>
      </c>
      <c r="BQ29" s="32" t="s">
        <v>1324</v>
      </c>
      <c r="BR29" s="32" t="s">
        <v>5268</v>
      </c>
      <c r="BS29" s="32" t="s">
        <v>2982</v>
      </c>
      <c r="BT29" s="32" t="str">
        <f>HYPERLINK("https%3A%2F%2Fwww.webofscience.com%2Fwos%2Fwoscc%2Ffull-record%2FWOS:000408076900039","View Full Record in Web of Science")</f>
        <v>View Full Record in Web of Science</v>
      </c>
    </row>
    <row r="30" ht="12.75" customHeight="1">
      <c r="A30" s="32" t="s">
        <v>26</v>
      </c>
      <c r="B30" s="32" t="s">
        <v>2983</v>
      </c>
      <c r="C30" s="32" t="s">
        <v>1324</v>
      </c>
      <c r="D30" s="32" t="s">
        <v>1324</v>
      </c>
      <c r="E30" s="32" t="s">
        <v>1324</v>
      </c>
      <c r="F30" s="32" t="s">
        <v>1551</v>
      </c>
      <c r="G30" s="32" t="s">
        <v>1324</v>
      </c>
      <c r="H30" s="32" t="s">
        <v>1324</v>
      </c>
      <c r="I30" s="32" t="s">
        <v>1553</v>
      </c>
      <c r="J30" s="32" t="s">
        <v>1552</v>
      </c>
      <c r="K30" s="32" t="s">
        <v>1324</v>
      </c>
      <c r="L30" s="32" t="s">
        <v>1324</v>
      </c>
      <c r="M30" s="32" t="s">
        <v>2364</v>
      </c>
      <c r="N30" s="32" t="s">
        <v>38</v>
      </c>
      <c r="O30" s="32" t="s">
        <v>1324</v>
      </c>
      <c r="P30" s="32" t="s">
        <v>1324</v>
      </c>
      <c r="Q30" s="32" t="s">
        <v>1324</v>
      </c>
      <c r="R30" s="32" t="s">
        <v>1324</v>
      </c>
      <c r="S30" s="32" t="s">
        <v>1324</v>
      </c>
      <c r="T30" s="32" t="s">
        <v>2984</v>
      </c>
      <c r="U30" s="32" t="s">
        <v>2985</v>
      </c>
      <c r="V30" s="32" t="s">
        <v>1554</v>
      </c>
      <c r="W30" s="32" t="s">
        <v>2986</v>
      </c>
      <c r="X30" s="32" t="s">
        <v>2987</v>
      </c>
      <c r="Y30" s="32" t="s">
        <v>2988</v>
      </c>
      <c r="Z30" s="32" t="s">
        <v>2989</v>
      </c>
      <c r="AA30" s="32" t="s">
        <v>1324</v>
      </c>
      <c r="AB30" s="32" t="s">
        <v>1324</v>
      </c>
      <c r="AC30" s="32" t="s">
        <v>2990</v>
      </c>
      <c r="AD30" s="32" t="s">
        <v>2990</v>
      </c>
      <c r="AE30" s="32" t="s">
        <v>2991</v>
      </c>
      <c r="AF30" s="32" t="s">
        <v>1324</v>
      </c>
      <c r="AG30" s="32">
        <v>44.0</v>
      </c>
      <c r="AH30" s="32">
        <v>9.0</v>
      </c>
      <c r="AI30" s="32">
        <v>13.0</v>
      </c>
      <c r="AJ30" s="32">
        <v>1.0</v>
      </c>
      <c r="AK30" s="32">
        <v>44.0</v>
      </c>
      <c r="AL30" s="32" t="s">
        <v>2464</v>
      </c>
      <c r="AM30" s="32" t="s">
        <v>2465</v>
      </c>
      <c r="AN30" s="32" t="s">
        <v>2466</v>
      </c>
      <c r="AO30" s="32" t="s">
        <v>2992</v>
      </c>
      <c r="AP30" s="32" t="s">
        <v>2993</v>
      </c>
      <c r="AQ30" s="32" t="s">
        <v>1324</v>
      </c>
      <c r="AR30" s="32" t="s">
        <v>2994</v>
      </c>
      <c r="AS30" s="32" t="s">
        <v>2995</v>
      </c>
      <c r="AT30" s="32" t="s">
        <v>2471</v>
      </c>
      <c r="AU30" s="32">
        <v>2017.0</v>
      </c>
      <c r="AV30" s="32">
        <v>88.0</v>
      </c>
      <c r="AW30" s="32">
        <v>3.0</v>
      </c>
      <c r="AX30" s="32" t="s">
        <v>1324</v>
      </c>
      <c r="AY30" s="32" t="s">
        <v>1324</v>
      </c>
      <c r="AZ30" s="32" t="s">
        <v>1324</v>
      </c>
      <c r="BA30" s="32" t="s">
        <v>1324</v>
      </c>
      <c r="BB30" s="32">
        <v>211.0</v>
      </c>
      <c r="BC30" s="32">
        <v>228.0</v>
      </c>
      <c r="BD30" s="32" t="s">
        <v>1324</v>
      </c>
      <c r="BE30" s="32" t="s">
        <v>1555</v>
      </c>
      <c r="BF30" s="38" t="str">
        <f>HYPERLINK("http://dx.doi.org/10.1111/jofo.12204","http://dx.doi.org/10.1111/jofo.12204")</f>
        <v>http://dx.doi.org/10.1111/jofo.12204</v>
      </c>
      <c r="BG30" s="32" t="s">
        <v>1324</v>
      </c>
      <c r="BH30" s="32" t="s">
        <v>1324</v>
      </c>
      <c r="BI30" s="32">
        <v>18.0</v>
      </c>
      <c r="BJ30" s="32" t="s">
        <v>273</v>
      </c>
      <c r="BK30" s="32" t="s">
        <v>2407</v>
      </c>
      <c r="BL30" s="32" t="s">
        <v>2691</v>
      </c>
      <c r="BM30" s="32" t="s">
        <v>2996</v>
      </c>
      <c r="BN30" s="32" t="s">
        <v>1324</v>
      </c>
      <c r="BO30" s="32" t="s">
        <v>1324</v>
      </c>
      <c r="BP30" s="32" t="s">
        <v>1324</v>
      </c>
      <c r="BQ30" s="32" t="s">
        <v>1324</v>
      </c>
      <c r="BR30" s="32" t="s">
        <v>5268</v>
      </c>
      <c r="BS30" s="32" t="s">
        <v>2997</v>
      </c>
      <c r="BT30" s="32" t="str">
        <f>HYPERLINK("https%3A%2F%2Fwww.webofscience.com%2Fwos%2Fwoscc%2Ffull-record%2FWOS:000411343300001","View Full Record in Web of Science")</f>
        <v>View Full Record in Web of Science</v>
      </c>
    </row>
    <row r="31" ht="12.75" customHeight="1">
      <c r="A31" s="32" t="s">
        <v>26</v>
      </c>
      <c r="B31" s="32" t="s">
        <v>2998</v>
      </c>
      <c r="C31" s="32" t="s">
        <v>1324</v>
      </c>
      <c r="D31" s="32" t="s">
        <v>1324</v>
      </c>
      <c r="E31" s="32" t="s">
        <v>1324</v>
      </c>
      <c r="F31" s="32" t="s">
        <v>1405</v>
      </c>
      <c r="G31" s="32" t="s">
        <v>1324</v>
      </c>
      <c r="H31" s="32" t="s">
        <v>1324</v>
      </c>
      <c r="I31" s="32" t="s">
        <v>1406</v>
      </c>
      <c r="J31" s="32" t="s">
        <v>1397</v>
      </c>
      <c r="K31" s="32" t="s">
        <v>1324</v>
      </c>
      <c r="L31" s="32" t="s">
        <v>1324</v>
      </c>
      <c r="M31" s="32" t="s">
        <v>2364</v>
      </c>
      <c r="N31" s="32" t="s">
        <v>38</v>
      </c>
      <c r="O31" s="32" t="s">
        <v>1324</v>
      </c>
      <c r="P31" s="32" t="s">
        <v>1324</v>
      </c>
      <c r="Q31" s="32" t="s">
        <v>1324</v>
      </c>
      <c r="R31" s="32" t="s">
        <v>1324</v>
      </c>
      <c r="S31" s="32" t="s">
        <v>1324</v>
      </c>
      <c r="T31" s="32" t="s">
        <v>2999</v>
      </c>
      <c r="U31" s="32" t="s">
        <v>3000</v>
      </c>
      <c r="V31" s="32" t="s">
        <v>1407</v>
      </c>
      <c r="W31" s="32" t="s">
        <v>3001</v>
      </c>
      <c r="X31" s="32" t="s">
        <v>3002</v>
      </c>
      <c r="Y31" s="32" t="s">
        <v>3003</v>
      </c>
      <c r="Z31" s="32" t="s">
        <v>3004</v>
      </c>
      <c r="AA31" s="32" t="s">
        <v>5300</v>
      </c>
      <c r="AB31" s="32" t="s">
        <v>5301</v>
      </c>
      <c r="AC31" s="32" t="s">
        <v>3007</v>
      </c>
      <c r="AD31" s="32" t="s">
        <v>3008</v>
      </c>
      <c r="AE31" s="32" t="s">
        <v>3009</v>
      </c>
      <c r="AF31" s="32" t="s">
        <v>1324</v>
      </c>
      <c r="AG31" s="32">
        <v>77.0</v>
      </c>
      <c r="AH31" s="32">
        <v>30.0</v>
      </c>
      <c r="AI31" s="32">
        <v>32.0</v>
      </c>
      <c r="AJ31" s="32">
        <v>0.0</v>
      </c>
      <c r="AK31" s="32">
        <v>64.0</v>
      </c>
      <c r="AL31" s="32" t="s">
        <v>2769</v>
      </c>
      <c r="AM31" s="32" t="s">
        <v>2770</v>
      </c>
      <c r="AN31" s="32" t="s">
        <v>2771</v>
      </c>
      <c r="AO31" s="32" t="s">
        <v>2772</v>
      </c>
      <c r="AP31" s="32" t="s">
        <v>2773</v>
      </c>
      <c r="AQ31" s="32" t="s">
        <v>1324</v>
      </c>
      <c r="AR31" s="32" t="s">
        <v>2774</v>
      </c>
      <c r="AS31" s="32" t="s">
        <v>2775</v>
      </c>
      <c r="AT31" s="32" t="s">
        <v>3010</v>
      </c>
      <c r="AU31" s="32">
        <v>2017.0</v>
      </c>
      <c r="AV31" s="32">
        <v>576.0</v>
      </c>
      <c r="AW31" s="32" t="s">
        <v>1324</v>
      </c>
      <c r="AX31" s="32" t="s">
        <v>1324</v>
      </c>
      <c r="AY31" s="32" t="s">
        <v>1324</v>
      </c>
      <c r="AZ31" s="32" t="s">
        <v>1324</v>
      </c>
      <c r="BA31" s="32" t="s">
        <v>1324</v>
      </c>
      <c r="BB31" s="32">
        <v>55.0</v>
      </c>
      <c r="BC31" s="32">
        <v>68.0</v>
      </c>
      <c r="BD31" s="32" t="s">
        <v>1324</v>
      </c>
      <c r="BE31" s="32" t="s">
        <v>1408</v>
      </c>
      <c r="BF31" s="38" t="str">
        <f>HYPERLINK("http://dx.doi.org/10.3354/meps12221","http://dx.doi.org/10.3354/meps12221")</f>
        <v>http://dx.doi.org/10.3354/meps12221</v>
      </c>
      <c r="BG31" s="32" t="s">
        <v>1324</v>
      </c>
      <c r="BH31" s="32" t="s">
        <v>1324</v>
      </c>
      <c r="BI31" s="32">
        <v>14.0</v>
      </c>
      <c r="BJ31" s="32" t="s">
        <v>2447</v>
      </c>
      <c r="BK31" s="32" t="s">
        <v>2878</v>
      </c>
      <c r="BL31" s="32" t="s">
        <v>2449</v>
      </c>
      <c r="BM31" s="32" t="s">
        <v>3011</v>
      </c>
      <c r="BN31" s="32" t="s">
        <v>1324</v>
      </c>
      <c r="BO31" s="32" t="s">
        <v>1324</v>
      </c>
      <c r="BP31" s="32" t="s">
        <v>1324</v>
      </c>
      <c r="BQ31" s="32" t="s">
        <v>1324</v>
      </c>
      <c r="BR31" s="32" t="s">
        <v>5268</v>
      </c>
      <c r="BS31" s="32" t="s">
        <v>3012</v>
      </c>
      <c r="BT31" s="32" t="str">
        <f>HYPERLINK("https%3A%2F%2Fwww.webofscience.com%2Fwos%2Fwoscc%2Ffull-record%2FWOS:000407443900005","View Full Record in Web of Science")</f>
        <v>View Full Record in Web of Science</v>
      </c>
    </row>
    <row r="32" ht="12.75" customHeight="1">
      <c r="A32" s="32" t="s">
        <v>26</v>
      </c>
      <c r="B32" s="32" t="s">
        <v>3013</v>
      </c>
      <c r="C32" s="32" t="s">
        <v>1324</v>
      </c>
      <c r="D32" s="32" t="s">
        <v>1324</v>
      </c>
      <c r="E32" s="32" t="s">
        <v>1324</v>
      </c>
      <c r="F32" s="32" t="s">
        <v>1672</v>
      </c>
      <c r="G32" s="32" t="s">
        <v>1324</v>
      </c>
      <c r="H32" s="32" t="s">
        <v>1324</v>
      </c>
      <c r="I32" s="32" t="s">
        <v>1673</v>
      </c>
      <c r="J32" s="32" t="s">
        <v>126</v>
      </c>
      <c r="K32" s="32" t="s">
        <v>1324</v>
      </c>
      <c r="L32" s="32" t="s">
        <v>1324</v>
      </c>
      <c r="M32" s="32" t="s">
        <v>2364</v>
      </c>
      <c r="N32" s="32" t="s">
        <v>38</v>
      </c>
      <c r="O32" s="32" t="s">
        <v>1324</v>
      </c>
      <c r="P32" s="32" t="s">
        <v>1324</v>
      </c>
      <c r="Q32" s="32" t="s">
        <v>1324</v>
      </c>
      <c r="R32" s="32" t="s">
        <v>1324</v>
      </c>
      <c r="S32" s="32" t="s">
        <v>1324</v>
      </c>
      <c r="T32" s="32" t="s">
        <v>3014</v>
      </c>
      <c r="U32" s="32" t="s">
        <v>3015</v>
      </c>
      <c r="V32" s="32" t="s">
        <v>1674</v>
      </c>
      <c r="W32" s="32" t="s">
        <v>3016</v>
      </c>
      <c r="X32" s="32" t="s">
        <v>5302</v>
      </c>
      <c r="Y32" s="32" t="s">
        <v>3018</v>
      </c>
      <c r="Z32" s="32" t="s">
        <v>3019</v>
      </c>
      <c r="AA32" s="32" t="s">
        <v>5303</v>
      </c>
      <c r="AB32" s="32" t="s">
        <v>5304</v>
      </c>
      <c r="AC32" s="32" t="s">
        <v>3022</v>
      </c>
      <c r="AD32" s="32" t="s">
        <v>3023</v>
      </c>
      <c r="AE32" s="32" t="s">
        <v>3024</v>
      </c>
      <c r="AF32" s="32" t="s">
        <v>1324</v>
      </c>
      <c r="AG32" s="32">
        <v>56.0</v>
      </c>
      <c r="AH32" s="32">
        <v>21.0</v>
      </c>
      <c r="AI32" s="32">
        <v>21.0</v>
      </c>
      <c r="AJ32" s="32">
        <v>0.0</v>
      </c>
      <c r="AK32" s="32">
        <v>26.0</v>
      </c>
      <c r="AL32" s="32" t="s">
        <v>2464</v>
      </c>
      <c r="AM32" s="32" t="s">
        <v>2465</v>
      </c>
      <c r="AN32" s="32" t="s">
        <v>2466</v>
      </c>
      <c r="AO32" s="32" t="s">
        <v>3025</v>
      </c>
      <c r="AP32" s="32" t="s">
        <v>3026</v>
      </c>
      <c r="AQ32" s="32" t="s">
        <v>1324</v>
      </c>
      <c r="AR32" s="32" t="s">
        <v>3027</v>
      </c>
      <c r="AS32" s="32" t="s">
        <v>3028</v>
      </c>
      <c r="AT32" s="32" t="s">
        <v>2557</v>
      </c>
      <c r="AU32" s="32">
        <v>2017.0</v>
      </c>
      <c r="AV32" s="32">
        <v>62.0</v>
      </c>
      <c r="AW32" s="32">
        <v>7.0</v>
      </c>
      <c r="AX32" s="32" t="s">
        <v>1324</v>
      </c>
      <c r="AY32" s="32" t="s">
        <v>1324</v>
      </c>
      <c r="AZ32" s="32" t="s">
        <v>1324</v>
      </c>
      <c r="BA32" s="32" t="s">
        <v>1324</v>
      </c>
      <c r="BB32" s="32">
        <v>1117.0</v>
      </c>
      <c r="BC32" s="32">
        <v>1129.0</v>
      </c>
      <c r="BD32" s="32" t="s">
        <v>1324</v>
      </c>
      <c r="BE32" s="32" t="s">
        <v>1675</v>
      </c>
      <c r="BF32" s="38" t="str">
        <f>HYPERLINK("http://dx.doi.org/10.1111/fwb.12929","http://dx.doi.org/10.1111/fwb.12929")</f>
        <v>http://dx.doi.org/10.1111/fwb.12929</v>
      </c>
      <c r="BG32" s="32" t="s">
        <v>1324</v>
      </c>
      <c r="BH32" s="32" t="s">
        <v>1324</v>
      </c>
      <c r="BI32" s="32">
        <v>13.0</v>
      </c>
      <c r="BJ32" s="32" t="s">
        <v>130</v>
      </c>
      <c r="BK32" s="32" t="s">
        <v>2407</v>
      </c>
      <c r="BL32" s="32" t="s">
        <v>2516</v>
      </c>
      <c r="BM32" s="32" t="s">
        <v>3029</v>
      </c>
      <c r="BN32" s="32" t="s">
        <v>1324</v>
      </c>
      <c r="BO32" s="32" t="s">
        <v>1324</v>
      </c>
      <c r="BP32" s="32" t="s">
        <v>1324</v>
      </c>
      <c r="BQ32" s="32" t="s">
        <v>1324</v>
      </c>
      <c r="BR32" s="32" t="s">
        <v>5268</v>
      </c>
      <c r="BS32" s="32" t="s">
        <v>3030</v>
      </c>
      <c r="BT32" s="32" t="str">
        <f>HYPERLINK("https%3A%2F%2Fwww.webofscience.com%2Fwos%2Fwoscc%2Ffull-record%2FWOS:000403021500001","View Full Record in Web of Science")</f>
        <v>View Full Record in Web of Science</v>
      </c>
    </row>
    <row r="33" ht="12.75" customHeight="1">
      <c r="A33" s="32" t="s">
        <v>26</v>
      </c>
      <c r="B33" s="32" t="s">
        <v>3031</v>
      </c>
      <c r="C33" s="32" t="s">
        <v>1324</v>
      </c>
      <c r="D33" s="32" t="s">
        <v>1324</v>
      </c>
      <c r="E33" s="32" t="s">
        <v>1324</v>
      </c>
      <c r="F33" s="32" t="s">
        <v>1909</v>
      </c>
      <c r="G33" s="32" t="s">
        <v>1324</v>
      </c>
      <c r="H33" s="32" t="s">
        <v>1324</v>
      </c>
      <c r="I33" s="32" t="s">
        <v>1910</v>
      </c>
      <c r="J33" s="32" t="s">
        <v>64</v>
      </c>
      <c r="K33" s="32" t="s">
        <v>1324</v>
      </c>
      <c r="L33" s="32" t="s">
        <v>1324</v>
      </c>
      <c r="M33" s="32" t="s">
        <v>2364</v>
      </c>
      <c r="N33" s="32" t="s">
        <v>38</v>
      </c>
      <c r="O33" s="32" t="s">
        <v>1324</v>
      </c>
      <c r="P33" s="32" t="s">
        <v>1324</v>
      </c>
      <c r="Q33" s="32" t="s">
        <v>1324</v>
      </c>
      <c r="R33" s="32" t="s">
        <v>1324</v>
      </c>
      <c r="S33" s="32" t="s">
        <v>1324</v>
      </c>
      <c r="T33" s="32" t="s">
        <v>3032</v>
      </c>
      <c r="U33" s="32" t="s">
        <v>3033</v>
      </c>
      <c r="V33" s="32" t="s">
        <v>1911</v>
      </c>
      <c r="W33" s="32" t="s">
        <v>3034</v>
      </c>
      <c r="X33" s="32" t="s">
        <v>3035</v>
      </c>
      <c r="Y33" s="32" t="s">
        <v>3036</v>
      </c>
      <c r="Z33" s="32" t="s">
        <v>3037</v>
      </c>
      <c r="AA33" s="32" t="s">
        <v>5305</v>
      </c>
      <c r="AB33" s="32" t="s">
        <v>5306</v>
      </c>
      <c r="AC33" s="32" t="s">
        <v>3040</v>
      </c>
      <c r="AD33" s="32" t="s">
        <v>3041</v>
      </c>
      <c r="AE33" s="32" t="s">
        <v>3042</v>
      </c>
      <c r="AF33" s="32" t="s">
        <v>1324</v>
      </c>
      <c r="AG33" s="32">
        <v>60.0</v>
      </c>
      <c r="AH33" s="32">
        <v>34.0</v>
      </c>
      <c r="AI33" s="32">
        <v>38.0</v>
      </c>
      <c r="AJ33" s="32">
        <v>2.0</v>
      </c>
      <c r="AK33" s="32">
        <v>150.0</v>
      </c>
      <c r="AL33" s="32" t="s">
        <v>3043</v>
      </c>
      <c r="AM33" s="32" t="s">
        <v>2487</v>
      </c>
      <c r="AN33" s="32" t="s">
        <v>3044</v>
      </c>
      <c r="AO33" s="32" t="s">
        <v>3045</v>
      </c>
      <c r="AP33" s="32" t="s">
        <v>3046</v>
      </c>
      <c r="AQ33" s="32" t="s">
        <v>1324</v>
      </c>
      <c r="AR33" s="32" t="s">
        <v>3047</v>
      </c>
      <c r="AS33" s="32" t="s">
        <v>3048</v>
      </c>
      <c r="AT33" s="32" t="s">
        <v>3049</v>
      </c>
      <c r="AU33" s="32">
        <v>2017.0</v>
      </c>
      <c r="AV33" s="32">
        <v>589.0</v>
      </c>
      <c r="AW33" s="32" t="s">
        <v>1324</v>
      </c>
      <c r="AX33" s="32" t="s">
        <v>1324</v>
      </c>
      <c r="AY33" s="32" t="s">
        <v>1324</v>
      </c>
      <c r="AZ33" s="32" t="s">
        <v>1324</v>
      </c>
      <c r="BA33" s="32" t="s">
        <v>1324</v>
      </c>
      <c r="BB33" s="32">
        <v>73.0</v>
      </c>
      <c r="BC33" s="32">
        <v>88.0</v>
      </c>
      <c r="BD33" s="32" t="s">
        <v>1324</v>
      </c>
      <c r="BE33" s="32" t="s">
        <v>1912</v>
      </c>
      <c r="BF33" s="38" t="str">
        <f>HYPERLINK("http://dx.doi.org/10.1016/j.scitotenv.2017.02.210","http://dx.doi.org/10.1016/j.scitotenv.2017.02.210")</f>
        <v>http://dx.doi.org/10.1016/j.scitotenv.2017.02.210</v>
      </c>
      <c r="BG33" s="32" t="s">
        <v>1324</v>
      </c>
      <c r="BH33" s="32" t="s">
        <v>1324</v>
      </c>
      <c r="BI33" s="32">
        <v>16.0</v>
      </c>
      <c r="BJ33" s="32" t="s">
        <v>68</v>
      </c>
      <c r="BK33" s="32" t="s">
        <v>2407</v>
      </c>
      <c r="BL33" s="32" t="s">
        <v>2472</v>
      </c>
      <c r="BM33" s="32" t="s">
        <v>3050</v>
      </c>
      <c r="BN33" s="32">
        <v>2.8264774E7</v>
      </c>
      <c r="BO33" s="32" t="s">
        <v>1324</v>
      </c>
      <c r="BP33" s="32" t="s">
        <v>1324</v>
      </c>
      <c r="BQ33" s="32" t="s">
        <v>1324</v>
      </c>
      <c r="BR33" s="32" t="s">
        <v>5268</v>
      </c>
      <c r="BS33" s="32" t="s">
        <v>3051</v>
      </c>
      <c r="BT33" s="32" t="str">
        <f>HYPERLINK("https%3A%2F%2Fwww.webofscience.com%2Fwos%2Fwoscc%2Ffull-record%2FWOS:000399848100008","View Full Record in Web of Science")</f>
        <v>View Full Record in Web of Science</v>
      </c>
    </row>
    <row r="34" ht="12.75" customHeight="1">
      <c r="A34" s="32" t="s">
        <v>26</v>
      </c>
      <c r="B34" s="32" t="s">
        <v>3052</v>
      </c>
      <c r="C34" s="32" t="s">
        <v>1324</v>
      </c>
      <c r="D34" s="32" t="s">
        <v>1324</v>
      </c>
      <c r="E34" s="32" t="s">
        <v>1324</v>
      </c>
      <c r="F34" s="32" t="s">
        <v>1375</v>
      </c>
      <c r="G34" s="32" t="s">
        <v>1324</v>
      </c>
      <c r="H34" s="32" t="s">
        <v>1324</v>
      </c>
      <c r="I34" s="32" t="s">
        <v>1377</v>
      </c>
      <c r="J34" s="32" t="s">
        <v>1376</v>
      </c>
      <c r="K34" s="32" t="s">
        <v>1324</v>
      </c>
      <c r="L34" s="32" t="s">
        <v>1324</v>
      </c>
      <c r="M34" s="32" t="s">
        <v>2364</v>
      </c>
      <c r="N34" s="32" t="s">
        <v>38</v>
      </c>
      <c r="O34" s="32" t="s">
        <v>1324</v>
      </c>
      <c r="P34" s="32" t="s">
        <v>1324</v>
      </c>
      <c r="Q34" s="32" t="s">
        <v>1324</v>
      </c>
      <c r="R34" s="32" t="s">
        <v>1324</v>
      </c>
      <c r="S34" s="32" t="s">
        <v>1324</v>
      </c>
      <c r="T34" s="32" t="s">
        <v>3053</v>
      </c>
      <c r="U34" s="32" t="s">
        <v>3054</v>
      </c>
      <c r="V34" s="32" t="s">
        <v>1378</v>
      </c>
      <c r="W34" s="32" t="s">
        <v>3055</v>
      </c>
      <c r="X34" s="32" t="s">
        <v>3056</v>
      </c>
      <c r="Y34" s="32" t="s">
        <v>3057</v>
      </c>
      <c r="Z34" s="32" t="s">
        <v>3058</v>
      </c>
      <c r="AA34" s="32" t="s">
        <v>1324</v>
      </c>
      <c r="AB34" s="32" t="s">
        <v>5307</v>
      </c>
      <c r="AC34" s="32" t="s">
        <v>3060</v>
      </c>
      <c r="AD34" s="32" t="s">
        <v>3061</v>
      </c>
      <c r="AE34" s="32" t="s">
        <v>3062</v>
      </c>
      <c r="AF34" s="32" t="s">
        <v>1324</v>
      </c>
      <c r="AG34" s="32">
        <v>69.0</v>
      </c>
      <c r="AH34" s="32">
        <v>72.0</v>
      </c>
      <c r="AI34" s="32">
        <v>80.0</v>
      </c>
      <c r="AJ34" s="32">
        <v>5.0</v>
      </c>
      <c r="AK34" s="32">
        <v>35.0</v>
      </c>
      <c r="AL34" s="32" t="s">
        <v>3063</v>
      </c>
      <c r="AM34" s="32" t="s">
        <v>3064</v>
      </c>
      <c r="AN34" s="32" t="s">
        <v>3065</v>
      </c>
      <c r="AO34" s="32" t="s">
        <v>1324</v>
      </c>
      <c r="AP34" s="32" t="s">
        <v>3066</v>
      </c>
      <c r="AQ34" s="32" t="s">
        <v>1324</v>
      </c>
      <c r="AR34" s="32" t="s">
        <v>3067</v>
      </c>
      <c r="AS34" s="32" t="s">
        <v>3068</v>
      </c>
      <c r="AT34" s="32" t="s">
        <v>2632</v>
      </c>
      <c r="AU34" s="32">
        <v>2017.0</v>
      </c>
      <c r="AV34" s="32">
        <v>9.0</v>
      </c>
      <c r="AW34" s="32">
        <v>6.0</v>
      </c>
      <c r="AX34" s="32" t="s">
        <v>1324</v>
      </c>
      <c r="AY34" s="32" t="s">
        <v>1324</v>
      </c>
      <c r="AZ34" s="32" t="s">
        <v>1324</v>
      </c>
      <c r="BA34" s="32" t="s">
        <v>1324</v>
      </c>
      <c r="BB34" s="32" t="s">
        <v>1324</v>
      </c>
      <c r="BC34" s="32" t="s">
        <v>1324</v>
      </c>
      <c r="BD34" s="32">
        <v>525.0</v>
      </c>
      <c r="BE34" s="32" t="s">
        <v>1379</v>
      </c>
      <c r="BF34" s="38" t="str">
        <f>HYPERLINK("http://dx.doi.org/10.3390/rs9060525","http://dx.doi.org/10.3390/rs9060525")</f>
        <v>http://dx.doi.org/10.3390/rs9060525</v>
      </c>
      <c r="BG34" s="32" t="s">
        <v>1324</v>
      </c>
      <c r="BH34" s="32" t="s">
        <v>1324</v>
      </c>
      <c r="BI34" s="32">
        <v>20.0</v>
      </c>
      <c r="BJ34" s="32" t="s">
        <v>3069</v>
      </c>
      <c r="BK34" s="32" t="s">
        <v>2407</v>
      </c>
      <c r="BL34" s="32" t="s">
        <v>3070</v>
      </c>
      <c r="BM34" s="32" t="s">
        <v>3071</v>
      </c>
      <c r="BN34" s="32" t="s">
        <v>1324</v>
      </c>
      <c r="BO34" s="32" t="s">
        <v>2410</v>
      </c>
      <c r="BP34" s="32" t="s">
        <v>1324</v>
      </c>
      <c r="BQ34" s="32" t="s">
        <v>1324</v>
      </c>
      <c r="BR34" s="32" t="s">
        <v>5268</v>
      </c>
      <c r="BS34" s="32" t="s">
        <v>3072</v>
      </c>
      <c r="BT34" s="32" t="str">
        <f>HYPERLINK("https%3A%2F%2Fwww.webofscience.com%2Fwos%2Fwoscc%2Ffull-record%2FWOS:000404623900016","View Full Record in Web of Science")</f>
        <v>View Full Record in Web of Science</v>
      </c>
    </row>
    <row r="35" ht="12.75" customHeight="1">
      <c r="A35" s="32" t="s">
        <v>26</v>
      </c>
      <c r="B35" s="32" t="s">
        <v>3094</v>
      </c>
      <c r="C35" s="32" t="s">
        <v>1324</v>
      </c>
      <c r="D35" s="32" t="s">
        <v>1324</v>
      </c>
      <c r="E35" s="32" t="s">
        <v>1324</v>
      </c>
      <c r="F35" s="32" t="s">
        <v>1352</v>
      </c>
      <c r="G35" s="32" t="s">
        <v>1324</v>
      </c>
      <c r="H35" s="32" t="s">
        <v>1324</v>
      </c>
      <c r="I35" s="32" t="s">
        <v>1354</v>
      </c>
      <c r="J35" s="32" t="s">
        <v>1353</v>
      </c>
      <c r="K35" s="32" t="s">
        <v>1324</v>
      </c>
      <c r="L35" s="32" t="s">
        <v>1324</v>
      </c>
      <c r="M35" s="32" t="s">
        <v>2364</v>
      </c>
      <c r="N35" s="32" t="s">
        <v>38</v>
      </c>
      <c r="O35" s="32" t="s">
        <v>1324</v>
      </c>
      <c r="P35" s="32" t="s">
        <v>1324</v>
      </c>
      <c r="Q35" s="32" t="s">
        <v>1324</v>
      </c>
      <c r="R35" s="32" t="s">
        <v>1324</v>
      </c>
      <c r="S35" s="32" t="s">
        <v>1324</v>
      </c>
      <c r="T35" s="32" t="s">
        <v>1324</v>
      </c>
      <c r="U35" s="32" t="s">
        <v>3095</v>
      </c>
      <c r="V35" s="32" t="s">
        <v>1355</v>
      </c>
      <c r="W35" s="32" t="s">
        <v>3096</v>
      </c>
      <c r="X35" s="32" t="s">
        <v>3097</v>
      </c>
      <c r="Y35" s="32" t="s">
        <v>3098</v>
      </c>
      <c r="Z35" s="32" t="s">
        <v>3099</v>
      </c>
      <c r="AA35" s="32" t="s">
        <v>5102</v>
      </c>
      <c r="AB35" s="32" t="s">
        <v>5308</v>
      </c>
      <c r="AC35" s="32" t="s">
        <v>3102</v>
      </c>
      <c r="AD35" s="32" t="s">
        <v>3103</v>
      </c>
      <c r="AE35" s="32" t="s">
        <v>3104</v>
      </c>
      <c r="AF35" s="32" t="s">
        <v>1324</v>
      </c>
      <c r="AG35" s="32">
        <v>59.0</v>
      </c>
      <c r="AH35" s="32">
        <v>48.0</v>
      </c>
      <c r="AI35" s="32">
        <v>52.0</v>
      </c>
      <c r="AJ35" s="32">
        <v>0.0</v>
      </c>
      <c r="AK35" s="32">
        <v>62.0</v>
      </c>
      <c r="AL35" s="32" t="s">
        <v>3105</v>
      </c>
      <c r="AM35" s="32" t="s">
        <v>3106</v>
      </c>
      <c r="AN35" s="32" t="s">
        <v>3107</v>
      </c>
      <c r="AO35" s="32" t="s">
        <v>3108</v>
      </c>
      <c r="AP35" s="32" t="s">
        <v>3109</v>
      </c>
      <c r="AQ35" s="32" t="s">
        <v>1324</v>
      </c>
      <c r="AR35" s="32" t="s">
        <v>1353</v>
      </c>
      <c r="AS35" s="32" t="s">
        <v>3110</v>
      </c>
      <c r="AT35" s="32" t="s">
        <v>3111</v>
      </c>
      <c r="AU35" s="32">
        <v>2017.0</v>
      </c>
      <c r="AV35" s="32">
        <v>14.0</v>
      </c>
      <c r="AW35" s="32">
        <v>9.0</v>
      </c>
      <c r="AX35" s="32" t="s">
        <v>1324</v>
      </c>
      <c r="AY35" s="32" t="s">
        <v>1324</v>
      </c>
      <c r="AZ35" s="32" t="s">
        <v>1324</v>
      </c>
      <c r="BA35" s="32" t="s">
        <v>1324</v>
      </c>
      <c r="BB35" s="32">
        <v>2387.0</v>
      </c>
      <c r="BC35" s="32">
        <v>2405.0</v>
      </c>
      <c r="BD35" s="32" t="s">
        <v>1324</v>
      </c>
      <c r="BE35" s="32" t="s">
        <v>1356</v>
      </c>
      <c r="BF35" s="38" t="str">
        <f>HYPERLINK("http://dx.doi.org/10.5194/bg-14-2387-2017","http://dx.doi.org/10.5194/bg-14-2387-2017")</f>
        <v>http://dx.doi.org/10.5194/bg-14-2387-2017</v>
      </c>
      <c r="BG35" s="32" t="s">
        <v>1324</v>
      </c>
      <c r="BH35" s="32" t="s">
        <v>1324</v>
      </c>
      <c r="BI35" s="32">
        <v>19.0</v>
      </c>
      <c r="BJ35" s="32" t="s">
        <v>3112</v>
      </c>
      <c r="BK35" s="32" t="s">
        <v>2407</v>
      </c>
      <c r="BL35" s="32" t="s">
        <v>3113</v>
      </c>
      <c r="BM35" s="32" t="s">
        <v>3114</v>
      </c>
      <c r="BN35" s="32" t="s">
        <v>1324</v>
      </c>
      <c r="BO35" s="32" t="s">
        <v>2410</v>
      </c>
      <c r="BP35" s="32" t="s">
        <v>1324</v>
      </c>
      <c r="BQ35" s="32" t="s">
        <v>1324</v>
      </c>
      <c r="BR35" s="32" t="s">
        <v>5268</v>
      </c>
      <c r="BS35" s="32" t="s">
        <v>3115</v>
      </c>
      <c r="BT35" s="32" t="str">
        <f>HYPERLINK("https%3A%2F%2Fwww.webofscience.com%2Fwos%2Fwoscc%2Ffull-record%2FWOS:000401104900001","View Full Record in Web of Science")</f>
        <v>View Full Record in Web of Science</v>
      </c>
    </row>
    <row r="36" ht="12.75" customHeight="1">
      <c r="A36" s="32" t="s">
        <v>26</v>
      </c>
      <c r="B36" s="32" t="s">
        <v>3116</v>
      </c>
      <c r="C36" s="32" t="s">
        <v>1324</v>
      </c>
      <c r="D36" s="32" t="s">
        <v>1324</v>
      </c>
      <c r="E36" s="32" t="s">
        <v>1324</v>
      </c>
      <c r="F36" s="32" t="s">
        <v>1842</v>
      </c>
      <c r="G36" s="32" t="s">
        <v>1324</v>
      </c>
      <c r="H36" s="32" t="s">
        <v>1324</v>
      </c>
      <c r="I36" s="32" t="s">
        <v>1843</v>
      </c>
      <c r="J36" s="32" t="s">
        <v>507</v>
      </c>
      <c r="K36" s="32" t="s">
        <v>1324</v>
      </c>
      <c r="L36" s="32" t="s">
        <v>1324</v>
      </c>
      <c r="M36" s="32" t="s">
        <v>2364</v>
      </c>
      <c r="N36" s="32" t="s">
        <v>38</v>
      </c>
      <c r="O36" s="32" t="s">
        <v>1324</v>
      </c>
      <c r="P36" s="32" t="s">
        <v>1324</v>
      </c>
      <c r="Q36" s="32" t="s">
        <v>1324</v>
      </c>
      <c r="R36" s="32" t="s">
        <v>1324</v>
      </c>
      <c r="S36" s="32" t="s">
        <v>1324</v>
      </c>
      <c r="T36" s="32" t="s">
        <v>1324</v>
      </c>
      <c r="U36" s="32" t="s">
        <v>3117</v>
      </c>
      <c r="V36" s="32" t="s">
        <v>1844</v>
      </c>
      <c r="W36" s="32" t="s">
        <v>3118</v>
      </c>
      <c r="X36" s="32" t="s">
        <v>3119</v>
      </c>
      <c r="Y36" s="32" t="s">
        <v>3120</v>
      </c>
      <c r="Z36" s="32" t="s">
        <v>3121</v>
      </c>
      <c r="AA36" s="32" t="s">
        <v>5309</v>
      </c>
      <c r="AB36" s="32" t="s">
        <v>5310</v>
      </c>
      <c r="AC36" s="32" t="s">
        <v>1324</v>
      </c>
      <c r="AD36" s="32" t="s">
        <v>1324</v>
      </c>
      <c r="AE36" s="32" t="s">
        <v>1324</v>
      </c>
      <c r="AF36" s="32" t="s">
        <v>1324</v>
      </c>
      <c r="AG36" s="32">
        <v>52.0</v>
      </c>
      <c r="AH36" s="32">
        <v>145.0</v>
      </c>
      <c r="AI36" s="32">
        <v>154.0</v>
      </c>
      <c r="AJ36" s="32">
        <v>8.0</v>
      </c>
      <c r="AK36" s="32">
        <v>197.0</v>
      </c>
      <c r="AL36" s="32" t="s">
        <v>3124</v>
      </c>
      <c r="AM36" s="32" t="s">
        <v>2792</v>
      </c>
      <c r="AN36" s="32" t="s">
        <v>3125</v>
      </c>
      <c r="AO36" s="32" t="s">
        <v>3126</v>
      </c>
      <c r="AP36" s="32" t="s">
        <v>3127</v>
      </c>
      <c r="AQ36" s="32" t="s">
        <v>1324</v>
      </c>
      <c r="AR36" s="32" t="s">
        <v>3128</v>
      </c>
      <c r="AS36" s="32" t="s">
        <v>3129</v>
      </c>
      <c r="AT36" s="32" t="s">
        <v>3130</v>
      </c>
      <c r="AU36" s="32">
        <v>2017.0</v>
      </c>
      <c r="AV36" s="32">
        <v>51.0</v>
      </c>
      <c r="AW36" s="32">
        <v>6.0</v>
      </c>
      <c r="AX36" s="32" t="s">
        <v>1324</v>
      </c>
      <c r="AY36" s="32" t="s">
        <v>1324</v>
      </c>
      <c r="AZ36" s="32" t="s">
        <v>1324</v>
      </c>
      <c r="BA36" s="32" t="s">
        <v>1324</v>
      </c>
      <c r="BB36" s="32">
        <v>3298.0</v>
      </c>
      <c r="BC36" s="32">
        <v>3306.0</v>
      </c>
      <c r="BD36" s="32" t="s">
        <v>1324</v>
      </c>
      <c r="BE36" s="32" t="s">
        <v>1845</v>
      </c>
      <c r="BF36" s="38" t="str">
        <f>HYPERLINK("http://dx.doi.org/10.1021/acs.est.6b05296","http://dx.doi.org/10.1021/acs.est.6b05296")</f>
        <v>http://dx.doi.org/10.1021/acs.est.6b05296</v>
      </c>
      <c r="BG36" s="32" t="s">
        <v>1324</v>
      </c>
      <c r="BH36" s="32" t="s">
        <v>1324</v>
      </c>
      <c r="BI36" s="32">
        <v>9.0</v>
      </c>
      <c r="BJ36" s="32" t="s">
        <v>511</v>
      </c>
      <c r="BK36" s="32" t="s">
        <v>2878</v>
      </c>
      <c r="BL36" s="32" t="s">
        <v>3131</v>
      </c>
      <c r="BM36" s="32" t="s">
        <v>3132</v>
      </c>
      <c r="BN36" s="32">
        <v>2.8072521E7</v>
      </c>
      <c r="BO36" s="32" t="s">
        <v>1324</v>
      </c>
      <c r="BP36" s="32" t="s">
        <v>1324</v>
      </c>
      <c r="BQ36" s="32" t="s">
        <v>1324</v>
      </c>
      <c r="BR36" s="32" t="s">
        <v>5268</v>
      </c>
      <c r="BS36" s="32" t="s">
        <v>3133</v>
      </c>
      <c r="BT36" s="32" t="str">
        <f>HYPERLINK("https%3A%2F%2Fwww.webofscience.com%2Fwos%2Fwoscc%2Ffull-record%2FWOS:000397477900021","View Full Record in Web of Science")</f>
        <v>View Full Record in Web of Science</v>
      </c>
    </row>
    <row r="37" ht="12.75" customHeight="1">
      <c r="A37" s="32" t="s">
        <v>26</v>
      </c>
      <c r="B37" s="32" t="s">
        <v>3134</v>
      </c>
      <c r="C37" s="32" t="s">
        <v>1324</v>
      </c>
      <c r="D37" s="32" t="s">
        <v>1324</v>
      </c>
      <c r="E37" s="32" t="s">
        <v>1324</v>
      </c>
      <c r="F37" s="32" t="s">
        <v>1698</v>
      </c>
      <c r="G37" s="32" t="s">
        <v>1324</v>
      </c>
      <c r="H37" s="32" t="s">
        <v>1324</v>
      </c>
      <c r="I37" s="32" t="s">
        <v>1700</v>
      </c>
      <c r="J37" s="32" t="s">
        <v>1699</v>
      </c>
      <c r="K37" s="32" t="s">
        <v>1324</v>
      </c>
      <c r="L37" s="32" t="s">
        <v>1324</v>
      </c>
      <c r="M37" s="32" t="s">
        <v>2364</v>
      </c>
      <c r="N37" s="32" t="s">
        <v>38</v>
      </c>
      <c r="O37" s="32" t="s">
        <v>1324</v>
      </c>
      <c r="P37" s="32" t="s">
        <v>1324</v>
      </c>
      <c r="Q37" s="32" t="s">
        <v>1324</v>
      </c>
      <c r="R37" s="32" t="s">
        <v>1324</v>
      </c>
      <c r="S37" s="32" t="s">
        <v>1324</v>
      </c>
      <c r="T37" s="32" t="s">
        <v>3135</v>
      </c>
      <c r="U37" s="32" t="s">
        <v>3136</v>
      </c>
      <c r="V37" s="32" t="s">
        <v>1701</v>
      </c>
      <c r="W37" s="32" t="s">
        <v>3137</v>
      </c>
      <c r="X37" s="32" t="s">
        <v>3138</v>
      </c>
      <c r="Y37" s="32" t="s">
        <v>3139</v>
      </c>
      <c r="Z37" s="32" t="s">
        <v>3140</v>
      </c>
      <c r="AA37" s="32" t="s">
        <v>3141</v>
      </c>
      <c r="AB37" s="32" t="s">
        <v>3142</v>
      </c>
      <c r="AC37" s="32" t="s">
        <v>3143</v>
      </c>
      <c r="AD37" s="32" t="s">
        <v>3144</v>
      </c>
      <c r="AE37" s="32" t="s">
        <v>3145</v>
      </c>
      <c r="AF37" s="32" t="s">
        <v>1324</v>
      </c>
      <c r="AG37" s="32">
        <v>25.0</v>
      </c>
      <c r="AH37" s="32">
        <v>67.0</v>
      </c>
      <c r="AI37" s="32">
        <v>79.0</v>
      </c>
      <c r="AJ37" s="32">
        <v>3.0</v>
      </c>
      <c r="AK37" s="32">
        <v>68.0</v>
      </c>
      <c r="AL37" s="32" t="s">
        <v>2464</v>
      </c>
      <c r="AM37" s="32" t="s">
        <v>2465</v>
      </c>
      <c r="AN37" s="32" t="s">
        <v>2466</v>
      </c>
      <c r="AO37" s="32" t="s">
        <v>3146</v>
      </c>
      <c r="AP37" s="32" t="s">
        <v>1324</v>
      </c>
      <c r="AQ37" s="32" t="s">
        <v>1324</v>
      </c>
      <c r="AR37" s="32" t="s">
        <v>3147</v>
      </c>
      <c r="AS37" s="32" t="s">
        <v>3148</v>
      </c>
      <c r="AT37" s="32" t="s">
        <v>3149</v>
      </c>
      <c r="AU37" s="32">
        <v>2017.0</v>
      </c>
      <c r="AV37" s="32">
        <v>10.0</v>
      </c>
      <c r="AW37" s="32">
        <v>2.0</v>
      </c>
      <c r="AX37" s="32" t="s">
        <v>1324</v>
      </c>
      <c r="AY37" s="32" t="s">
        <v>1324</v>
      </c>
      <c r="AZ37" s="32" t="s">
        <v>1324</v>
      </c>
      <c r="BA37" s="32" t="s">
        <v>1324</v>
      </c>
      <c r="BB37" s="32">
        <v>186.0</v>
      </c>
      <c r="BC37" s="32">
        <v>194.0</v>
      </c>
      <c r="BD37" s="32" t="s">
        <v>1324</v>
      </c>
      <c r="BE37" s="32" t="s">
        <v>1702</v>
      </c>
      <c r="BF37" s="38" t="str">
        <f>HYPERLINK("http://dx.doi.org/10.1111/conl.12258","http://dx.doi.org/10.1111/conl.12258")</f>
        <v>http://dx.doi.org/10.1111/conl.12258</v>
      </c>
      <c r="BG37" s="32" t="s">
        <v>1324</v>
      </c>
      <c r="BH37" s="32" t="s">
        <v>1324</v>
      </c>
      <c r="BI37" s="32">
        <v>9.0</v>
      </c>
      <c r="BJ37" s="32" t="s">
        <v>2712</v>
      </c>
      <c r="BK37" s="32" t="s">
        <v>2407</v>
      </c>
      <c r="BL37" s="32" t="s">
        <v>2713</v>
      </c>
      <c r="BM37" s="32" t="s">
        <v>3150</v>
      </c>
      <c r="BN37" s="32" t="s">
        <v>1324</v>
      </c>
      <c r="BO37" s="32" t="s">
        <v>2598</v>
      </c>
      <c r="BP37" s="32" t="s">
        <v>1324</v>
      </c>
      <c r="BQ37" s="32" t="s">
        <v>1324</v>
      </c>
      <c r="BR37" s="32" t="s">
        <v>5268</v>
      </c>
      <c r="BS37" s="32" t="s">
        <v>3151</v>
      </c>
      <c r="BT37" s="32" t="str">
        <f>HYPERLINK("https%3A%2F%2Fwww.webofscience.com%2Fwos%2Fwoscc%2Ffull-record%2FWOS:000398563500003","View Full Record in Web of Science")</f>
        <v>View Full Record in Web of Science</v>
      </c>
    </row>
    <row r="38" ht="12.75" customHeight="1">
      <c r="A38" s="32" t="s">
        <v>26</v>
      </c>
      <c r="B38" s="32" t="s">
        <v>3152</v>
      </c>
      <c r="C38" s="32" t="s">
        <v>1324</v>
      </c>
      <c r="D38" s="32" t="s">
        <v>1324</v>
      </c>
      <c r="E38" s="32" t="s">
        <v>1324</v>
      </c>
      <c r="F38" s="32" t="s">
        <v>2082</v>
      </c>
      <c r="G38" s="32" t="s">
        <v>1324</v>
      </c>
      <c r="H38" s="32" t="s">
        <v>1324</v>
      </c>
      <c r="I38" s="32" t="s">
        <v>2084</v>
      </c>
      <c r="J38" s="32" t="s">
        <v>2083</v>
      </c>
      <c r="K38" s="32" t="s">
        <v>1324</v>
      </c>
      <c r="L38" s="32" t="s">
        <v>1324</v>
      </c>
      <c r="M38" s="32" t="s">
        <v>2364</v>
      </c>
      <c r="N38" s="32" t="s">
        <v>38</v>
      </c>
      <c r="O38" s="32" t="s">
        <v>1324</v>
      </c>
      <c r="P38" s="32" t="s">
        <v>1324</v>
      </c>
      <c r="Q38" s="32" t="s">
        <v>1324</v>
      </c>
      <c r="R38" s="32" t="s">
        <v>1324</v>
      </c>
      <c r="S38" s="32" t="s">
        <v>1324</v>
      </c>
      <c r="T38" s="32" t="s">
        <v>3153</v>
      </c>
      <c r="U38" s="32" t="s">
        <v>3154</v>
      </c>
      <c r="V38" s="32" t="s">
        <v>3155</v>
      </c>
      <c r="W38" s="32" t="s">
        <v>3156</v>
      </c>
      <c r="X38" s="32" t="s">
        <v>3157</v>
      </c>
      <c r="Y38" s="32" t="s">
        <v>3158</v>
      </c>
      <c r="Z38" s="32" t="s">
        <v>3159</v>
      </c>
      <c r="AA38" s="32" t="s">
        <v>3160</v>
      </c>
      <c r="AB38" s="32" t="s">
        <v>3161</v>
      </c>
      <c r="AC38" s="32" t="s">
        <v>3162</v>
      </c>
      <c r="AD38" s="32" t="s">
        <v>3163</v>
      </c>
      <c r="AE38" s="32" t="s">
        <v>3164</v>
      </c>
      <c r="AF38" s="32" t="s">
        <v>1324</v>
      </c>
      <c r="AG38" s="32">
        <v>44.0</v>
      </c>
      <c r="AH38" s="32">
        <v>169.0</v>
      </c>
      <c r="AI38" s="32">
        <v>202.0</v>
      </c>
      <c r="AJ38" s="32">
        <v>13.0</v>
      </c>
      <c r="AK38" s="32">
        <v>338.0</v>
      </c>
      <c r="AL38" s="32" t="s">
        <v>2486</v>
      </c>
      <c r="AM38" s="32" t="s">
        <v>2487</v>
      </c>
      <c r="AN38" s="32" t="s">
        <v>2488</v>
      </c>
      <c r="AO38" s="32" t="s">
        <v>3165</v>
      </c>
      <c r="AP38" s="32" t="s">
        <v>3166</v>
      </c>
      <c r="AQ38" s="32" t="s">
        <v>1324</v>
      </c>
      <c r="AR38" s="32" t="s">
        <v>2083</v>
      </c>
      <c r="AS38" s="32" t="s">
        <v>3167</v>
      </c>
      <c r="AT38" s="32" t="s">
        <v>3168</v>
      </c>
      <c r="AU38" s="32">
        <v>2017.0</v>
      </c>
      <c r="AV38" s="32">
        <v>150.0</v>
      </c>
      <c r="AW38" s="32" t="s">
        <v>1324</v>
      </c>
      <c r="AX38" s="32" t="s">
        <v>1324</v>
      </c>
      <c r="AY38" s="32" t="s">
        <v>1324</v>
      </c>
      <c r="AZ38" s="32" t="s">
        <v>1324</v>
      </c>
      <c r="BA38" s="32" t="s">
        <v>1324</v>
      </c>
      <c r="BB38" s="32">
        <v>100.0</v>
      </c>
      <c r="BC38" s="32">
        <v>107.0</v>
      </c>
      <c r="BD38" s="32" t="s">
        <v>1324</v>
      </c>
      <c r="BE38" s="32" t="s">
        <v>2086</v>
      </c>
      <c r="BF38" s="38" t="str">
        <f>HYPERLINK("http://dx.doi.org/10.1016/j.catena.2016.11.014","http://dx.doi.org/10.1016/j.catena.2016.11.014")</f>
        <v>http://dx.doi.org/10.1016/j.catena.2016.11.014</v>
      </c>
      <c r="BG38" s="32" t="s">
        <v>1324</v>
      </c>
      <c r="BH38" s="32" t="s">
        <v>1324</v>
      </c>
      <c r="BI38" s="32">
        <v>8.0</v>
      </c>
      <c r="BJ38" s="32" t="s">
        <v>3169</v>
      </c>
      <c r="BK38" s="32" t="s">
        <v>2407</v>
      </c>
      <c r="BL38" s="32" t="s">
        <v>3170</v>
      </c>
      <c r="BM38" s="32" t="s">
        <v>3171</v>
      </c>
      <c r="BN38" s="32" t="s">
        <v>1324</v>
      </c>
      <c r="BO38" s="32" t="s">
        <v>2736</v>
      </c>
      <c r="BP38" s="32" t="s">
        <v>1324</v>
      </c>
      <c r="BQ38" s="32" t="s">
        <v>1324</v>
      </c>
      <c r="BR38" s="32" t="s">
        <v>5268</v>
      </c>
      <c r="BS38" s="32" t="s">
        <v>3172</v>
      </c>
      <c r="BT38" s="32" t="str">
        <f>HYPERLINK("https%3A%2F%2Fwww.webofscience.com%2Fwos%2Fwoscc%2Ffull-record%2FWOS:000392686000012","View Full Record in Web of Science")</f>
        <v>View Full Record in Web of Science</v>
      </c>
    </row>
    <row r="39" ht="12.75" customHeight="1">
      <c r="A39" s="32" t="s">
        <v>26</v>
      </c>
      <c r="B39" s="32" t="s">
        <v>3173</v>
      </c>
      <c r="C39" s="32" t="s">
        <v>1324</v>
      </c>
      <c r="D39" s="32" t="s">
        <v>1324</v>
      </c>
      <c r="E39" s="32" t="s">
        <v>1324</v>
      </c>
      <c r="F39" s="32" t="s">
        <v>1768</v>
      </c>
      <c r="G39" s="32" t="s">
        <v>1324</v>
      </c>
      <c r="H39" s="32" t="s">
        <v>1324</v>
      </c>
      <c r="I39" s="32" t="s">
        <v>1770</v>
      </c>
      <c r="J39" s="32" t="s">
        <v>1769</v>
      </c>
      <c r="K39" s="32" t="s">
        <v>1324</v>
      </c>
      <c r="L39" s="32" t="s">
        <v>1324</v>
      </c>
      <c r="M39" s="32" t="s">
        <v>2364</v>
      </c>
      <c r="N39" s="32" t="s">
        <v>38</v>
      </c>
      <c r="O39" s="32" t="s">
        <v>1324</v>
      </c>
      <c r="P39" s="32" t="s">
        <v>1324</v>
      </c>
      <c r="Q39" s="32" t="s">
        <v>1324</v>
      </c>
      <c r="R39" s="32" t="s">
        <v>1324</v>
      </c>
      <c r="S39" s="32" t="s">
        <v>1324</v>
      </c>
      <c r="T39" s="32" t="s">
        <v>3174</v>
      </c>
      <c r="U39" s="32" t="s">
        <v>3175</v>
      </c>
      <c r="V39" s="32" t="s">
        <v>1771</v>
      </c>
      <c r="W39" s="32" t="s">
        <v>3176</v>
      </c>
      <c r="X39" s="32" t="s">
        <v>1324</v>
      </c>
      <c r="Y39" s="32" t="s">
        <v>3177</v>
      </c>
      <c r="Z39" s="32" t="s">
        <v>3178</v>
      </c>
      <c r="AA39" s="32" t="s">
        <v>1324</v>
      </c>
      <c r="AB39" s="32" t="s">
        <v>1324</v>
      </c>
      <c r="AC39" s="32" t="s">
        <v>3179</v>
      </c>
      <c r="AD39" s="32" t="s">
        <v>3179</v>
      </c>
      <c r="AE39" s="32" t="s">
        <v>3180</v>
      </c>
      <c r="AF39" s="32" t="s">
        <v>1324</v>
      </c>
      <c r="AG39" s="32">
        <v>72.0</v>
      </c>
      <c r="AH39" s="32">
        <v>12.0</v>
      </c>
      <c r="AI39" s="32">
        <v>12.0</v>
      </c>
      <c r="AJ39" s="32">
        <v>1.0</v>
      </c>
      <c r="AK39" s="32">
        <v>34.0</v>
      </c>
      <c r="AL39" s="32" t="s">
        <v>3181</v>
      </c>
      <c r="AM39" s="32" t="s">
        <v>3182</v>
      </c>
      <c r="AN39" s="32" t="s">
        <v>3183</v>
      </c>
      <c r="AO39" s="32" t="s">
        <v>3184</v>
      </c>
      <c r="AP39" s="32" t="s">
        <v>3185</v>
      </c>
      <c r="AQ39" s="32" t="s">
        <v>1324</v>
      </c>
      <c r="AR39" s="32" t="s">
        <v>3186</v>
      </c>
      <c r="AS39" s="32" t="s">
        <v>3187</v>
      </c>
      <c r="AT39" s="32" t="s">
        <v>1324</v>
      </c>
      <c r="AU39" s="32">
        <v>2017.0</v>
      </c>
      <c r="AV39" s="32">
        <v>32.0</v>
      </c>
      <c r="AW39" s="32">
        <v>1.0</v>
      </c>
      <c r="AX39" s="32" t="s">
        <v>1324</v>
      </c>
      <c r="AY39" s="32" t="s">
        <v>1324</v>
      </c>
      <c r="AZ39" s="32" t="s">
        <v>1324</v>
      </c>
      <c r="BA39" s="32" t="s">
        <v>1324</v>
      </c>
      <c r="BB39" s="32">
        <v>433.0</v>
      </c>
      <c r="BC39" s="32">
        <v>453.0</v>
      </c>
      <c r="BD39" s="32" t="s">
        <v>1324</v>
      </c>
      <c r="BE39" s="32" t="s">
        <v>1772</v>
      </c>
      <c r="BF39" s="38" t="str">
        <f>HYPERLINK("http://dx.doi.org/10.1080/02705060.2017.1319431","http://dx.doi.org/10.1080/02705060.2017.1319431")</f>
        <v>http://dx.doi.org/10.1080/02705060.2017.1319431</v>
      </c>
      <c r="BG39" s="32" t="s">
        <v>1324</v>
      </c>
      <c r="BH39" s="32" t="s">
        <v>1324</v>
      </c>
      <c r="BI39" s="32">
        <v>21.0</v>
      </c>
      <c r="BJ39" s="32" t="s">
        <v>3188</v>
      </c>
      <c r="BK39" s="32" t="s">
        <v>2407</v>
      </c>
      <c r="BL39" s="32" t="s">
        <v>2516</v>
      </c>
      <c r="BM39" s="32" t="s">
        <v>3189</v>
      </c>
      <c r="BN39" s="32" t="s">
        <v>1324</v>
      </c>
      <c r="BO39" s="32" t="s">
        <v>2410</v>
      </c>
      <c r="BP39" s="32" t="s">
        <v>1324</v>
      </c>
      <c r="BQ39" s="32" t="s">
        <v>1324</v>
      </c>
      <c r="BR39" s="32" t="s">
        <v>5268</v>
      </c>
      <c r="BS39" s="32" t="s">
        <v>3190</v>
      </c>
      <c r="BT39" s="32" t="str">
        <f>HYPERLINK("https%3A%2F%2Fwww.webofscience.com%2Fwos%2Fwoscc%2Ffull-record%2FWOS:000401719600004","View Full Record in Web of Science")</f>
        <v>View Full Record in Web of Science</v>
      </c>
    </row>
    <row r="40" ht="12.75" customHeight="1">
      <c r="A40" s="32" t="s">
        <v>26</v>
      </c>
      <c r="B40" s="32" t="s">
        <v>3191</v>
      </c>
      <c r="C40" s="32" t="s">
        <v>1324</v>
      </c>
      <c r="D40" s="32" t="s">
        <v>1324</v>
      </c>
      <c r="E40" s="32" t="s">
        <v>1324</v>
      </c>
      <c r="F40" s="32" t="s">
        <v>1557</v>
      </c>
      <c r="G40" s="32" t="s">
        <v>1324</v>
      </c>
      <c r="H40" s="32" t="s">
        <v>1324</v>
      </c>
      <c r="I40" s="32" t="s">
        <v>1559</v>
      </c>
      <c r="J40" s="32" t="s">
        <v>1558</v>
      </c>
      <c r="K40" s="32" t="s">
        <v>1324</v>
      </c>
      <c r="L40" s="32" t="s">
        <v>1324</v>
      </c>
      <c r="M40" s="32" t="s">
        <v>2364</v>
      </c>
      <c r="N40" s="32" t="s">
        <v>38</v>
      </c>
      <c r="O40" s="32" t="s">
        <v>1324</v>
      </c>
      <c r="P40" s="32" t="s">
        <v>1324</v>
      </c>
      <c r="Q40" s="32" t="s">
        <v>1324</v>
      </c>
      <c r="R40" s="32" t="s">
        <v>1324</v>
      </c>
      <c r="S40" s="32" t="s">
        <v>1324</v>
      </c>
      <c r="T40" s="32" t="s">
        <v>3192</v>
      </c>
      <c r="U40" s="32" t="s">
        <v>3193</v>
      </c>
      <c r="V40" s="32" t="s">
        <v>3194</v>
      </c>
      <c r="W40" s="32" t="s">
        <v>3195</v>
      </c>
      <c r="X40" s="32" t="s">
        <v>3196</v>
      </c>
      <c r="Y40" s="32" t="s">
        <v>3197</v>
      </c>
      <c r="Z40" s="32" t="s">
        <v>3198</v>
      </c>
      <c r="AA40" s="32" t="s">
        <v>5311</v>
      </c>
      <c r="AB40" s="32" t="s">
        <v>5312</v>
      </c>
      <c r="AC40" s="32" t="s">
        <v>3201</v>
      </c>
      <c r="AD40" s="32" t="s">
        <v>3202</v>
      </c>
      <c r="AE40" s="32" t="s">
        <v>3203</v>
      </c>
      <c r="AF40" s="32" t="s">
        <v>1324</v>
      </c>
      <c r="AG40" s="32">
        <v>67.0</v>
      </c>
      <c r="AH40" s="32">
        <v>36.0</v>
      </c>
      <c r="AI40" s="32">
        <v>39.0</v>
      </c>
      <c r="AJ40" s="32">
        <v>1.0</v>
      </c>
      <c r="AK40" s="32">
        <v>51.0</v>
      </c>
      <c r="AL40" s="32" t="s">
        <v>2464</v>
      </c>
      <c r="AM40" s="32" t="s">
        <v>2465</v>
      </c>
      <c r="AN40" s="32" t="s">
        <v>2466</v>
      </c>
      <c r="AO40" s="32" t="s">
        <v>3204</v>
      </c>
      <c r="AP40" s="32" t="s">
        <v>3205</v>
      </c>
      <c r="AQ40" s="32" t="s">
        <v>1324</v>
      </c>
      <c r="AR40" s="32" t="s">
        <v>3206</v>
      </c>
      <c r="AS40" s="32" t="s">
        <v>3207</v>
      </c>
      <c r="AT40" s="32" t="s">
        <v>3208</v>
      </c>
      <c r="AU40" s="32">
        <v>2017.0</v>
      </c>
      <c r="AV40" s="32">
        <v>44.0</v>
      </c>
      <c r="AW40" s="32">
        <v>1.0</v>
      </c>
      <c r="AX40" s="32" t="s">
        <v>1324</v>
      </c>
      <c r="AY40" s="32" t="s">
        <v>1324</v>
      </c>
      <c r="AZ40" s="32" t="s">
        <v>1324</v>
      </c>
      <c r="BA40" s="32" t="s">
        <v>1324</v>
      </c>
      <c r="BB40" s="32">
        <v>111.0</v>
      </c>
      <c r="BC40" s="32">
        <v>121.0</v>
      </c>
      <c r="BD40" s="32" t="s">
        <v>1324</v>
      </c>
      <c r="BE40" s="32" t="s">
        <v>1561</v>
      </c>
      <c r="BF40" s="38" t="str">
        <f>HYPERLINK("http://dx.doi.org/10.1111/jbi.12808","http://dx.doi.org/10.1111/jbi.12808")</f>
        <v>http://dx.doi.org/10.1111/jbi.12808</v>
      </c>
      <c r="BG40" s="32" t="s">
        <v>1324</v>
      </c>
      <c r="BH40" s="32" t="s">
        <v>1324</v>
      </c>
      <c r="BI40" s="32">
        <v>11.0</v>
      </c>
      <c r="BJ40" s="32" t="s">
        <v>1257</v>
      </c>
      <c r="BK40" s="32" t="s">
        <v>2407</v>
      </c>
      <c r="BL40" s="32" t="s">
        <v>2840</v>
      </c>
      <c r="BM40" s="32" t="s">
        <v>3209</v>
      </c>
      <c r="BN40" s="32" t="s">
        <v>1324</v>
      </c>
      <c r="BO40" s="32" t="s">
        <v>1324</v>
      </c>
      <c r="BP40" s="32" t="s">
        <v>1324</v>
      </c>
      <c r="BQ40" s="32" t="s">
        <v>1324</v>
      </c>
      <c r="BR40" s="32" t="s">
        <v>5268</v>
      </c>
      <c r="BS40" s="32" t="s">
        <v>3210</v>
      </c>
      <c r="BT40" s="32" t="str">
        <f>HYPERLINK("https%3A%2F%2Fwww.webofscience.com%2Fwos%2Fwoscc%2Ffull-record%2FWOS:000391956900011","View Full Record in Web of Science")</f>
        <v>View Full Record in Web of Science</v>
      </c>
    </row>
    <row r="41" ht="12.75" customHeight="1">
      <c r="A41" s="32" t="s">
        <v>26</v>
      </c>
      <c r="B41" s="32" t="s">
        <v>3211</v>
      </c>
      <c r="C41" s="32" t="s">
        <v>1324</v>
      </c>
      <c r="D41" s="32" t="s">
        <v>1324</v>
      </c>
      <c r="E41" s="32" t="s">
        <v>1324</v>
      </c>
      <c r="F41" s="32" t="s">
        <v>1914</v>
      </c>
      <c r="G41" s="32" t="s">
        <v>1324</v>
      </c>
      <c r="H41" s="32" t="s">
        <v>1324</v>
      </c>
      <c r="I41" s="32" t="s">
        <v>1915</v>
      </c>
      <c r="J41" s="32" t="s">
        <v>64</v>
      </c>
      <c r="K41" s="32" t="s">
        <v>1324</v>
      </c>
      <c r="L41" s="32" t="s">
        <v>1324</v>
      </c>
      <c r="M41" s="32" t="s">
        <v>2364</v>
      </c>
      <c r="N41" s="32" t="s">
        <v>38</v>
      </c>
      <c r="O41" s="32" t="s">
        <v>1324</v>
      </c>
      <c r="P41" s="32" t="s">
        <v>1324</v>
      </c>
      <c r="Q41" s="32" t="s">
        <v>1324</v>
      </c>
      <c r="R41" s="32" t="s">
        <v>1324</v>
      </c>
      <c r="S41" s="32" t="s">
        <v>1324</v>
      </c>
      <c r="T41" s="32" t="s">
        <v>3212</v>
      </c>
      <c r="U41" s="32" t="s">
        <v>3213</v>
      </c>
      <c r="V41" s="32" t="s">
        <v>1916</v>
      </c>
      <c r="W41" s="32" t="s">
        <v>3214</v>
      </c>
      <c r="X41" s="32" t="s">
        <v>3215</v>
      </c>
      <c r="Y41" s="32" t="s">
        <v>3216</v>
      </c>
      <c r="Z41" s="32" t="s">
        <v>3217</v>
      </c>
      <c r="AA41" s="32" t="s">
        <v>3218</v>
      </c>
      <c r="AB41" s="32" t="s">
        <v>3219</v>
      </c>
      <c r="AC41" s="32" t="s">
        <v>3220</v>
      </c>
      <c r="AD41" s="32" t="s">
        <v>3221</v>
      </c>
      <c r="AE41" s="32" t="s">
        <v>3222</v>
      </c>
      <c r="AF41" s="32" t="s">
        <v>1324</v>
      </c>
      <c r="AG41" s="32">
        <v>40.0</v>
      </c>
      <c r="AH41" s="32">
        <v>13.0</v>
      </c>
      <c r="AI41" s="32">
        <v>13.0</v>
      </c>
      <c r="AJ41" s="32">
        <v>3.0</v>
      </c>
      <c r="AK41" s="32">
        <v>58.0</v>
      </c>
      <c r="AL41" s="32" t="s">
        <v>2486</v>
      </c>
      <c r="AM41" s="32" t="s">
        <v>2487</v>
      </c>
      <c r="AN41" s="32" t="s">
        <v>2488</v>
      </c>
      <c r="AO41" s="32" t="s">
        <v>3045</v>
      </c>
      <c r="AP41" s="32" t="s">
        <v>3046</v>
      </c>
      <c r="AQ41" s="32" t="s">
        <v>1324</v>
      </c>
      <c r="AR41" s="32" t="s">
        <v>3047</v>
      </c>
      <c r="AS41" s="32" t="s">
        <v>3048</v>
      </c>
      <c r="AT41" s="32" t="s">
        <v>3223</v>
      </c>
      <c r="AU41" s="32">
        <v>2016.0</v>
      </c>
      <c r="AV41" s="32">
        <v>572.0</v>
      </c>
      <c r="AW41" s="32" t="s">
        <v>1324</v>
      </c>
      <c r="AX41" s="32" t="s">
        <v>1324</v>
      </c>
      <c r="AY41" s="32" t="s">
        <v>1324</v>
      </c>
      <c r="AZ41" s="32" t="s">
        <v>1324</v>
      </c>
      <c r="BA41" s="32" t="s">
        <v>1324</v>
      </c>
      <c r="BB41" s="32">
        <v>1485.0</v>
      </c>
      <c r="BC41" s="32">
        <v>1495.0</v>
      </c>
      <c r="BD41" s="32" t="s">
        <v>1324</v>
      </c>
      <c r="BE41" s="32" t="s">
        <v>1917</v>
      </c>
      <c r="BF41" s="38" t="str">
        <f>HYPERLINK("http://dx.doi.org/10.1016/j.scitotenv.2016.03.055","http://dx.doi.org/10.1016/j.scitotenv.2016.03.055")</f>
        <v>http://dx.doi.org/10.1016/j.scitotenv.2016.03.055</v>
      </c>
      <c r="BG41" s="32" t="s">
        <v>1324</v>
      </c>
      <c r="BH41" s="32" t="s">
        <v>1324</v>
      </c>
      <c r="BI41" s="32">
        <v>11.0</v>
      </c>
      <c r="BJ41" s="32" t="s">
        <v>68</v>
      </c>
      <c r="BK41" s="32" t="s">
        <v>2407</v>
      </c>
      <c r="BL41" s="32" t="s">
        <v>2472</v>
      </c>
      <c r="BM41" s="32" t="s">
        <v>3224</v>
      </c>
      <c r="BN41" s="32">
        <v>2.7012185E7</v>
      </c>
      <c r="BO41" s="32" t="s">
        <v>3225</v>
      </c>
      <c r="BP41" s="32" t="s">
        <v>1324</v>
      </c>
      <c r="BQ41" s="32" t="s">
        <v>1324</v>
      </c>
      <c r="BR41" s="32" t="s">
        <v>5268</v>
      </c>
      <c r="BS41" s="32" t="s">
        <v>3226</v>
      </c>
      <c r="BT41" s="32" t="str">
        <f>HYPERLINK("https%3A%2F%2Fwww.webofscience.com%2Fwos%2Fwoscc%2Ffull-record%2FWOS:000387807200143","View Full Record in Web of Science")</f>
        <v>View Full Record in Web of Science</v>
      </c>
    </row>
    <row r="42" ht="12.75" customHeight="1">
      <c r="A42" s="32" t="s">
        <v>26</v>
      </c>
      <c r="B42" s="32" t="s">
        <v>3227</v>
      </c>
      <c r="C42" s="32" t="s">
        <v>1324</v>
      </c>
      <c r="D42" s="32" t="s">
        <v>1324</v>
      </c>
      <c r="E42" s="32" t="s">
        <v>1324</v>
      </c>
      <c r="F42" s="32" t="s">
        <v>1389</v>
      </c>
      <c r="G42" s="32" t="s">
        <v>1324</v>
      </c>
      <c r="H42" s="32" t="s">
        <v>1324</v>
      </c>
      <c r="I42" s="32" t="s">
        <v>1391</v>
      </c>
      <c r="J42" s="32" t="s">
        <v>1390</v>
      </c>
      <c r="K42" s="32" t="s">
        <v>1324</v>
      </c>
      <c r="L42" s="32" t="s">
        <v>1324</v>
      </c>
      <c r="M42" s="32" t="s">
        <v>2364</v>
      </c>
      <c r="N42" s="32" t="s">
        <v>38</v>
      </c>
      <c r="O42" s="32" t="s">
        <v>1324</v>
      </c>
      <c r="P42" s="32" t="s">
        <v>1324</v>
      </c>
      <c r="Q42" s="32" t="s">
        <v>1324</v>
      </c>
      <c r="R42" s="32" t="s">
        <v>1324</v>
      </c>
      <c r="S42" s="32" t="s">
        <v>1324</v>
      </c>
      <c r="T42" s="32" t="s">
        <v>3228</v>
      </c>
      <c r="U42" s="32" t="s">
        <v>3229</v>
      </c>
      <c r="V42" s="32" t="s">
        <v>1392</v>
      </c>
      <c r="W42" s="32" t="s">
        <v>3230</v>
      </c>
      <c r="X42" s="32" t="s">
        <v>3231</v>
      </c>
      <c r="Y42" s="32" t="s">
        <v>3232</v>
      </c>
      <c r="Z42" s="32" t="s">
        <v>3233</v>
      </c>
      <c r="AA42" s="32" t="s">
        <v>5313</v>
      </c>
      <c r="AB42" s="32" t="s">
        <v>5314</v>
      </c>
      <c r="AC42" s="32" t="s">
        <v>1324</v>
      </c>
      <c r="AD42" s="32" t="s">
        <v>1324</v>
      </c>
      <c r="AE42" s="32" t="s">
        <v>1324</v>
      </c>
      <c r="AF42" s="32" t="s">
        <v>1324</v>
      </c>
      <c r="AG42" s="32">
        <v>70.0</v>
      </c>
      <c r="AH42" s="32">
        <v>81.0</v>
      </c>
      <c r="AI42" s="32">
        <v>87.0</v>
      </c>
      <c r="AJ42" s="32">
        <v>3.0</v>
      </c>
      <c r="AK42" s="32">
        <v>106.0</v>
      </c>
      <c r="AL42" s="32" t="s">
        <v>3063</v>
      </c>
      <c r="AM42" s="32" t="s">
        <v>3064</v>
      </c>
      <c r="AN42" s="32" t="s">
        <v>3065</v>
      </c>
      <c r="AO42" s="32" t="s">
        <v>1324</v>
      </c>
      <c r="AP42" s="32" t="s">
        <v>3236</v>
      </c>
      <c r="AQ42" s="32" t="s">
        <v>1324</v>
      </c>
      <c r="AR42" s="32" t="s">
        <v>1390</v>
      </c>
      <c r="AS42" s="32" t="s">
        <v>3237</v>
      </c>
      <c r="AT42" s="32" t="s">
        <v>2908</v>
      </c>
      <c r="AU42" s="32">
        <v>2016.0</v>
      </c>
      <c r="AV42" s="32">
        <v>7.0</v>
      </c>
      <c r="AW42" s="32">
        <v>12.0</v>
      </c>
      <c r="AX42" s="32" t="s">
        <v>1324</v>
      </c>
      <c r="AY42" s="32" t="s">
        <v>1324</v>
      </c>
      <c r="AZ42" s="32" t="s">
        <v>1324</v>
      </c>
      <c r="BA42" s="32" t="s">
        <v>1324</v>
      </c>
      <c r="BB42" s="32" t="s">
        <v>1324</v>
      </c>
      <c r="BC42" s="32" t="s">
        <v>1324</v>
      </c>
      <c r="BD42" s="32">
        <v>305.0</v>
      </c>
      <c r="BE42" s="32" t="s">
        <v>1393</v>
      </c>
      <c r="BF42" s="38" t="str">
        <f>HYPERLINK("http://dx.doi.org/10.3390/f7120305","http://dx.doi.org/10.3390/f7120305")</f>
        <v>http://dx.doi.org/10.3390/f7120305</v>
      </c>
      <c r="BG42" s="32" t="s">
        <v>1324</v>
      </c>
      <c r="BH42" s="32" t="s">
        <v>1324</v>
      </c>
      <c r="BI42" s="32">
        <v>17.0</v>
      </c>
      <c r="BJ42" s="32" t="s">
        <v>2494</v>
      </c>
      <c r="BK42" s="32" t="s">
        <v>2407</v>
      </c>
      <c r="BL42" s="32" t="s">
        <v>2494</v>
      </c>
      <c r="BM42" s="32" t="s">
        <v>3238</v>
      </c>
      <c r="BN42" s="32" t="s">
        <v>1324</v>
      </c>
      <c r="BO42" s="32" t="s">
        <v>2410</v>
      </c>
      <c r="BP42" s="32" t="s">
        <v>1324</v>
      </c>
      <c r="BQ42" s="32" t="s">
        <v>1324</v>
      </c>
      <c r="BR42" s="32" t="s">
        <v>5268</v>
      </c>
      <c r="BS42" s="32" t="s">
        <v>3239</v>
      </c>
      <c r="BT42" s="32" t="str">
        <f>HYPERLINK("https%3A%2F%2Fwww.webofscience.com%2Fwos%2Fwoscc%2Ffull-record%2FWOS:000393327700005","View Full Record in Web of Science")</f>
        <v>View Full Record in Web of Science</v>
      </c>
    </row>
    <row r="43" ht="12.75" customHeight="1">
      <c r="A43" s="32" t="s">
        <v>26</v>
      </c>
      <c r="B43" s="32" t="s">
        <v>3240</v>
      </c>
      <c r="C43" s="32" t="s">
        <v>1324</v>
      </c>
      <c r="D43" s="32" t="s">
        <v>1324</v>
      </c>
      <c r="E43" s="32" t="s">
        <v>1324</v>
      </c>
      <c r="F43" s="32" t="s">
        <v>2205</v>
      </c>
      <c r="G43" s="32" t="s">
        <v>1324</v>
      </c>
      <c r="H43" s="32" t="s">
        <v>1324</v>
      </c>
      <c r="I43" s="32" t="s">
        <v>2206</v>
      </c>
      <c r="J43" s="32" t="s">
        <v>1824</v>
      </c>
      <c r="K43" s="32" t="s">
        <v>1324</v>
      </c>
      <c r="L43" s="32" t="s">
        <v>1324</v>
      </c>
      <c r="M43" s="32" t="s">
        <v>2364</v>
      </c>
      <c r="N43" s="32" t="s">
        <v>38</v>
      </c>
      <c r="O43" s="32" t="s">
        <v>1324</v>
      </c>
      <c r="P43" s="32" t="s">
        <v>1324</v>
      </c>
      <c r="Q43" s="32" t="s">
        <v>1324</v>
      </c>
      <c r="R43" s="32" t="s">
        <v>1324</v>
      </c>
      <c r="S43" s="32" t="s">
        <v>1324</v>
      </c>
      <c r="T43" s="32" t="s">
        <v>3241</v>
      </c>
      <c r="U43" s="32" t="s">
        <v>3242</v>
      </c>
      <c r="V43" s="32" t="s">
        <v>3243</v>
      </c>
      <c r="W43" s="32" t="s">
        <v>3244</v>
      </c>
      <c r="X43" s="32" t="s">
        <v>3245</v>
      </c>
      <c r="Y43" s="32" t="s">
        <v>3246</v>
      </c>
      <c r="Z43" s="32" t="s">
        <v>3247</v>
      </c>
      <c r="AA43" s="32" t="s">
        <v>5315</v>
      </c>
      <c r="AB43" s="32" t="s">
        <v>5316</v>
      </c>
      <c r="AC43" s="32" t="s">
        <v>1324</v>
      </c>
      <c r="AD43" s="32" t="s">
        <v>1324</v>
      </c>
      <c r="AE43" s="32" t="s">
        <v>1324</v>
      </c>
      <c r="AF43" s="32" t="s">
        <v>1324</v>
      </c>
      <c r="AG43" s="32">
        <v>118.0</v>
      </c>
      <c r="AH43" s="32">
        <v>40.0</v>
      </c>
      <c r="AI43" s="32">
        <v>55.0</v>
      </c>
      <c r="AJ43" s="32">
        <v>5.0</v>
      </c>
      <c r="AK43" s="32">
        <v>70.0</v>
      </c>
      <c r="AL43" s="32" t="s">
        <v>3250</v>
      </c>
      <c r="AM43" s="32" t="s">
        <v>3251</v>
      </c>
      <c r="AN43" s="32" t="s">
        <v>3252</v>
      </c>
      <c r="AO43" s="32" t="s">
        <v>3253</v>
      </c>
      <c r="AP43" s="32" t="s">
        <v>3254</v>
      </c>
      <c r="AQ43" s="32" t="s">
        <v>1324</v>
      </c>
      <c r="AR43" s="32" t="s">
        <v>3255</v>
      </c>
      <c r="AS43" s="32" t="s">
        <v>3256</v>
      </c>
      <c r="AT43" s="32" t="s">
        <v>2927</v>
      </c>
      <c r="AU43" s="32">
        <v>2016.0</v>
      </c>
      <c r="AV43" s="32">
        <v>25.0</v>
      </c>
      <c r="AW43" s="32">
        <v>12.0</v>
      </c>
      <c r="AX43" s="32" t="s">
        <v>1324</v>
      </c>
      <c r="AY43" s="32" t="s">
        <v>1324</v>
      </c>
      <c r="AZ43" s="32" t="s">
        <v>3257</v>
      </c>
      <c r="BA43" s="32" t="s">
        <v>1324</v>
      </c>
      <c r="BB43" s="32">
        <v>2491.0</v>
      </c>
      <c r="BC43" s="32">
        <v>2519.0</v>
      </c>
      <c r="BD43" s="32" t="s">
        <v>1324</v>
      </c>
      <c r="BE43" s="32" t="s">
        <v>2208</v>
      </c>
      <c r="BF43" s="38" t="str">
        <f>HYPERLINK("http://dx.doi.org/10.1007/s10531-016-1172-0","http://dx.doi.org/10.1007/s10531-016-1172-0")</f>
        <v>http://dx.doi.org/10.1007/s10531-016-1172-0</v>
      </c>
      <c r="BG43" s="32" t="s">
        <v>1324</v>
      </c>
      <c r="BH43" s="32" t="s">
        <v>1324</v>
      </c>
      <c r="BI43" s="32">
        <v>29.0</v>
      </c>
      <c r="BJ43" s="32" t="s">
        <v>255</v>
      </c>
      <c r="BK43" s="32" t="s">
        <v>2407</v>
      </c>
      <c r="BL43" s="32" t="s">
        <v>2577</v>
      </c>
      <c r="BM43" s="32" t="s">
        <v>3258</v>
      </c>
      <c r="BN43" s="32" t="s">
        <v>1324</v>
      </c>
      <c r="BO43" s="32" t="s">
        <v>2474</v>
      </c>
      <c r="BP43" s="32" t="s">
        <v>1324</v>
      </c>
      <c r="BQ43" s="32" t="s">
        <v>1324</v>
      </c>
      <c r="BR43" s="32" t="s">
        <v>5268</v>
      </c>
      <c r="BS43" s="32" t="s">
        <v>3259</v>
      </c>
      <c r="BT43" s="32" t="str">
        <f>HYPERLINK("https%3A%2F%2Fwww.webofscience.com%2Fwos%2Fwoscc%2Ffull-record%2FWOS:000386500700016","View Full Record in Web of Science")</f>
        <v>View Full Record in Web of Science</v>
      </c>
    </row>
    <row r="44" ht="12.75" customHeight="1">
      <c r="A44" s="32" t="s">
        <v>26</v>
      </c>
      <c r="B44" s="32" t="s">
        <v>3260</v>
      </c>
      <c r="C44" s="32" t="s">
        <v>1324</v>
      </c>
      <c r="D44" s="32" t="s">
        <v>1324</v>
      </c>
      <c r="E44" s="32" t="s">
        <v>1324</v>
      </c>
      <c r="F44" s="32" t="s">
        <v>1924</v>
      </c>
      <c r="G44" s="32" t="s">
        <v>1324</v>
      </c>
      <c r="H44" s="32" t="s">
        <v>1324</v>
      </c>
      <c r="I44" s="32" t="s">
        <v>1926</v>
      </c>
      <c r="J44" s="32" t="s">
        <v>1925</v>
      </c>
      <c r="K44" s="32" t="s">
        <v>1324</v>
      </c>
      <c r="L44" s="32" t="s">
        <v>1324</v>
      </c>
      <c r="M44" s="32" t="s">
        <v>2364</v>
      </c>
      <c r="N44" s="32" t="s">
        <v>38</v>
      </c>
      <c r="O44" s="32" t="s">
        <v>1324</v>
      </c>
      <c r="P44" s="32" t="s">
        <v>1324</v>
      </c>
      <c r="Q44" s="32" t="s">
        <v>1324</v>
      </c>
      <c r="R44" s="32" t="s">
        <v>1324</v>
      </c>
      <c r="S44" s="32" t="s">
        <v>1324</v>
      </c>
      <c r="T44" s="32" t="s">
        <v>3261</v>
      </c>
      <c r="U44" s="32" t="s">
        <v>3262</v>
      </c>
      <c r="V44" s="32" t="s">
        <v>1927</v>
      </c>
      <c r="W44" s="32" t="s">
        <v>3263</v>
      </c>
      <c r="X44" s="32" t="s">
        <v>3264</v>
      </c>
      <c r="Y44" s="32" t="s">
        <v>3265</v>
      </c>
      <c r="Z44" s="32" t="s">
        <v>3266</v>
      </c>
      <c r="AA44" s="32" t="s">
        <v>5317</v>
      </c>
      <c r="AB44" s="32" t="s">
        <v>5318</v>
      </c>
      <c r="AC44" s="32" t="s">
        <v>3269</v>
      </c>
      <c r="AD44" s="32" t="s">
        <v>3270</v>
      </c>
      <c r="AE44" s="32" t="s">
        <v>3271</v>
      </c>
      <c r="AF44" s="32" t="s">
        <v>1324</v>
      </c>
      <c r="AG44" s="32">
        <v>169.0</v>
      </c>
      <c r="AH44" s="32">
        <v>65.0</v>
      </c>
      <c r="AI44" s="32">
        <v>70.0</v>
      </c>
      <c r="AJ44" s="32">
        <v>9.0</v>
      </c>
      <c r="AK44" s="32">
        <v>91.0</v>
      </c>
      <c r="AL44" s="32" t="s">
        <v>3043</v>
      </c>
      <c r="AM44" s="32" t="s">
        <v>2487</v>
      </c>
      <c r="AN44" s="32" t="s">
        <v>3044</v>
      </c>
      <c r="AO44" s="32" t="s">
        <v>3272</v>
      </c>
      <c r="AP44" s="32" t="s">
        <v>1324</v>
      </c>
      <c r="AQ44" s="32" t="s">
        <v>1324</v>
      </c>
      <c r="AR44" s="32" t="s">
        <v>3273</v>
      </c>
      <c r="AS44" s="32" t="s">
        <v>3274</v>
      </c>
      <c r="AT44" s="32" t="s">
        <v>2927</v>
      </c>
      <c r="AU44" s="32">
        <v>2016.0</v>
      </c>
      <c r="AV44" s="32">
        <v>8.0</v>
      </c>
      <c r="AW44" s="32" t="s">
        <v>1324</v>
      </c>
      <c r="AX44" s="32">
        <v>2.0</v>
      </c>
      <c r="AY44" s="32" t="s">
        <v>1324</v>
      </c>
      <c r="AZ44" s="32" t="s">
        <v>1324</v>
      </c>
      <c r="BA44" s="32" t="s">
        <v>1324</v>
      </c>
      <c r="BB44" s="32">
        <v>259.0</v>
      </c>
      <c r="BC44" s="32">
        <v>273.0</v>
      </c>
      <c r="BD44" s="32" t="s">
        <v>1324</v>
      </c>
      <c r="BE44" s="32" t="s">
        <v>1928</v>
      </c>
      <c r="BF44" s="38" t="str">
        <f>HYPERLINK("http://dx.doi.org/10.1016/j.rsma.2016.09.001","http://dx.doi.org/10.1016/j.rsma.2016.09.001")</f>
        <v>http://dx.doi.org/10.1016/j.rsma.2016.09.001</v>
      </c>
      <c r="BG44" s="32" t="s">
        <v>1324</v>
      </c>
      <c r="BH44" s="32" t="s">
        <v>1324</v>
      </c>
      <c r="BI44" s="32">
        <v>15.0</v>
      </c>
      <c r="BJ44" s="32" t="s">
        <v>130</v>
      </c>
      <c r="BK44" s="32" t="s">
        <v>2878</v>
      </c>
      <c r="BL44" s="32" t="s">
        <v>2516</v>
      </c>
      <c r="BM44" s="32" t="s">
        <v>3275</v>
      </c>
      <c r="BN44" s="32" t="s">
        <v>1324</v>
      </c>
      <c r="BO44" s="32" t="s">
        <v>3276</v>
      </c>
      <c r="BP44" s="32" t="s">
        <v>1324</v>
      </c>
      <c r="BQ44" s="32" t="s">
        <v>1324</v>
      </c>
      <c r="BR44" s="32" t="s">
        <v>5268</v>
      </c>
      <c r="BS44" s="32" t="s">
        <v>3277</v>
      </c>
      <c r="BT44" s="32" t="str">
        <f>HYPERLINK("https%3A%2F%2Fwww.webofscience.com%2Fwos%2Fwoscc%2Ffull-record%2FWOS:000414771500005","View Full Record in Web of Science")</f>
        <v>View Full Record in Web of Science</v>
      </c>
    </row>
    <row r="45" ht="12.75" customHeight="1">
      <c r="A45" s="32" t="s">
        <v>26</v>
      </c>
      <c r="B45" s="32" t="s">
        <v>3278</v>
      </c>
      <c r="C45" s="32" t="s">
        <v>1324</v>
      </c>
      <c r="D45" s="32" t="s">
        <v>1324</v>
      </c>
      <c r="E45" s="32" t="s">
        <v>1324</v>
      </c>
      <c r="F45" s="32" t="s">
        <v>1546</v>
      </c>
      <c r="G45" s="32" t="s">
        <v>1324</v>
      </c>
      <c r="H45" s="32" t="s">
        <v>1324</v>
      </c>
      <c r="I45" s="32" t="s">
        <v>1547</v>
      </c>
      <c r="J45" s="32" t="s">
        <v>1540</v>
      </c>
      <c r="K45" s="32" t="s">
        <v>1324</v>
      </c>
      <c r="L45" s="32" t="s">
        <v>1324</v>
      </c>
      <c r="M45" s="32" t="s">
        <v>2364</v>
      </c>
      <c r="N45" s="32" t="s">
        <v>38</v>
      </c>
      <c r="O45" s="32" t="s">
        <v>1324</v>
      </c>
      <c r="P45" s="32" t="s">
        <v>1324</v>
      </c>
      <c r="Q45" s="32" t="s">
        <v>1324</v>
      </c>
      <c r="R45" s="32" t="s">
        <v>1324</v>
      </c>
      <c r="S45" s="32" t="s">
        <v>1324</v>
      </c>
      <c r="T45" s="32" t="s">
        <v>3279</v>
      </c>
      <c r="U45" s="32" t="s">
        <v>3280</v>
      </c>
      <c r="V45" s="32" t="s">
        <v>3281</v>
      </c>
      <c r="W45" s="32" t="s">
        <v>3282</v>
      </c>
      <c r="X45" s="32" t="s">
        <v>3283</v>
      </c>
      <c r="Y45" s="32" t="s">
        <v>3284</v>
      </c>
      <c r="Z45" s="32" t="s">
        <v>3285</v>
      </c>
      <c r="AA45" s="32" t="s">
        <v>5319</v>
      </c>
      <c r="AB45" s="32" t="s">
        <v>5320</v>
      </c>
      <c r="AC45" s="32" t="s">
        <v>1324</v>
      </c>
      <c r="AD45" s="32" t="s">
        <v>1324</v>
      </c>
      <c r="AE45" s="32" t="s">
        <v>1324</v>
      </c>
      <c r="AF45" s="32" t="s">
        <v>1324</v>
      </c>
      <c r="AG45" s="32">
        <v>47.0</v>
      </c>
      <c r="AH45" s="32">
        <v>23.0</v>
      </c>
      <c r="AI45" s="32">
        <v>26.0</v>
      </c>
      <c r="AJ45" s="32">
        <v>3.0</v>
      </c>
      <c r="AK45" s="32">
        <v>41.0</v>
      </c>
      <c r="AL45" s="32" t="s">
        <v>2464</v>
      </c>
      <c r="AM45" s="32" t="s">
        <v>2465</v>
      </c>
      <c r="AN45" s="32" t="s">
        <v>2466</v>
      </c>
      <c r="AO45" s="32" t="s">
        <v>2959</v>
      </c>
      <c r="AP45" s="32" t="s">
        <v>2960</v>
      </c>
      <c r="AQ45" s="32" t="s">
        <v>1324</v>
      </c>
      <c r="AR45" s="32" t="s">
        <v>2961</v>
      </c>
      <c r="AS45" s="32" t="s">
        <v>2962</v>
      </c>
      <c r="AT45" s="32" t="s">
        <v>2471</v>
      </c>
      <c r="AU45" s="32">
        <v>2016.0</v>
      </c>
      <c r="AV45" s="32">
        <v>27.0</v>
      </c>
      <c r="AW45" s="32">
        <v>5.0</v>
      </c>
      <c r="AX45" s="32" t="s">
        <v>1324</v>
      </c>
      <c r="AY45" s="32" t="s">
        <v>1324</v>
      </c>
      <c r="AZ45" s="32" t="s">
        <v>1324</v>
      </c>
      <c r="BA45" s="32" t="s">
        <v>1324</v>
      </c>
      <c r="BB45" s="32">
        <v>948.0</v>
      </c>
      <c r="BC45" s="32">
        <v>957.0</v>
      </c>
      <c r="BD45" s="32" t="s">
        <v>1324</v>
      </c>
      <c r="BE45" s="32" t="s">
        <v>1549</v>
      </c>
      <c r="BF45" s="38" t="str">
        <f>HYPERLINK("http://dx.doi.org/10.1111/jvs.12423","http://dx.doi.org/10.1111/jvs.12423")</f>
        <v>http://dx.doi.org/10.1111/jvs.12423</v>
      </c>
      <c r="BG45" s="32" t="s">
        <v>1324</v>
      </c>
      <c r="BH45" s="32" t="s">
        <v>1324</v>
      </c>
      <c r="BI45" s="32">
        <v>10.0</v>
      </c>
      <c r="BJ45" s="32" t="s">
        <v>2963</v>
      </c>
      <c r="BK45" s="32" t="s">
        <v>2407</v>
      </c>
      <c r="BL45" s="32" t="s">
        <v>2964</v>
      </c>
      <c r="BM45" s="32" t="s">
        <v>3288</v>
      </c>
      <c r="BN45" s="32" t="s">
        <v>1324</v>
      </c>
      <c r="BO45" s="32" t="s">
        <v>2736</v>
      </c>
      <c r="BP45" s="32" t="s">
        <v>1324</v>
      </c>
      <c r="BQ45" s="32" t="s">
        <v>1324</v>
      </c>
      <c r="BR45" s="32" t="s">
        <v>5268</v>
      </c>
      <c r="BS45" s="32" t="s">
        <v>3289</v>
      </c>
      <c r="BT45" s="32" t="str">
        <f>HYPERLINK("https%3A%2F%2Fwww.webofscience.com%2Fwos%2Fwoscc%2Ffull-record%2FWOS:000388439400009","View Full Record in Web of Science")</f>
        <v>View Full Record in Web of Science</v>
      </c>
    </row>
    <row r="46" ht="12.75" customHeight="1">
      <c r="A46" s="32" t="s">
        <v>26</v>
      </c>
      <c r="B46" s="32" t="s">
        <v>3315</v>
      </c>
      <c r="C46" s="32" t="s">
        <v>1324</v>
      </c>
      <c r="D46" s="32" t="s">
        <v>1324</v>
      </c>
      <c r="E46" s="32" t="s">
        <v>1324</v>
      </c>
      <c r="F46" s="32" t="s">
        <v>1948</v>
      </c>
      <c r="G46" s="32" t="s">
        <v>1324</v>
      </c>
      <c r="H46" s="32" t="s">
        <v>1324</v>
      </c>
      <c r="I46" s="32" t="s">
        <v>1950</v>
      </c>
      <c r="J46" s="32" t="s">
        <v>1949</v>
      </c>
      <c r="K46" s="32" t="s">
        <v>1324</v>
      </c>
      <c r="L46" s="32" t="s">
        <v>1324</v>
      </c>
      <c r="M46" s="32" t="s">
        <v>2364</v>
      </c>
      <c r="N46" s="32" t="s">
        <v>38</v>
      </c>
      <c r="O46" s="32" t="s">
        <v>1324</v>
      </c>
      <c r="P46" s="32" t="s">
        <v>1324</v>
      </c>
      <c r="Q46" s="32" t="s">
        <v>1324</v>
      </c>
      <c r="R46" s="32" t="s">
        <v>1324</v>
      </c>
      <c r="S46" s="32" t="s">
        <v>1324</v>
      </c>
      <c r="T46" s="32" t="s">
        <v>3316</v>
      </c>
      <c r="U46" s="32" t="s">
        <v>3317</v>
      </c>
      <c r="V46" s="32" t="s">
        <v>1951</v>
      </c>
      <c r="W46" s="32" t="s">
        <v>3318</v>
      </c>
      <c r="X46" s="32" t="s">
        <v>3319</v>
      </c>
      <c r="Y46" s="32" t="s">
        <v>3320</v>
      </c>
      <c r="Z46" s="32" t="s">
        <v>3321</v>
      </c>
      <c r="AA46" s="32" t="s">
        <v>5321</v>
      </c>
      <c r="AB46" s="32" t="s">
        <v>5322</v>
      </c>
      <c r="AC46" s="32" t="s">
        <v>3324</v>
      </c>
      <c r="AD46" s="32" t="s">
        <v>3325</v>
      </c>
      <c r="AE46" s="32" t="s">
        <v>3326</v>
      </c>
      <c r="AF46" s="32" t="s">
        <v>1324</v>
      </c>
      <c r="AG46" s="32">
        <v>52.0</v>
      </c>
      <c r="AH46" s="32">
        <v>47.0</v>
      </c>
      <c r="AI46" s="32">
        <v>55.0</v>
      </c>
      <c r="AJ46" s="32">
        <v>3.0</v>
      </c>
      <c r="AK46" s="32">
        <v>117.0</v>
      </c>
      <c r="AL46" s="32" t="s">
        <v>2508</v>
      </c>
      <c r="AM46" s="32" t="s">
        <v>2509</v>
      </c>
      <c r="AN46" s="32" t="s">
        <v>2510</v>
      </c>
      <c r="AO46" s="32" t="s">
        <v>3327</v>
      </c>
      <c r="AP46" s="32" t="s">
        <v>3328</v>
      </c>
      <c r="AQ46" s="32" t="s">
        <v>1324</v>
      </c>
      <c r="AR46" s="32" t="s">
        <v>3329</v>
      </c>
      <c r="AS46" s="32" t="s">
        <v>3330</v>
      </c>
      <c r="AT46" s="32" t="s">
        <v>2515</v>
      </c>
      <c r="AU46" s="32">
        <v>2016.0</v>
      </c>
      <c r="AV46" s="32">
        <v>98.0</v>
      </c>
      <c r="AW46" s="32" t="s">
        <v>1324</v>
      </c>
      <c r="AX46" s="32" t="s">
        <v>1324</v>
      </c>
      <c r="AY46" s="32" t="s">
        <v>1324</v>
      </c>
      <c r="AZ46" s="32" t="s">
        <v>1324</v>
      </c>
      <c r="BA46" s="32" t="s">
        <v>1324</v>
      </c>
      <c r="BB46" s="32">
        <v>166.0</v>
      </c>
      <c r="BC46" s="32">
        <v>175.0</v>
      </c>
      <c r="BD46" s="32" t="s">
        <v>1324</v>
      </c>
      <c r="BE46" s="32" t="s">
        <v>1952</v>
      </c>
      <c r="BF46" s="38" t="str">
        <f>HYPERLINK("http://dx.doi.org/10.1016/j.orggeochem.2016.06.001","http://dx.doi.org/10.1016/j.orggeochem.2016.06.001")</f>
        <v>http://dx.doi.org/10.1016/j.orggeochem.2016.06.001</v>
      </c>
      <c r="BG46" s="32" t="s">
        <v>1324</v>
      </c>
      <c r="BH46" s="32" t="s">
        <v>1324</v>
      </c>
      <c r="BI46" s="32">
        <v>10.0</v>
      </c>
      <c r="BJ46" s="32" t="s">
        <v>3331</v>
      </c>
      <c r="BK46" s="32" t="s">
        <v>2407</v>
      </c>
      <c r="BL46" s="32" t="s">
        <v>3331</v>
      </c>
      <c r="BM46" s="32" t="s">
        <v>3332</v>
      </c>
      <c r="BN46" s="32" t="s">
        <v>1324</v>
      </c>
      <c r="BO46" s="32" t="s">
        <v>1324</v>
      </c>
      <c r="BP46" s="32" t="s">
        <v>1324</v>
      </c>
      <c r="BQ46" s="32" t="s">
        <v>1324</v>
      </c>
      <c r="BR46" s="32" t="s">
        <v>5268</v>
      </c>
      <c r="BS46" s="32" t="s">
        <v>3333</v>
      </c>
      <c r="BT46" s="32" t="str">
        <f>HYPERLINK("https%3A%2F%2Fwww.webofscience.com%2Fwos%2Fwoscc%2Ffull-record%2FWOS:000379782300014","View Full Record in Web of Science")</f>
        <v>View Full Record in Web of Science</v>
      </c>
    </row>
    <row r="47" ht="12.75" customHeight="1">
      <c r="A47" s="32" t="s">
        <v>26</v>
      </c>
      <c r="B47" s="32" t="s">
        <v>3334</v>
      </c>
      <c r="C47" s="32" t="s">
        <v>1324</v>
      </c>
      <c r="D47" s="32" t="s">
        <v>1324</v>
      </c>
      <c r="E47" s="32" t="s">
        <v>1324</v>
      </c>
      <c r="F47" s="32" t="s">
        <v>2098</v>
      </c>
      <c r="G47" s="32" t="s">
        <v>1324</v>
      </c>
      <c r="H47" s="32" t="s">
        <v>1324</v>
      </c>
      <c r="I47" s="32" t="s">
        <v>2099</v>
      </c>
      <c r="J47" s="32" t="s">
        <v>251</v>
      </c>
      <c r="K47" s="32" t="s">
        <v>1324</v>
      </c>
      <c r="L47" s="32" t="s">
        <v>1324</v>
      </c>
      <c r="M47" s="32" t="s">
        <v>2364</v>
      </c>
      <c r="N47" s="32" t="s">
        <v>38</v>
      </c>
      <c r="O47" s="32" t="s">
        <v>1324</v>
      </c>
      <c r="P47" s="32" t="s">
        <v>1324</v>
      </c>
      <c r="Q47" s="32" t="s">
        <v>1324</v>
      </c>
      <c r="R47" s="32" t="s">
        <v>1324</v>
      </c>
      <c r="S47" s="32" t="s">
        <v>1324</v>
      </c>
      <c r="T47" s="32" t="s">
        <v>3335</v>
      </c>
      <c r="U47" s="32" t="s">
        <v>3336</v>
      </c>
      <c r="V47" s="32" t="s">
        <v>3337</v>
      </c>
      <c r="W47" s="32" t="s">
        <v>3338</v>
      </c>
      <c r="X47" s="32" t="s">
        <v>3339</v>
      </c>
      <c r="Y47" s="32" t="s">
        <v>3340</v>
      </c>
      <c r="Z47" s="32" t="s">
        <v>3341</v>
      </c>
      <c r="AA47" s="32" t="s">
        <v>5323</v>
      </c>
      <c r="AB47" s="32" t="s">
        <v>5324</v>
      </c>
      <c r="AC47" s="32" t="s">
        <v>3344</v>
      </c>
      <c r="AD47" s="32" t="s">
        <v>3344</v>
      </c>
      <c r="AE47" s="32" t="s">
        <v>3345</v>
      </c>
      <c r="AF47" s="32" t="s">
        <v>1324</v>
      </c>
      <c r="AG47" s="32">
        <v>40.0</v>
      </c>
      <c r="AH47" s="32">
        <v>52.0</v>
      </c>
      <c r="AI47" s="32">
        <v>55.0</v>
      </c>
      <c r="AJ47" s="32">
        <v>2.0</v>
      </c>
      <c r="AK47" s="32">
        <v>67.0</v>
      </c>
      <c r="AL47" s="32" t="s">
        <v>2530</v>
      </c>
      <c r="AM47" s="32" t="s">
        <v>2531</v>
      </c>
      <c r="AN47" s="32" t="s">
        <v>2532</v>
      </c>
      <c r="AO47" s="32" t="s">
        <v>2939</v>
      </c>
      <c r="AP47" s="32" t="s">
        <v>2940</v>
      </c>
      <c r="AQ47" s="32" t="s">
        <v>1324</v>
      </c>
      <c r="AR47" s="32" t="s">
        <v>2941</v>
      </c>
      <c r="AS47" s="32" t="s">
        <v>2942</v>
      </c>
      <c r="AT47" s="32" t="s">
        <v>2515</v>
      </c>
      <c r="AU47" s="32">
        <v>2016.0</v>
      </c>
      <c r="AV47" s="32">
        <v>200.0</v>
      </c>
      <c r="AW47" s="32" t="s">
        <v>1324</v>
      </c>
      <c r="AX47" s="32" t="s">
        <v>1324</v>
      </c>
      <c r="AY47" s="32" t="s">
        <v>1324</v>
      </c>
      <c r="AZ47" s="32" t="s">
        <v>1324</v>
      </c>
      <c r="BA47" s="32" t="s">
        <v>1324</v>
      </c>
      <c r="BB47" s="32">
        <v>44.0</v>
      </c>
      <c r="BC47" s="32">
        <v>50.0</v>
      </c>
      <c r="BD47" s="32" t="s">
        <v>1324</v>
      </c>
      <c r="BE47" s="32" t="s">
        <v>2101</v>
      </c>
      <c r="BF47" s="38" t="str">
        <f>HYPERLINK("http://dx.doi.org/10.1016/j.biocon.2016.05.031","http://dx.doi.org/10.1016/j.biocon.2016.05.031")</f>
        <v>http://dx.doi.org/10.1016/j.biocon.2016.05.031</v>
      </c>
      <c r="BG47" s="32" t="s">
        <v>1324</v>
      </c>
      <c r="BH47" s="32" t="s">
        <v>1324</v>
      </c>
      <c r="BI47" s="32">
        <v>7.0</v>
      </c>
      <c r="BJ47" s="32" t="s">
        <v>255</v>
      </c>
      <c r="BK47" s="32" t="s">
        <v>2407</v>
      </c>
      <c r="BL47" s="32" t="s">
        <v>2577</v>
      </c>
      <c r="BM47" s="32" t="s">
        <v>3346</v>
      </c>
      <c r="BN47" s="32" t="s">
        <v>1324</v>
      </c>
      <c r="BO47" s="32" t="s">
        <v>2944</v>
      </c>
      <c r="BP47" s="32" t="s">
        <v>1324</v>
      </c>
      <c r="BQ47" s="32" t="s">
        <v>1324</v>
      </c>
      <c r="BR47" s="32" t="s">
        <v>5268</v>
      </c>
      <c r="BS47" s="32" t="s">
        <v>3347</v>
      </c>
      <c r="BT47" s="32" t="str">
        <f>HYPERLINK("https%3A%2F%2Fwww.webofscience.com%2Fwos%2Fwoscc%2Ffull-record%2FWOS:000381325300006","View Full Record in Web of Science")</f>
        <v>View Full Record in Web of Science</v>
      </c>
    </row>
    <row r="48" ht="12.75" customHeight="1">
      <c r="A48" s="32" t="s">
        <v>26</v>
      </c>
      <c r="B48" s="32" t="s">
        <v>3348</v>
      </c>
      <c r="C48" s="32" t="s">
        <v>1324</v>
      </c>
      <c r="D48" s="32" t="s">
        <v>1324</v>
      </c>
      <c r="E48" s="32" t="s">
        <v>1324</v>
      </c>
      <c r="F48" s="32" t="s">
        <v>2104</v>
      </c>
      <c r="G48" s="32" t="s">
        <v>1324</v>
      </c>
      <c r="H48" s="32" t="s">
        <v>1324</v>
      </c>
      <c r="I48" s="32" t="s">
        <v>2105</v>
      </c>
      <c r="J48" s="32" t="s">
        <v>251</v>
      </c>
      <c r="K48" s="32" t="s">
        <v>1324</v>
      </c>
      <c r="L48" s="32" t="s">
        <v>1324</v>
      </c>
      <c r="M48" s="32" t="s">
        <v>2364</v>
      </c>
      <c r="N48" s="32" t="s">
        <v>38</v>
      </c>
      <c r="O48" s="32" t="s">
        <v>1324</v>
      </c>
      <c r="P48" s="32" t="s">
        <v>1324</v>
      </c>
      <c r="Q48" s="32" t="s">
        <v>1324</v>
      </c>
      <c r="R48" s="32" t="s">
        <v>1324</v>
      </c>
      <c r="S48" s="32" t="s">
        <v>1324</v>
      </c>
      <c r="T48" s="32" t="s">
        <v>3349</v>
      </c>
      <c r="U48" s="32" t="s">
        <v>3350</v>
      </c>
      <c r="V48" s="32" t="s">
        <v>2106</v>
      </c>
      <c r="W48" s="32" t="s">
        <v>3351</v>
      </c>
      <c r="X48" s="32" t="s">
        <v>3352</v>
      </c>
      <c r="Y48" s="32" t="s">
        <v>3353</v>
      </c>
      <c r="Z48" s="32" t="s">
        <v>3354</v>
      </c>
      <c r="AA48" s="32" t="s">
        <v>5325</v>
      </c>
      <c r="AB48" s="32" t="s">
        <v>5210</v>
      </c>
      <c r="AC48" s="32" t="s">
        <v>3357</v>
      </c>
      <c r="AD48" s="32" t="s">
        <v>3357</v>
      </c>
      <c r="AE48" s="32" t="s">
        <v>3358</v>
      </c>
      <c r="AF48" s="32" t="s">
        <v>1324</v>
      </c>
      <c r="AG48" s="32">
        <v>47.0</v>
      </c>
      <c r="AH48" s="32">
        <v>41.0</v>
      </c>
      <c r="AI48" s="32">
        <v>44.0</v>
      </c>
      <c r="AJ48" s="32">
        <v>0.0</v>
      </c>
      <c r="AK48" s="32">
        <v>103.0</v>
      </c>
      <c r="AL48" s="32" t="s">
        <v>2530</v>
      </c>
      <c r="AM48" s="32" t="s">
        <v>2509</v>
      </c>
      <c r="AN48" s="32" t="s">
        <v>2646</v>
      </c>
      <c r="AO48" s="32" t="s">
        <v>2939</v>
      </c>
      <c r="AP48" s="32" t="s">
        <v>2940</v>
      </c>
      <c r="AQ48" s="32" t="s">
        <v>1324</v>
      </c>
      <c r="AR48" s="32" t="s">
        <v>2941</v>
      </c>
      <c r="AS48" s="32" t="s">
        <v>2942</v>
      </c>
      <c r="AT48" s="32" t="s">
        <v>2557</v>
      </c>
      <c r="AU48" s="32">
        <v>2016.0</v>
      </c>
      <c r="AV48" s="32">
        <v>199.0</v>
      </c>
      <c r="AW48" s="32" t="s">
        <v>1324</v>
      </c>
      <c r="AX48" s="32" t="s">
        <v>1324</v>
      </c>
      <c r="AY48" s="32" t="s">
        <v>1324</v>
      </c>
      <c r="AZ48" s="32" t="s">
        <v>1324</v>
      </c>
      <c r="BA48" s="32" t="s">
        <v>1324</v>
      </c>
      <c r="BB48" s="32">
        <v>1.0</v>
      </c>
      <c r="BC48" s="32">
        <v>9.0</v>
      </c>
      <c r="BD48" s="32" t="s">
        <v>1324</v>
      </c>
      <c r="BE48" s="32" t="s">
        <v>2107</v>
      </c>
      <c r="BF48" s="38" t="str">
        <f>HYPERLINK("http://dx.doi.org/10.1016/j.biocon.2016.04.013","http://dx.doi.org/10.1016/j.biocon.2016.04.013")</f>
        <v>http://dx.doi.org/10.1016/j.biocon.2016.04.013</v>
      </c>
      <c r="BG48" s="32" t="s">
        <v>1324</v>
      </c>
      <c r="BH48" s="32" t="s">
        <v>1324</v>
      </c>
      <c r="BI48" s="32">
        <v>9.0</v>
      </c>
      <c r="BJ48" s="32" t="s">
        <v>255</v>
      </c>
      <c r="BK48" s="32" t="s">
        <v>2407</v>
      </c>
      <c r="BL48" s="32" t="s">
        <v>2577</v>
      </c>
      <c r="BM48" s="32" t="s">
        <v>3359</v>
      </c>
      <c r="BN48" s="32" t="s">
        <v>1324</v>
      </c>
      <c r="BO48" s="32" t="s">
        <v>1324</v>
      </c>
      <c r="BP48" s="32" t="s">
        <v>1324</v>
      </c>
      <c r="BQ48" s="32" t="s">
        <v>1324</v>
      </c>
      <c r="BR48" s="32" t="s">
        <v>5268</v>
      </c>
      <c r="BS48" s="32" t="s">
        <v>3360</v>
      </c>
      <c r="BT48" s="32" t="str">
        <f>HYPERLINK("https%3A%2F%2Fwww.webofscience.com%2Fwos%2Fwoscc%2Ffull-record%2FWOS:000379559600001","View Full Record in Web of Science")</f>
        <v>View Full Record in Web of Science</v>
      </c>
    </row>
    <row r="49" ht="12.75" customHeight="1">
      <c r="A49" s="32" t="s">
        <v>26</v>
      </c>
      <c r="B49" s="32" t="s">
        <v>3361</v>
      </c>
      <c r="C49" s="32" t="s">
        <v>1324</v>
      </c>
      <c r="D49" s="32" t="s">
        <v>1324</v>
      </c>
      <c r="E49" s="32" t="s">
        <v>1324</v>
      </c>
      <c r="F49" s="32" t="s">
        <v>2210</v>
      </c>
      <c r="G49" s="32" t="s">
        <v>1324</v>
      </c>
      <c r="H49" s="32" t="s">
        <v>1324</v>
      </c>
      <c r="I49" s="32" t="s">
        <v>2211</v>
      </c>
      <c r="J49" s="32" t="s">
        <v>1824</v>
      </c>
      <c r="K49" s="32" t="s">
        <v>1324</v>
      </c>
      <c r="L49" s="32" t="s">
        <v>1324</v>
      </c>
      <c r="M49" s="32" t="s">
        <v>2364</v>
      </c>
      <c r="N49" s="32" t="s">
        <v>38</v>
      </c>
      <c r="O49" s="32" t="s">
        <v>1324</v>
      </c>
      <c r="P49" s="32" t="s">
        <v>1324</v>
      </c>
      <c r="Q49" s="32" t="s">
        <v>1324</v>
      </c>
      <c r="R49" s="32" t="s">
        <v>1324</v>
      </c>
      <c r="S49" s="32" t="s">
        <v>1324</v>
      </c>
      <c r="T49" s="32" t="s">
        <v>3362</v>
      </c>
      <c r="U49" s="32" t="s">
        <v>3363</v>
      </c>
      <c r="V49" s="32" t="s">
        <v>2212</v>
      </c>
      <c r="W49" s="32" t="s">
        <v>3364</v>
      </c>
      <c r="X49" s="32" t="s">
        <v>5326</v>
      </c>
      <c r="Y49" s="32" t="s">
        <v>3366</v>
      </c>
      <c r="Z49" s="32" t="s">
        <v>3367</v>
      </c>
      <c r="AA49" s="32" t="s">
        <v>5327</v>
      </c>
      <c r="AB49" s="32" t="s">
        <v>5328</v>
      </c>
      <c r="AC49" s="32" t="s">
        <v>3370</v>
      </c>
      <c r="AD49" s="32" t="s">
        <v>3371</v>
      </c>
      <c r="AE49" s="32" t="s">
        <v>3372</v>
      </c>
      <c r="AF49" s="32" t="s">
        <v>1324</v>
      </c>
      <c r="AG49" s="32">
        <v>185.0</v>
      </c>
      <c r="AH49" s="32">
        <v>112.0</v>
      </c>
      <c r="AI49" s="32">
        <v>119.0</v>
      </c>
      <c r="AJ49" s="32">
        <v>1.0</v>
      </c>
      <c r="AK49" s="32">
        <v>152.0</v>
      </c>
      <c r="AL49" s="32" t="s">
        <v>3250</v>
      </c>
      <c r="AM49" s="32" t="s">
        <v>3251</v>
      </c>
      <c r="AN49" s="32" t="s">
        <v>3252</v>
      </c>
      <c r="AO49" s="32" t="s">
        <v>3253</v>
      </c>
      <c r="AP49" s="32" t="s">
        <v>3254</v>
      </c>
      <c r="AQ49" s="32" t="s">
        <v>1324</v>
      </c>
      <c r="AR49" s="32" t="s">
        <v>3255</v>
      </c>
      <c r="AS49" s="32" t="s">
        <v>3256</v>
      </c>
      <c r="AT49" s="32" t="s">
        <v>2632</v>
      </c>
      <c r="AU49" s="32">
        <v>2016.0</v>
      </c>
      <c r="AV49" s="32">
        <v>25.0</v>
      </c>
      <c r="AW49" s="32">
        <v>7.0</v>
      </c>
      <c r="AX49" s="32" t="s">
        <v>1324</v>
      </c>
      <c r="AY49" s="32" t="s">
        <v>1324</v>
      </c>
      <c r="AZ49" s="32" t="s">
        <v>3257</v>
      </c>
      <c r="BA49" s="32" t="s">
        <v>1324</v>
      </c>
      <c r="BB49" s="32">
        <v>1319.0</v>
      </c>
      <c r="BC49" s="32">
        <v>1348.0</v>
      </c>
      <c r="BD49" s="32" t="s">
        <v>1324</v>
      </c>
      <c r="BE49" s="32" t="s">
        <v>2213</v>
      </c>
      <c r="BF49" s="38" t="str">
        <f>HYPERLINK("http://dx.doi.org/10.1007/s10531-016-1141-7","http://dx.doi.org/10.1007/s10531-016-1141-7")</f>
        <v>http://dx.doi.org/10.1007/s10531-016-1141-7</v>
      </c>
      <c r="BG49" s="32" t="s">
        <v>1324</v>
      </c>
      <c r="BH49" s="32" t="s">
        <v>1324</v>
      </c>
      <c r="BI49" s="32">
        <v>30.0</v>
      </c>
      <c r="BJ49" s="32" t="s">
        <v>255</v>
      </c>
      <c r="BK49" s="32" t="s">
        <v>2407</v>
      </c>
      <c r="BL49" s="32" t="s">
        <v>2577</v>
      </c>
      <c r="BM49" s="32" t="s">
        <v>3373</v>
      </c>
      <c r="BN49" s="32" t="s">
        <v>1324</v>
      </c>
      <c r="BO49" s="32" t="s">
        <v>2579</v>
      </c>
      <c r="BP49" s="32" t="s">
        <v>1324</v>
      </c>
      <c r="BQ49" s="32" t="s">
        <v>1324</v>
      </c>
      <c r="BR49" s="32" t="s">
        <v>5268</v>
      </c>
      <c r="BS49" s="32" t="s">
        <v>3374</v>
      </c>
      <c r="BT49" s="32" t="str">
        <f>HYPERLINK("https%3A%2F%2Fwww.webofscience.com%2Fwos%2Fwoscc%2Ffull-record%2FWOS:000379006400008","View Full Record in Web of Science")</f>
        <v>View Full Record in Web of Science</v>
      </c>
    </row>
    <row r="50" ht="12.75" customHeight="1">
      <c r="A50" s="32" t="s">
        <v>26</v>
      </c>
      <c r="B50" s="32" t="s">
        <v>3375</v>
      </c>
      <c r="C50" s="32" t="s">
        <v>1324</v>
      </c>
      <c r="D50" s="32" t="s">
        <v>1324</v>
      </c>
      <c r="E50" s="32" t="s">
        <v>1324</v>
      </c>
      <c r="F50" s="32" t="s">
        <v>2036</v>
      </c>
      <c r="G50" s="32" t="s">
        <v>1324</v>
      </c>
      <c r="H50" s="32" t="s">
        <v>1324</v>
      </c>
      <c r="I50" s="32" t="s">
        <v>2037</v>
      </c>
      <c r="J50" s="32" t="s">
        <v>2030</v>
      </c>
      <c r="K50" s="32" t="s">
        <v>1324</v>
      </c>
      <c r="L50" s="32" t="s">
        <v>1324</v>
      </c>
      <c r="M50" s="32" t="s">
        <v>2364</v>
      </c>
      <c r="N50" s="32" t="s">
        <v>38</v>
      </c>
      <c r="O50" s="32" t="s">
        <v>1324</v>
      </c>
      <c r="P50" s="32" t="s">
        <v>1324</v>
      </c>
      <c r="Q50" s="32" t="s">
        <v>1324</v>
      </c>
      <c r="R50" s="32" t="s">
        <v>1324</v>
      </c>
      <c r="S50" s="32" t="s">
        <v>1324</v>
      </c>
      <c r="T50" s="32" t="s">
        <v>3376</v>
      </c>
      <c r="U50" s="32" t="s">
        <v>3377</v>
      </c>
      <c r="V50" s="32" t="s">
        <v>2038</v>
      </c>
      <c r="W50" s="32" t="s">
        <v>3378</v>
      </c>
      <c r="X50" s="32" t="s">
        <v>3379</v>
      </c>
      <c r="Y50" s="32" t="s">
        <v>3380</v>
      </c>
      <c r="Z50" s="32" t="s">
        <v>3381</v>
      </c>
      <c r="AA50" s="32" t="s">
        <v>3382</v>
      </c>
      <c r="AB50" s="32" t="s">
        <v>3383</v>
      </c>
      <c r="AC50" s="32" t="s">
        <v>3384</v>
      </c>
      <c r="AD50" s="32" t="s">
        <v>3385</v>
      </c>
      <c r="AE50" s="32" t="s">
        <v>3386</v>
      </c>
      <c r="AF50" s="32" t="s">
        <v>1324</v>
      </c>
      <c r="AG50" s="32">
        <v>52.0</v>
      </c>
      <c r="AH50" s="32">
        <v>12.0</v>
      </c>
      <c r="AI50" s="32">
        <v>14.0</v>
      </c>
      <c r="AJ50" s="32">
        <v>0.0</v>
      </c>
      <c r="AK50" s="32">
        <v>16.0</v>
      </c>
      <c r="AL50" s="32" t="s">
        <v>2486</v>
      </c>
      <c r="AM50" s="32" t="s">
        <v>2487</v>
      </c>
      <c r="AN50" s="32" t="s">
        <v>2488</v>
      </c>
      <c r="AO50" s="32" t="s">
        <v>2855</v>
      </c>
      <c r="AP50" s="32" t="s">
        <v>2856</v>
      </c>
      <c r="AQ50" s="32" t="s">
        <v>1324</v>
      </c>
      <c r="AR50" s="32" t="s">
        <v>2857</v>
      </c>
      <c r="AS50" s="32" t="s">
        <v>2858</v>
      </c>
      <c r="AT50" s="32" t="s">
        <v>2651</v>
      </c>
      <c r="AU50" s="32">
        <v>2016.0</v>
      </c>
      <c r="AV50" s="32">
        <v>177.0</v>
      </c>
      <c r="AW50" s="32" t="s">
        <v>1324</v>
      </c>
      <c r="AX50" s="32" t="s">
        <v>1324</v>
      </c>
      <c r="AY50" s="32" t="s">
        <v>1324</v>
      </c>
      <c r="AZ50" s="32" t="s">
        <v>1324</v>
      </c>
      <c r="BA50" s="32" t="s">
        <v>1324</v>
      </c>
      <c r="BB50" s="32">
        <v>71.0</v>
      </c>
      <c r="BC50" s="32">
        <v>81.0</v>
      </c>
      <c r="BD50" s="32" t="s">
        <v>1324</v>
      </c>
      <c r="BE50" s="32" t="s">
        <v>2039</v>
      </c>
      <c r="BF50" s="38" t="str">
        <f>HYPERLINK("http://dx.doi.org/10.1016/j.fishres.2016.01.005","http://dx.doi.org/10.1016/j.fishres.2016.01.005")</f>
        <v>http://dx.doi.org/10.1016/j.fishres.2016.01.005</v>
      </c>
      <c r="BG50" s="32" t="s">
        <v>1324</v>
      </c>
      <c r="BH50" s="32" t="s">
        <v>1324</v>
      </c>
      <c r="BI50" s="32">
        <v>11.0</v>
      </c>
      <c r="BJ50" s="32" t="s">
        <v>2859</v>
      </c>
      <c r="BK50" s="32" t="s">
        <v>2407</v>
      </c>
      <c r="BL50" s="32" t="s">
        <v>2859</v>
      </c>
      <c r="BM50" s="32" t="s">
        <v>3387</v>
      </c>
      <c r="BN50" s="32" t="s">
        <v>1324</v>
      </c>
      <c r="BO50" s="32" t="s">
        <v>3388</v>
      </c>
      <c r="BP50" s="32" t="s">
        <v>1324</v>
      </c>
      <c r="BQ50" s="32" t="s">
        <v>1324</v>
      </c>
      <c r="BR50" s="32" t="s">
        <v>5268</v>
      </c>
      <c r="BS50" s="32" t="s">
        <v>3389</v>
      </c>
      <c r="BT50" s="32" t="str">
        <f>HYPERLINK("https%3A%2F%2Fwww.webofscience.com%2Fwos%2Fwoscc%2Ffull-record%2FWOS:000372378600009","View Full Record in Web of Science")</f>
        <v>View Full Record in Web of Science</v>
      </c>
    </row>
    <row r="51" ht="12.75" customHeight="1">
      <c r="A51" s="32" t="s">
        <v>26</v>
      </c>
      <c r="B51" s="32" t="s">
        <v>3390</v>
      </c>
      <c r="C51" s="32" t="s">
        <v>1324</v>
      </c>
      <c r="D51" s="32" t="s">
        <v>1324</v>
      </c>
      <c r="E51" s="32" t="s">
        <v>1324</v>
      </c>
      <c r="F51" s="32" t="s">
        <v>1975</v>
      </c>
      <c r="G51" s="32" t="s">
        <v>1324</v>
      </c>
      <c r="H51" s="32" t="s">
        <v>1324</v>
      </c>
      <c r="I51" s="32" t="s">
        <v>1977</v>
      </c>
      <c r="J51" s="32" t="s">
        <v>1976</v>
      </c>
      <c r="K51" s="32" t="s">
        <v>1324</v>
      </c>
      <c r="L51" s="32" t="s">
        <v>1324</v>
      </c>
      <c r="M51" s="32" t="s">
        <v>2364</v>
      </c>
      <c r="N51" s="32" t="s">
        <v>38</v>
      </c>
      <c r="O51" s="32" t="s">
        <v>1324</v>
      </c>
      <c r="P51" s="32" t="s">
        <v>1324</v>
      </c>
      <c r="Q51" s="32" t="s">
        <v>1324</v>
      </c>
      <c r="R51" s="32" t="s">
        <v>1324</v>
      </c>
      <c r="S51" s="32" t="s">
        <v>1324</v>
      </c>
      <c r="T51" s="32" t="s">
        <v>3391</v>
      </c>
      <c r="U51" s="32" t="s">
        <v>3392</v>
      </c>
      <c r="V51" s="32" t="s">
        <v>1978</v>
      </c>
      <c r="W51" s="32" t="s">
        <v>3393</v>
      </c>
      <c r="X51" s="32" t="s">
        <v>3394</v>
      </c>
      <c r="Y51" s="32" t="s">
        <v>3395</v>
      </c>
      <c r="Z51" s="32" t="s">
        <v>3396</v>
      </c>
      <c r="AA51" s="32" t="s">
        <v>3397</v>
      </c>
      <c r="AB51" s="32" t="s">
        <v>5329</v>
      </c>
      <c r="AC51" s="32" t="s">
        <v>5330</v>
      </c>
      <c r="AD51" s="32" t="s">
        <v>5331</v>
      </c>
      <c r="AE51" s="32" t="s">
        <v>3401</v>
      </c>
      <c r="AF51" s="32" t="s">
        <v>1324</v>
      </c>
      <c r="AG51" s="32">
        <v>60.0</v>
      </c>
      <c r="AH51" s="32">
        <v>93.0</v>
      </c>
      <c r="AI51" s="32">
        <v>101.0</v>
      </c>
      <c r="AJ51" s="32">
        <v>1.0</v>
      </c>
      <c r="AK51" s="32">
        <v>63.0</v>
      </c>
      <c r="AL51" s="32" t="s">
        <v>2530</v>
      </c>
      <c r="AM51" s="32" t="s">
        <v>2509</v>
      </c>
      <c r="AN51" s="32" t="s">
        <v>2646</v>
      </c>
      <c r="AO51" s="32" t="s">
        <v>3402</v>
      </c>
      <c r="AP51" s="32" t="s">
        <v>1324</v>
      </c>
      <c r="AQ51" s="32" t="s">
        <v>1324</v>
      </c>
      <c r="AR51" s="32" t="s">
        <v>3403</v>
      </c>
      <c r="AS51" s="32" t="s">
        <v>3404</v>
      </c>
      <c r="AT51" s="32" t="s">
        <v>2818</v>
      </c>
      <c r="AU51" s="32">
        <v>2016.0</v>
      </c>
      <c r="AV51" s="32">
        <v>42.0</v>
      </c>
      <c r="AW51" s="32">
        <v>1.0</v>
      </c>
      <c r="AX51" s="32" t="s">
        <v>1324</v>
      </c>
      <c r="AY51" s="32" t="s">
        <v>1324</v>
      </c>
      <c r="AZ51" s="32" t="s">
        <v>1324</v>
      </c>
      <c r="BA51" s="32" t="s">
        <v>1324</v>
      </c>
      <c r="BB51" s="32">
        <v>6.0</v>
      </c>
      <c r="BC51" s="32">
        <v>17.0</v>
      </c>
      <c r="BD51" s="32" t="s">
        <v>1324</v>
      </c>
      <c r="BE51" s="32" t="s">
        <v>1979</v>
      </c>
      <c r="BF51" s="38" t="str">
        <f>HYPERLINK("http://dx.doi.org/10.1016/j.jglr.2015.11.006","http://dx.doi.org/10.1016/j.jglr.2015.11.006")</f>
        <v>http://dx.doi.org/10.1016/j.jglr.2015.11.006</v>
      </c>
      <c r="BG51" s="32" t="s">
        <v>1324</v>
      </c>
      <c r="BH51" s="32" t="s">
        <v>1324</v>
      </c>
      <c r="BI51" s="32">
        <v>12.0</v>
      </c>
      <c r="BJ51" s="32" t="s">
        <v>3405</v>
      </c>
      <c r="BK51" s="32" t="s">
        <v>2407</v>
      </c>
      <c r="BL51" s="32" t="s">
        <v>2516</v>
      </c>
      <c r="BM51" s="32" t="s">
        <v>3406</v>
      </c>
      <c r="BN51" s="32" t="s">
        <v>1324</v>
      </c>
      <c r="BO51" s="32" t="s">
        <v>2496</v>
      </c>
      <c r="BP51" s="32" t="s">
        <v>1324</v>
      </c>
      <c r="BQ51" s="32" t="s">
        <v>1324</v>
      </c>
      <c r="BR51" s="32" t="s">
        <v>5268</v>
      </c>
      <c r="BS51" s="32" t="s">
        <v>3407</v>
      </c>
      <c r="BT51" s="32" t="str">
        <f>HYPERLINK("https%3A%2F%2Fwww.webofscience.com%2Fwos%2Fwoscc%2Ffull-record%2FWOS:000370115500002","View Full Record in Web of Science")</f>
        <v>View Full Record in Web of Science</v>
      </c>
    </row>
    <row r="52" ht="12.75" customHeight="1">
      <c r="A52" s="32" t="s">
        <v>26</v>
      </c>
      <c r="B52" s="32" t="s">
        <v>3408</v>
      </c>
      <c r="C52" s="32" t="s">
        <v>1324</v>
      </c>
      <c r="D52" s="32" t="s">
        <v>1324</v>
      </c>
      <c r="E52" s="32" t="s">
        <v>1324</v>
      </c>
      <c r="F52" s="32" t="s">
        <v>2215</v>
      </c>
      <c r="G52" s="32" t="s">
        <v>1324</v>
      </c>
      <c r="H52" s="32" t="s">
        <v>1324</v>
      </c>
      <c r="I52" s="32" t="s">
        <v>2216</v>
      </c>
      <c r="J52" s="32" t="s">
        <v>1824</v>
      </c>
      <c r="K52" s="32" t="s">
        <v>1324</v>
      </c>
      <c r="L52" s="32" t="s">
        <v>1324</v>
      </c>
      <c r="M52" s="32" t="s">
        <v>2364</v>
      </c>
      <c r="N52" s="32" t="s">
        <v>38</v>
      </c>
      <c r="O52" s="32" t="s">
        <v>1324</v>
      </c>
      <c r="P52" s="32" t="s">
        <v>1324</v>
      </c>
      <c r="Q52" s="32" t="s">
        <v>1324</v>
      </c>
      <c r="R52" s="32" t="s">
        <v>1324</v>
      </c>
      <c r="S52" s="32" t="s">
        <v>1324</v>
      </c>
      <c r="T52" s="32" t="s">
        <v>3409</v>
      </c>
      <c r="U52" s="32" t="s">
        <v>3410</v>
      </c>
      <c r="V52" s="32" t="s">
        <v>2217</v>
      </c>
      <c r="W52" s="32" t="s">
        <v>3411</v>
      </c>
      <c r="X52" s="32" t="s">
        <v>3412</v>
      </c>
      <c r="Y52" s="32" t="s">
        <v>3413</v>
      </c>
      <c r="Z52" s="32" t="s">
        <v>3414</v>
      </c>
      <c r="AA52" s="32" t="s">
        <v>5332</v>
      </c>
      <c r="AB52" s="32" t="s">
        <v>5333</v>
      </c>
      <c r="AC52" s="32" t="s">
        <v>1324</v>
      </c>
      <c r="AD52" s="32" t="s">
        <v>1324</v>
      </c>
      <c r="AE52" s="32" t="s">
        <v>1324</v>
      </c>
      <c r="AF52" s="32" t="s">
        <v>1324</v>
      </c>
      <c r="AG52" s="32">
        <v>77.0</v>
      </c>
      <c r="AH52" s="32">
        <v>164.0</v>
      </c>
      <c r="AI52" s="32">
        <v>183.0</v>
      </c>
      <c r="AJ52" s="32">
        <v>2.0</v>
      </c>
      <c r="AK52" s="32">
        <v>127.0</v>
      </c>
      <c r="AL52" s="32" t="s">
        <v>3250</v>
      </c>
      <c r="AM52" s="32" t="s">
        <v>3251</v>
      </c>
      <c r="AN52" s="32" t="s">
        <v>3252</v>
      </c>
      <c r="AO52" s="32" t="s">
        <v>3253</v>
      </c>
      <c r="AP52" s="32" t="s">
        <v>3254</v>
      </c>
      <c r="AQ52" s="32" t="s">
        <v>1324</v>
      </c>
      <c r="AR52" s="32" t="s">
        <v>3255</v>
      </c>
      <c r="AS52" s="32" t="s">
        <v>3256</v>
      </c>
      <c r="AT52" s="32" t="s">
        <v>2818</v>
      </c>
      <c r="AU52" s="32">
        <v>2016.0</v>
      </c>
      <c r="AV52" s="32">
        <v>25.0</v>
      </c>
      <c r="AW52" s="32">
        <v>2.0</v>
      </c>
      <c r="AX52" s="32" t="s">
        <v>1324</v>
      </c>
      <c r="AY52" s="32" t="s">
        <v>1324</v>
      </c>
      <c r="AZ52" s="32" t="s">
        <v>1324</v>
      </c>
      <c r="BA52" s="32" t="s">
        <v>1324</v>
      </c>
      <c r="BB52" s="32">
        <v>205.0</v>
      </c>
      <c r="BC52" s="32">
        <v>223.0</v>
      </c>
      <c r="BD52" s="32" t="s">
        <v>1324</v>
      </c>
      <c r="BE52" s="32" t="s">
        <v>2218</v>
      </c>
      <c r="BF52" s="38" t="str">
        <f>HYPERLINK("http://dx.doi.org/10.1007/s10531-015-1036-z","http://dx.doi.org/10.1007/s10531-015-1036-z")</f>
        <v>http://dx.doi.org/10.1007/s10531-015-1036-z</v>
      </c>
      <c r="BG52" s="32" t="s">
        <v>1324</v>
      </c>
      <c r="BH52" s="32" t="s">
        <v>1324</v>
      </c>
      <c r="BI52" s="32">
        <v>19.0</v>
      </c>
      <c r="BJ52" s="32" t="s">
        <v>255</v>
      </c>
      <c r="BK52" s="32" t="s">
        <v>2878</v>
      </c>
      <c r="BL52" s="32" t="s">
        <v>2577</v>
      </c>
      <c r="BM52" s="32" t="s">
        <v>3417</v>
      </c>
      <c r="BN52" s="32" t="s">
        <v>1324</v>
      </c>
      <c r="BO52" s="32" t="s">
        <v>1324</v>
      </c>
      <c r="BP52" s="32" t="s">
        <v>1324</v>
      </c>
      <c r="BQ52" s="32" t="s">
        <v>1324</v>
      </c>
      <c r="BR52" s="32" t="s">
        <v>5268</v>
      </c>
      <c r="BS52" s="32" t="s">
        <v>3418</v>
      </c>
      <c r="BT52" s="32" t="str">
        <f>HYPERLINK("https%3A%2F%2Fwww.webofscience.com%2Fwos%2Fwoscc%2Ffull-record%2FWOS:000370137100001","View Full Record in Web of Science")</f>
        <v>View Full Record in Web of Science</v>
      </c>
    </row>
    <row r="53" ht="12.75" customHeight="1">
      <c r="A53" s="32" t="s">
        <v>26</v>
      </c>
      <c r="B53" s="32" t="s">
        <v>3419</v>
      </c>
      <c r="C53" s="32" t="s">
        <v>1324</v>
      </c>
      <c r="D53" s="32" t="s">
        <v>1324</v>
      </c>
      <c r="E53" s="32" t="s">
        <v>1324</v>
      </c>
      <c r="F53" s="32" t="s">
        <v>1704</v>
      </c>
      <c r="G53" s="32" t="s">
        <v>1324</v>
      </c>
      <c r="H53" s="32" t="s">
        <v>1324</v>
      </c>
      <c r="I53" s="32" t="s">
        <v>1705</v>
      </c>
      <c r="J53" s="32" t="s">
        <v>1587</v>
      </c>
      <c r="K53" s="32" t="s">
        <v>1324</v>
      </c>
      <c r="L53" s="32" t="s">
        <v>1324</v>
      </c>
      <c r="M53" s="32" t="s">
        <v>2364</v>
      </c>
      <c r="N53" s="32" t="s">
        <v>38</v>
      </c>
      <c r="O53" s="32" t="s">
        <v>1324</v>
      </c>
      <c r="P53" s="32" t="s">
        <v>1324</v>
      </c>
      <c r="Q53" s="32" t="s">
        <v>1324</v>
      </c>
      <c r="R53" s="32" t="s">
        <v>1324</v>
      </c>
      <c r="S53" s="32" t="s">
        <v>1324</v>
      </c>
      <c r="T53" s="32" t="s">
        <v>3420</v>
      </c>
      <c r="U53" s="32" t="s">
        <v>3421</v>
      </c>
      <c r="V53" s="32" t="s">
        <v>1706</v>
      </c>
      <c r="W53" s="32" t="s">
        <v>3422</v>
      </c>
      <c r="X53" s="32" t="s">
        <v>3423</v>
      </c>
      <c r="Y53" s="32" t="s">
        <v>3424</v>
      </c>
      <c r="Z53" s="32" t="s">
        <v>3425</v>
      </c>
      <c r="AA53" s="32" t="s">
        <v>5334</v>
      </c>
      <c r="AB53" s="32" t="s">
        <v>5205</v>
      </c>
      <c r="AC53" s="32" t="s">
        <v>3428</v>
      </c>
      <c r="AD53" s="32" t="s">
        <v>3429</v>
      </c>
      <c r="AE53" s="32" t="s">
        <v>3430</v>
      </c>
      <c r="AF53" s="32" t="s">
        <v>1324</v>
      </c>
      <c r="AG53" s="32">
        <v>55.0</v>
      </c>
      <c r="AH53" s="32">
        <v>80.0</v>
      </c>
      <c r="AI53" s="32">
        <v>90.0</v>
      </c>
      <c r="AJ53" s="32">
        <v>1.0</v>
      </c>
      <c r="AK53" s="32">
        <v>113.0</v>
      </c>
      <c r="AL53" s="32" t="s">
        <v>2464</v>
      </c>
      <c r="AM53" s="32" t="s">
        <v>2465</v>
      </c>
      <c r="AN53" s="32" t="s">
        <v>2466</v>
      </c>
      <c r="AO53" s="32" t="s">
        <v>3431</v>
      </c>
      <c r="AP53" s="32" t="s">
        <v>3432</v>
      </c>
      <c r="AQ53" s="32" t="s">
        <v>1324</v>
      </c>
      <c r="AR53" s="32" t="s">
        <v>3433</v>
      </c>
      <c r="AS53" s="32" t="s">
        <v>3434</v>
      </c>
      <c r="AT53" s="32" t="s">
        <v>2818</v>
      </c>
      <c r="AU53" s="32">
        <v>2016.0</v>
      </c>
      <c r="AV53" s="32">
        <v>30.0</v>
      </c>
      <c r="AW53" s="32">
        <v>1.0</v>
      </c>
      <c r="AX53" s="32" t="s">
        <v>1324</v>
      </c>
      <c r="AY53" s="32" t="s">
        <v>1324</v>
      </c>
      <c r="AZ53" s="32" t="s">
        <v>1324</v>
      </c>
      <c r="BA53" s="32" t="s">
        <v>1324</v>
      </c>
      <c r="BB53" s="32">
        <v>142.0</v>
      </c>
      <c r="BC53" s="32">
        <v>153.0</v>
      </c>
      <c r="BD53" s="32" t="s">
        <v>1324</v>
      </c>
      <c r="BE53" s="32" t="s">
        <v>1707</v>
      </c>
      <c r="BF53" s="38" t="str">
        <f>HYPERLINK("http://dx.doi.org/10.1111/cobi.12576","http://dx.doi.org/10.1111/cobi.12576")</f>
        <v>http://dx.doi.org/10.1111/cobi.12576</v>
      </c>
      <c r="BG53" s="32" t="s">
        <v>1324</v>
      </c>
      <c r="BH53" s="32" t="s">
        <v>1324</v>
      </c>
      <c r="BI53" s="32">
        <v>12.0</v>
      </c>
      <c r="BJ53" s="32" t="s">
        <v>255</v>
      </c>
      <c r="BK53" s="32" t="s">
        <v>2407</v>
      </c>
      <c r="BL53" s="32" t="s">
        <v>2577</v>
      </c>
      <c r="BM53" s="32" t="s">
        <v>3435</v>
      </c>
      <c r="BN53" s="32">
        <v>2.613281E7</v>
      </c>
      <c r="BO53" s="32" t="s">
        <v>2715</v>
      </c>
      <c r="BP53" s="32" t="s">
        <v>1324</v>
      </c>
      <c r="BQ53" s="32" t="s">
        <v>1324</v>
      </c>
      <c r="BR53" s="32" t="s">
        <v>5268</v>
      </c>
      <c r="BS53" s="32" t="s">
        <v>3436</v>
      </c>
      <c r="BT53" s="32" t="str">
        <f>HYPERLINK("https%3A%2F%2Fwww.webofscience.com%2Fwos%2Fwoscc%2Ffull-record%2FWOS:000368938000016","View Full Record in Web of Science")</f>
        <v>View Full Record in Web of Science</v>
      </c>
    </row>
    <row r="54" ht="12.75" customHeight="1">
      <c r="A54" s="32" t="s">
        <v>26</v>
      </c>
      <c r="B54" s="32" t="s">
        <v>3437</v>
      </c>
      <c r="C54" s="32" t="s">
        <v>1324</v>
      </c>
      <c r="D54" s="32" t="s">
        <v>1324</v>
      </c>
      <c r="E54" s="32" t="s">
        <v>1324</v>
      </c>
      <c r="F54" s="32" t="s">
        <v>1930</v>
      </c>
      <c r="G54" s="32" t="s">
        <v>1324</v>
      </c>
      <c r="H54" s="32" t="s">
        <v>1324</v>
      </c>
      <c r="I54" s="32" t="s">
        <v>1931</v>
      </c>
      <c r="J54" s="32" t="s">
        <v>1925</v>
      </c>
      <c r="K54" s="32" t="s">
        <v>1324</v>
      </c>
      <c r="L54" s="32" t="s">
        <v>1324</v>
      </c>
      <c r="M54" s="32" t="s">
        <v>2364</v>
      </c>
      <c r="N54" s="32" t="s">
        <v>38</v>
      </c>
      <c r="O54" s="32" t="s">
        <v>1324</v>
      </c>
      <c r="P54" s="32" t="s">
        <v>1324</v>
      </c>
      <c r="Q54" s="32" t="s">
        <v>1324</v>
      </c>
      <c r="R54" s="32" t="s">
        <v>1324</v>
      </c>
      <c r="S54" s="32" t="s">
        <v>1324</v>
      </c>
      <c r="T54" s="32" t="s">
        <v>3438</v>
      </c>
      <c r="U54" s="32" t="s">
        <v>3439</v>
      </c>
      <c r="V54" s="32" t="s">
        <v>1932</v>
      </c>
      <c r="W54" s="32" t="s">
        <v>3440</v>
      </c>
      <c r="X54" s="32" t="s">
        <v>3441</v>
      </c>
      <c r="Y54" s="32" t="s">
        <v>3442</v>
      </c>
      <c r="Z54" s="32" t="s">
        <v>3443</v>
      </c>
      <c r="AA54" s="32" t="s">
        <v>5221</v>
      </c>
      <c r="AB54" s="32" t="s">
        <v>5222</v>
      </c>
      <c r="AC54" s="32" t="s">
        <v>3446</v>
      </c>
      <c r="AD54" s="32" t="s">
        <v>3447</v>
      </c>
      <c r="AE54" s="32" t="s">
        <v>3448</v>
      </c>
      <c r="AF54" s="32" t="s">
        <v>1324</v>
      </c>
      <c r="AG54" s="32">
        <v>86.0</v>
      </c>
      <c r="AH54" s="32">
        <v>49.0</v>
      </c>
      <c r="AI54" s="32">
        <v>53.0</v>
      </c>
      <c r="AJ54" s="32">
        <v>1.0</v>
      </c>
      <c r="AK54" s="32">
        <v>21.0</v>
      </c>
      <c r="AL54" s="32" t="s">
        <v>2486</v>
      </c>
      <c r="AM54" s="32" t="s">
        <v>2487</v>
      </c>
      <c r="AN54" s="32" t="s">
        <v>2488</v>
      </c>
      <c r="AO54" s="32" t="s">
        <v>3272</v>
      </c>
      <c r="AP54" s="32" t="s">
        <v>1324</v>
      </c>
      <c r="AQ54" s="32" t="s">
        <v>1324</v>
      </c>
      <c r="AR54" s="32" t="s">
        <v>3273</v>
      </c>
      <c r="AS54" s="32" t="s">
        <v>3274</v>
      </c>
      <c r="AT54" s="32" t="s">
        <v>3208</v>
      </c>
      <c r="AU54" s="32">
        <v>2016.0</v>
      </c>
      <c r="AV54" s="32">
        <v>3.0</v>
      </c>
      <c r="AW54" s="32" t="s">
        <v>1324</v>
      </c>
      <c r="AX54" s="32" t="s">
        <v>1324</v>
      </c>
      <c r="AY54" s="32" t="s">
        <v>1324</v>
      </c>
      <c r="AZ54" s="32" t="s">
        <v>1324</v>
      </c>
      <c r="BA54" s="32" t="s">
        <v>1324</v>
      </c>
      <c r="BB54" s="32">
        <v>107.0</v>
      </c>
      <c r="BC54" s="32">
        <v>118.0</v>
      </c>
      <c r="BD54" s="32" t="s">
        <v>1324</v>
      </c>
      <c r="BE54" s="32" t="s">
        <v>1933</v>
      </c>
      <c r="BF54" s="38" t="str">
        <f>HYPERLINK("http://dx.doi.org/10.1016/j.rsma.2015.06.001","http://dx.doi.org/10.1016/j.rsma.2015.06.001")</f>
        <v>http://dx.doi.org/10.1016/j.rsma.2015.06.001</v>
      </c>
      <c r="BG54" s="32" t="s">
        <v>1324</v>
      </c>
      <c r="BH54" s="32" t="s">
        <v>1324</v>
      </c>
      <c r="BI54" s="32">
        <v>12.0</v>
      </c>
      <c r="BJ54" s="32" t="s">
        <v>130</v>
      </c>
      <c r="BK54" s="32" t="s">
        <v>2407</v>
      </c>
      <c r="BL54" s="32" t="s">
        <v>2516</v>
      </c>
      <c r="BM54" s="32" t="s">
        <v>3449</v>
      </c>
      <c r="BN54" s="32" t="s">
        <v>1324</v>
      </c>
      <c r="BO54" s="32" t="s">
        <v>1324</v>
      </c>
      <c r="BP54" s="32" t="s">
        <v>1324</v>
      </c>
      <c r="BQ54" s="32" t="s">
        <v>1324</v>
      </c>
      <c r="BR54" s="32" t="s">
        <v>5268</v>
      </c>
      <c r="BS54" s="32" t="s">
        <v>3450</v>
      </c>
      <c r="BT54" s="32" t="str">
        <f>HYPERLINK("https%3A%2F%2Fwww.webofscience.com%2Fwos%2Fwoscc%2Ffull-record%2FWOS:000414755500014","View Full Record in Web of Science")</f>
        <v>View Full Record in Web of Science</v>
      </c>
    </row>
    <row r="55" ht="12.75" customHeight="1">
      <c r="A55" s="32" t="s">
        <v>2433</v>
      </c>
      <c r="B55" s="32" t="s">
        <v>3451</v>
      </c>
      <c r="C55" s="32" t="s">
        <v>1324</v>
      </c>
      <c r="D55" s="32" t="s">
        <v>3452</v>
      </c>
      <c r="E55" s="32" t="s">
        <v>1324</v>
      </c>
      <c r="F55" s="32" t="s">
        <v>2232</v>
      </c>
      <c r="G55" s="32" t="s">
        <v>1324</v>
      </c>
      <c r="H55" s="32" t="s">
        <v>1324</v>
      </c>
      <c r="I55" s="32" t="s">
        <v>3453</v>
      </c>
      <c r="J55" s="32" t="s">
        <v>3454</v>
      </c>
      <c r="K55" s="32" t="s">
        <v>1324</v>
      </c>
      <c r="L55" s="32" t="s">
        <v>1324</v>
      </c>
      <c r="M55" s="32" t="s">
        <v>2364</v>
      </c>
      <c r="N55" s="32" t="s">
        <v>2437</v>
      </c>
      <c r="O55" s="32" t="s">
        <v>1324</v>
      </c>
      <c r="P55" s="32" t="s">
        <v>1324</v>
      </c>
      <c r="Q55" s="32" t="s">
        <v>1324</v>
      </c>
      <c r="R55" s="32" t="s">
        <v>1324</v>
      </c>
      <c r="S55" s="32" t="s">
        <v>1324</v>
      </c>
      <c r="T55" s="32" t="s">
        <v>1324</v>
      </c>
      <c r="U55" s="32" t="s">
        <v>3455</v>
      </c>
      <c r="V55" s="32" t="s">
        <v>1324</v>
      </c>
      <c r="W55" s="32" t="s">
        <v>3456</v>
      </c>
      <c r="X55" s="32" t="s">
        <v>3457</v>
      </c>
      <c r="Y55" s="32" t="s">
        <v>3458</v>
      </c>
      <c r="Z55" s="32" t="s">
        <v>3459</v>
      </c>
      <c r="AA55" s="32" t="s">
        <v>3460</v>
      </c>
      <c r="AB55" s="32" t="s">
        <v>1324</v>
      </c>
      <c r="AC55" s="32" t="s">
        <v>1324</v>
      </c>
      <c r="AD55" s="32" t="s">
        <v>1324</v>
      </c>
      <c r="AE55" s="32" t="s">
        <v>1324</v>
      </c>
      <c r="AF55" s="32" t="s">
        <v>1324</v>
      </c>
      <c r="AG55" s="32">
        <v>157.0</v>
      </c>
      <c r="AH55" s="32">
        <v>1.0</v>
      </c>
      <c r="AI55" s="32">
        <v>1.0</v>
      </c>
      <c r="AJ55" s="32">
        <v>0.0</v>
      </c>
      <c r="AK55" s="32">
        <v>11.0</v>
      </c>
      <c r="AL55" s="32" t="s">
        <v>3461</v>
      </c>
      <c r="AM55" s="32" t="s">
        <v>3462</v>
      </c>
      <c r="AN55" s="32" t="s">
        <v>3463</v>
      </c>
      <c r="AO55" s="32" t="s">
        <v>1324</v>
      </c>
      <c r="AP55" s="32" t="s">
        <v>1324</v>
      </c>
      <c r="AQ55" s="32" t="s">
        <v>3464</v>
      </c>
      <c r="AR55" s="32" t="s">
        <v>1324</v>
      </c>
      <c r="AS55" s="32" t="s">
        <v>1324</v>
      </c>
      <c r="AT55" s="32" t="s">
        <v>1324</v>
      </c>
      <c r="AU55" s="32">
        <v>2016.0</v>
      </c>
      <c r="AV55" s="32" t="s">
        <v>1324</v>
      </c>
      <c r="AW55" s="32" t="s">
        <v>1324</v>
      </c>
      <c r="AX55" s="32" t="s">
        <v>1324</v>
      </c>
      <c r="AY55" s="32" t="s">
        <v>1324</v>
      </c>
      <c r="AZ55" s="32" t="s">
        <v>1324</v>
      </c>
      <c r="BA55" s="32" t="s">
        <v>1324</v>
      </c>
      <c r="BB55" s="32">
        <v>251.0</v>
      </c>
      <c r="BC55" s="32">
        <v>271.0</v>
      </c>
      <c r="BD55" s="32" t="s">
        <v>1324</v>
      </c>
      <c r="BE55" s="32" t="s">
        <v>2236</v>
      </c>
      <c r="BF55" s="38" t="str">
        <f>HYPERLINK("http://dx.doi.org/10.1002/wene.41","http://dx.doi.org/10.1002/wene.41")</f>
        <v>http://dx.doi.org/10.1002/wene.41</v>
      </c>
      <c r="BG55" s="32" t="s">
        <v>3465</v>
      </c>
      <c r="BH55" s="32" t="s">
        <v>1324</v>
      </c>
      <c r="BI55" s="32">
        <v>21.0</v>
      </c>
      <c r="BJ55" s="32" t="s">
        <v>3466</v>
      </c>
      <c r="BK55" s="32" t="s">
        <v>2448</v>
      </c>
      <c r="BL55" s="32" t="s">
        <v>3467</v>
      </c>
      <c r="BM55" s="32" t="s">
        <v>3468</v>
      </c>
      <c r="BN55" s="32" t="s">
        <v>1324</v>
      </c>
      <c r="BO55" s="32" t="s">
        <v>1324</v>
      </c>
      <c r="BP55" s="32" t="s">
        <v>1324</v>
      </c>
      <c r="BQ55" s="32" t="s">
        <v>1324</v>
      </c>
      <c r="BR55" s="32" t="s">
        <v>5268</v>
      </c>
      <c r="BS55" s="32" t="s">
        <v>3469</v>
      </c>
      <c r="BT55" s="32" t="str">
        <f>HYPERLINK("https%3A%2F%2Fwww.webofscience.com%2Fwos%2Fwoscc%2Ffull-record%2FWOS:000385226400017","View Full Record in Web of Science")</f>
        <v>View Full Record in Web of Science</v>
      </c>
    </row>
    <row r="56" ht="12.75" customHeight="1">
      <c r="A56" s="32" t="s">
        <v>26</v>
      </c>
      <c r="B56" s="32" t="s">
        <v>3470</v>
      </c>
      <c r="C56" s="32" t="s">
        <v>1324</v>
      </c>
      <c r="D56" s="32" t="s">
        <v>1324</v>
      </c>
      <c r="E56" s="32" t="s">
        <v>1324</v>
      </c>
      <c r="F56" s="32" t="s">
        <v>2047</v>
      </c>
      <c r="G56" s="32" t="s">
        <v>1324</v>
      </c>
      <c r="H56" s="32" t="s">
        <v>1324</v>
      </c>
      <c r="I56" s="32" t="s">
        <v>2049</v>
      </c>
      <c r="J56" s="32" t="s">
        <v>2048</v>
      </c>
      <c r="K56" s="32" t="s">
        <v>1324</v>
      </c>
      <c r="L56" s="32" t="s">
        <v>1324</v>
      </c>
      <c r="M56" s="32" t="s">
        <v>2364</v>
      </c>
      <c r="N56" s="32" t="s">
        <v>38</v>
      </c>
      <c r="O56" s="32" t="s">
        <v>1324</v>
      </c>
      <c r="P56" s="32" t="s">
        <v>1324</v>
      </c>
      <c r="Q56" s="32" t="s">
        <v>1324</v>
      </c>
      <c r="R56" s="32" t="s">
        <v>1324</v>
      </c>
      <c r="S56" s="32" t="s">
        <v>1324</v>
      </c>
      <c r="T56" s="32" t="s">
        <v>3471</v>
      </c>
      <c r="U56" s="32" t="s">
        <v>3472</v>
      </c>
      <c r="V56" s="32" t="s">
        <v>2050</v>
      </c>
      <c r="W56" s="32" t="s">
        <v>3473</v>
      </c>
      <c r="X56" s="32" t="s">
        <v>3474</v>
      </c>
      <c r="Y56" s="32" t="s">
        <v>3475</v>
      </c>
      <c r="Z56" s="32" t="s">
        <v>3476</v>
      </c>
      <c r="AA56" s="32" t="s">
        <v>5335</v>
      </c>
      <c r="AB56" s="32" t="s">
        <v>5336</v>
      </c>
      <c r="AC56" s="32" t="s">
        <v>5337</v>
      </c>
      <c r="AD56" s="32" t="s">
        <v>5338</v>
      </c>
      <c r="AE56" s="32" t="s">
        <v>3481</v>
      </c>
      <c r="AF56" s="32" t="s">
        <v>1324</v>
      </c>
      <c r="AG56" s="32">
        <v>48.0</v>
      </c>
      <c r="AH56" s="32">
        <v>12.0</v>
      </c>
      <c r="AI56" s="32">
        <v>16.0</v>
      </c>
      <c r="AJ56" s="32">
        <v>2.0</v>
      </c>
      <c r="AK56" s="32">
        <v>79.0</v>
      </c>
      <c r="AL56" s="32" t="s">
        <v>3482</v>
      </c>
      <c r="AM56" s="32" t="s">
        <v>3483</v>
      </c>
      <c r="AN56" s="32" t="s">
        <v>3484</v>
      </c>
      <c r="AO56" s="32" t="s">
        <v>3485</v>
      </c>
      <c r="AP56" s="32" t="s">
        <v>3486</v>
      </c>
      <c r="AQ56" s="32" t="s">
        <v>1324</v>
      </c>
      <c r="AR56" s="32" t="s">
        <v>3487</v>
      </c>
      <c r="AS56" s="32" t="s">
        <v>3488</v>
      </c>
      <c r="AT56" s="32" t="s">
        <v>3208</v>
      </c>
      <c r="AU56" s="32">
        <v>2016.0</v>
      </c>
      <c r="AV56" s="32">
        <v>144.0</v>
      </c>
      <c r="AW56" s="32" t="s">
        <v>1324</v>
      </c>
      <c r="AX56" s="32" t="s">
        <v>2433</v>
      </c>
      <c r="AY56" s="32" t="s">
        <v>1324</v>
      </c>
      <c r="AZ56" s="32" t="s">
        <v>3257</v>
      </c>
      <c r="BA56" s="32" t="s">
        <v>1324</v>
      </c>
      <c r="BB56" s="32">
        <v>64.0</v>
      </c>
      <c r="BC56" s="32">
        <v>71.0</v>
      </c>
      <c r="BD56" s="32" t="s">
        <v>1324</v>
      </c>
      <c r="BE56" s="32" t="s">
        <v>2051</v>
      </c>
      <c r="BF56" s="38" t="str">
        <f>HYPERLINK("http://dx.doi.org/10.1016/j.envres.2015.09.002","http://dx.doi.org/10.1016/j.envres.2015.09.002")</f>
        <v>http://dx.doi.org/10.1016/j.envres.2015.09.002</v>
      </c>
      <c r="BG56" s="32" t="s">
        <v>1324</v>
      </c>
      <c r="BH56" s="32" t="s">
        <v>1324</v>
      </c>
      <c r="BI56" s="32">
        <v>8.0</v>
      </c>
      <c r="BJ56" s="32" t="s">
        <v>3489</v>
      </c>
      <c r="BK56" s="32" t="s">
        <v>2407</v>
      </c>
      <c r="BL56" s="32" t="s">
        <v>3490</v>
      </c>
      <c r="BM56" s="32" t="s">
        <v>3491</v>
      </c>
      <c r="BN56" s="32">
        <v>2.6386629E7</v>
      </c>
      <c r="BO56" s="32" t="s">
        <v>1324</v>
      </c>
      <c r="BP56" s="32" t="s">
        <v>1324</v>
      </c>
      <c r="BQ56" s="32" t="s">
        <v>1324</v>
      </c>
      <c r="BR56" s="32" t="s">
        <v>5268</v>
      </c>
      <c r="BS56" s="32" t="s">
        <v>3492</v>
      </c>
      <c r="BT56" s="32" t="str">
        <f>HYPERLINK("https%3A%2F%2Fwww.webofscience.com%2Fwos%2Fwoscc%2Ffull-record%2FWOS:000366443200007","View Full Record in Web of Science")</f>
        <v>View Full Record in Web of Science</v>
      </c>
    </row>
    <row r="57" ht="12.75" customHeight="1">
      <c r="A57" s="32" t="s">
        <v>26</v>
      </c>
      <c r="B57" s="32" t="s">
        <v>3493</v>
      </c>
      <c r="C57" s="32" t="s">
        <v>1324</v>
      </c>
      <c r="D57" s="32" t="s">
        <v>1324</v>
      </c>
      <c r="E57" s="32" t="s">
        <v>1324</v>
      </c>
      <c r="F57" s="32" t="s">
        <v>1650</v>
      </c>
      <c r="G57" s="32" t="s">
        <v>1324</v>
      </c>
      <c r="H57" s="32" t="s">
        <v>1324</v>
      </c>
      <c r="I57" s="32" t="s">
        <v>1651</v>
      </c>
      <c r="J57" s="32" t="s">
        <v>774</v>
      </c>
      <c r="K57" s="32" t="s">
        <v>1324</v>
      </c>
      <c r="L57" s="32" t="s">
        <v>1324</v>
      </c>
      <c r="M57" s="32" t="s">
        <v>2364</v>
      </c>
      <c r="N57" s="32" t="s">
        <v>38</v>
      </c>
      <c r="O57" s="32" t="s">
        <v>1324</v>
      </c>
      <c r="P57" s="32" t="s">
        <v>1324</v>
      </c>
      <c r="Q57" s="32" t="s">
        <v>1324</v>
      </c>
      <c r="R57" s="32" t="s">
        <v>1324</v>
      </c>
      <c r="S57" s="32" t="s">
        <v>1324</v>
      </c>
      <c r="T57" s="32" t="s">
        <v>3494</v>
      </c>
      <c r="U57" s="32" t="s">
        <v>3495</v>
      </c>
      <c r="V57" s="32" t="s">
        <v>1652</v>
      </c>
      <c r="W57" s="32" t="s">
        <v>3496</v>
      </c>
      <c r="X57" s="32" t="s">
        <v>3497</v>
      </c>
      <c r="Y57" s="32" t="s">
        <v>3498</v>
      </c>
      <c r="Z57" s="32" t="s">
        <v>3499</v>
      </c>
      <c r="AA57" s="32" t="s">
        <v>3500</v>
      </c>
      <c r="AB57" s="32" t="s">
        <v>3501</v>
      </c>
      <c r="AC57" s="32" t="s">
        <v>1324</v>
      </c>
      <c r="AD57" s="32" t="s">
        <v>1324</v>
      </c>
      <c r="AE57" s="32" t="s">
        <v>1324</v>
      </c>
      <c r="AF57" s="32" t="s">
        <v>1324</v>
      </c>
      <c r="AG57" s="32">
        <v>57.0</v>
      </c>
      <c r="AH57" s="32">
        <v>157.0</v>
      </c>
      <c r="AI57" s="32">
        <v>171.0</v>
      </c>
      <c r="AJ57" s="32">
        <v>2.0</v>
      </c>
      <c r="AK57" s="32">
        <v>225.0</v>
      </c>
      <c r="AL57" s="32" t="s">
        <v>2464</v>
      </c>
      <c r="AM57" s="32" t="s">
        <v>2465</v>
      </c>
      <c r="AN57" s="32" t="s">
        <v>2466</v>
      </c>
      <c r="AO57" s="32" t="s">
        <v>2923</v>
      </c>
      <c r="AP57" s="32" t="s">
        <v>2924</v>
      </c>
      <c r="AQ57" s="32" t="s">
        <v>1324</v>
      </c>
      <c r="AR57" s="32" t="s">
        <v>2925</v>
      </c>
      <c r="AS57" s="32" t="s">
        <v>2926</v>
      </c>
      <c r="AT57" s="32" t="s">
        <v>3208</v>
      </c>
      <c r="AU57" s="32">
        <v>2016.0</v>
      </c>
      <c r="AV57" s="32">
        <v>22.0</v>
      </c>
      <c r="AW57" s="32">
        <v>1.0</v>
      </c>
      <c r="AX57" s="32" t="s">
        <v>1324</v>
      </c>
      <c r="AY57" s="32" t="s">
        <v>1324</v>
      </c>
      <c r="AZ57" s="32" t="s">
        <v>1324</v>
      </c>
      <c r="BA57" s="32" t="s">
        <v>1324</v>
      </c>
      <c r="BB57" s="32">
        <v>228.0</v>
      </c>
      <c r="BC57" s="32">
        <v>236.0</v>
      </c>
      <c r="BD57" s="32" t="s">
        <v>1324</v>
      </c>
      <c r="BE57" s="32" t="s">
        <v>1653</v>
      </c>
      <c r="BF57" s="38" t="str">
        <f>HYPERLINK("http://dx.doi.org/10.1111/gcb.13091","http://dx.doi.org/10.1111/gcb.13091")</f>
        <v>http://dx.doi.org/10.1111/gcb.13091</v>
      </c>
      <c r="BG57" s="32" t="s">
        <v>1324</v>
      </c>
      <c r="BH57" s="32" t="s">
        <v>1324</v>
      </c>
      <c r="BI57" s="32">
        <v>9.0</v>
      </c>
      <c r="BJ57" s="32" t="s">
        <v>255</v>
      </c>
      <c r="BK57" s="32" t="s">
        <v>2407</v>
      </c>
      <c r="BL57" s="32" t="s">
        <v>2577</v>
      </c>
      <c r="BM57" s="32" t="s">
        <v>3502</v>
      </c>
      <c r="BN57" s="32">
        <v>2.6367396E7</v>
      </c>
      <c r="BO57" s="32" t="s">
        <v>1324</v>
      </c>
      <c r="BP57" s="32" t="s">
        <v>1324</v>
      </c>
      <c r="BQ57" s="32" t="s">
        <v>1324</v>
      </c>
      <c r="BR57" s="32" t="s">
        <v>5268</v>
      </c>
      <c r="BS57" s="32" t="s">
        <v>3503</v>
      </c>
      <c r="BT57" s="32" t="str">
        <f>HYPERLINK("https%3A%2F%2Fwww.webofscience.com%2Fwos%2Fwoscc%2Ffull-record%2FWOS:000367982900018","View Full Record in Web of Science")</f>
        <v>View Full Record in Web of Science</v>
      </c>
    </row>
    <row r="58" ht="12.75" customHeight="1">
      <c r="A58" s="32" t="s">
        <v>26</v>
      </c>
      <c r="B58" s="32" t="s">
        <v>3504</v>
      </c>
      <c r="C58" s="32" t="s">
        <v>1324</v>
      </c>
      <c r="D58" s="32" t="s">
        <v>1324</v>
      </c>
      <c r="E58" s="32" t="s">
        <v>1324</v>
      </c>
      <c r="F58" s="32" t="s">
        <v>2199</v>
      </c>
      <c r="G58" s="32" t="s">
        <v>1324</v>
      </c>
      <c r="H58" s="32" t="s">
        <v>1324</v>
      </c>
      <c r="I58" s="32" t="s">
        <v>2201</v>
      </c>
      <c r="J58" s="32" t="s">
        <v>2200</v>
      </c>
      <c r="K58" s="32" t="s">
        <v>1324</v>
      </c>
      <c r="L58" s="32" t="s">
        <v>1324</v>
      </c>
      <c r="M58" s="32" t="s">
        <v>2364</v>
      </c>
      <c r="N58" s="32" t="s">
        <v>38</v>
      </c>
      <c r="O58" s="32" t="s">
        <v>1324</v>
      </c>
      <c r="P58" s="32" t="s">
        <v>1324</v>
      </c>
      <c r="Q58" s="32" t="s">
        <v>1324</v>
      </c>
      <c r="R58" s="32" t="s">
        <v>1324</v>
      </c>
      <c r="S58" s="32" t="s">
        <v>1324</v>
      </c>
      <c r="T58" s="32" t="s">
        <v>1324</v>
      </c>
      <c r="U58" s="32" t="s">
        <v>3505</v>
      </c>
      <c r="V58" s="32" t="s">
        <v>2202</v>
      </c>
      <c r="W58" s="32" t="s">
        <v>3506</v>
      </c>
      <c r="X58" s="32" t="s">
        <v>3507</v>
      </c>
      <c r="Y58" s="32" t="s">
        <v>3508</v>
      </c>
      <c r="Z58" s="32" t="s">
        <v>3509</v>
      </c>
      <c r="AA58" s="32" t="s">
        <v>5339</v>
      </c>
      <c r="AB58" s="32" t="s">
        <v>5340</v>
      </c>
      <c r="AC58" s="32" t="s">
        <v>5089</v>
      </c>
      <c r="AD58" s="32" t="s">
        <v>3513</v>
      </c>
      <c r="AE58" s="32" t="s">
        <v>3514</v>
      </c>
      <c r="AF58" s="32" t="s">
        <v>1324</v>
      </c>
      <c r="AG58" s="32">
        <v>58.0</v>
      </c>
      <c r="AH58" s="32">
        <v>22.0</v>
      </c>
      <c r="AI58" s="32">
        <v>26.0</v>
      </c>
      <c r="AJ58" s="32">
        <v>0.0</v>
      </c>
      <c r="AK58" s="32">
        <v>64.0</v>
      </c>
      <c r="AL58" s="32" t="s">
        <v>3250</v>
      </c>
      <c r="AM58" s="32" t="s">
        <v>3251</v>
      </c>
      <c r="AN58" s="32" t="s">
        <v>3252</v>
      </c>
      <c r="AO58" s="32" t="s">
        <v>3515</v>
      </c>
      <c r="AP58" s="32" t="s">
        <v>3516</v>
      </c>
      <c r="AQ58" s="32" t="s">
        <v>1324</v>
      </c>
      <c r="AR58" s="32" t="s">
        <v>2200</v>
      </c>
      <c r="AS58" s="32" t="s">
        <v>3517</v>
      </c>
      <c r="AT58" s="32" t="s">
        <v>3518</v>
      </c>
      <c r="AU58" s="32">
        <v>2015.0</v>
      </c>
      <c r="AV58" s="32">
        <v>132.0</v>
      </c>
      <c r="AW58" s="32">
        <v>4.0</v>
      </c>
      <c r="AX58" s="32" t="s">
        <v>1324</v>
      </c>
      <c r="AY58" s="32" t="s">
        <v>1324</v>
      </c>
      <c r="AZ58" s="32" t="s">
        <v>1324</v>
      </c>
      <c r="BA58" s="32" t="s">
        <v>1324</v>
      </c>
      <c r="BB58" s="32">
        <v>575.0</v>
      </c>
      <c r="BC58" s="32">
        <v>588.0</v>
      </c>
      <c r="BD58" s="32" t="s">
        <v>1324</v>
      </c>
      <c r="BE58" s="32" t="s">
        <v>2203</v>
      </c>
      <c r="BF58" s="38" t="str">
        <f>HYPERLINK("http://dx.doi.org/10.1007/s10584-015-1448-5","http://dx.doi.org/10.1007/s10584-015-1448-5")</f>
        <v>http://dx.doi.org/10.1007/s10584-015-1448-5</v>
      </c>
      <c r="BG58" s="32" t="s">
        <v>1324</v>
      </c>
      <c r="BH58" s="32" t="s">
        <v>1324</v>
      </c>
      <c r="BI58" s="32">
        <v>14.0</v>
      </c>
      <c r="BJ58" s="32" t="s">
        <v>322</v>
      </c>
      <c r="BK58" s="32" t="s">
        <v>2407</v>
      </c>
      <c r="BL58" s="32" t="s">
        <v>2596</v>
      </c>
      <c r="BM58" s="32" t="s">
        <v>3519</v>
      </c>
      <c r="BN58" s="32" t="s">
        <v>1324</v>
      </c>
      <c r="BO58" s="32" t="s">
        <v>1324</v>
      </c>
      <c r="BP58" s="32" t="s">
        <v>1324</v>
      </c>
      <c r="BQ58" s="32" t="s">
        <v>1324</v>
      </c>
      <c r="BR58" s="32" t="s">
        <v>5268</v>
      </c>
      <c r="BS58" s="32" t="s">
        <v>3520</v>
      </c>
      <c r="BT58" s="32" t="str">
        <f>HYPERLINK("https%3A%2F%2Fwww.webofscience.com%2Fwos%2Fwoscc%2Ffull-record%2FWOS:000361799100009","View Full Record in Web of Science")</f>
        <v>View Full Record in Web of Science</v>
      </c>
    </row>
    <row r="59" ht="12.75" customHeight="1">
      <c r="A59" s="32" t="s">
        <v>26</v>
      </c>
      <c r="B59" s="32" t="s">
        <v>3521</v>
      </c>
      <c r="C59" s="32" t="s">
        <v>1324</v>
      </c>
      <c r="D59" s="32" t="s">
        <v>1324</v>
      </c>
      <c r="E59" s="32" t="s">
        <v>1324</v>
      </c>
      <c r="F59" s="32" t="s">
        <v>1655</v>
      </c>
      <c r="G59" s="32" t="s">
        <v>1324</v>
      </c>
      <c r="H59" s="32" t="s">
        <v>1324</v>
      </c>
      <c r="I59" s="32" t="s">
        <v>1656</v>
      </c>
      <c r="J59" s="32" t="s">
        <v>774</v>
      </c>
      <c r="K59" s="32" t="s">
        <v>1324</v>
      </c>
      <c r="L59" s="32" t="s">
        <v>1324</v>
      </c>
      <c r="M59" s="32" t="s">
        <v>2364</v>
      </c>
      <c r="N59" s="32" t="s">
        <v>38</v>
      </c>
      <c r="O59" s="32" t="s">
        <v>1324</v>
      </c>
      <c r="P59" s="32" t="s">
        <v>1324</v>
      </c>
      <c r="Q59" s="32" t="s">
        <v>1324</v>
      </c>
      <c r="R59" s="32" t="s">
        <v>1324</v>
      </c>
      <c r="S59" s="32" t="s">
        <v>1324</v>
      </c>
      <c r="T59" s="32" t="s">
        <v>3522</v>
      </c>
      <c r="U59" s="32" t="s">
        <v>3523</v>
      </c>
      <c r="V59" s="32" t="s">
        <v>1657</v>
      </c>
      <c r="W59" s="32" t="s">
        <v>3524</v>
      </c>
      <c r="X59" s="32" t="s">
        <v>3525</v>
      </c>
      <c r="Y59" s="32" t="s">
        <v>3526</v>
      </c>
      <c r="Z59" s="32" t="s">
        <v>3527</v>
      </c>
      <c r="AA59" s="32" t="s">
        <v>5341</v>
      </c>
      <c r="AB59" s="32" t="s">
        <v>5342</v>
      </c>
      <c r="AC59" s="32" t="s">
        <v>3530</v>
      </c>
      <c r="AD59" s="32" t="s">
        <v>3531</v>
      </c>
      <c r="AE59" s="32" t="s">
        <v>3532</v>
      </c>
      <c r="AF59" s="32" t="s">
        <v>1324</v>
      </c>
      <c r="AG59" s="32">
        <v>50.0</v>
      </c>
      <c r="AH59" s="32">
        <v>140.0</v>
      </c>
      <c r="AI59" s="32">
        <v>144.0</v>
      </c>
      <c r="AJ59" s="32">
        <v>4.0</v>
      </c>
      <c r="AK59" s="32">
        <v>222.0</v>
      </c>
      <c r="AL59" s="32" t="s">
        <v>2464</v>
      </c>
      <c r="AM59" s="32" t="s">
        <v>2465</v>
      </c>
      <c r="AN59" s="32" t="s">
        <v>2466</v>
      </c>
      <c r="AO59" s="32" t="s">
        <v>2923</v>
      </c>
      <c r="AP59" s="32" t="s">
        <v>2924</v>
      </c>
      <c r="AQ59" s="32" t="s">
        <v>1324</v>
      </c>
      <c r="AR59" s="32" t="s">
        <v>2925</v>
      </c>
      <c r="AS59" s="32" t="s">
        <v>2926</v>
      </c>
      <c r="AT59" s="32" t="s">
        <v>3518</v>
      </c>
      <c r="AU59" s="32">
        <v>2015.0</v>
      </c>
      <c r="AV59" s="32">
        <v>21.0</v>
      </c>
      <c r="AW59" s="32">
        <v>10.0</v>
      </c>
      <c r="AX59" s="32" t="s">
        <v>1324</v>
      </c>
      <c r="AY59" s="32" t="s">
        <v>1324</v>
      </c>
      <c r="AZ59" s="32" t="s">
        <v>1324</v>
      </c>
      <c r="BA59" s="32" t="s">
        <v>1324</v>
      </c>
      <c r="BB59" s="32">
        <v>3726.0</v>
      </c>
      <c r="BC59" s="32">
        <v>3737.0</v>
      </c>
      <c r="BD59" s="32" t="s">
        <v>1324</v>
      </c>
      <c r="BE59" s="32" t="s">
        <v>1658</v>
      </c>
      <c r="BF59" s="38" t="str">
        <f>HYPERLINK("http://dx.doi.org/10.1111/gcb.12993","http://dx.doi.org/10.1111/gcb.12993")</f>
        <v>http://dx.doi.org/10.1111/gcb.12993</v>
      </c>
      <c r="BG59" s="32" t="s">
        <v>1324</v>
      </c>
      <c r="BH59" s="32" t="s">
        <v>1324</v>
      </c>
      <c r="BI59" s="32">
        <v>12.0</v>
      </c>
      <c r="BJ59" s="32" t="s">
        <v>255</v>
      </c>
      <c r="BK59" s="32" t="s">
        <v>2407</v>
      </c>
      <c r="BL59" s="32" t="s">
        <v>2577</v>
      </c>
      <c r="BM59" s="32" t="s">
        <v>3533</v>
      </c>
      <c r="BN59" s="32">
        <v>2.6212787E7</v>
      </c>
      <c r="BO59" s="32" t="s">
        <v>2579</v>
      </c>
      <c r="BP59" s="32" t="s">
        <v>1324</v>
      </c>
      <c r="BQ59" s="32" t="s">
        <v>1324</v>
      </c>
      <c r="BR59" s="32" t="s">
        <v>5268</v>
      </c>
      <c r="BS59" s="32" t="s">
        <v>3534</v>
      </c>
      <c r="BT59" s="32" t="str">
        <f>HYPERLINK("https%3A%2F%2Fwww.webofscience.com%2Fwos%2Fwoscc%2Ffull-record%2FWOS:000360994500014","View Full Record in Web of Science")</f>
        <v>View Full Record in Web of Science</v>
      </c>
    </row>
    <row r="60" ht="12.75" customHeight="1">
      <c r="A60" s="32" t="s">
        <v>26</v>
      </c>
      <c r="B60" s="32" t="s">
        <v>3535</v>
      </c>
      <c r="C60" s="32" t="s">
        <v>1324</v>
      </c>
      <c r="D60" s="32" t="s">
        <v>1324</v>
      </c>
      <c r="E60" s="32" t="s">
        <v>1324</v>
      </c>
      <c r="F60" s="32" t="s">
        <v>1437</v>
      </c>
      <c r="G60" s="32" t="s">
        <v>1324</v>
      </c>
      <c r="H60" s="32" t="s">
        <v>1324</v>
      </c>
      <c r="I60" s="32" t="s">
        <v>1438</v>
      </c>
      <c r="J60" s="32" t="s">
        <v>365</v>
      </c>
      <c r="K60" s="32" t="s">
        <v>1324</v>
      </c>
      <c r="L60" s="32" t="s">
        <v>1324</v>
      </c>
      <c r="M60" s="32" t="s">
        <v>2364</v>
      </c>
      <c r="N60" s="32" t="s">
        <v>38</v>
      </c>
      <c r="O60" s="32" t="s">
        <v>1324</v>
      </c>
      <c r="P60" s="32" t="s">
        <v>1324</v>
      </c>
      <c r="Q60" s="32" t="s">
        <v>1324</v>
      </c>
      <c r="R60" s="32" t="s">
        <v>1324</v>
      </c>
      <c r="S60" s="32" t="s">
        <v>1324</v>
      </c>
      <c r="T60" s="32" t="s">
        <v>1324</v>
      </c>
      <c r="U60" s="32" t="s">
        <v>3536</v>
      </c>
      <c r="V60" s="32" t="s">
        <v>1439</v>
      </c>
      <c r="W60" s="32" t="s">
        <v>3537</v>
      </c>
      <c r="X60" s="32" t="s">
        <v>3538</v>
      </c>
      <c r="Y60" s="32" t="s">
        <v>3539</v>
      </c>
      <c r="Z60" s="32" t="s">
        <v>3540</v>
      </c>
      <c r="AA60" s="32" t="s">
        <v>5343</v>
      </c>
      <c r="AB60" s="32" t="s">
        <v>5344</v>
      </c>
      <c r="AC60" s="32" t="s">
        <v>3543</v>
      </c>
      <c r="AD60" s="32" t="s">
        <v>3544</v>
      </c>
      <c r="AE60" s="32" t="s">
        <v>3545</v>
      </c>
      <c r="AF60" s="32" t="s">
        <v>1324</v>
      </c>
      <c r="AG60" s="32">
        <v>74.0</v>
      </c>
      <c r="AH60" s="32">
        <v>253.0</v>
      </c>
      <c r="AI60" s="32">
        <v>288.0</v>
      </c>
      <c r="AJ60" s="32">
        <v>1.0</v>
      </c>
      <c r="AK60" s="32">
        <v>108.0</v>
      </c>
      <c r="AL60" s="32" t="s">
        <v>2423</v>
      </c>
      <c r="AM60" s="32" t="s">
        <v>2424</v>
      </c>
      <c r="AN60" s="32" t="s">
        <v>2425</v>
      </c>
      <c r="AO60" s="32" t="s">
        <v>2426</v>
      </c>
      <c r="AP60" s="32" t="s">
        <v>1324</v>
      </c>
      <c r="AQ60" s="32" t="s">
        <v>1324</v>
      </c>
      <c r="AR60" s="32" t="s">
        <v>365</v>
      </c>
      <c r="AS60" s="32" t="s">
        <v>2427</v>
      </c>
      <c r="AT60" s="32" t="s">
        <v>3546</v>
      </c>
      <c r="AU60" s="32">
        <v>2015.0</v>
      </c>
      <c r="AV60" s="32">
        <v>10.0</v>
      </c>
      <c r="AW60" s="32">
        <v>8.0</v>
      </c>
      <c r="AX60" s="32" t="s">
        <v>1324</v>
      </c>
      <c r="AY60" s="32" t="s">
        <v>1324</v>
      </c>
      <c r="AZ60" s="32" t="s">
        <v>1324</v>
      </c>
      <c r="BA60" s="32" t="s">
        <v>1324</v>
      </c>
      <c r="BB60" s="32" t="s">
        <v>1324</v>
      </c>
      <c r="BC60" s="32" t="s">
        <v>1324</v>
      </c>
      <c r="BD60" s="32" t="s">
        <v>3547</v>
      </c>
      <c r="BE60" s="32" t="s">
        <v>1440</v>
      </c>
      <c r="BF60" s="38" t="str">
        <f>HYPERLINK("http://dx.doi.org/10.1371/journal.pone.0135152","http://dx.doi.org/10.1371/journal.pone.0135152")</f>
        <v>http://dx.doi.org/10.1371/journal.pone.0135152</v>
      </c>
      <c r="BG60" s="32" t="s">
        <v>1324</v>
      </c>
      <c r="BH60" s="32" t="s">
        <v>1324</v>
      </c>
      <c r="BI60" s="32">
        <v>22.0</v>
      </c>
      <c r="BJ60" s="32" t="s">
        <v>42</v>
      </c>
      <c r="BK60" s="32" t="s">
        <v>2407</v>
      </c>
      <c r="BL60" s="32" t="s">
        <v>2430</v>
      </c>
      <c r="BM60" s="32" t="s">
        <v>3548</v>
      </c>
      <c r="BN60" s="32">
        <v>2.6252495E7</v>
      </c>
      <c r="BO60" s="32" t="s">
        <v>2410</v>
      </c>
      <c r="BP60" s="32" t="s">
        <v>1324</v>
      </c>
      <c r="BQ60" s="32" t="s">
        <v>1324</v>
      </c>
      <c r="BR60" s="32" t="s">
        <v>5268</v>
      </c>
      <c r="BS60" s="32" t="s">
        <v>3549</v>
      </c>
      <c r="BT60" s="32" t="str">
        <f>HYPERLINK("https%3A%2F%2Fwww.webofscience.com%2Fwos%2Fwoscc%2Ffull-record%2FWOS:000359121100125","View Full Record in Web of Science")</f>
        <v>View Full Record in Web of Science</v>
      </c>
    </row>
    <row r="61" ht="12.75" customHeight="1">
      <c r="A61" s="32" t="s">
        <v>26</v>
      </c>
      <c r="B61" s="32" t="s">
        <v>3550</v>
      </c>
      <c r="C61" s="32" t="s">
        <v>1324</v>
      </c>
      <c r="D61" s="32" t="s">
        <v>1324</v>
      </c>
      <c r="E61" s="32" t="s">
        <v>1324</v>
      </c>
      <c r="F61" s="32" t="s">
        <v>2041</v>
      </c>
      <c r="G61" s="32" t="s">
        <v>1324</v>
      </c>
      <c r="H61" s="32" t="s">
        <v>1324</v>
      </c>
      <c r="I61" s="32" t="s">
        <v>2042</v>
      </c>
      <c r="J61" s="32" t="s">
        <v>2030</v>
      </c>
      <c r="K61" s="32" t="s">
        <v>1324</v>
      </c>
      <c r="L61" s="32" t="s">
        <v>1324</v>
      </c>
      <c r="M61" s="32" t="s">
        <v>2364</v>
      </c>
      <c r="N61" s="32" t="s">
        <v>38</v>
      </c>
      <c r="O61" s="32" t="s">
        <v>1324</v>
      </c>
      <c r="P61" s="32" t="s">
        <v>1324</v>
      </c>
      <c r="Q61" s="32" t="s">
        <v>1324</v>
      </c>
      <c r="R61" s="32" t="s">
        <v>1324</v>
      </c>
      <c r="S61" s="32" t="s">
        <v>1324</v>
      </c>
      <c r="T61" s="32" t="s">
        <v>3551</v>
      </c>
      <c r="U61" s="32" t="s">
        <v>3552</v>
      </c>
      <c r="V61" s="32" t="s">
        <v>2043</v>
      </c>
      <c r="W61" s="32" t="s">
        <v>3553</v>
      </c>
      <c r="X61" s="32" t="s">
        <v>3554</v>
      </c>
      <c r="Y61" s="32" t="s">
        <v>3555</v>
      </c>
      <c r="Z61" s="32" t="s">
        <v>3556</v>
      </c>
      <c r="AA61" s="32" t="s">
        <v>3557</v>
      </c>
      <c r="AB61" s="32" t="s">
        <v>3558</v>
      </c>
      <c r="AC61" s="32" t="s">
        <v>3559</v>
      </c>
      <c r="AD61" s="32" t="s">
        <v>3560</v>
      </c>
      <c r="AE61" s="32" t="s">
        <v>3561</v>
      </c>
      <c r="AF61" s="32" t="s">
        <v>1324</v>
      </c>
      <c r="AG61" s="32">
        <v>61.0</v>
      </c>
      <c r="AH61" s="32">
        <v>11.0</v>
      </c>
      <c r="AI61" s="32">
        <v>11.0</v>
      </c>
      <c r="AJ61" s="32">
        <v>0.0</v>
      </c>
      <c r="AK61" s="32">
        <v>37.0</v>
      </c>
      <c r="AL61" s="32" t="s">
        <v>2486</v>
      </c>
      <c r="AM61" s="32" t="s">
        <v>2487</v>
      </c>
      <c r="AN61" s="32" t="s">
        <v>2488</v>
      </c>
      <c r="AO61" s="32" t="s">
        <v>2855</v>
      </c>
      <c r="AP61" s="32" t="s">
        <v>2856</v>
      </c>
      <c r="AQ61" s="32" t="s">
        <v>1324</v>
      </c>
      <c r="AR61" s="32" t="s">
        <v>2857</v>
      </c>
      <c r="AS61" s="32" t="s">
        <v>2858</v>
      </c>
      <c r="AT61" s="32" t="s">
        <v>2651</v>
      </c>
      <c r="AU61" s="32">
        <v>2015.0</v>
      </c>
      <c r="AV61" s="32">
        <v>165.0</v>
      </c>
      <c r="AW61" s="32" t="s">
        <v>1324</v>
      </c>
      <c r="AX61" s="32" t="s">
        <v>1324</v>
      </c>
      <c r="AY61" s="32" t="s">
        <v>1324</v>
      </c>
      <c r="AZ61" s="32" t="s">
        <v>1324</v>
      </c>
      <c r="BA61" s="32" t="s">
        <v>1324</v>
      </c>
      <c r="BB61" s="32">
        <v>63.0</v>
      </c>
      <c r="BC61" s="32">
        <v>70.0</v>
      </c>
      <c r="BD61" s="32" t="s">
        <v>1324</v>
      </c>
      <c r="BE61" s="32" t="s">
        <v>2044</v>
      </c>
      <c r="BF61" s="38" t="str">
        <f>HYPERLINK("http://dx.doi.org/10.1016/j.fishres.2014.12.016","http://dx.doi.org/10.1016/j.fishres.2014.12.016")</f>
        <v>http://dx.doi.org/10.1016/j.fishres.2014.12.016</v>
      </c>
      <c r="BG61" s="32" t="s">
        <v>1324</v>
      </c>
      <c r="BH61" s="32" t="s">
        <v>1324</v>
      </c>
      <c r="BI61" s="32">
        <v>8.0</v>
      </c>
      <c r="BJ61" s="32" t="s">
        <v>2859</v>
      </c>
      <c r="BK61" s="32" t="s">
        <v>2407</v>
      </c>
      <c r="BL61" s="32" t="s">
        <v>2859</v>
      </c>
      <c r="BM61" s="32" t="s">
        <v>3562</v>
      </c>
      <c r="BN61" s="32" t="s">
        <v>1324</v>
      </c>
      <c r="BO61" s="32" t="s">
        <v>1324</v>
      </c>
      <c r="BP61" s="32" t="s">
        <v>1324</v>
      </c>
      <c r="BQ61" s="32" t="s">
        <v>1324</v>
      </c>
      <c r="BR61" s="32" t="s">
        <v>5268</v>
      </c>
      <c r="BS61" s="32" t="s">
        <v>3563</v>
      </c>
      <c r="BT61" s="32" t="str">
        <f>HYPERLINK("https%3A%2F%2Fwww.webofscience.com%2Fwos%2Fwoscc%2Ffull-record%2FWOS:000352748800007","View Full Record in Web of Science")</f>
        <v>View Full Record in Web of Science</v>
      </c>
    </row>
    <row r="62" ht="12.75" customHeight="1">
      <c r="A62" s="32" t="s">
        <v>26</v>
      </c>
      <c r="B62" s="32" t="s">
        <v>3564</v>
      </c>
      <c r="C62" s="32" t="s">
        <v>1324</v>
      </c>
      <c r="D62" s="32" t="s">
        <v>1324</v>
      </c>
      <c r="E62" s="32" t="s">
        <v>1324</v>
      </c>
      <c r="F62" s="32" t="s">
        <v>1661</v>
      </c>
      <c r="G62" s="32" t="s">
        <v>1324</v>
      </c>
      <c r="H62" s="32" t="s">
        <v>1324</v>
      </c>
      <c r="I62" s="32" t="s">
        <v>1662</v>
      </c>
      <c r="J62" s="32" t="s">
        <v>774</v>
      </c>
      <c r="K62" s="32" t="s">
        <v>1324</v>
      </c>
      <c r="L62" s="32" t="s">
        <v>1324</v>
      </c>
      <c r="M62" s="32" t="s">
        <v>2364</v>
      </c>
      <c r="N62" s="32" t="s">
        <v>38</v>
      </c>
      <c r="O62" s="32" t="s">
        <v>1324</v>
      </c>
      <c r="P62" s="32" t="s">
        <v>1324</v>
      </c>
      <c r="Q62" s="32" t="s">
        <v>1324</v>
      </c>
      <c r="R62" s="32" t="s">
        <v>1324</v>
      </c>
      <c r="S62" s="32" t="s">
        <v>1324</v>
      </c>
      <c r="T62" s="32" t="s">
        <v>3565</v>
      </c>
      <c r="U62" s="32" t="s">
        <v>3566</v>
      </c>
      <c r="V62" s="32" t="s">
        <v>1663</v>
      </c>
      <c r="W62" s="32" t="s">
        <v>3567</v>
      </c>
      <c r="X62" s="32" t="s">
        <v>3568</v>
      </c>
      <c r="Y62" s="32" t="s">
        <v>3569</v>
      </c>
      <c r="Z62" s="32" t="s">
        <v>3570</v>
      </c>
      <c r="AA62" s="32" t="s">
        <v>5345</v>
      </c>
      <c r="AB62" s="32" t="s">
        <v>5346</v>
      </c>
      <c r="AC62" s="32" t="s">
        <v>3573</v>
      </c>
      <c r="AD62" s="32" t="s">
        <v>3574</v>
      </c>
      <c r="AE62" s="32" t="s">
        <v>3575</v>
      </c>
      <c r="AF62" s="32" t="s">
        <v>1324</v>
      </c>
      <c r="AG62" s="32">
        <v>65.0</v>
      </c>
      <c r="AH62" s="32">
        <v>735.0</v>
      </c>
      <c r="AI62" s="32">
        <v>850.0</v>
      </c>
      <c r="AJ62" s="32">
        <v>43.0</v>
      </c>
      <c r="AK62" s="32">
        <v>957.0</v>
      </c>
      <c r="AL62" s="32" t="s">
        <v>2464</v>
      </c>
      <c r="AM62" s="32" t="s">
        <v>2465</v>
      </c>
      <c r="AN62" s="32" t="s">
        <v>2466</v>
      </c>
      <c r="AO62" s="32" t="s">
        <v>2923</v>
      </c>
      <c r="AP62" s="32" t="s">
        <v>2924</v>
      </c>
      <c r="AQ62" s="32" t="s">
        <v>1324</v>
      </c>
      <c r="AR62" s="32" t="s">
        <v>2925</v>
      </c>
      <c r="AS62" s="32" t="s">
        <v>2926</v>
      </c>
      <c r="AT62" s="32" t="s">
        <v>2734</v>
      </c>
      <c r="AU62" s="32">
        <v>2015.0</v>
      </c>
      <c r="AV62" s="32">
        <v>21.0</v>
      </c>
      <c r="AW62" s="32">
        <v>4.0</v>
      </c>
      <c r="AX62" s="32" t="s">
        <v>1324</v>
      </c>
      <c r="AY62" s="32" t="s">
        <v>1324</v>
      </c>
      <c r="AZ62" s="32" t="s">
        <v>1324</v>
      </c>
      <c r="BA62" s="32" t="s">
        <v>1324</v>
      </c>
      <c r="BB62" s="32">
        <v>1601.0</v>
      </c>
      <c r="BC62" s="32">
        <v>1609.0</v>
      </c>
      <c r="BD62" s="32" t="s">
        <v>1324</v>
      </c>
      <c r="BE62" s="32" t="s">
        <v>1664</v>
      </c>
      <c r="BF62" s="38" t="str">
        <f>HYPERLINK("http://dx.doi.org/10.1111/gcb.12795","http://dx.doi.org/10.1111/gcb.12795")</f>
        <v>http://dx.doi.org/10.1111/gcb.12795</v>
      </c>
      <c r="BG62" s="32" t="s">
        <v>1324</v>
      </c>
      <c r="BH62" s="32" t="s">
        <v>1324</v>
      </c>
      <c r="BI62" s="32">
        <v>9.0</v>
      </c>
      <c r="BJ62" s="32" t="s">
        <v>255</v>
      </c>
      <c r="BK62" s="32" t="s">
        <v>2407</v>
      </c>
      <c r="BL62" s="32" t="s">
        <v>2577</v>
      </c>
      <c r="BM62" s="32" t="s">
        <v>3576</v>
      </c>
      <c r="BN62" s="32">
        <v>2.5369401E7</v>
      </c>
      <c r="BO62" s="32" t="s">
        <v>2410</v>
      </c>
      <c r="BP62" s="32" t="s">
        <v>1324</v>
      </c>
      <c r="BQ62" s="32" t="s">
        <v>1324</v>
      </c>
      <c r="BR62" s="32" t="s">
        <v>5268</v>
      </c>
      <c r="BS62" s="32" t="s">
        <v>3577</v>
      </c>
      <c r="BT62" s="32" t="str">
        <f>HYPERLINK("https%3A%2F%2Fwww.webofscience.com%2Fwos%2Fwoscc%2Ffull-record%2FWOS:000351214100022","View Full Record in Web of Science")</f>
        <v>View Full Record in Web of Science</v>
      </c>
    </row>
    <row r="63" ht="12.75" customHeight="1">
      <c r="A63" s="32" t="s">
        <v>26</v>
      </c>
      <c r="B63" s="32" t="s">
        <v>3578</v>
      </c>
      <c r="C63" s="32" t="s">
        <v>1324</v>
      </c>
      <c r="D63" s="32" t="s">
        <v>1324</v>
      </c>
      <c r="E63" s="32" t="s">
        <v>1324</v>
      </c>
      <c r="F63" s="32" t="s">
        <v>1447</v>
      </c>
      <c r="G63" s="32" t="s">
        <v>1324</v>
      </c>
      <c r="H63" s="32" t="s">
        <v>1324</v>
      </c>
      <c r="I63" s="32" t="s">
        <v>1448</v>
      </c>
      <c r="J63" s="32" t="s">
        <v>365</v>
      </c>
      <c r="K63" s="32" t="s">
        <v>1324</v>
      </c>
      <c r="L63" s="32" t="s">
        <v>1324</v>
      </c>
      <c r="M63" s="32" t="s">
        <v>2364</v>
      </c>
      <c r="N63" s="32" t="s">
        <v>38</v>
      </c>
      <c r="O63" s="32" t="s">
        <v>1324</v>
      </c>
      <c r="P63" s="32" t="s">
        <v>1324</v>
      </c>
      <c r="Q63" s="32" t="s">
        <v>1324</v>
      </c>
      <c r="R63" s="32" t="s">
        <v>1324</v>
      </c>
      <c r="S63" s="32" t="s">
        <v>1324</v>
      </c>
      <c r="T63" s="32" t="s">
        <v>1324</v>
      </c>
      <c r="U63" s="32" t="s">
        <v>3579</v>
      </c>
      <c r="V63" s="32" t="s">
        <v>1449</v>
      </c>
      <c r="W63" s="32" t="s">
        <v>3580</v>
      </c>
      <c r="X63" s="32" t="s">
        <v>3581</v>
      </c>
      <c r="Y63" s="32" t="s">
        <v>3582</v>
      </c>
      <c r="Z63" s="32" t="s">
        <v>3583</v>
      </c>
      <c r="AA63" s="32" t="s">
        <v>5347</v>
      </c>
      <c r="AB63" s="32" t="s">
        <v>5348</v>
      </c>
      <c r="AC63" s="32" t="s">
        <v>3586</v>
      </c>
      <c r="AD63" s="32" t="s">
        <v>3586</v>
      </c>
      <c r="AE63" s="32" t="s">
        <v>3587</v>
      </c>
      <c r="AF63" s="32" t="s">
        <v>1324</v>
      </c>
      <c r="AG63" s="32">
        <v>35.0</v>
      </c>
      <c r="AH63" s="32">
        <v>76.0</v>
      </c>
      <c r="AI63" s="32">
        <v>89.0</v>
      </c>
      <c r="AJ63" s="32">
        <v>1.0</v>
      </c>
      <c r="AK63" s="32">
        <v>45.0</v>
      </c>
      <c r="AL63" s="32" t="s">
        <v>2423</v>
      </c>
      <c r="AM63" s="32" t="s">
        <v>2424</v>
      </c>
      <c r="AN63" s="32" t="s">
        <v>2425</v>
      </c>
      <c r="AO63" s="32" t="s">
        <v>2426</v>
      </c>
      <c r="AP63" s="32" t="s">
        <v>1324</v>
      </c>
      <c r="AQ63" s="32" t="s">
        <v>1324</v>
      </c>
      <c r="AR63" s="32" t="s">
        <v>365</v>
      </c>
      <c r="AS63" s="32" t="s">
        <v>2427</v>
      </c>
      <c r="AT63" s="32" t="s">
        <v>3588</v>
      </c>
      <c r="AU63" s="32">
        <v>2015.0</v>
      </c>
      <c r="AV63" s="32">
        <v>10.0</v>
      </c>
      <c r="AW63" s="32">
        <v>3.0</v>
      </c>
      <c r="AX63" s="32" t="s">
        <v>1324</v>
      </c>
      <c r="AY63" s="32" t="s">
        <v>1324</v>
      </c>
      <c r="AZ63" s="32" t="s">
        <v>1324</v>
      </c>
      <c r="BA63" s="32" t="s">
        <v>1324</v>
      </c>
      <c r="BB63" s="32" t="s">
        <v>1324</v>
      </c>
      <c r="BC63" s="32" t="s">
        <v>1324</v>
      </c>
      <c r="BD63" s="32" t="s">
        <v>3589</v>
      </c>
      <c r="BE63" s="32" t="s">
        <v>1450</v>
      </c>
      <c r="BF63" s="38" t="str">
        <f>HYPERLINK("http://dx.doi.org/10.1371/journal.pone.0120198","http://dx.doi.org/10.1371/journal.pone.0120198")</f>
        <v>http://dx.doi.org/10.1371/journal.pone.0120198</v>
      </c>
      <c r="BG63" s="32" t="s">
        <v>1324</v>
      </c>
      <c r="BH63" s="32" t="s">
        <v>1324</v>
      </c>
      <c r="BI63" s="32">
        <v>14.0</v>
      </c>
      <c r="BJ63" s="32" t="s">
        <v>42</v>
      </c>
      <c r="BK63" s="32" t="s">
        <v>2407</v>
      </c>
      <c r="BL63" s="32" t="s">
        <v>2430</v>
      </c>
      <c r="BM63" s="32" t="s">
        <v>3590</v>
      </c>
      <c r="BN63" s="32">
        <v>2.5807292E7</v>
      </c>
      <c r="BO63" s="32" t="s">
        <v>2410</v>
      </c>
      <c r="BP63" s="32" t="s">
        <v>1324</v>
      </c>
      <c r="BQ63" s="32" t="s">
        <v>1324</v>
      </c>
      <c r="BR63" s="32" t="s">
        <v>5268</v>
      </c>
      <c r="BS63" s="32" t="s">
        <v>3591</v>
      </c>
      <c r="BT63" s="32" t="str">
        <f>HYPERLINK("https%3A%2F%2Fwww.webofscience.com%2Fwos%2Fwoscc%2Ffull-record%2FWOS:000351880000071","View Full Record in Web of Science")</f>
        <v>View Full Record in Web of Science</v>
      </c>
    </row>
    <row r="64" ht="12.75" customHeight="1">
      <c r="A64" s="32" t="s">
        <v>26</v>
      </c>
      <c r="B64" s="32" t="s">
        <v>3592</v>
      </c>
      <c r="C64" s="32" t="s">
        <v>1324</v>
      </c>
      <c r="D64" s="32" t="s">
        <v>1324</v>
      </c>
      <c r="E64" s="32" t="s">
        <v>1324</v>
      </c>
      <c r="F64" s="32" t="s">
        <v>1986</v>
      </c>
      <c r="G64" s="32" t="s">
        <v>1324</v>
      </c>
      <c r="H64" s="32" t="s">
        <v>1324</v>
      </c>
      <c r="I64" s="32" t="s">
        <v>1988</v>
      </c>
      <c r="J64" s="32" t="s">
        <v>1987</v>
      </c>
      <c r="K64" s="32" t="s">
        <v>1324</v>
      </c>
      <c r="L64" s="32" t="s">
        <v>1324</v>
      </c>
      <c r="M64" s="32" t="s">
        <v>2364</v>
      </c>
      <c r="N64" s="32" t="s">
        <v>38</v>
      </c>
      <c r="O64" s="32" t="s">
        <v>1324</v>
      </c>
      <c r="P64" s="32" t="s">
        <v>1324</v>
      </c>
      <c r="Q64" s="32" t="s">
        <v>1324</v>
      </c>
      <c r="R64" s="32" t="s">
        <v>1324</v>
      </c>
      <c r="S64" s="32" t="s">
        <v>1324</v>
      </c>
      <c r="T64" s="32" t="s">
        <v>3593</v>
      </c>
      <c r="U64" s="32" t="s">
        <v>3594</v>
      </c>
      <c r="V64" s="32" t="s">
        <v>3595</v>
      </c>
      <c r="W64" s="32" t="s">
        <v>3596</v>
      </c>
      <c r="X64" s="32" t="s">
        <v>5349</v>
      </c>
      <c r="Y64" s="32" t="s">
        <v>3598</v>
      </c>
      <c r="Z64" s="32" t="s">
        <v>3599</v>
      </c>
      <c r="AA64" s="32" t="s">
        <v>5350</v>
      </c>
      <c r="AB64" s="32" t="s">
        <v>5351</v>
      </c>
      <c r="AC64" s="32" t="s">
        <v>1324</v>
      </c>
      <c r="AD64" s="32" t="s">
        <v>1324</v>
      </c>
      <c r="AE64" s="32" t="s">
        <v>1324</v>
      </c>
      <c r="AF64" s="32" t="s">
        <v>1324</v>
      </c>
      <c r="AG64" s="32">
        <v>38.0</v>
      </c>
      <c r="AH64" s="32">
        <v>248.0</v>
      </c>
      <c r="AI64" s="32">
        <v>301.0</v>
      </c>
      <c r="AJ64" s="32">
        <v>7.0</v>
      </c>
      <c r="AK64" s="32">
        <v>258.0</v>
      </c>
      <c r="AL64" s="32" t="s">
        <v>3602</v>
      </c>
      <c r="AM64" s="32" t="s">
        <v>2400</v>
      </c>
      <c r="AN64" s="32" t="s">
        <v>3603</v>
      </c>
      <c r="AO64" s="32" t="s">
        <v>3604</v>
      </c>
      <c r="AP64" s="32" t="s">
        <v>3605</v>
      </c>
      <c r="AQ64" s="32" t="s">
        <v>1324</v>
      </c>
      <c r="AR64" s="32" t="s">
        <v>3606</v>
      </c>
      <c r="AS64" s="32" t="s">
        <v>3607</v>
      </c>
      <c r="AT64" s="32" t="s">
        <v>3608</v>
      </c>
      <c r="AU64" s="32">
        <v>2015.0</v>
      </c>
      <c r="AV64" s="32">
        <v>148.0</v>
      </c>
      <c r="AW64" s="32" t="s">
        <v>1324</v>
      </c>
      <c r="AX64" s="32" t="s">
        <v>1324</v>
      </c>
      <c r="AY64" s="32" t="s">
        <v>1324</v>
      </c>
      <c r="AZ64" s="32" t="s">
        <v>3257</v>
      </c>
      <c r="BA64" s="32" t="s">
        <v>1324</v>
      </c>
      <c r="BB64" s="32">
        <v>101.0</v>
      </c>
      <c r="BC64" s="32">
        <v>111.0</v>
      </c>
      <c r="BD64" s="32" t="s">
        <v>1324</v>
      </c>
      <c r="BE64" s="32" t="s">
        <v>1990</v>
      </c>
      <c r="BF64" s="38" t="str">
        <f>HYPERLINK("http://dx.doi.org/10.1016/j.jenvman.2014.01.020","http://dx.doi.org/10.1016/j.jenvman.2014.01.020")</f>
        <v>http://dx.doi.org/10.1016/j.jenvman.2014.01.020</v>
      </c>
      <c r="BG64" s="32" t="s">
        <v>1324</v>
      </c>
      <c r="BH64" s="32" t="s">
        <v>1324</v>
      </c>
      <c r="BI64" s="32">
        <v>11.0</v>
      </c>
      <c r="BJ64" s="32" t="s">
        <v>68</v>
      </c>
      <c r="BK64" s="32" t="s">
        <v>2407</v>
      </c>
      <c r="BL64" s="32" t="s">
        <v>2472</v>
      </c>
      <c r="BM64" s="32" t="s">
        <v>3609</v>
      </c>
      <c r="BN64" s="32">
        <v>2.4735705E7</v>
      </c>
      <c r="BO64" s="32" t="s">
        <v>1324</v>
      </c>
      <c r="BP64" s="32" t="s">
        <v>1324</v>
      </c>
      <c r="BQ64" s="32" t="s">
        <v>1324</v>
      </c>
      <c r="BR64" s="32" t="s">
        <v>5268</v>
      </c>
      <c r="BS64" s="32" t="s">
        <v>3610</v>
      </c>
      <c r="BT64" s="32" t="str">
        <f>HYPERLINK("https%3A%2F%2Fwww.webofscience.com%2Fwos%2Fwoscc%2Ffull-record%2FWOS:000348016400011","View Full Record in Web of Science")</f>
        <v>View Full Record in Web of Science</v>
      </c>
    </row>
    <row r="65" ht="12.75" customHeight="1">
      <c r="A65" s="32" t="s">
        <v>26</v>
      </c>
      <c r="B65" s="32" t="s">
        <v>3633</v>
      </c>
      <c r="C65" s="32" t="s">
        <v>1324</v>
      </c>
      <c r="D65" s="32" t="s">
        <v>1324</v>
      </c>
      <c r="E65" s="32" t="s">
        <v>1324</v>
      </c>
      <c r="F65" s="32" t="s">
        <v>2023</v>
      </c>
      <c r="G65" s="32" t="s">
        <v>1324</v>
      </c>
      <c r="H65" s="32" t="s">
        <v>1324</v>
      </c>
      <c r="I65" s="32" t="s">
        <v>2025</v>
      </c>
      <c r="J65" s="32" t="s">
        <v>2024</v>
      </c>
      <c r="K65" s="32" t="s">
        <v>1324</v>
      </c>
      <c r="L65" s="32" t="s">
        <v>1324</v>
      </c>
      <c r="M65" s="32" t="s">
        <v>2364</v>
      </c>
      <c r="N65" s="32" t="s">
        <v>38</v>
      </c>
      <c r="O65" s="32" t="s">
        <v>1324</v>
      </c>
      <c r="P65" s="32" t="s">
        <v>1324</v>
      </c>
      <c r="Q65" s="32" t="s">
        <v>1324</v>
      </c>
      <c r="R65" s="32" t="s">
        <v>1324</v>
      </c>
      <c r="S65" s="32" t="s">
        <v>1324</v>
      </c>
      <c r="T65" s="32" t="s">
        <v>3634</v>
      </c>
      <c r="U65" s="32" t="s">
        <v>3635</v>
      </c>
      <c r="V65" s="32" t="s">
        <v>3636</v>
      </c>
      <c r="W65" s="32" t="s">
        <v>3637</v>
      </c>
      <c r="X65" s="32" t="s">
        <v>1324</v>
      </c>
      <c r="Y65" s="32" t="s">
        <v>3638</v>
      </c>
      <c r="Z65" s="32" t="s">
        <v>3639</v>
      </c>
      <c r="AA65" s="32" t="s">
        <v>1324</v>
      </c>
      <c r="AB65" s="32" t="s">
        <v>1324</v>
      </c>
      <c r="AC65" s="32" t="s">
        <v>3640</v>
      </c>
      <c r="AD65" s="32" t="s">
        <v>3640</v>
      </c>
      <c r="AE65" s="32" t="s">
        <v>3641</v>
      </c>
      <c r="AF65" s="32" t="s">
        <v>1324</v>
      </c>
      <c r="AG65" s="32">
        <v>65.0</v>
      </c>
      <c r="AH65" s="32">
        <v>6.0</v>
      </c>
      <c r="AI65" s="32">
        <v>9.0</v>
      </c>
      <c r="AJ65" s="32">
        <v>1.0</v>
      </c>
      <c r="AK65" s="32">
        <v>20.0</v>
      </c>
      <c r="AL65" s="32" t="s">
        <v>3642</v>
      </c>
      <c r="AM65" s="32" t="s">
        <v>3643</v>
      </c>
      <c r="AN65" s="32" t="s">
        <v>3644</v>
      </c>
      <c r="AO65" s="32" t="s">
        <v>3645</v>
      </c>
      <c r="AP65" s="32" t="s">
        <v>3646</v>
      </c>
      <c r="AQ65" s="32" t="s">
        <v>1324</v>
      </c>
      <c r="AR65" s="32" t="s">
        <v>2024</v>
      </c>
      <c r="AS65" s="32" t="s">
        <v>3647</v>
      </c>
      <c r="AT65" s="32" t="s">
        <v>1324</v>
      </c>
      <c r="AU65" s="32">
        <v>2015.0</v>
      </c>
      <c r="AV65" s="32">
        <v>217.0</v>
      </c>
      <c r="AW65" s="32" t="s">
        <v>1324</v>
      </c>
      <c r="AX65" s="32" t="s">
        <v>1324</v>
      </c>
      <c r="AY65" s="32" t="s">
        <v>1324</v>
      </c>
      <c r="AZ65" s="32" t="s">
        <v>1324</v>
      </c>
      <c r="BA65" s="32" t="s">
        <v>1324</v>
      </c>
      <c r="BB65" s="32">
        <v>99.0</v>
      </c>
      <c r="BC65" s="32">
        <v>108.0</v>
      </c>
      <c r="BD65" s="32" t="s">
        <v>1324</v>
      </c>
      <c r="BE65" s="32" t="s">
        <v>2027</v>
      </c>
      <c r="BF65" s="38" t="str">
        <f>HYPERLINK("http://dx.doi.org/10.1016/j.flora.2015.09.013","http://dx.doi.org/10.1016/j.flora.2015.09.013")</f>
        <v>http://dx.doi.org/10.1016/j.flora.2015.09.013</v>
      </c>
      <c r="BG65" s="32" t="s">
        <v>1324</v>
      </c>
      <c r="BH65" s="32" t="s">
        <v>1324</v>
      </c>
      <c r="BI65" s="32">
        <v>10.0</v>
      </c>
      <c r="BJ65" s="32" t="s">
        <v>3648</v>
      </c>
      <c r="BK65" s="32" t="s">
        <v>2407</v>
      </c>
      <c r="BL65" s="32" t="s">
        <v>3649</v>
      </c>
      <c r="BM65" s="32" t="s">
        <v>3650</v>
      </c>
      <c r="BN65" s="32" t="s">
        <v>1324</v>
      </c>
      <c r="BO65" s="32" t="s">
        <v>1324</v>
      </c>
      <c r="BP65" s="32" t="s">
        <v>1324</v>
      </c>
      <c r="BQ65" s="32" t="s">
        <v>1324</v>
      </c>
      <c r="BR65" s="32" t="s">
        <v>5268</v>
      </c>
      <c r="BS65" s="32" t="s">
        <v>3651</v>
      </c>
      <c r="BT65" s="32" t="str">
        <f>HYPERLINK("https%3A%2F%2Fwww.webofscience.com%2Fwos%2Fwoscc%2Ffull-record%2FWOS:000367110300012","View Full Record in Web of Science")</f>
        <v>View Full Record in Web of Science</v>
      </c>
    </row>
    <row r="66" ht="12.75" customHeight="1">
      <c r="A66" s="32" t="s">
        <v>26</v>
      </c>
      <c r="B66" s="32" t="s">
        <v>3652</v>
      </c>
      <c r="C66" s="32" t="s">
        <v>1324</v>
      </c>
      <c r="D66" s="32" t="s">
        <v>1324</v>
      </c>
      <c r="E66" s="32" t="s">
        <v>1324</v>
      </c>
      <c r="F66" s="32" t="s">
        <v>1633</v>
      </c>
      <c r="G66" s="32" t="s">
        <v>1324</v>
      </c>
      <c r="H66" s="32" t="s">
        <v>1324</v>
      </c>
      <c r="I66" s="32" t="s">
        <v>1635</v>
      </c>
      <c r="J66" s="32" t="s">
        <v>1634</v>
      </c>
      <c r="K66" s="32" t="s">
        <v>1324</v>
      </c>
      <c r="L66" s="32" t="s">
        <v>1324</v>
      </c>
      <c r="M66" s="32" t="s">
        <v>2364</v>
      </c>
      <c r="N66" s="32" t="s">
        <v>38</v>
      </c>
      <c r="O66" s="32" t="s">
        <v>1324</v>
      </c>
      <c r="P66" s="32" t="s">
        <v>1324</v>
      </c>
      <c r="Q66" s="32" t="s">
        <v>1324</v>
      </c>
      <c r="R66" s="32" t="s">
        <v>1324</v>
      </c>
      <c r="S66" s="32" t="s">
        <v>1324</v>
      </c>
      <c r="T66" s="32" t="s">
        <v>3653</v>
      </c>
      <c r="U66" s="32" t="s">
        <v>3654</v>
      </c>
      <c r="V66" s="32" t="s">
        <v>1636</v>
      </c>
      <c r="W66" s="32" t="s">
        <v>3655</v>
      </c>
      <c r="X66" s="32" t="s">
        <v>3656</v>
      </c>
      <c r="Y66" s="32" t="s">
        <v>3657</v>
      </c>
      <c r="Z66" s="32" t="s">
        <v>3658</v>
      </c>
      <c r="AA66" s="32" t="s">
        <v>3659</v>
      </c>
      <c r="AB66" s="32" t="s">
        <v>3660</v>
      </c>
      <c r="AC66" s="32" t="s">
        <v>3661</v>
      </c>
      <c r="AD66" s="32" t="s">
        <v>3662</v>
      </c>
      <c r="AE66" s="32" t="s">
        <v>3663</v>
      </c>
      <c r="AF66" s="32" t="s">
        <v>1324</v>
      </c>
      <c r="AG66" s="32">
        <v>64.0</v>
      </c>
      <c r="AH66" s="32">
        <v>21.0</v>
      </c>
      <c r="AI66" s="32">
        <v>25.0</v>
      </c>
      <c r="AJ66" s="32">
        <v>2.0</v>
      </c>
      <c r="AK66" s="32">
        <v>158.0</v>
      </c>
      <c r="AL66" s="32" t="s">
        <v>2464</v>
      </c>
      <c r="AM66" s="32" t="s">
        <v>2465</v>
      </c>
      <c r="AN66" s="32" t="s">
        <v>2466</v>
      </c>
      <c r="AO66" s="32" t="s">
        <v>3664</v>
      </c>
      <c r="AP66" s="32" t="s">
        <v>3665</v>
      </c>
      <c r="AQ66" s="32" t="s">
        <v>1324</v>
      </c>
      <c r="AR66" s="32" t="s">
        <v>3666</v>
      </c>
      <c r="AS66" s="32" t="s">
        <v>3667</v>
      </c>
      <c r="AT66" s="32" t="s">
        <v>2908</v>
      </c>
      <c r="AU66" s="32">
        <v>2014.0</v>
      </c>
      <c r="AV66" s="32">
        <v>69.0</v>
      </c>
      <c r="AW66" s="32">
        <v>4.0</v>
      </c>
      <c r="AX66" s="32" t="s">
        <v>1324</v>
      </c>
      <c r="AY66" s="32" t="s">
        <v>1324</v>
      </c>
      <c r="AZ66" s="32" t="s">
        <v>1324</v>
      </c>
      <c r="BA66" s="32" t="s">
        <v>1324</v>
      </c>
      <c r="BB66" s="32">
        <v>596.0</v>
      </c>
      <c r="BC66" s="32">
        <v>610.0</v>
      </c>
      <c r="BD66" s="32" t="s">
        <v>1324</v>
      </c>
      <c r="BE66" s="32" t="s">
        <v>1637</v>
      </c>
      <c r="BF66" s="38" t="str">
        <f>HYPERLINK("http://dx.doi.org/10.1111/gfs.12073","http://dx.doi.org/10.1111/gfs.12073")</f>
        <v>http://dx.doi.org/10.1111/gfs.12073</v>
      </c>
      <c r="BG66" s="32" t="s">
        <v>1324</v>
      </c>
      <c r="BH66" s="32" t="s">
        <v>1324</v>
      </c>
      <c r="BI66" s="32">
        <v>15.0</v>
      </c>
      <c r="BJ66" s="32" t="s">
        <v>3668</v>
      </c>
      <c r="BK66" s="32" t="s">
        <v>2407</v>
      </c>
      <c r="BL66" s="32" t="s">
        <v>3669</v>
      </c>
      <c r="BM66" s="32" t="s">
        <v>3670</v>
      </c>
      <c r="BN66" s="32" t="s">
        <v>1324</v>
      </c>
      <c r="BO66" s="32" t="s">
        <v>1324</v>
      </c>
      <c r="BP66" s="32" t="s">
        <v>1324</v>
      </c>
      <c r="BQ66" s="32" t="s">
        <v>1324</v>
      </c>
      <c r="BR66" s="32" t="s">
        <v>5268</v>
      </c>
      <c r="BS66" s="32" t="s">
        <v>3671</v>
      </c>
      <c r="BT66" s="32" t="str">
        <f>HYPERLINK("https%3A%2F%2Fwww.webofscience.com%2Fwos%2Fwoscc%2Ffull-record%2FWOS:000343754300004","View Full Record in Web of Science")</f>
        <v>View Full Record in Web of Science</v>
      </c>
    </row>
    <row r="67" ht="12.75" customHeight="1">
      <c r="A67" s="32" t="s">
        <v>26</v>
      </c>
      <c r="B67" s="32" t="s">
        <v>3672</v>
      </c>
      <c r="C67" s="32" t="s">
        <v>1324</v>
      </c>
      <c r="D67" s="32" t="s">
        <v>1324</v>
      </c>
      <c r="E67" s="32" t="s">
        <v>1324</v>
      </c>
      <c r="F67" s="32" t="s">
        <v>1452</v>
      </c>
      <c r="G67" s="32" t="s">
        <v>1324</v>
      </c>
      <c r="H67" s="32" t="s">
        <v>1324</v>
      </c>
      <c r="I67" s="32" t="s">
        <v>1453</v>
      </c>
      <c r="J67" s="32" t="s">
        <v>365</v>
      </c>
      <c r="K67" s="32" t="s">
        <v>1324</v>
      </c>
      <c r="L67" s="32" t="s">
        <v>1324</v>
      </c>
      <c r="M67" s="32" t="s">
        <v>2364</v>
      </c>
      <c r="N67" s="32" t="s">
        <v>38</v>
      </c>
      <c r="O67" s="32" t="s">
        <v>1324</v>
      </c>
      <c r="P67" s="32" t="s">
        <v>1324</v>
      </c>
      <c r="Q67" s="32" t="s">
        <v>1324</v>
      </c>
      <c r="R67" s="32" t="s">
        <v>1324</v>
      </c>
      <c r="S67" s="32" t="s">
        <v>1324</v>
      </c>
      <c r="T67" s="32" t="s">
        <v>1324</v>
      </c>
      <c r="U67" s="32" t="s">
        <v>3673</v>
      </c>
      <c r="V67" s="32" t="s">
        <v>1454</v>
      </c>
      <c r="W67" s="32" t="s">
        <v>3674</v>
      </c>
      <c r="X67" s="32" t="s">
        <v>5352</v>
      </c>
      <c r="Y67" s="32" t="s">
        <v>3676</v>
      </c>
      <c r="Z67" s="32" t="s">
        <v>3677</v>
      </c>
      <c r="AA67" s="32" t="s">
        <v>5353</v>
      </c>
      <c r="AB67" s="32" t="s">
        <v>5354</v>
      </c>
      <c r="AC67" s="32" t="s">
        <v>5355</v>
      </c>
      <c r="AD67" s="32" t="s">
        <v>5356</v>
      </c>
      <c r="AE67" s="32" t="s">
        <v>3682</v>
      </c>
      <c r="AF67" s="32" t="s">
        <v>1324</v>
      </c>
      <c r="AG67" s="32">
        <v>38.0</v>
      </c>
      <c r="AH67" s="32">
        <v>72.0</v>
      </c>
      <c r="AI67" s="32">
        <v>79.0</v>
      </c>
      <c r="AJ67" s="32">
        <v>0.0</v>
      </c>
      <c r="AK67" s="32">
        <v>71.0</v>
      </c>
      <c r="AL67" s="32" t="s">
        <v>2423</v>
      </c>
      <c r="AM67" s="32" t="s">
        <v>2424</v>
      </c>
      <c r="AN67" s="32" t="s">
        <v>2425</v>
      </c>
      <c r="AO67" s="32" t="s">
        <v>2426</v>
      </c>
      <c r="AP67" s="32" t="s">
        <v>1324</v>
      </c>
      <c r="AQ67" s="32" t="s">
        <v>1324</v>
      </c>
      <c r="AR67" s="32" t="s">
        <v>365</v>
      </c>
      <c r="AS67" s="32" t="s">
        <v>2427</v>
      </c>
      <c r="AT67" s="32" t="s">
        <v>3683</v>
      </c>
      <c r="AU67" s="32">
        <v>2014.0</v>
      </c>
      <c r="AV67" s="32">
        <v>9.0</v>
      </c>
      <c r="AW67" s="32">
        <v>11.0</v>
      </c>
      <c r="AX67" s="32" t="s">
        <v>1324</v>
      </c>
      <c r="AY67" s="32" t="s">
        <v>1324</v>
      </c>
      <c r="AZ67" s="32" t="s">
        <v>1324</v>
      </c>
      <c r="BA67" s="32" t="s">
        <v>1324</v>
      </c>
      <c r="BB67" s="32" t="s">
        <v>1324</v>
      </c>
      <c r="BC67" s="32" t="s">
        <v>1324</v>
      </c>
      <c r="BD67" s="32" t="s">
        <v>3684</v>
      </c>
      <c r="BE67" s="32" t="s">
        <v>1455</v>
      </c>
      <c r="BF67" s="38" t="str">
        <f>HYPERLINK("http://dx.doi.org/10.1371/journal.pone.0113934","http://dx.doi.org/10.1371/journal.pone.0113934")</f>
        <v>http://dx.doi.org/10.1371/journal.pone.0113934</v>
      </c>
      <c r="BG67" s="32" t="s">
        <v>1324</v>
      </c>
      <c r="BH67" s="32" t="s">
        <v>1324</v>
      </c>
      <c r="BI67" s="32">
        <v>17.0</v>
      </c>
      <c r="BJ67" s="32" t="s">
        <v>42</v>
      </c>
      <c r="BK67" s="32" t="s">
        <v>2407</v>
      </c>
      <c r="BL67" s="32" t="s">
        <v>2430</v>
      </c>
      <c r="BM67" s="32" t="s">
        <v>3685</v>
      </c>
      <c r="BN67" s="32">
        <v>2.5426636E7</v>
      </c>
      <c r="BO67" s="32" t="s">
        <v>2410</v>
      </c>
      <c r="BP67" s="32" t="s">
        <v>1324</v>
      </c>
      <c r="BQ67" s="32" t="s">
        <v>1324</v>
      </c>
      <c r="BR67" s="32" t="s">
        <v>5268</v>
      </c>
      <c r="BS67" s="32" t="s">
        <v>3686</v>
      </c>
      <c r="BT67" s="32" t="str">
        <f>HYPERLINK("https%3A%2F%2Fwww.webofscience.com%2Fwos%2Fwoscc%2Ffull-record%2FWOS:000349145400104","View Full Record in Web of Science")</f>
        <v>View Full Record in Web of Science</v>
      </c>
    </row>
    <row r="68" ht="12.75" customHeight="1">
      <c r="A68" s="32" t="s">
        <v>26</v>
      </c>
      <c r="B68" s="32" t="s">
        <v>3687</v>
      </c>
      <c r="C68" s="32" t="s">
        <v>1324</v>
      </c>
      <c r="D68" s="32" t="s">
        <v>1324</v>
      </c>
      <c r="E68" s="32" t="s">
        <v>1324</v>
      </c>
      <c r="F68" s="32" t="s">
        <v>1997</v>
      </c>
      <c r="G68" s="32" t="s">
        <v>1324</v>
      </c>
      <c r="H68" s="32" t="s">
        <v>1324</v>
      </c>
      <c r="I68" s="32" t="s">
        <v>1998</v>
      </c>
      <c r="J68" s="32" t="s">
        <v>1055</v>
      </c>
      <c r="K68" s="32" t="s">
        <v>1324</v>
      </c>
      <c r="L68" s="32" t="s">
        <v>1324</v>
      </c>
      <c r="M68" s="32" t="s">
        <v>2364</v>
      </c>
      <c r="N68" s="32" t="s">
        <v>38</v>
      </c>
      <c r="O68" s="32" t="s">
        <v>1324</v>
      </c>
      <c r="P68" s="32" t="s">
        <v>1324</v>
      </c>
      <c r="Q68" s="32" t="s">
        <v>1324</v>
      </c>
      <c r="R68" s="32" t="s">
        <v>1324</v>
      </c>
      <c r="S68" s="32" t="s">
        <v>1324</v>
      </c>
      <c r="T68" s="32" t="s">
        <v>3688</v>
      </c>
      <c r="U68" s="32" t="s">
        <v>3689</v>
      </c>
      <c r="V68" s="32" t="s">
        <v>1999</v>
      </c>
      <c r="W68" s="32" t="s">
        <v>3690</v>
      </c>
      <c r="X68" s="32" t="s">
        <v>3691</v>
      </c>
      <c r="Y68" s="32" t="s">
        <v>3692</v>
      </c>
      <c r="Z68" s="32" t="s">
        <v>3693</v>
      </c>
      <c r="AA68" s="32" t="s">
        <v>3694</v>
      </c>
      <c r="AB68" s="32" t="s">
        <v>3695</v>
      </c>
      <c r="AC68" s="32" t="s">
        <v>3696</v>
      </c>
      <c r="AD68" s="32" t="s">
        <v>3696</v>
      </c>
      <c r="AE68" s="32" t="s">
        <v>3697</v>
      </c>
      <c r="AF68" s="32" t="s">
        <v>1324</v>
      </c>
      <c r="AG68" s="32">
        <v>85.0</v>
      </c>
      <c r="AH68" s="32">
        <v>25.0</v>
      </c>
      <c r="AI68" s="32">
        <v>27.0</v>
      </c>
      <c r="AJ68" s="32">
        <v>0.0</v>
      </c>
      <c r="AK68" s="32">
        <v>34.0</v>
      </c>
      <c r="AL68" s="32" t="s">
        <v>3043</v>
      </c>
      <c r="AM68" s="32" t="s">
        <v>2487</v>
      </c>
      <c r="AN68" s="32" t="s">
        <v>3044</v>
      </c>
      <c r="AO68" s="32" t="s">
        <v>3698</v>
      </c>
      <c r="AP68" s="32" t="s">
        <v>3699</v>
      </c>
      <c r="AQ68" s="32" t="s">
        <v>1324</v>
      </c>
      <c r="AR68" s="32" t="s">
        <v>3700</v>
      </c>
      <c r="AS68" s="32" t="s">
        <v>3701</v>
      </c>
      <c r="AT68" s="32" t="s">
        <v>3518</v>
      </c>
      <c r="AU68" s="32">
        <v>2014.0</v>
      </c>
      <c r="AV68" s="32">
        <v>121.0</v>
      </c>
      <c r="AW68" s="32" t="s">
        <v>1324</v>
      </c>
      <c r="AX68" s="32" t="s">
        <v>1324</v>
      </c>
      <c r="AY68" s="32" t="s">
        <v>1324</v>
      </c>
      <c r="AZ68" s="32" t="s">
        <v>1324</v>
      </c>
      <c r="BA68" s="32" t="s">
        <v>1324</v>
      </c>
      <c r="BB68" s="32">
        <v>64.0</v>
      </c>
      <c r="BC68" s="32">
        <v>77.0</v>
      </c>
      <c r="BD68" s="32" t="s">
        <v>1324</v>
      </c>
      <c r="BE68" s="32" t="s">
        <v>2000</v>
      </c>
      <c r="BF68" s="38" t="str">
        <f>HYPERLINK("http://dx.doi.org/10.1016/j.gloplacha.2014.07.007","http://dx.doi.org/10.1016/j.gloplacha.2014.07.007")</f>
        <v>http://dx.doi.org/10.1016/j.gloplacha.2014.07.007</v>
      </c>
      <c r="BG68" s="32" t="s">
        <v>1324</v>
      </c>
      <c r="BH68" s="32" t="s">
        <v>1324</v>
      </c>
      <c r="BI68" s="32">
        <v>14.0</v>
      </c>
      <c r="BJ68" s="32" t="s">
        <v>1059</v>
      </c>
      <c r="BK68" s="32" t="s">
        <v>2878</v>
      </c>
      <c r="BL68" s="32" t="s">
        <v>3702</v>
      </c>
      <c r="BM68" s="32" t="s">
        <v>3703</v>
      </c>
      <c r="BN68" s="32" t="s">
        <v>1324</v>
      </c>
      <c r="BO68" s="32" t="s">
        <v>1324</v>
      </c>
      <c r="BP68" s="32" t="s">
        <v>1324</v>
      </c>
      <c r="BQ68" s="32" t="s">
        <v>1324</v>
      </c>
      <c r="BR68" s="32" t="s">
        <v>5268</v>
      </c>
      <c r="BS68" s="32" t="s">
        <v>3704</v>
      </c>
      <c r="BT68" s="32" t="str">
        <f>HYPERLINK("https%3A%2F%2Fwww.webofscience.com%2Fwos%2Fwoscc%2Ffull-record%2FWOS:000341558700007","View Full Record in Web of Science")</f>
        <v>View Full Record in Web of Science</v>
      </c>
    </row>
    <row r="69" ht="12.75" customHeight="1">
      <c r="A69" s="32" t="s">
        <v>26</v>
      </c>
      <c r="B69" s="32" t="s">
        <v>3705</v>
      </c>
      <c r="C69" s="32" t="s">
        <v>1324</v>
      </c>
      <c r="D69" s="32" t="s">
        <v>1324</v>
      </c>
      <c r="E69" s="32" t="s">
        <v>1324</v>
      </c>
      <c r="F69" s="32" t="s">
        <v>1430</v>
      </c>
      <c r="G69" s="32" t="s">
        <v>1324</v>
      </c>
      <c r="H69" s="32" t="s">
        <v>1324</v>
      </c>
      <c r="I69" s="32" t="s">
        <v>1432</v>
      </c>
      <c r="J69" s="32" t="s">
        <v>1431</v>
      </c>
      <c r="K69" s="32" t="s">
        <v>1324</v>
      </c>
      <c r="L69" s="32" t="s">
        <v>1324</v>
      </c>
      <c r="M69" s="32" t="s">
        <v>2364</v>
      </c>
      <c r="N69" s="32" t="s">
        <v>38</v>
      </c>
      <c r="O69" s="32" t="s">
        <v>1324</v>
      </c>
      <c r="P69" s="32" t="s">
        <v>1324</v>
      </c>
      <c r="Q69" s="32" t="s">
        <v>1324</v>
      </c>
      <c r="R69" s="32" t="s">
        <v>1324</v>
      </c>
      <c r="S69" s="32" t="s">
        <v>1324</v>
      </c>
      <c r="T69" s="32" t="s">
        <v>3706</v>
      </c>
      <c r="U69" s="32" t="s">
        <v>3707</v>
      </c>
      <c r="V69" s="32" t="s">
        <v>1433</v>
      </c>
      <c r="W69" s="32" t="s">
        <v>3708</v>
      </c>
      <c r="X69" s="32" t="s">
        <v>3709</v>
      </c>
      <c r="Y69" s="32" t="s">
        <v>3710</v>
      </c>
      <c r="Z69" s="32" t="s">
        <v>3711</v>
      </c>
      <c r="AA69" s="32" t="s">
        <v>1324</v>
      </c>
      <c r="AB69" s="32" t="s">
        <v>3712</v>
      </c>
      <c r="AC69" s="32" t="s">
        <v>3713</v>
      </c>
      <c r="AD69" s="32" t="s">
        <v>3713</v>
      </c>
      <c r="AE69" s="32" t="s">
        <v>3714</v>
      </c>
      <c r="AF69" s="32" t="s">
        <v>1324</v>
      </c>
      <c r="AG69" s="32">
        <v>36.0</v>
      </c>
      <c r="AH69" s="32">
        <v>6.0</v>
      </c>
      <c r="AI69" s="32">
        <v>7.0</v>
      </c>
      <c r="AJ69" s="32">
        <v>0.0</v>
      </c>
      <c r="AK69" s="32">
        <v>36.0</v>
      </c>
      <c r="AL69" s="32" t="s">
        <v>1431</v>
      </c>
      <c r="AM69" s="32" t="s">
        <v>3715</v>
      </c>
      <c r="AN69" s="32" t="s">
        <v>3716</v>
      </c>
      <c r="AO69" s="32" t="s">
        <v>3717</v>
      </c>
      <c r="AP69" s="32" t="s">
        <v>3718</v>
      </c>
      <c r="AQ69" s="32" t="s">
        <v>1324</v>
      </c>
      <c r="AR69" s="32" t="s">
        <v>3719</v>
      </c>
      <c r="AS69" s="32" t="s">
        <v>3720</v>
      </c>
      <c r="AT69" s="32" t="s">
        <v>2471</v>
      </c>
      <c r="AU69" s="32">
        <v>2014.0</v>
      </c>
      <c r="AV69" s="32">
        <v>62.0</v>
      </c>
      <c r="AW69" s="32" t="s">
        <v>1324</v>
      </c>
      <c r="AX69" s="32" t="s">
        <v>1324</v>
      </c>
      <c r="AY69" s="32">
        <v>3.0</v>
      </c>
      <c r="AZ69" s="32" t="s">
        <v>1324</v>
      </c>
      <c r="BA69" s="32" t="s">
        <v>1324</v>
      </c>
      <c r="BB69" s="32">
        <v>273.0</v>
      </c>
      <c r="BC69" s="32">
        <v>286.0</v>
      </c>
      <c r="BD69" s="32" t="s">
        <v>1324</v>
      </c>
      <c r="BE69" s="32" t="s">
        <v>1434</v>
      </c>
      <c r="BF69" s="38" t="str">
        <f>HYPERLINK("http://dx.doi.org/10.15517/rbt.v62i0.15922","http://dx.doi.org/10.15517/rbt.v62i0.15922")</f>
        <v>http://dx.doi.org/10.15517/rbt.v62i0.15922</v>
      </c>
      <c r="BG69" s="32" t="s">
        <v>1324</v>
      </c>
      <c r="BH69" s="32" t="s">
        <v>1324</v>
      </c>
      <c r="BI69" s="32">
        <v>14.0</v>
      </c>
      <c r="BJ69" s="32" t="s">
        <v>188</v>
      </c>
      <c r="BK69" s="32" t="s">
        <v>2407</v>
      </c>
      <c r="BL69" s="32" t="s">
        <v>3721</v>
      </c>
      <c r="BM69" s="32" t="s">
        <v>3722</v>
      </c>
      <c r="BN69" s="32" t="s">
        <v>1324</v>
      </c>
      <c r="BO69" s="32" t="s">
        <v>3723</v>
      </c>
      <c r="BP69" s="32" t="s">
        <v>1324</v>
      </c>
      <c r="BQ69" s="32" t="s">
        <v>1324</v>
      </c>
      <c r="BR69" s="32" t="s">
        <v>5268</v>
      </c>
      <c r="BS69" s="32" t="s">
        <v>3724</v>
      </c>
      <c r="BT69" s="32" t="str">
        <f>HYPERLINK("https%3A%2F%2Fwww.webofscience.com%2Fwos%2Fwoscc%2Ffull-record%2FWOS:000209580800026","View Full Record in Web of Science")</f>
        <v>View Full Record in Web of Science</v>
      </c>
    </row>
    <row r="70" ht="12.75" customHeight="1">
      <c r="A70" s="32" t="s">
        <v>26</v>
      </c>
      <c r="B70" s="32" t="s">
        <v>3725</v>
      </c>
      <c r="C70" s="32" t="s">
        <v>1324</v>
      </c>
      <c r="D70" s="32" t="s">
        <v>1324</v>
      </c>
      <c r="E70" s="32" t="s">
        <v>1324</v>
      </c>
      <c r="F70" s="32" t="s">
        <v>1730</v>
      </c>
      <c r="G70" s="32" t="s">
        <v>1324</v>
      </c>
      <c r="H70" s="32" t="s">
        <v>1324</v>
      </c>
      <c r="I70" s="32" t="s">
        <v>1732</v>
      </c>
      <c r="J70" s="32" t="s">
        <v>1731</v>
      </c>
      <c r="K70" s="32" t="s">
        <v>1324</v>
      </c>
      <c r="L70" s="32" t="s">
        <v>1324</v>
      </c>
      <c r="M70" s="32" t="s">
        <v>2364</v>
      </c>
      <c r="N70" s="32" t="s">
        <v>38</v>
      </c>
      <c r="O70" s="32" t="s">
        <v>1324</v>
      </c>
      <c r="P70" s="32" t="s">
        <v>1324</v>
      </c>
      <c r="Q70" s="32" t="s">
        <v>1324</v>
      </c>
      <c r="R70" s="32" t="s">
        <v>1324</v>
      </c>
      <c r="S70" s="32" t="s">
        <v>1324</v>
      </c>
      <c r="T70" s="32" t="s">
        <v>3726</v>
      </c>
      <c r="U70" s="32" t="s">
        <v>3727</v>
      </c>
      <c r="V70" s="32" t="s">
        <v>1733</v>
      </c>
      <c r="W70" s="32" t="s">
        <v>3728</v>
      </c>
      <c r="X70" s="32" t="s">
        <v>3729</v>
      </c>
      <c r="Y70" s="32" t="s">
        <v>3730</v>
      </c>
      <c r="Z70" s="32" t="s">
        <v>3731</v>
      </c>
      <c r="AA70" s="32" t="s">
        <v>5357</v>
      </c>
      <c r="AB70" s="32" t="s">
        <v>5358</v>
      </c>
      <c r="AC70" s="32" t="s">
        <v>3734</v>
      </c>
      <c r="AD70" s="32" t="s">
        <v>3735</v>
      </c>
      <c r="AE70" s="32" t="s">
        <v>3736</v>
      </c>
      <c r="AF70" s="32" t="s">
        <v>1324</v>
      </c>
      <c r="AG70" s="32">
        <v>58.0</v>
      </c>
      <c r="AH70" s="32">
        <v>93.0</v>
      </c>
      <c r="AI70" s="32">
        <v>104.0</v>
      </c>
      <c r="AJ70" s="32">
        <v>0.0</v>
      </c>
      <c r="AK70" s="32">
        <v>48.0</v>
      </c>
      <c r="AL70" s="32" t="s">
        <v>3737</v>
      </c>
      <c r="AM70" s="32" t="s">
        <v>2509</v>
      </c>
      <c r="AN70" s="32" t="s">
        <v>3738</v>
      </c>
      <c r="AO70" s="32" t="s">
        <v>3739</v>
      </c>
      <c r="AP70" s="32" t="s">
        <v>3740</v>
      </c>
      <c r="AQ70" s="32" t="s">
        <v>1324</v>
      </c>
      <c r="AR70" s="32" t="s">
        <v>3741</v>
      </c>
      <c r="AS70" s="32" t="s">
        <v>3742</v>
      </c>
      <c r="AT70" s="32" t="s">
        <v>3743</v>
      </c>
      <c r="AU70" s="32">
        <v>2014.0</v>
      </c>
      <c r="AV70" s="32">
        <v>71.0</v>
      </c>
      <c r="AW70" s="32">
        <v>7.0</v>
      </c>
      <c r="AX70" s="32" t="s">
        <v>1324</v>
      </c>
      <c r="AY70" s="32" t="s">
        <v>1324</v>
      </c>
      <c r="AZ70" s="32" t="s">
        <v>1324</v>
      </c>
      <c r="BA70" s="32" t="s">
        <v>1324</v>
      </c>
      <c r="BB70" s="32">
        <v>1593.0</v>
      </c>
      <c r="BC70" s="32">
        <v>1603.0</v>
      </c>
      <c r="BD70" s="32" t="s">
        <v>1324</v>
      </c>
      <c r="BE70" s="32" t="s">
        <v>1734</v>
      </c>
      <c r="BF70" s="38" t="str">
        <f>HYPERLINK("http://dx.doi.org/10.1093/icesjms/fst222","http://dx.doi.org/10.1093/icesjms/fst222")</f>
        <v>http://dx.doi.org/10.1093/icesjms/fst222</v>
      </c>
      <c r="BG70" s="32" t="s">
        <v>1324</v>
      </c>
      <c r="BH70" s="32" t="s">
        <v>1324</v>
      </c>
      <c r="BI70" s="32">
        <v>11.0</v>
      </c>
      <c r="BJ70" s="32" t="s">
        <v>3744</v>
      </c>
      <c r="BK70" s="32" t="s">
        <v>2407</v>
      </c>
      <c r="BL70" s="32" t="s">
        <v>3744</v>
      </c>
      <c r="BM70" s="32" t="s">
        <v>3745</v>
      </c>
      <c r="BN70" s="32" t="s">
        <v>1324</v>
      </c>
      <c r="BO70" s="32" t="s">
        <v>2579</v>
      </c>
      <c r="BP70" s="32" t="s">
        <v>1324</v>
      </c>
      <c r="BQ70" s="32" t="s">
        <v>1324</v>
      </c>
      <c r="BR70" s="32" t="s">
        <v>5268</v>
      </c>
      <c r="BS70" s="32" t="s">
        <v>3746</v>
      </c>
      <c r="BT70" s="32" t="str">
        <f>HYPERLINK("https%3A%2F%2Fwww.webofscience.com%2Fwos%2Fwoscc%2Ffull-record%2FWOS:000343315900008","View Full Record in Web of Science")</f>
        <v>View Full Record in Web of Science</v>
      </c>
    </row>
    <row r="71" ht="12.75" customHeight="1">
      <c r="A71" s="32" t="s">
        <v>26</v>
      </c>
      <c r="B71" s="32" t="s">
        <v>3747</v>
      </c>
      <c r="C71" s="32" t="s">
        <v>1324</v>
      </c>
      <c r="D71" s="32" t="s">
        <v>1324</v>
      </c>
      <c r="E71" s="32" t="s">
        <v>1324</v>
      </c>
      <c r="F71" s="32" t="s">
        <v>1677</v>
      </c>
      <c r="G71" s="32" t="s">
        <v>1324</v>
      </c>
      <c r="H71" s="32" t="s">
        <v>1324</v>
      </c>
      <c r="I71" s="32" t="s">
        <v>1678</v>
      </c>
      <c r="J71" s="32" t="s">
        <v>126</v>
      </c>
      <c r="K71" s="32" t="s">
        <v>1324</v>
      </c>
      <c r="L71" s="32" t="s">
        <v>1324</v>
      </c>
      <c r="M71" s="32" t="s">
        <v>2364</v>
      </c>
      <c r="N71" s="32" t="s">
        <v>38</v>
      </c>
      <c r="O71" s="32" t="s">
        <v>1324</v>
      </c>
      <c r="P71" s="32" t="s">
        <v>1324</v>
      </c>
      <c r="Q71" s="32" t="s">
        <v>1324</v>
      </c>
      <c r="R71" s="32" t="s">
        <v>1324</v>
      </c>
      <c r="S71" s="32" t="s">
        <v>1324</v>
      </c>
      <c r="T71" s="32" t="s">
        <v>3748</v>
      </c>
      <c r="U71" s="32" t="s">
        <v>3749</v>
      </c>
      <c r="V71" s="32" t="s">
        <v>3750</v>
      </c>
      <c r="W71" s="32" t="s">
        <v>3751</v>
      </c>
      <c r="X71" s="32" t="s">
        <v>5161</v>
      </c>
      <c r="Y71" s="32" t="s">
        <v>3753</v>
      </c>
      <c r="Z71" s="32" t="s">
        <v>3754</v>
      </c>
      <c r="AA71" s="32" t="s">
        <v>5162</v>
      </c>
      <c r="AB71" s="32" t="s">
        <v>5163</v>
      </c>
      <c r="AC71" s="32" t="s">
        <v>3757</v>
      </c>
      <c r="AD71" s="32" t="s">
        <v>3758</v>
      </c>
      <c r="AE71" s="32" t="s">
        <v>3759</v>
      </c>
      <c r="AF71" s="32" t="s">
        <v>1324</v>
      </c>
      <c r="AG71" s="32">
        <v>65.0</v>
      </c>
      <c r="AH71" s="32">
        <v>41.0</v>
      </c>
      <c r="AI71" s="32">
        <v>46.0</v>
      </c>
      <c r="AJ71" s="32">
        <v>4.0</v>
      </c>
      <c r="AK71" s="32">
        <v>128.0</v>
      </c>
      <c r="AL71" s="32" t="s">
        <v>2464</v>
      </c>
      <c r="AM71" s="32" t="s">
        <v>2465</v>
      </c>
      <c r="AN71" s="32" t="s">
        <v>2466</v>
      </c>
      <c r="AO71" s="32" t="s">
        <v>3025</v>
      </c>
      <c r="AP71" s="32" t="s">
        <v>3026</v>
      </c>
      <c r="AQ71" s="32" t="s">
        <v>1324</v>
      </c>
      <c r="AR71" s="32" t="s">
        <v>3027</v>
      </c>
      <c r="AS71" s="32" t="s">
        <v>3028</v>
      </c>
      <c r="AT71" s="32" t="s">
        <v>2515</v>
      </c>
      <c r="AU71" s="32">
        <v>2014.0</v>
      </c>
      <c r="AV71" s="32">
        <v>59.0</v>
      </c>
      <c r="AW71" s="32">
        <v>8.0</v>
      </c>
      <c r="AX71" s="32" t="s">
        <v>1324</v>
      </c>
      <c r="AY71" s="32" t="s">
        <v>1324</v>
      </c>
      <c r="AZ71" s="32" t="s">
        <v>1324</v>
      </c>
      <c r="BA71" s="32" t="s">
        <v>1324</v>
      </c>
      <c r="BB71" s="32">
        <v>1755.0</v>
      </c>
      <c r="BC71" s="32">
        <v>1767.0</v>
      </c>
      <c r="BD71" s="32" t="s">
        <v>1324</v>
      </c>
      <c r="BE71" s="32" t="s">
        <v>1680</v>
      </c>
      <c r="BF71" s="38" t="str">
        <f>HYPERLINK("http://dx.doi.org/10.1111/fwb.12380","http://dx.doi.org/10.1111/fwb.12380")</f>
        <v>http://dx.doi.org/10.1111/fwb.12380</v>
      </c>
      <c r="BG71" s="32" t="s">
        <v>1324</v>
      </c>
      <c r="BH71" s="32" t="s">
        <v>1324</v>
      </c>
      <c r="BI71" s="32">
        <v>13.0</v>
      </c>
      <c r="BJ71" s="32" t="s">
        <v>130</v>
      </c>
      <c r="BK71" s="32" t="s">
        <v>2407</v>
      </c>
      <c r="BL71" s="32" t="s">
        <v>2516</v>
      </c>
      <c r="BM71" s="32" t="s">
        <v>3760</v>
      </c>
      <c r="BN71" s="32" t="s">
        <v>1324</v>
      </c>
      <c r="BO71" s="32" t="s">
        <v>1324</v>
      </c>
      <c r="BP71" s="32" t="s">
        <v>1324</v>
      </c>
      <c r="BQ71" s="32" t="s">
        <v>1324</v>
      </c>
      <c r="BR71" s="32" t="s">
        <v>5268</v>
      </c>
      <c r="BS71" s="32" t="s">
        <v>3761</v>
      </c>
      <c r="BT71" s="32" t="str">
        <f>HYPERLINK("https%3A%2F%2Fwww.webofscience.com%2Fwos%2Fwoscc%2Ffull-record%2FWOS:000339385100016","View Full Record in Web of Science")</f>
        <v>View Full Record in Web of Science</v>
      </c>
    </row>
    <row r="72" ht="12.75" customHeight="1">
      <c r="A72" s="32" t="s">
        <v>26</v>
      </c>
      <c r="B72" s="32" t="s">
        <v>3762</v>
      </c>
      <c r="C72" s="32" t="s">
        <v>1324</v>
      </c>
      <c r="D72" s="32" t="s">
        <v>1324</v>
      </c>
      <c r="E72" s="32" t="s">
        <v>1324</v>
      </c>
      <c r="F72" s="32" t="s">
        <v>1667</v>
      </c>
      <c r="G72" s="32" t="s">
        <v>1324</v>
      </c>
      <c r="H72" s="32" t="s">
        <v>1324</v>
      </c>
      <c r="I72" s="32" t="s">
        <v>1668</v>
      </c>
      <c r="J72" s="32" t="s">
        <v>774</v>
      </c>
      <c r="K72" s="32" t="s">
        <v>1324</v>
      </c>
      <c r="L72" s="32" t="s">
        <v>1324</v>
      </c>
      <c r="M72" s="32" t="s">
        <v>2364</v>
      </c>
      <c r="N72" s="32" t="s">
        <v>38</v>
      </c>
      <c r="O72" s="32" t="s">
        <v>1324</v>
      </c>
      <c r="P72" s="32" t="s">
        <v>1324</v>
      </c>
      <c r="Q72" s="32" t="s">
        <v>1324</v>
      </c>
      <c r="R72" s="32" t="s">
        <v>1324</v>
      </c>
      <c r="S72" s="32" t="s">
        <v>1324</v>
      </c>
      <c r="T72" s="32" t="s">
        <v>3763</v>
      </c>
      <c r="U72" s="32" t="s">
        <v>3764</v>
      </c>
      <c r="V72" s="32" t="s">
        <v>1669</v>
      </c>
      <c r="W72" s="32" t="s">
        <v>3765</v>
      </c>
      <c r="X72" s="32" t="s">
        <v>3766</v>
      </c>
      <c r="Y72" s="32" t="s">
        <v>3767</v>
      </c>
      <c r="Z72" s="32" t="s">
        <v>3768</v>
      </c>
      <c r="AA72" s="32" t="s">
        <v>3769</v>
      </c>
      <c r="AB72" s="32" t="s">
        <v>1324</v>
      </c>
      <c r="AC72" s="32" t="s">
        <v>3770</v>
      </c>
      <c r="AD72" s="32" t="s">
        <v>1324</v>
      </c>
      <c r="AE72" s="32" t="s">
        <v>3771</v>
      </c>
      <c r="AF72" s="32" t="s">
        <v>1324</v>
      </c>
      <c r="AG72" s="32">
        <v>88.0</v>
      </c>
      <c r="AH72" s="32">
        <v>85.0</v>
      </c>
      <c r="AI72" s="32">
        <v>94.0</v>
      </c>
      <c r="AJ72" s="32">
        <v>5.0</v>
      </c>
      <c r="AK72" s="32">
        <v>204.0</v>
      </c>
      <c r="AL72" s="32" t="s">
        <v>2464</v>
      </c>
      <c r="AM72" s="32" t="s">
        <v>2465</v>
      </c>
      <c r="AN72" s="32" t="s">
        <v>2466</v>
      </c>
      <c r="AO72" s="32" t="s">
        <v>2923</v>
      </c>
      <c r="AP72" s="32" t="s">
        <v>2924</v>
      </c>
      <c r="AQ72" s="32" t="s">
        <v>1324</v>
      </c>
      <c r="AR72" s="32" t="s">
        <v>2925</v>
      </c>
      <c r="AS72" s="32" t="s">
        <v>2926</v>
      </c>
      <c r="AT72" s="32" t="s">
        <v>2515</v>
      </c>
      <c r="AU72" s="32">
        <v>2014.0</v>
      </c>
      <c r="AV72" s="32">
        <v>20.0</v>
      </c>
      <c r="AW72" s="32">
        <v>8.0</v>
      </c>
      <c r="AX72" s="32" t="s">
        <v>1324</v>
      </c>
      <c r="AY72" s="32" t="s">
        <v>1324</v>
      </c>
      <c r="AZ72" s="32" t="s">
        <v>1324</v>
      </c>
      <c r="BA72" s="32" t="s">
        <v>1324</v>
      </c>
      <c r="BB72" s="32">
        <v>2596.0</v>
      </c>
      <c r="BC72" s="32">
        <v>2606.0</v>
      </c>
      <c r="BD72" s="32" t="s">
        <v>1324</v>
      </c>
      <c r="BE72" s="32" t="s">
        <v>1670</v>
      </c>
      <c r="BF72" s="38" t="str">
        <f>HYPERLINK("http://dx.doi.org/10.1111/gcb.12588","http://dx.doi.org/10.1111/gcb.12588")</f>
        <v>http://dx.doi.org/10.1111/gcb.12588</v>
      </c>
      <c r="BG72" s="32" t="s">
        <v>1324</v>
      </c>
      <c r="BH72" s="32" t="s">
        <v>1324</v>
      </c>
      <c r="BI72" s="32">
        <v>11.0</v>
      </c>
      <c r="BJ72" s="32" t="s">
        <v>255</v>
      </c>
      <c r="BK72" s="32" t="s">
        <v>2407</v>
      </c>
      <c r="BL72" s="32" t="s">
        <v>2577</v>
      </c>
      <c r="BM72" s="32" t="s">
        <v>3772</v>
      </c>
      <c r="BN72" s="32">
        <v>2.4687944E7</v>
      </c>
      <c r="BO72" s="32" t="s">
        <v>1324</v>
      </c>
      <c r="BP72" s="32" t="s">
        <v>1324</v>
      </c>
      <c r="BQ72" s="32" t="s">
        <v>1324</v>
      </c>
      <c r="BR72" s="32" t="s">
        <v>5268</v>
      </c>
      <c r="BS72" s="32" t="s">
        <v>3773</v>
      </c>
      <c r="BT72" s="32" t="str">
        <f>HYPERLINK("https%3A%2F%2Fwww.webofscience.com%2Fwos%2Fwoscc%2Ffull-record%2FWOS:000339100200021","View Full Record in Web of Science")</f>
        <v>View Full Record in Web of Science</v>
      </c>
    </row>
    <row r="73" ht="12.75" customHeight="1">
      <c r="A73" s="32" t="s">
        <v>26</v>
      </c>
      <c r="B73" s="32" t="s">
        <v>3774</v>
      </c>
      <c r="C73" s="32" t="s">
        <v>1324</v>
      </c>
      <c r="D73" s="32" t="s">
        <v>1324</v>
      </c>
      <c r="E73" s="32" t="s">
        <v>1324</v>
      </c>
      <c r="F73" s="32" t="s">
        <v>1682</v>
      </c>
      <c r="G73" s="32" t="s">
        <v>1324</v>
      </c>
      <c r="H73" s="32" t="s">
        <v>1324</v>
      </c>
      <c r="I73" s="32" t="s">
        <v>1683</v>
      </c>
      <c r="J73" s="32" t="s">
        <v>126</v>
      </c>
      <c r="K73" s="32" t="s">
        <v>1324</v>
      </c>
      <c r="L73" s="32" t="s">
        <v>1324</v>
      </c>
      <c r="M73" s="32" t="s">
        <v>2364</v>
      </c>
      <c r="N73" s="32" t="s">
        <v>38</v>
      </c>
      <c r="O73" s="32" t="s">
        <v>1324</v>
      </c>
      <c r="P73" s="32" t="s">
        <v>1324</v>
      </c>
      <c r="Q73" s="32" t="s">
        <v>1324</v>
      </c>
      <c r="R73" s="32" t="s">
        <v>1324</v>
      </c>
      <c r="S73" s="32" t="s">
        <v>1324</v>
      </c>
      <c r="T73" s="32" t="s">
        <v>3775</v>
      </c>
      <c r="U73" s="32" t="s">
        <v>3776</v>
      </c>
      <c r="V73" s="32" t="s">
        <v>1684</v>
      </c>
      <c r="W73" s="32" t="s">
        <v>3777</v>
      </c>
      <c r="X73" s="32" t="s">
        <v>3778</v>
      </c>
      <c r="Y73" s="32" t="s">
        <v>3779</v>
      </c>
      <c r="Z73" s="32" t="s">
        <v>3780</v>
      </c>
      <c r="AA73" s="32" t="s">
        <v>3781</v>
      </c>
      <c r="AB73" s="32" t="s">
        <v>5220</v>
      </c>
      <c r="AC73" s="32" t="s">
        <v>1324</v>
      </c>
      <c r="AD73" s="32" t="s">
        <v>1324</v>
      </c>
      <c r="AE73" s="32" t="s">
        <v>1324</v>
      </c>
      <c r="AF73" s="32" t="s">
        <v>1324</v>
      </c>
      <c r="AG73" s="32">
        <v>54.0</v>
      </c>
      <c r="AH73" s="32">
        <v>19.0</v>
      </c>
      <c r="AI73" s="32">
        <v>24.0</v>
      </c>
      <c r="AJ73" s="32">
        <v>2.0</v>
      </c>
      <c r="AK73" s="32">
        <v>109.0</v>
      </c>
      <c r="AL73" s="32" t="s">
        <v>2464</v>
      </c>
      <c r="AM73" s="32" t="s">
        <v>2465</v>
      </c>
      <c r="AN73" s="32" t="s">
        <v>2466</v>
      </c>
      <c r="AO73" s="32" t="s">
        <v>3025</v>
      </c>
      <c r="AP73" s="32" t="s">
        <v>3026</v>
      </c>
      <c r="AQ73" s="32" t="s">
        <v>1324</v>
      </c>
      <c r="AR73" s="32" t="s">
        <v>3027</v>
      </c>
      <c r="AS73" s="32" t="s">
        <v>3028</v>
      </c>
      <c r="AT73" s="32" t="s">
        <v>2557</v>
      </c>
      <c r="AU73" s="32">
        <v>2014.0</v>
      </c>
      <c r="AV73" s="32">
        <v>59.0</v>
      </c>
      <c r="AW73" s="32">
        <v>7.0</v>
      </c>
      <c r="AX73" s="32" t="s">
        <v>1324</v>
      </c>
      <c r="AY73" s="32" t="s">
        <v>1324</v>
      </c>
      <c r="AZ73" s="32" t="s">
        <v>1324</v>
      </c>
      <c r="BA73" s="32" t="s">
        <v>1324</v>
      </c>
      <c r="BB73" s="32">
        <v>1389.0</v>
      </c>
      <c r="BC73" s="32">
        <v>1405.0</v>
      </c>
      <c r="BD73" s="32" t="s">
        <v>1324</v>
      </c>
      <c r="BE73" s="32" t="s">
        <v>1685</v>
      </c>
      <c r="BF73" s="38" t="str">
        <f>HYPERLINK("http://dx.doi.org/10.1111/fwb.12353","http://dx.doi.org/10.1111/fwb.12353")</f>
        <v>http://dx.doi.org/10.1111/fwb.12353</v>
      </c>
      <c r="BG73" s="32" t="s">
        <v>1324</v>
      </c>
      <c r="BH73" s="32" t="s">
        <v>1324</v>
      </c>
      <c r="BI73" s="32">
        <v>17.0</v>
      </c>
      <c r="BJ73" s="32" t="s">
        <v>130</v>
      </c>
      <c r="BK73" s="32" t="s">
        <v>2407</v>
      </c>
      <c r="BL73" s="32" t="s">
        <v>2516</v>
      </c>
      <c r="BM73" s="32" t="s">
        <v>3783</v>
      </c>
      <c r="BN73" s="32" t="s">
        <v>1324</v>
      </c>
      <c r="BO73" s="32" t="s">
        <v>2715</v>
      </c>
      <c r="BP73" s="32" t="s">
        <v>1324</v>
      </c>
      <c r="BQ73" s="32" t="s">
        <v>1324</v>
      </c>
      <c r="BR73" s="32" t="s">
        <v>5268</v>
      </c>
      <c r="BS73" s="32" t="s">
        <v>3784</v>
      </c>
      <c r="BT73" s="32" t="str">
        <f>HYPERLINK("https%3A%2F%2Fwww.webofscience.com%2Fwos%2Fwoscc%2Ffull-record%2FWOS:000337528600004","View Full Record in Web of Science")</f>
        <v>View Full Record in Web of Science</v>
      </c>
    </row>
    <row r="74" ht="12.75" customHeight="1">
      <c r="A74" s="32" t="s">
        <v>26</v>
      </c>
      <c r="B74" s="32" t="s">
        <v>3785</v>
      </c>
      <c r="C74" s="32" t="s">
        <v>1324</v>
      </c>
      <c r="D74" s="32" t="s">
        <v>1324</v>
      </c>
      <c r="E74" s="32" t="s">
        <v>1324</v>
      </c>
      <c r="F74" s="32" t="s">
        <v>2130</v>
      </c>
      <c r="G74" s="32" t="s">
        <v>1324</v>
      </c>
      <c r="H74" s="32" t="s">
        <v>1324</v>
      </c>
      <c r="I74" s="32" t="s">
        <v>2132</v>
      </c>
      <c r="J74" s="32" t="s">
        <v>2131</v>
      </c>
      <c r="K74" s="32" t="s">
        <v>1324</v>
      </c>
      <c r="L74" s="32" t="s">
        <v>1324</v>
      </c>
      <c r="M74" s="32" t="s">
        <v>2364</v>
      </c>
      <c r="N74" s="32" t="s">
        <v>38</v>
      </c>
      <c r="O74" s="32" t="s">
        <v>1324</v>
      </c>
      <c r="P74" s="32" t="s">
        <v>1324</v>
      </c>
      <c r="Q74" s="32" t="s">
        <v>1324</v>
      </c>
      <c r="R74" s="32" t="s">
        <v>1324</v>
      </c>
      <c r="S74" s="32" t="s">
        <v>1324</v>
      </c>
      <c r="T74" s="32" t="s">
        <v>3786</v>
      </c>
      <c r="U74" s="32" t="s">
        <v>3787</v>
      </c>
      <c r="V74" s="32" t="s">
        <v>2133</v>
      </c>
      <c r="W74" s="32" t="s">
        <v>3788</v>
      </c>
      <c r="X74" s="32" t="s">
        <v>3789</v>
      </c>
      <c r="Y74" s="32" t="s">
        <v>3790</v>
      </c>
      <c r="Z74" s="32" t="s">
        <v>3791</v>
      </c>
      <c r="AA74" s="32" t="s">
        <v>5359</v>
      </c>
      <c r="AB74" s="32" t="s">
        <v>5360</v>
      </c>
      <c r="AC74" s="32" t="s">
        <v>3794</v>
      </c>
      <c r="AD74" s="32" t="s">
        <v>3795</v>
      </c>
      <c r="AE74" s="32" t="s">
        <v>3796</v>
      </c>
      <c r="AF74" s="32" t="s">
        <v>1324</v>
      </c>
      <c r="AG74" s="32">
        <v>64.0</v>
      </c>
      <c r="AH74" s="32">
        <v>566.0</v>
      </c>
      <c r="AI74" s="32">
        <v>712.0</v>
      </c>
      <c r="AJ74" s="32">
        <v>27.0</v>
      </c>
      <c r="AK74" s="32">
        <v>1279.0</v>
      </c>
      <c r="AL74" s="32" t="s">
        <v>3043</v>
      </c>
      <c r="AM74" s="32" t="s">
        <v>2487</v>
      </c>
      <c r="AN74" s="32" t="s">
        <v>3044</v>
      </c>
      <c r="AO74" s="32" t="s">
        <v>3797</v>
      </c>
      <c r="AP74" s="32" t="s">
        <v>3798</v>
      </c>
      <c r="AQ74" s="32" t="s">
        <v>1324</v>
      </c>
      <c r="AR74" s="32" t="s">
        <v>3799</v>
      </c>
      <c r="AS74" s="32" t="s">
        <v>3800</v>
      </c>
      <c r="AT74" s="32" t="s">
        <v>3801</v>
      </c>
      <c r="AU74" s="32">
        <v>2014.0</v>
      </c>
      <c r="AV74" s="32">
        <v>189.0</v>
      </c>
      <c r="AW74" s="32" t="s">
        <v>1324</v>
      </c>
      <c r="AX74" s="32" t="s">
        <v>1324</v>
      </c>
      <c r="AY74" s="32" t="s">
        <v>1324</v>
      </c>
      <c r="AZ74" s="32" t="s">
        <v>1324</v>
      </c>
      <c r="BA74" s="32" t="s">
        <v>1324</v>
      </c>
      <c r="BB74" s="32">
        <v>11.0</v>
      </c>
      <c r="BC74" s="32">
        <v>18.0</v>
      </c>
      <c r="BD74" s="32" t="s">
        <v>1324</v>
      </c>
      <c r="BE74" s="32" t="s">
        <v>2134</v>
      </c>
      <c r="BF74" s="38" t="str">
        <f>HYPERLINK("http://dx.doi.org/10.1016/j.agrformet.2014.01.002","http://dx.doi.org/10.1016/j.agrformet.2014.01.002")</f>
        <v>http://dx.doi.org/10.1016/j.agrformet.2014.01.002</v>
      </c>
      <c r="BG74" s="32" t="s">
        <v>1324</v>
      </c>
      <c r="BH74" s="32" t="s">
        <v>1324</v>
      </c>
      <c r="BI74" s="32">
        <v>8.0</v>
      </c>
      <c r="BJ74" s="32" t="s">
        <v>3802</v>
      </c>
      <c r="BK74" s="32" t="s">
        <v>2407</v>
      </c>
      <c r="BL74" s="32" t="s">
        <v>3803</v>
      </c>
      <c r="BM74" s="32" t="s">
        <v>3804</v>
      </c>
      <c r="BN74" s="32" t="s">
        <v>1324</v>
      </c>
      <c r="BO74" s="32" t="s">
        <v>1324</v>
      </c>
      <c r="BP74" s="32" t="s">
        <v>1324</v>
      </c>
      <c r="BQ74" s="32" t="s">
        <v>1324</v>
      </c>
      <c r="BR74" s="32" t="s">
        <v>5268</v>
      </c>
      <c r="BS74" s="32" t="s">
        <v>3805</v>
      </c>
      <c r="BT74" s="32" t="str">
        <f>HYPERLINK("https%3A%2F%2Fwww.webofscience.com%2Fwos%2Fwoscc%2Ffull-record%2FWOS:000333852900003","View Full Record in Web of Science")</f>
        <v>View Full Record in Web of Science</v>
      </c>
    </row>
    <row r="75" ht="12.75" customHeight="1">
      <c r="A75" s="32" t="s">
        <v>26</v>
      </c>
      <c r="B75" s="32" t="s">
        <v>3806</v>
      </c>
      <c r="C75" s="32" t="s">
        <v>1324</v>
      </c>
      <c r="D75" s="32" t="s">
        <v>1324</v>
      </c>
      <c r="E75" s="32" t="s">
        <v>1324</v>
      </c>
      <c r="F75" s="32" t="s">
        <v>2194</v>
      </c>
      <c r="G75" s="32" t="s">
        <v>1324</v>
      </c>
      <c r="H75" s="32" t="s">
        <v>1324</v>
      </c>
      <c r="I75" s="32" t="s">
        <v>2195</v>
      </c>
      <c r="J75" s="32" t="s">
        <v>468</v>
      </c>
      <c r="K75" s="32" t="s">
        <v>1324</v>
      </c>
      <c r="L75" s="32" t="s">
        <v>1324</v>
      </c>
      <c r="M75" s="32" t="s">
        <v>2364</v>
      </c>
      <c r="N75" s="32" t="s">
        <v>38</v>
      </c>
      <c r="O75" s="32" t="s">
        <v>1324</v>
      </c>
      <c r="P75" s="32" t="s">
        <v>1324</v>
      </c>
      <c r="Q75" s="32" t="s">
        <v>1324</v>
      </c>
      <c r="R75" s="32" t="s">
        <v>1324</v>
      </c>
      <c r="S75" s="32" t="s">
        <v>1324</v>
      </c>
      <c r="T75" s="32" t="s">
        <v>3807</v>
      </c>
      <c r="U75" s="32" t="s">
        <v>3808</v>
      </c>
      <c r="V75" s="32" t="s">
        <v>2196</v>
      </c>
      <c r="W75" s="32" t="s">
        <v>3809</v>
      </c>
      <c r="X75" s="32" t="s">
        <v>3810</v>
      </c>
      <c r="Y75" s="32" t="s">
        <v>3811</v>
      </c>
      <c r="Z75" s="32" t="s">
        <v>3812</v>
      </c>
      <c r="AA75" s="32" t="s">
        <v>3813</v>
      </c>
      <c r="AB75" s="32" t="s">
        <v>3814</v>
      </c>
      <c r="AC75" s="32" t="s">
        <v>3815</v>
      </c>
      <c r="AD75" s="32" t="s">
        <v>3816</v>
      </c>
      <c r="AE75" s="32" t="s">
        <v>3817</v>
      </c>
      <c r="AF75" s="32" t="s">
        <v>1324</v>
      </c>
      <c r="AG75" s="32">
        <v>63.0</v>
      </c>
      <c r="AH75" s="32">
        <v>32.0</v>
      </c>
      <c r="AI75" s="32">
        <v>43.0</v>
      </c>
      <c r="AJ75" s="32">
        <v>3.0</v>
      </c>
      <c r="AK75" s="32">
        <v>82.0</v>
      </c>
      <c r="AL75" s="32" t="s">
        <v>3818</v>
      </c>
      <c r="AM75" s="32" t="s">
        <v>3819</v>
      </c>
      <c r="AN75" s="32" t="s">
        <v>3820</v>
      </c>
      <c r="AO75" s="32" t="s">
        <v>3821</v>
      </c>
      <c r="AP75" s="32" t="s">
        <v>3822</v>
      </c>
      <c r="AQ75" s="32" t="s">
        <v>1324</v>
      </c>
      <c r="AR75" s="32" t="s">
        <v>3823</v>
      </c>
      <c r="AS75" s="32" t="s">
        <v>3824</v>
      </c>
      <c r="AT75" s="32" t="s">
        <v>2734</v>
      </c>
      <c r="AU75" s="32">
        <v>2014.0</v>
      </c>
      <c r="AV75" s="32">
        <v>225.0</v>
      </c>
      <c r="AW75" s="32">
        <v>4.0</v>
      </c>
      <c r="AX75" s="32" t="s">
        <v>1324</v>
      </c>
      <c r="AY75" s="32" t="s">
        <v>1324</v>
      </c>
      <c r="AZ75" s="32" t="s">
        <v>1324</v>
      </c>
      <c r="BA75" s="32" t="s">
        <v>1324</v>
      </c>
      <c r="BB75" s="32" t="s">
        <v>1324</v>
      </c>
      <c r="BC75" s="32" t="s">
        <v>1324</v>
      </c>
      <c r="BD75" s="32">
        <v>1925.0</v>
      </c>
      <c r="BE75" s="32" t="s">
        <v>2197</v>
      </c>
      <c r="BF75" s="38" t="str">
        <f>HYPERLINK("http://dx.doi.org/10.1007/s11270-014-1925-x","http://dx.doi.org/10.1007/s11270-014-1925-x")</f>
        <v>http://dx.doi.org/10.1007/s11270-014-1925-x</v>
      </c>
      <c r="BG75" s="32" t="s">
        <v>1324</v>
      </c>
      <c r="BH75" s="32" t="s">
        <v>1324</v>
      </c>
      <c r="BI75" s="32">
        <v>15.0</v>
      </c>
      <c r="BJ75" s="32" t="s">
        <v>472</v>
      </c>
      <c r="BK75" s="32" t="s">
        <v>2407</v>
      </c>
      <c r="BL75" s="32" t="s">
        <v>3825</v>
      </c>
      <c r="BM75" s="32" t="s">
        <v>3826</v>
      </c>
      <c r="BN75" s="32" t="s">
        <v>1324</v>
      </c>
      <c r="BO75" s="32" t="s">
        <v>1324</v>
      </c>
      <c r="BP75" s="32" t="s">
        <v>1324</v>
      </c>
      <c r="BQ75" s="32" t="s">
        <v>1324</v>
      </c>
      <c r="BR75" s="32" t="s">
        <v>5268</v>
      </c>
      <c r="BS75" s="32" t="s">
        <v>3827</v>
      </c>
      <c r="BT75" s="32" t="str">
        <f>HYPERLINK("https%3A%2F%2Fwww.webofscience.com%2Fwos%2Fwoscc%2Ffull-record%2FWOS:000334578300016","View Full Record in Web of Science")</f>
        <v>View Full Record in Web of Science</v>
      </c>
    </row>
    <row r="76" ht="12.75" customHeight="1">
      <c r="A76" s="32" t="s">
        <v>26</v>
      </c>
      <c r="B76" s="32" t="s">
        <v>3828</v>
      </c>
      <c r="C76" s="32" t="s">
        <v>1324</v>
      </c>
      <c r="D76" s="32" t="s">
        <v>1324</v>
      </c>
      <c r="E76" s="32" t="s">
        <v>1324</v>
      </c>
      <c r="F76" s="32" t="s">
        <v>1919</v>
      </c>
      <c r="G76" s="32" t="s">
        <v>1324</v>
      </c>
      <c r="H76" s="32" t="s">
        <v>1324</v>
      </c>
      <c r="I76" s="32" t="s">
        <v>1920</v>
      </c>
      <c r="J76" s="32" t="s">
        <v>64</v>
      </c>
      <c r="K76" s="32" t="s">
        <v>1324</v>
      </c>
      <c r="L76" s="32" t="s">
        <v>1324</v>
      </c>
      <c r="M76" s="32" t="s">
        <v>2364</v>
      </c>
      <c r="N76" s="32" t="s">
        <v>38</v>
      </c>
      <c r="O76" s="32" t="s">
        <v>1324</v>
      </c>
      <c r="P76" s="32" t="s">
        <v>1324</v>
      </c>
      <c r="Q76" s="32" t="s">
        <v>1324</v>
      </c>
      <c r="R76" s="32" t="s">
        <v>1324</v>
      </c>
      <c r="S76" s="32" t="s">
        <v>1324</v>
      </c>
      <c r="T76" s="32" t="s">
        <v>3829</v>
      </c>
      <c r="U76" s="32" t="s">
        <v>3830</v>
      </c>
      <c r="V76" s="32" t="s">
        <v>1921</v>
      </c>
      <c r="W76" s="32" t="s">
        <v>3831</v>
      </c>
      <c r="X76" s="32" t="s">
        <v>3832</v>
      </c>
      <c r="Y76" s="32" t="s">
        <v>3833</v>
      </c>
      <c r="Z76" s="32" t="s">
        <v>3834</v>
      </c>
      <c r="AA76" s="32" t="s">
        <v>5361</v>
      </c>
      <c r="AB76" s="32" t="s">
        <v>3836</v>
      </c>
      <c r="AC76" s="32" t="s">
        <v>3837</v>
      </c>
      <c r="AD76" s="32" t="s">
        <v>2685</v>
      </c>
      <c r="AE76" s="32" t="s">
        <v>3838</v>
      </c>
      <c r="AF76" s="32" t="s">
        <v>1324</v>
      </c>
      <c r="AG76" s="32">
        <v>42.0</v>
      </c>
      <c r="AH76" s="32">
        <v>145.0</v>
      </c>
      <c r="AI76" s="32">
        <v>171.0</v>
      </c>
      <c r="AJ76" s="32">
        <v>6.0</v>
      </c>
      <c r="AK76" s="32">
        <v>263.0</v>
      </c>
      <c r="AL76" s="32" t="s">
        <v>2486</v>
      </c>
      <c r="AM76" s="32" t="s">
        <v>2487</v>
      </c>
      <c r="AN76" s="32" t="s">
        <v>2488</v>
      </c>
      <c r="AO76" s="32" t="s">
        <v>3045</v>
      </c>
      <c r="AP76" s="32" t="s">
        <v>3046</v>
      </c>
      <c r="AQ76" s="32" t="s">
        <v>1324</v>
      </c>
      <c r="AR76" s="32" t="s">
        <v>3047</v>
      </c>
      <c r="AS76" s="32" t="s">
        <v>3048</v>
      </c>
      <c r="AT76" s="32" t="s">
        <v>3839</v>
      </c>
      <c r="AU76" s="32">
        <v>2014.0</v>
      </c>
      <c r="AV76" s="32">
        <v>472.0</v>
      </c>
      <c r="AW76" s="32" t="s">
        <v>1324</v>
      </c>
      <c r="AX76" s="32" t="s">
        <v>1324</v>
      </c>
      <c r="AY76" s="32" t="s">
        <v>1324</v>
      </c>
      <c r="AZ76" s="32" t="s">
        <v>1324</v>
      </c>
      <c r="BA76" s="32" t="s">
        <v>1324</v>
      </c>
      <c r="BB76" s="32">
        <v>397.0</v>
      </c>
      <c r="BC76" s="32">
        <v>406.0</v>
      </c>
      <c r="BD76" s="32" t="s">
        <v>1324</v>
      </c>
      <c r="BE76" s="32" t="s">
        <v>1922</v>
      </c>
      <c r="BF76" s="38" t="str">
        <f>HYPERLINK("http://dx.doi.org/10.1016/j.scitotenv.2013.10.128","http://dx.doi.org/10.1016/j.scitotenv.2013.10.128")</f>
        <v>http://dx.doi.org/10.1016/j.scitotenv.2013.10.128</v>
      </c>
      <c r="BG76" s="32" t="s">
        <v>1324</v>
      </c>
      <c r="BH76" s="32" t="s">
        <v>1324</v>
      </c>
      <c r="BI76" s="32">
        <v>10.0</v>
      </c>
      <c r="BJ76" s="32" t="s">
        <v>68</v>
      </c>
      <c r="BK76" s="32" t="s">
        <v>2407</v>
      </c>
      <c r="BL76" s="32" t="s">
        <v>2472</v>
      </c>
      <c r="BM76" s="32" t="s">
        <v>3840</v>
      </c>
      <c r="BN76" s="32">
        <v>2.4295756E7</v>
      </c>
      <c r="BO76" s="32" t="s">
        <v>1324</v>
      </c>
      <c r="BP76" s="32" t="s">
        <v>1324</v>
      </c>
      <c r="BQ76" s="32" t="s">
        <v>1324</v>
      </c>
      <c r="BR76" s="32" t="s">
        <v>5268</v>
      </c>
      <c r="BS76" s="32" t="s">
        <v>3841</v>
      </c>
      <c r="BT76" s="32" t="str">
        <f>HYPERLINK("https%3A%2F%2Fwww.webofscience.com%2Fwos%2Fwoscc%2Ffull-record%2FWOS:000331916100047","View Full Record in Web of Science")</f>
        <v>View Full Record in Web of Science</v>
      </c>
    </row>
    <row r="77" ht="12.75" customHeight="1">
      <c r="A77" s="32" t="s">
        <v>26</v>
      </c>
      <c r="B77" s="32" t="s">
        <v>3842</v>
      </c>
      <c r="C77" s="32" t="s">
        <v>1324</v>
      </c>
      <c r="D77" s="32" t="s">
        <v>1324</v>
      </c>
      <c r="E77" s="32" t="s">
        <v>1324</v>
      </c>
      <c r="F77" s="32" t="s">
        <v>2058</v>
      </c>
      <c r="G77" s="32" t="s">
        <v>1324</v>
      </c>
      <c r="H77" s="32" t="s">
        <v>1324</v>
      </c>
      <c r="I77" s="32" t="s">
        <v>2060</v>
      </c>
      <c r="J77" s="32" t="s">
        <v>2059</v>
      </c>
      <c r="K77" s="32" t="s">
        <v>1324</v>
      </c>
      <c r="L77" s="32" t="s">
        <v>1324</v>
      </c>
      <c r="M77" s="32" t="s">
        <v>2364</v>
      </c>
      <c r="N77" s="32" t="s">
        <v>38</v>
      </c>
      <c r="O77" s="32" t="s">
        <v>1324</v>
      </c>
      <c r="P77" s="32" t="s">
        <v>1324</v>
      </c>
      <c r="Q77" s="32" t="s">
        <v>1324</v>
      </c>
      <c r="R77" s="32" t="s">
        <v>1324</v>
      </c>
      <c r="S77" s="32" t="s">
        <v>1324</v>
      </c>
      <c r="T77" s="32" t="s">
        <v>3843</v>
      </c>
      <c r="U77" s="32" t="s">
        <v>3844</v>
      </c>
      <c r="V77" s="32" t="s">
        <v>2061</v>
      </c>
      <c r="W77" s="32" t="s">
        <v>3845</v>
      </c>
      <c r="X77" s="32" t="s">
        <v>3846</v>
      </c>
      <c r="Y77" s="32" t="s">
        <v>3847</v>
      </c>
      <c r="Z77" s="32" t="s">
        <v>3848</v>
      </c>
      <c r="AA77" s="32" t="s">
        <v>3849</v>
      </c>
      <c r="AB77" s="32" t="s">
        <v>3850</v>
      </c>
      <c r="AC77" s="32" t="s">
        <v>3851</v>
      </c>
      <c r="AD77" s="32" t="s">
        <v>3851</v>
      </c>
      <c r="AE77" s="32" t="s">
        <v>3852</v>
      </c>
      <c r="AF77" s="32" t="s">
        <v>1324</v>
      </c>
      <c r="AG77" s="32">
        <v>69.0</v>
      </c>
      <c r="AH77" s="32">
        <v>28.0</v>
      </c>
      <c r="AI77" s="32">
        <v>29.0</v>
      </c>
      <c r="AJ77" s="32">
        <v>0.0</v>
      </c>
      <c r="AK77" s="32">
        <v>85.0</v>
      </c>
      <c r="AL77" s="32" t="s">
        <v>2486</v>
      </c>
      <c r="AM77" s="32" t="s">
        <v>2487</v>
      </c>
      <c r="AN77" s="32" t="s">
        <v>2488</v>
      </c>
      <c r="AO77" s="32" t="s">
        <v>3853</v>
      </c>
      <c r="AP77" s="32" t="s">
        <v>3854</v>
      </c>
      <c r="AQ77" s="32" t="s">
        <v>1324</v>
      </c>
      <c r="AR77" s="32" t="s">
        <v>3855</v>
      </c>
      <c r="AS77" s="32" t="s">
        <v>3856</v>
      </c>
      <c r="AT77" s="32" t="s">
        <v>3857</v>
      </c>
      <c r="AU77" s="32">
        <v>2014.0</v>
      </c>
      <c r="AV77" s="32">
        <v>273.0</v>
      </c>
      <c r="AW77" s="32" t="s">
        <v>1324</v>
      </c>
      <c r="AX77" s="32" t="s">
        <v>1324</v>
      </c>
      <c r="AY77" s="32" t="s">
        <v>1324</v>
      </c>
      <c r="AZ77" s="32" t="s">
        <v>1324</v>
      </c>
      <c r="BA77" s="32" t="s">
        <v>1324</v>
      </c>
      <c r="BB77" s="32">
        <v>140.0</v>
      </c>
      <c r="BC77" s="32">
        <v>150.0</v>
      </c>
      <c r="BD77" s="32" t="s">
        <v>1324</v>
      </c>
      <c r="BE77" s="32" t="s">
        <v>2062</v>
      </c>
      <c r="BF77" s="38" t="str">
        <f>HYPERLINK("http://dx.doi.org/10.1016/j.ecolmodel.2013.11.004","http://dx.doi.org/10.1016/j.ecolmodel.2013.11.004")</f>
        <v>http://dx.doi.org/10.1016/j.ecolmodel.2013.11.004</v>
      </c>
      <c r="BG77" s="32" t="s">
        <v>1324</v>
      </c>
      <c r="BH77" s="32" t="s">
        <v>1324</v>
      </c>
      <c r="BI77" s="32">
        <v>11.0</v>
      </c>
      <c r="BJ77" s="32" t="s">
        <v>817</v>
      </c>
      <c r="BK77" s="32" t="s">
        <v>2407</v>
      </c>
      <c r="BL77" s="32" t="s">
        <v>2472</v>
      </c>
      <c r="BM77" s="32" t="s">
        <v>3858</v>
      </c>
      <c r="BN77" s="32" t="s">
        <v>1324</v>
      </c>
      <c r="BO77" s="32" t="s">
        <v>1324</v>
      </c>
      <c r="BP77" s="32" t="s">
        <v>1324</v>
      </c>
      <c r="BQ77" s="32" t="s">
        <v>1324</v>
      </c>
      <c r="BR77" s="32" t="s">
        <v>5268</v>
      </c>
      <c r="BS77" s="32" t="s">
        <v>3859</v>
      </c>
      <c r="BT77" s="32" t="str">
        <f>HYPERLINK("https%3A%2F%2Fwww.webofscience.com%2Fwos%2Fwoscc%2Ffull-record%2FWOS:000331673800014","View Full Record in Web of Science")</f>
        <v>View Full Record in Web of Science</v>
      </c>
    </row>
    <row r="78" ht="12.75" customHeight="1">
      <c r="A78" s="32" t="s">
        <v>26</v>
      </c>
      <c r="B78" s="32" t="s">
        <v>3860</v>
      </c>
      <c r="C78" s="32" t="s">
        <v>1324</v>
      </c>
      <c r="D78" s="32" t="s">
        <v>1324</v>
      </c>
      <c r="E78" s="32" t="s">
        <v>1324</v>
      </c>
      <c r="F78" s="32" t="s">
        <v>2171</v>
      </c>
      <c r="G78" s="32" t="s">
        <v>1324</v>
      </c>
      <c r="H78" s="32" t="s">
        <v>1324</v>
      </c>
      <c r="I78" s="32" t="s">
        <v>2173</v>
      </c>
      <c r="J78" s="32" t="s">
        <v>2172</v>
      </c>
      <c r="K78" s="32" t="s">
        <v>1324</v>
      </c>
      <c r="L78" s="32" t="s">
        <v>1324</v>
      </c>
      <c r="M78" s="32" t="s">
        <v>2364</v>
      </c>
      <c r="N78" s="32" t="s">
        <v>38</v>
      </c>
      <c r="O78" s="32" t="s">
        <v>1324</v>
      </c>
      <c r="P78" s="32" t="s">
        <v>1324</v>
      </c>
      <c r="Q78" s="32" t="s">
        <v>1324</v>
      </c>
      <c r="R78" s="32" t="s">
        <v>1324</v>
      </c>
      <c r="S78" s="32" t="s">
        <v>1324</v>
      </c>
      <c r="T78" s="32" t="s">
        <v>3861</v>
      </c>
      <c r="U78" s="32" t="s">
        <v>3862</v>
      </c>
      <c r="V78" s="32" t="s">
        <v>2174</v>
      </c>
      <c r="W78" s="32" t="s">
        <v>3863</v>
      </c>
      <c r="X78" s="32" t="s">
        <v>3864</v>
      </c>
      <c r="Y78" s="32" t="s">
        <v>3865</v>
      </c>
      <c r="Z78" s="32" t="s">
        <v>3866</v>
      </c>
      <c r="AA78" s="32" t="s">
        <v>1324</v>
      </c>
      <c r="AB78" s="32" t="s">
        <v>3868</v>
      </c>
      <c r="AC78" s="32" t="s">
        <v>3869</v>
      </c>
      <c r="AD78" s="32" t="s">
        <v>3870</v>
      </c>
      <c r="AE78" s="32" t="s">
        <v>3871</v>
      </c>
      <c r="AF78" s="32" t="s">
        <v>1324</v>
      </c>
      <c r="AG78" s="32">
        <v>48.0</v>
      </c>
      <c r="AH78" s="32">
        <v>66.0</v>
      </c>
      <c r="AI78" s="32">
        <v>77.0</v>
      </c>
      <c r="AJ78" s="32">
        <v>5.0</v>
      </c>
      <c r="AK78" s="32">
        <v>167.0</v>
      </c>
      <c r="AL78" s="32" t="s">
        <v>3250</v>
      </c>
      <c r="AM78" s="32" t="s">
        <v>3872</v>
      </c>
      <c r="AN78" s="32" t="s">
        <v>3873</v>
      </c>
      <c r="AO78" s="32" t="s">
        <v>3874</v>
      </c>
      <c r="AP78" s="32" t="s">
        <v>3875</v>
      </c>
      <c r="AQ78" s="32" t="s">
        <v>1324</v>
      </c>
      <c r="AR78" s="32" t="s">
        <v>3876</v>
      </c>
      <c r="AS78" s="32" t="s">
        <v>3877</v>
      </c>
      <c r="AT78" s="32" t="s">
        <v>2818</v>
      </c>
      <c r="AU78" s="32">
        <v>2014.0</v>
      </c>
      <c r="AV78" s="32">
        <v>71.0</v>
      </c>
      <c r="AW78" s="32">
        <v>3.0</v>
      </c>
      <c r="AX78" s="32" t="s">
        <v>1324</v>
      </c>
      <c r="AY78" s="32" t="s">
        <v>1324</v>
      </c>
      <c r="AZ78" s="32" t="s">
        <v>1324</v>
      </c>
      <c r="BA78" s="32" t="s">
        <v>1324</v>
      </c>
      <c r="BB78" s="32">
        <v>1421.0</v>
      </c>
      <c r="BC78" s="32">
        <v>1431.0</v>
      </c>
      <c r="BD78" s="32" t="s">
        <v>1324</v>
      </c>
      <c r="BE78" s="32" t="s">
        <v>2175</v>
      </c>
      <c r="BF78" s="38" t="str">
        <f>HYPERLINK("http://dx.doi.org/10.1007/s12665-013-2547-0","http://dx.doi.org/10.1007/s12665-013-2547-0")</f>
        <v>http://dx.doi.org/10.1007/s12665-013-2547-0</v>
      </c>
      <c r="BG78" s="32" t="s">
        <v>1324</v>
      </c>
      <c r="BH78" s="32" t="s">
        <v>1324</v>
      </c>
      <c r="BI78" s="32">
        <v>11.0</v>
      </c>
      <c r="BJ78" s="32" t="s">
        <v>3878</v>
      </c>
      <c r="BK78" s="32" t="s">
        <v>2407</v>
      </c>
      <c r="BL78" s="32" t="s">
        <v>3879</v>
      </c>
      <c r="BM78" s="32" t="s">
        <v>3880</v>
      </c>
      <c r="BN78" s="32" t="s">
        <v>1324</v>
      </c>
      <c r="BO78" s="32" t="s">
        <v>1324</v>
      </c>
      <c r="BP78" s="32" t="s">
        <v>1324</v>
      </c>
      <c r="BQ78" s="32" t="s">
        <v>1324</v>
      </c>
      <c r="BR78" s="32" t="s">
        <v>5268</v>
      </c>
      <c r="BS78" s="32" t="s">
        <v>3881</v>
      </c>
      <c r="BT78" s="32" t="str">
        <f>HYPERLINK("https%3A%2F%2Fwww.webofscience.com%2Fwos%2Fwoscc%2Ffull-record%2FWOS:000330124100038","View Full Record in Web of Science")</f>
        <v>View Full Record in Web of Science</v>
      </c>
    </row>
    <row r="79" ht="12.75" customHeight="1">
      <c r="A79" s="32" t="s">
        <v>26</v>
      </c>
      <c r="B79" s="32" t="s">
        <v>3882</v>
      </c>
      <c r="C79" s="32" t="s">
        <v>1324</v>
      </c>
      <c r="D79" s="32" t="s">
        <v>1324</v>
      </c>
      <c r="E79" s="32" t="s">
        <v>1324</v>
      </c>
      <c r="F79" s="32" t="s">
        <v>2013</v>
      </c>
      <c r="G79" s="32" t="s">
        <v>1324</v>
      </c>
      <c r="H79" s="32" t="s">
        <v>1324</v>
      </c>
      <c r="I79" s="32" t="s">
        <v>2014</v>
      </c>
      <c r="J79" s="32" t="s">
        <v>2008</v>
      </c>
      <c r="K79" s="32" t="s">
        <v>1324</v>
      </c>
      <c r="L79" s="32" t="s">
        <v>1324</v>
      </c>
      <c r="M79" s="32" t="s">
        <v>2364</v>
      </c>
      <c r="N79" s="32" t="s">
        <v>38</v>
      </c>
      <c r="O79" s="32" t="s">
        <v>1324</v>
      </c>
      <c r="P79" s="32" t="s">
        <v>1324</v>
      </c>
      <c r="Q79" s="32" t="s">
        <v>1324</v>
      </c>
      <c r="R79" s="32" t="s">
        <v>1324</v>
      </c>
      <c r="S79" s="32" t="s">
        <v>1324</v>
      </c>
      <c r="T79" s="32" t="s">
        <v>3883</v>
      </c>
      <c r="U79" s="32" t="s">
        <v>3884</v>
      </c>
      <c r="V79" s="32" t="s">
        <v>2015</v>
      </c>
      <c r="W79" s="32" t="s">
        <v>3885</v>
      </c>
      <c r="X79" s="32" t="s">
        <v>3886</v>
      </c>
      <c r="Y79" s="32" t="s">
        <v>3887</v>
      </c>
      <c r="Z79" s="32" t="s">
        <v>3888</v>
      </c>
      <c r="AA79" s="32" t="s">
        <v>5362</v>
      </c>
      <c r="AB79" s="32" t="s">
        <v>5363</v>
      </c>
      <c r="AC79" s="32" t="s">
        <v>3891</v>
      </c>
      <c r="AD79" s="32" t="s">
        <v>3892</v>
      </c>
      <c r="AE79" s="32" t="s">
        <v>3893</v>
      </c>
      <c r="AF79" s="32" t="s">
        <v>1324</v>
      </c>
      <c r="AG79" s="32">
        <v>83.0</v>
      </c>
      <c r="AH79" s="32">
        <v>17.0</v>
      </c>
      <c r="AI79" s="32">
        <v>24.0</v>
      </c>
      <c r="AJ79" s="32">
        <v>2.0</v>
      </c>
      <c r="AK79" s="32">
        <v>79.0</v>
      </c>
      <c r="AL79" s="32" t="s">
        <v>2486</v>
      </c>
      <c r="AM79" s="32" t="s">
        <v>2487</v>
      </c>
      <c r="AN79" s="32" t="s">
        <v>2488</v>
      </c>
      <c r="AO79" s="32" t="s">
        <v>2489</v>
      </c>
      <c r="AP79" s="32" t="s">
        <v>2490</v>
      </c>
      <c r="AQ79" s="32" t="s">
        <v>1324</v>
      </c>
      <c r="AR79" s="32" t="s">
        <v>2491</v>
      </c>
      <c r="AS79" s="32" t="s">
        <v>2492</v>
      </c>
      <c r="AT79" s="32" t="s">
        <v>3894</v>
      </c>
      <c r="AU79" s="32">
        <v>2014.0</v>
      </c>
      <c r="AV79" s="32">
        <v>313.0</v>
      </c>
      <c r="AW79" s="32" t="s">
        <v>1324</v>
      </c>
      <c r="AX79" s="32" t="s">
        <v>1324</v>
      </c>
      <c r="AY79" s="32" t="s">
        <v>1324</v>
      </c>
      <c r="AZ79" s="32" t="s">
        <v>1324</v>
      </c>
      <c r="BA79" s="32" t="s">
        <v>1324</v>
      </c>
      <c r="BB79" s="32">
        <v>199.0</v>
      </c>
      <c r="BC79" s="32">
        <v>211.0</v>
      </c>
      <c r="BD79" s="32" t="s">
        <v>1324</v>
      </c>
      <c r="BE79" s="32" t="s">
        <v>2016</v>
      </c>
      <c r="BF79" s="38" t="str">
        <f>HYPERLINK("http://dx.doi.org/10.1016/j.foreco.2013.10.039","http://dx.doi.org/10.1016/j.foreco.2013.10.039")</f>
        <v>http://dx.doi.org/10.1016/j.foreco.2013.10.039</v>
      </c>
      <c r="BG79" s="32" t="s">
        <v>1324</v>
      </c>
      <c r="BH79" s="32" t="s">
        <v>1324</v>
      </c>
      <c r="BI79" s="32">
        <v>13.0</v>
      </c>
      <c r="BJ79" s="32" t="s">
        <v>2494</v>
      </c>
      <c r="BK79" s="32" t="s">
        <v>2407</v>
      </c>
      <c r="BL79" s="32" t="s">
        <v>2494</v>
      </c>
      <c r="BM79" s="32" t="s">
        <v>3895</v>
      </c>
      <c r="BN79" s="32" t="s">
        <v>1324</v>
      </c>
      <c r="BO79" s="32" t="s">
        <v>1324</v>
      </c>
      <c r="BP79" s="32" t="s">
        <v>1324</v>
      </c>
      <c r="BQ79" s="32" t="s">
        <v>1324</v>
      </c>
      <c r="BR79" s="32" t="s">
        <v>5268</v>
      </c>
      <c r="BS79" s="32" t="s">
        <v>3896</v>
      </c>
      <c r="BT79" s="32" t="str">
        <f>HYPERLINK("https%3A%2F%2Fwww.webofscience.com%2Fwos%2Fwoscc%2Ffull-record%2FWOS:000331665600023","View Full Record in Web of Science")</f>
        <v>View Full Record in Web of Science</v>
      </c>
    </row>
    <row r="80" ht="12.75" customHeight="1">
      <c r="A80" s="32" t="s">
        <v>26</v>
      </c>
      <c r="B80" s="32" t="s">
        <v>3897</v>
      </c>
      <c r="C80" s="32" t="s">
        <v>1324</v>
      </c>
      <c r="D80" s="32" t="s">
        <v>1324</v>
      </c>
      <c r="E80" s="32" t="s">
        <v>1324</v>
      </c>
      <c r="F80" s="32" t="s">
        <v>2147</v>
      </c>
      <c r="G80" s="32" t="s">
        <v>1324</v>
      </c>
      <c r="H80" s="32" t="s">
        <v>1324</v>
      </c>
      <c r="I80" s="32" t="s">
        <v>2149</v>
      </c>
      <c r="J80" s="32" t="s">
        <v>2148</v>
      </c>
      <c r="K80" s="32" t="s">
        <v>1324</v>
      </c>
      <c r="L80" s="32" t="s">
        <v>1324</v>
      </c>
      <c r="M80" s="32" t="s">
        <v>2364</v>
      </c>
      <c r="N80" s="32" t="s">
        <v>38</v>
      </c>
      <c r="O80" s="32" t="s">
        <v>1324</v>
      </c>
      <c r="P80" s="32" t="s">
        <v>1324</v>
      </c>
      <c r="Q80" s="32" t="s">
        <v>1324</v>
      </c>
      <c r="R80" s="32" t="s">
        <v>1324</v>
      </c>
      <c r="S80" s="32" t="s">
        <v>1324</v>
      </c>
      <c r="T80" s="32" t="s">
        <v>3898</v>
      </c>
      <c r="U80" s="32" t="s">
        <v>3899</v>
      </c>
      <c r="V80" s="32" t="s">
        <v>2150</v>
      </c>
      <c r="W80" s="32" t="s">
        <v>3900</v>
      </c>
      <c r="X80" s="32" t="s">
        <v>3901</v>
      </c>
      <c r="Y80" s="32" t="s">
        <v>3657</v>
      </c>
      <c r="Z80" s="32" t="s">
        <v>3658</v>
      </c>
      <c r="AA80" s="32" t="s">
        <v>5364</v>
      </c>
      <c r="AB80" s="32" t="s">
        <v>5365</v>
      </c>
      <c r="AC80" s="32" t="s">
        <v>5073</v>
      </c>
      <c r="AD80" s="32" t="s">
        <v>5074</v>
      </c>
      <c r="AE80" s="32" t="s">
        <v>3906</v>
      </c>
      <c r="AF80" s="32" t="s">
        <v>1324</v>
      </c>
      <c r="AG80" s="32">
        <v>58.0</v>
      </c>
      <c r="AH80" s="32">
        <v>118.0</v>
      </c>
      <c r="AI80" s="32">
        <v>159.0</v>
      </c>
      <c r="AJ80" s="32">
        <v>12.0</v>
      </c>
      <c r="AK80" s="32">
        <v>294.0</v>
      </c>
      <c r="AL80" s="32" t="s">
        <v>2486</v>
      </c>
      <c r="AM80" s="32" t="s">
        <v>2487</v>
      </c>
      <c r="AN80" s="32" t="s">
        <v>2488</v>
      </c>
      <c r="AO80" s="32" t="s">
        <v>3907</v>
      </c>
      <c r="AP80" s="32" t="s">
        <v>3908</v>
      </c>
      <c r="AQ80" s="32" t="s">
        <v>1324</v>
      </c>
      <c r="AR80" s="32" t="s">
        <v>3909</v>
      </c>
      <c r="AS80" s="32" t="s">
        <v>3910</v>
      </c>
      <c r="AT80" s="32" t="s">
        <v>2818</v>
      </c>
      <c r="AU80" s="32">
        <v>2014.0</v>
      </c>
      <c r="AV80" s="32">
        <v>55.0</v>
      </c>
      <c r="AW80" s="32" t="s">
        <v>1324</v>
      </c>
      <c r="AX80" s="32" t="s">
        <v>1324</v>
      </c>
      <c r="AY80" s="32" t="s">
        <v>1324</v>
      </c>
      <c r="AZ80" s="32" t="s">
        <v>1324</v>
      </c>
      <c r="BA80" s="32" t="s">
        <v>1324</v>
      </c>
      <c r="BB80" s="32">
        <v>86.0</v>
      </c>
      <c r="BC80" s="32">
        <v>96.0</v>
      </c>
      <c r="BD80" s="32" t="s">
        <v>1324</v>
      </c>
      <c r="BE80" s="32" t="s">
        <v>2151</v>
      </c>
      <c r="BF80" s="38" t="str">
        <f>HYPERLINK("http://dx.doi.org/10.1016/j.actao.2013.12.006","http://dx.doi.org/10.1016/j.actao.2013.12.006")</f>
        <v>http://dx.doi.org/10.1016/j.actao.2013.12.006</v>
      </c>
      <c r="BG80" s="32" t="s">
        <v>1324</v>
      </c>
      <c r="BH80" s="32" t="s">
        <v>1324</v>
      </c>
      <c r="BI80" s="32">
        <v>11.0</v>
      </c>
      <c r="BJ80" s="32" t="s">
        <v>817</v>
      </c>
      <c r="BK80" s="32" t="s">
        <v>2407</v>
      </c>
      <c r="BL80" s="32" t="s">
        <v>2472</v>
      </c>
      <c r="BM80" s="32" t="s">
        <v>3911</v>
      </c>
      <c r="BN80" s="32" t="s">
        <v>1324</v>
      </c>
      <c r="BO80" s="32" t="s">
        <v>1324</v>
      </c>
      <c r="BP80" s="32" t="s">
        <v>1324</v>
      </c>
      <c r="BQ80" s="32" t="s">
        <v>1324</v>
      </c>
      <c r="BR80" s="32" t="s">
        <v>5268</v>
      </c>
      <c r="BS80" s="32" t="s">
        <v>3912</v>
      </c>
      <c r="BT80" s="32" t="str">
        <f>HYPERLINK("https%3A%2F%2Fwww.webofscience.com%2Fwos%2Fwoscc%2Ffull-record%2FWOS:000331773100012","View Full Record in Web of Science")</f>
        <v>View Full Record in Web of Science</v>
      </c>
    </row>
    <row r="81" ht="12.75" customHeight="1">
      <c r="A81" s="32" t="s">
        <v>26</v>
      </c>
      <c r="B81" s="32" t="s">
        <v>3913</v>
      </c>
      <c r="C81" s="32" t="s">
        <v>1324</v>
      </c>
      <c r="D81" s="32" t="s">
        <v>1324</v>
      </c>
      <c r="E81" s="32" t="s">
        <v>1324</v>
      </c>
      <c r="F81" s="32" t="s">
        <v>2165</v>
      </c>
      <c r="G81" s="32" t="s">
        <v>1324</v>
      </c>
      <c r="H81" s="32" t="s">
        <v>1324</v>
      </c>
      <c r="I81" s="32" t="s">
        <v>2167</v>
      </c>
      <c r="J81" s="32" t="s">
        <v>2166</v>
      </c>
      <c r="K81" s="32" t="s">
        <v>1324</v>
      </c>
      <c r="L81" s="32" t="s">
        <v>1324</v>
      </c>
      <c r="M81" s="32" t="s">
        <v>2364</v>
      </c>
      <c r="N81" s="32" t="s">
        <v>38</v>
      </c>
      <c r="O81" s="32" t="s">
        <v>1324</v>
      </c>
      <c r="P81" s="32" t="s">
        <v>1324</v>
      </c>
      <c r="Q81" s="32" t="s">
        <v>1324</v>
      </c>
      <c r="R81" s="32" t="s">
        <v>1324</v>
      </c>
      <c r="S81" s="32" t="s">
        <v>1324</v>
      </c>
      <c r="T81" s="32" t="s">
        <v>3914</v>
      </c>
      <c r="U81" s="32" t="s">
        <v>3915</v>
      </c>
      <c r="V81" s="32" t="s">
        <v>2168</v>
      </c>
      <c r="W81" s="32" t="s">
        <v>3916</v>
      </c>
      <c r="X81" s="32" t="s">
        <v>3656</v>
      </c>
      <c r="Y81" s="32" t="s">
        <v>3917</v>
      </c>
      <c r="Z81" s="32" t="s">
        <v>3918</v>
      </c>
      <c r="AA81" s="32" t="s">
        <v>3919</v>
      </c>
      <c r="AB81" s="32" t="s">
        <v>3920</v>
      </c>
      <c r="AC81" s="32" t="s">
        <v>5058</v>
      </c>
      <c r="AD81" s="32" t="s">
        <v>5059</v>
      </c>
      <c r="AE81" s="32" t="s">
        <v>3923</v>
      </c>
      <c r="AF81" s="32" t="s">
        <v>1324</v>
      </c>
      <c r="AG81" s="32">
        <v>50.0</v>
      </c>
      <c r="AH81" s="32">
        <v>45.0</v>
      </c>
      <c r="AI81" s="32">
        <v>61.0</v>
      </c>
      <c r="AJ81" s="32">
        <v>3.0</v>
      </c>
      <c r="AK81" s="32">
        <v>387.0</v>
      </c>
      <c r="AL81" s="32" t="s">
        <v>3924</v>
      </c>
      <c r="AM81" s="32" t="s">
        <v>3925</v>
      </c>
      <c r="AN81" s="32" t="s">
        <v>3926</v>
      </c>
      <c r="AO81" s="32" t="s">
        <v>3927</v>
      </c>
      <c r="AP81" s="32" t="s">
        <v>3928</v>
      </c>
      <c r="AQ81" s="32" t="s">
        <v>1324</v>
      </c>
      <c r="AR81" s="32" t="s">
        <v>3929</v>
      </c>
      <c r="AS81" s="32" t="s">
        <v>3930</v>
      </c>
      <c r="AT81" s="32" t="s">
        <v>2908</v>
      </c>
      <c r="AU81" s="32">
        <v>2013.0</v>
      </c>
      <c r="AV81" s="32">
        <v>5.0</v>
      </c>
      <c r="AW81" s="32">
        <v>4.0</v>
      </c>
      <c r="AX81" s="32" t="s">
        <v>1324</v>
      </c>
      <c r="AY81" s="32" t="s">
        <v>1324</v>
      </c>
      <c r="AZ81" s="32" t="s">
        <v>1324</v>
      </c>
      <c r="BA81" s="32" t="s">
        <v>1324</v>
      </c>
      <c r="BB81" s="32">
        <v>465.0</v>
      </c>
      <c r="BC81" s="32">
        <v>479.0</v>
      </c>
      <c r="BD81" s="32" t="s">
        <v>1324</v>
      </c>
      <c r="BE81" s="32" t="s">
        <v>2169</v>
      </c>
      <c r="BF81" s="38" t="str">
        <f>HYPERLINK("http://dx.doi.org/10.1007/s40333-013-0181-z","http://dx.doi.org/10.1007/s40333-013-0181-z")</f>
        <v>http://dx.doi.org/10.1007/s40333-013-0181-z</v>
      </c>
      <c r="BG81" s="32" t="s">
        <v>1324</v>
      </c>
      <c r="BH81" s="32" t="s">
        <v>1324</v>
      </c>
      <c r="BI81" s="32">
        <v>15.0</v>
      </c>
      <c r="BJ81" s="32" t="s">
        <v>68</v>
      </c>
      <c r="BK81" s="32" t="s">
        <v>2407</v>
      </c>
      <c r="BL81" s="32" t="s">
        <v>2472</v>
      </c>
      <c r="BM81" s="32" t="s">
        <v>3931</v>
      </c>
      <c r="BN81" s="32" t="s">
        <v>1324</v>
      </c>
      <c r="BO81" s="32" t="s">
        <v>1324</v>
      </c>
      <c r="BP81" s="32" t="s">
        <v>1324</v>
      </c>
      <c r="BQ81" s="32" t="s">
        <v>1324</v>
      </c>
      <c r="BR81" s="32" t="s">
        <v>5268</v>
      </c>
      <c r="BS81" s="32" t="s">
        <v>3932</v>
      </c>
      <c r="BT81" s="32" t="str">
        <f>HYPERLINK("https%3A%2F%2Fwww.webofscience.com%2Fwos%2Fwoscc%2Ffull-record%2FWOS:000321558700006","View Full Record in Web of Science")</f>
        <v>View Full Record in Web of Science</v>
      </c>
    </row>
    <row r="82" ht="12.75" customHeight="1">
      <c r="A82" s="32" t="s">
        <v>26</v>
      </c>
      <c r="B82" s="32" t="s">
        <v>3933</v>
      </c>
      <c r="C82" s="32" t="s">
        <v>1324</v>
      </c>
      <c r="D82" s="32" t="s">
        <v>1324</v>
      </c>
      <c r="E82" s="32" t="s">
        <v>1324</v>
      </c>
      <c r="F82" s="32" t="s">
        <v>1457</v>
      </c>
      <c r="G82" s="32" t="s">
        <v>1324</v>
      </c>
      <c r="H82" s="32" t="s">
        <v>1324</v>
      </c>
      <c r="I82" s="32" t="s">
        <v>1458</v>
      </c>
      <c r="J82" s="32" t="s">
        <v>365</v>
      </c>
      <c r="K82" s="32" t="s">
        <v>1324</v>
      </c>
      <c r="L82" s="32" t="s">
        <v>1324</v>
      </c>
      <c r="M82" s="32" t="s">
        <v>2364</v>
      </c>
      <c r="N82" s="32" t="s">
        <v>38</v>
      </c>
      <c r="O82" s="32" t="s">
        <v>1324</v>
      </c>
      <c r="P82" s="32" t="s">
        <v>1324</v>
      </c>
      <c r="Q82" s="32" t="s">
        <v>1324</v>
      </c>
      <c r="R82" s="32" t="s">
        <v>1324</v>
      </c>
      <c r="S82" s="32" t="s">
        <v>1324</v>
      </c>
      <c r="T82" s="32" t="s">
        <v>1324</v>
      </c>
      <c r="U82" s="32" t="s">
        <v>3934</v>
      </c>
      <c r="V82" s="32" t="s">
        <v>1459</v>
      </c>
      <c r="W82" s="32" t="s">
        <v>3935</v>
      </c>
      <c r="X82" s="32" t="s">
        <v>3936</v>
      </c>
      <c r="Y82" s="32" t="s">
        <v>3937</v>
      </c>
      <c r="Z82" s="32" t="s">
        <v>3938</v>
      </c>
      <c r="AA82" s="32" t="s">
        <v>5366</v>
      </c>
      <c r="AB82" s="32" t="s">
        <v>3940</v>
      </c>
      <c r="AC82" s="32" t="s">
        <v>3941</v>
      </c>
      <c r="AD82" s="32" t="s">
        <v>3942</v>
      </c>
      <c r="AE82" s="32" t="s">
        <v>3943</v>
      </c>
      <c r="AF82" s="32" t="s">
        <v>1324</v>
      </c>
      <c r="AG82" s="32">
        <v>57.0</v>
      </c>
      <c r="AH82" s="32">
        <v>261.0</v>
      </c>
      <c r="AI82" s="32">
        <v>297.0</v>
      </c>
      <c r="AJ82" s="32">
        <v>8.0</v>
      </c>
      <c r="AK82" s="32">
        <v>183.0</v>
      </c>
      <c r="AL82" s="32" t="s">
        <v>2423</v>
      </c>
      <c r="AM82" s="32" t="s">
        <v>2424</v>
      </c>
      <c r="AN82" s="32" t="s">
        <v>2425</v>
      </c>
      <c r="AO82" s="32" t="s">
        <v>2426</v>
      </c>
      <c r="AP82" s="32" t="s">
        <v>1324</v>
      </c>
      <c r="AQ82" s="32" t="s">
        <v>1324</v>
      </c>
      <c r="AR82" s="32" t="s">
        <v>365</v>
      </c>
      <c r="AS82" s="32" t="s">
        <v>2427</v>
      </c>
      <c r="AT82" s="32" t="s">
        <v>3944</v>
      </c>
      <c r="AU82" s="32">
        <v>2013.0</v>
      </c>
      <c r="AV82" s="32">
        <v>8.0</v>
      </c>
      <c r="AW82" s="32">
        <v>11.0</v>
      </c>
      <c r="AX82" s="32" t="s">
        <v>1324</v>
      </c>
      <c r="AY82" s="32" t="s">
        <v>1324</v>
      </c>
      <c r="AZ82" s="32" t="s">
        <v>1324</v>
      </c>
      <c r="BA82" s="32" t="s">
        <v>1324</v>
      </c>
      <c r="BB82" s="32" t="s">
        <v>1324</v>
      </c>
      <c r="BC82" s="32" t="s">
        <v>1324</v>
      </c>
      <c r="BD82" s="32" t="s">
        <v>3945</v>
      </c>
      <c r="BE82" s="32" t="s">
        <v>1460</v>
      </c>
      <c r="BF82" s="38" t="str">
        <f>HYPERLINK("http://dx.doi.org/10.1371/journal.pone.0081292","http://dx.doi.org/10.1371/journal.pone.0081292")</f>
        <v>http://dx.doi.org/10.1371/journal.pone.0081292</v>
      </c>
      <c r="BG82" s="32" t="s">
        <v>1324</v>
      </c>
      <c r="BH82" s="32" t="s">
        <v>1324</v>
      </c>
      <c r="BI82" s="32">
        <v>13.0</v>
      </c>
      <c r="BJ82" s="32" t="s">
        <v>42</v>
      </c>
      <c r="BK82" s="32" t="s">
        <v>2407</v>
      </c>
      <c r="BL82" s="32" t="s">
        <v>2430</v>
      </c>
      <c r="BM82" s="32" t="s">
        <v>3946</v>
      </c>
      <c r="BN82" s="32">
        <v>2.428258E7</v>
      </c>
      <c r="BO82" s="32" t="s">
        <v>3947</v>
      </c>
      <c r="BP82" s="32" t="s">
        <v>1324</v>
      </c>
      <c r="BQ82" s="32" t="s">
        <v>1324</v>
      </c>
      <c r="BR82" s="32" t="s">
        <v>5268</v>
      </c>
      <c r="BS82" s="32" t="s">
        <v>3948</v>
      </c>
      <c r="BT82" s="32" t="str">
        <f>HYPERLINK("https%3A%2F%2Fwww.webofscience.com%2Fwos%2Fwoscc%2Ffull-record%2FWOS:000327543500082","View Full Record in Web of Science")</f>
        <v>View Full Record in Web of Science</v>
      </c>
    </row>
    <row r="83" ht="12.75" customHeight="1">
      <c r="A83" s="32" t="s">
        <v>26</v>
      </c>
      <c r="B83" s="32" t="s">
        <v>3949</v>
      </c>
      <c r="C83" s="32" t="s">
        <v>1324</v>
      </c>
      <c r="D83" s="32" t="s">
        <v>1324</v>
      </c>
      <c r="E83" s="32" t="s">
        <v>1324</v>
      </c>
      <c r="F83" s="32" t="s">
        <v>2109</v>
      </c>
      <c r="G83" s="32" t="s">
        <v>1324</v>
      </c>
      <c r="H83" s="32" t="s">
        <v>1324</v>
      </c>
      <c r="I83" s="32" t="s">
        <v>2110</v>
      </c>
      <c r="J83" s="32" t="s">
        <v>251</v>
      </c>
      <c r="K83" s="32" t="s">
        <v>1324</v>
      </c>
      <c r="L83" s="32" t="s">
        <v>1324</v>
      </c>
      <c r="M83" s="32" t="s">
        <v>2364</v>
      </c>
      <c r="N83" s="32" t="s">
        <v>38</v>
      </c>
      <c r="O83" s="32" t="s">
        <v>1324</v>
      </c>
      <c r="P83" s="32" t="s">
        <v>1324</v>
      </c>
      <c r="Q83" s="32" t="s">
        <v>1324</v>
      </c>
      <c r="R83" s="32" t="s">
        <v>1324</v>
      </c>
      <c r="S83" s="32" t="s">
        <v>1324</v>
      </c>
      <c r="T83" s="32" t="s">
        <v>3950</v>
      </c>
      <c r="U83" s="32" t="s">
        <v>3951</v>
      </c>
      <c r="V83" s="32" t="s">
        <v>3952</v>
      </c>
      <c r="W83" s="32" t="s">
        <v>3953</v>
      </c>
      <c r="X83" s="32" t="s">
        <v>3954</v>
      </c>
      <c r="Y83" s="32" t="s">
        <v>3955</v>
      </c>
      <c r="Z83" s="32" t="s">
        <v>3956</v>
      </c>
      <c r="AA83" s="32" t="s">
        <v>3957</v>
      </c>
      <c r="AB83" s="32" t="s">
        <v>3958</v>
      </c>
      <c r="AC83" s="32" t="s">
        <v>3959</v>
      </c>
      <c r="AD83" s="32" t="s">
        <v>3960</v>
      </c>
      <c r="AE83" s="32" t="s">
        <v>3961</v>
      </c>
      <c r="AF83" s="32" t="s">
        <v>1324</v>
      </c>
      <c r="AG83" s="32">
        <v>82.0</v>
      </c>
      <c r="AH83" s="32">
        <v>39.0</v>
      </c>
      <c r="AI83" s="32">
        <v>45.0</v>
      </c>
      <c r="AJ83" s="32">
        <v>1.0</v>
      </c>
      <c r="AK83" s="32">
        <v>39.0</v>
      </c>
      <c r="AL83" s="32" t="s">
        <v>2530</v>
      </c>
      <c r="AM83" s="32" t="s">
        <v>2509</v>
      </c>
      <c r="AN83" s="32" t="s">
        <v>2646</v>
      </c>
      <c r="AO83" s="32" t="s">
        <v>2939</v>
      </c>
      <c r="AP83" s="32" t="s">
        <v>2940</v>
      </c>
      <c r="AQ83" s="32" t="s">
        <v>1324</v>
      </c>
      <c r="AR83" s="32" t="s">
        <v>2941</v>
      </c>
      <c r="AS83" s="32" t="s">
        <v>2942</v>
      </c>
      <c r="AT83" s="32" t="s">
        <v>2927</v>
      </c>
      <c r="AU83" s="32">
        <v>2013.0</v>
      </c>
      <c r="AV83" s="32">
        <v>167.0</v>
      </c>
      <c r="AW83" s="32" t="s">
        <v>1324</v>
      </c>
      <c r="AX83" s="32" t="s">
        <v>1324</v>
      </c>
      <c r="AY83" s="32" t="s">
        <v>1324</v>
      </c>
      <c r="AZ83" s="32" t="s">
        <v>1324</v>
      </c>
      <c r="BA83" s="32" t="s">
        <v>1324</v>
      </c>
      <c r="BB83" s="32">
        <v>1.0</v>
      </c>
      <c r="BC83" s="32">
        <v>8.0</v>
      </c>
      <c r="BD83" s="32" t="s">
        <v>1324</v>
      </c>
      <c r="BE83" s="32" t="s">
        <v>2112</v>
      </c>
      <c r="BF83" s="38" t="str">
        <f>HYPERLINK("http://dx.doi.org/10.1016/j.biocon.2013.07.012","http://dx.doi.org/10.1016/j.biocon.2013.07.012")</f>
        <v>http://dx.doi.org/10.1016/j.biocon.2013.07.012</v>
      </c>
      <c r="BG83" s="32" t="s">
        <v>1324</v>
      </c>
      <c r="BH83" s="32" t="s">
        <v>1324</v>
      </c>
      <c r="BI83" s="32">
        <v>8.0</v>
      </c>
      <c r="BJ83" s="32" t="s">
        <v>255</v>
      </c>
      <c r="BK83" s="32" t="s">
        <v>2878</v>
      </c>
      <c r="BL83" s="32" t="s">
        <v>2577</v>
      </c>
      <c r="BM83" s="32" t="s">
        <v>3962</v>
      </c>
      <c r="BN83" s="32" t="s">
        <v>1324</v>
      </c>
      <c r="BO83" s="32" t="s">
        <v>1324</v>
      </c>
      <c r="BP83" s="32" t="s">
        <v>1324</v>
      </c>
      <c r="BQ83" s="32" t="s">
        <v>1324</v>
      </c>
      <c r="BR83" s="32" t="s">
        <v>5268</v>
      </c>
      <c r="BS83" s="32" t="s">
        <v>3963</v>
      </c>
      <c r="BT83" s="32" t="str">
        <f>HYPERLINK("https%3A%2F%2Fwww.webofscience.com%2Fwos%2Fwoscc%2Ffull-record%2FWOS:000328804300001","View Full Record in Web of Science")</f>
        <v>View Full Record in Web of Science</v>
      </c>
    </row>
    <row r="84" ht="12.75" customHeight="1">
      <c r="A84" s="32" t="s">
        <v>26</v>
      </c>
      <c r="B84" s="32" t="s">
        <v>3964</v>
      </c>
      <c r="C84" s="32" t="s">
        <v>1324</v>
      </c>
      <c r="D84" s="32" t="s">
        <v>1324</v>
      </c>
      <c r="E84" s="32" t="s">
        <v>1324</v>
      </c>
      <c r="F84" s="32" t="s">
        <v>2002</v>
      </c>
      <c r="G84" s="32" t="s">
        <v>1324</v>
      </c>
      <c r="H84" s="32" t="s">
        <v>1324</v>
      </c>
      <c r="I84" s="32" t="s">
        <v>2003</v>
      </c>
      <c r="J84" s="32" t="s">
        <v>1055</v>
      </c>
      <c r="K84" s="32" t="s">
        <v>1324</v>
      </c>
      <c r="L84" s="32" t="s">
        <v>1324</v>
      </c>
      <c r="M84" s="32" t="s">
        <v>2364</v>
      </c>
      <c r="N84" s="32" t="s">
        <v>38</v>
      </c>
      <c r="O84" s="32" t="s">
        <v>1324</v>
      </c>
      <c r="P84" s="32" t="s">
        <v>1324</v>
      </c>
      <c r="Q84" s="32" t="s">
        <v>1324</v>
      </c>
      <c r="R84" s="32" t="s">
        <v>1324</v>
      </c>
      <c r="S84" s="32" t="s">
        <v>1324</v>
      </c>
      <c r="T84" s="32" t="s">
        <v>3965</v>
      </c>
      <c r="U84" s="32" t="s">
        <v>3966</v>
      </c>
      <c r="V84" s="32" t="s">
        <v>2004</v>
      </c>
      <c r="W84" s="32" t="s">
        <v>3967</v>
      </c>
      <c r="X84" s="32" t="s">
        <v>3968</v>
      </c>
      <c r="Y84" s="32" t="s">
        <v>3657</v>
      </c>
      <c r="Z84" s="32" t="s">
        <v>3658</v>
      </c>
      <c r="AA84" s="32" t="s">
        <v>3969</v>
      </c>
      <c r="AB84" s="32" t="s">
        <v>3970</v>
      </c>
      <c r="AC84" s="32" t="s">
        <v>3971</v>
      </c>
      <c r="AD84" s="32" t="s">
        <v>3972</v>
      </c>
      <c r="AE84" s="32" t="s">
        <v>3973</v>
      </c>
      <c r="AF84" s="32" t="s">
        <v>1324</v>
      </c>
      <c r="AG84" s="32">
        <v>59.0</v>
      </c>
      <c r="AH84" s="32">
        <v>168.0</v>
      </c>
      <c r="AI84" s="32">
        <v>207.0</v>
      </c>
      <c r="AJ84" s="32">
        <v>4.0</v>
      </c>
      <c r="AK84" s="32">
        <v>288.0</v>
      </c>
      <c r="AL84" s="32" t="s">
        <v>2486</v>
      </c>
      <c r="AM84" s="32" t="s">
        <v>2487</v>
      </c>
      <c r="AN84" s="32" t="s">
        <v>2488</v>
      </c>
      <c r="AO84" s="32" t="s">
        <v>3698</v>
      </c>
      <c r="AP84" s="32" t="s">
        <v>3699</v>
      </c>
      <c r="AQ84" s="32" t="s">
        <v>1324</v>
      </c>
      <c r="AR84" s="32" t="s">
        <v>3700</v>
      </c>
      <c r="AS84" s="32" t="s">
        <v>3701</v>
      </c>
      <c r="AT84" s="32" t="s">
        <v>2471</v>
      </c>
      <c r="AU84" s="32">
        <v>2013.0</v>
      </c>
      <c r="AV84" s="32">
        <v>108.0</v>
      </c>
      <c r="AW84" s="32" t="s">
        <v>1324</v>
      </c>
      <c r="AX84" s="32" t="s">
        <v>1324</v>
      </c>
      <c r="AY84" s="32" t="s">
        <v>1324</v>
      </c>
      <c r="AZ84" s="32" t="s">
        <v>1324</v>
      </c>
      <c r="BA84" s="32" t="s">
        <v>1324</v>
      </c>
      <c r="BB84" s="32">
        <v>29.0</v>
      </c>
      <c r="BC84" s="32">
        <v>41.0</v>
      </c>
      <c r="BD84" s="32" t="s">
        <v>1324</v>
      </c>
      <c r="BE84" s="32" t="s">
        <v>2005</v>
      </c>
      <c r="BF84" s="38" t="str">
        <f>HYPERLINK("http://dx.doi.org/10.1016/j.gloplacha.2013.06.007","http://dx.doi.org/10.1016/j.gloplacha.2013.06.007")</f>
        <v>http://dx.doi.org/10.1016/j.gloplacha.2013.06.007</v>
      </c>
      <c r="BG84" s="32" t="s">
        <v>1324</v>
      </c>
      <c r="BH84" s="32" t="s">
        <v>1324</v>
      </c>
      <c r="BI84" s="32">
        <v>13.0</v>
      </c>
      <c r="BJ84" s="32" t="s">
        <v>1059</v>
      </c>
      <c r="BK84" s="32" t="s">
        <v>2878</v>
      </c>
      <c r="BL84" s="32" t="s">
        <v>3702</v>
      </c>
      <c r="BM84" s="32" t="s">
        <v>3974</v>
      </c>
      <c r="BN84" s="32" t="s">
        <v>1324</v>
      </c>
      <c r="BO84" s="32" t="s">
        <v>1324</v>
      </c>
      <c r="BP84" s="32" t="s">
        <v>1324</v>
      </c>
      <c r="BQ84" s="32" t="s">
        <v>1324</v>
      </c>
      <c r="BR84" s="32" t="s">
        <v>5268</v>
      </c>
      <c r="BS84" s="32" t="s">
        <v>3975</v>
      </c>
      <c r="BT84" s="32" t="str">
        <f>HYPERLINK("https%3A%2F%2Fwww.webofscience.com%2Fwos%2Fwoscc%2Ffull-record%2FWOS:000323470800003","View Full Record in Web of Science")</f>
        <v>View Full Record in Web of Science</v>
      </c>
    </row>
    <row r="85" ht="12.75" customHeight="1">
      <c r="A85" s="32" t="s">
        <v>26</v>
      </c>
      <c r="B85" s="32" t="s">
        <v>3996</v>
      </c>
      <c r="C85" s="32" t="s">
        <v>1324</v>
      </c>
      <c r="D85" s="32" t="s">
        <v>1324</v>
      </c>
      <c r="E85" s="32" t="s">
        <v>1324</v>
      </c>
      <c r="F85" s="32" t="s">
        <v>1382</v>
      </c>
      <c r="G85" s="32" t="s">
        <v>1324</v>
      </c>
      <c r="H85" s="32" t="s">
        <v>1324</v>
      </c>
      <c r="I85" s="32" t="s">
        <v>1383</v>
      </c>
      <c r="J85" s="32" t="s">
        <v>1376</v>
      </c>
      <c r="K85" s="32" t="s">
        <v>1324</v>
      </c>
      <c r="L85" s="32" t="s">
        <v>1324</v>
      </c>
      <c r="M85" s="32" t="s">
        <v>2364</v>
      </c>
      <c r="N85" s="32" t="s">
        <v>38</v>
      </c>
      <c r="O85" s="32" t="s">
        <v>1324</v>
      </c>
      <c r="P85" s="32" t="s">
        <v>1324</v>
      </c>
      <c r="Q85" s="32" t="s">
        <v>1324</v>
      </c>
      <c r="R85" s="32" t="s">
        <v>1324</v>
      </c>
      <c r="S85" s="32" t="s">
        <v>1324</v>
      </c>
      <c r="T85" s="32" t="s">
        <v>3997</v>
      </c>
      <c r="U85" s="32" t="s">
        <v>3998</v>
      </c>
      <c r="V85" s="32" t="s">
        <v>1384</v>
      </c>
      <c r="W85" s="32" t="s">
        <v>3999</v>
      </c>
      <c r="X85" s="32" t="s">
        <v>4000</v>
      </c>
      <c r="Y85" s="32" t="s">
        <v>4001</v>
      </c>
      <c r="Z85" s="32" t="s">
        <v>4002</v>
      </c>
      <c r="AA85" s="32" t="s">
        <v>4003</v>
      </c>
      <c r="AB85" s="32" t="s">
        <v>1324</v>
      </c>
      <c r="AC85" s="32" t="s">
        <v>4004</v>
      </c>
      <c r="AD85" s="32" t="s">
        <v>4005</v>
      </c>
      <c r="AE85" s="32" t="s">
        <v>4006</v>
      </c>
      <c r="AF85" s="32" t="s">
        <v>1324</v>
      </c>
      <c r="AG85" s="32">
        <v>62.0</v>
      </c>
      <c r="AH85" s="32">
        <v>100.0</v>
      </c>
      <c r="AI85" s="32">
        <v>124.0</v>
      </c>
      <c r="AJ85" s="32">
        <v>1.0</v>
      </c>
      <c r="AK85" s="32">
        <v>181.0</v>
      </c>
      <c r="AL85" s="32" t="s">
        <v>3063</v>
      </c>
      <c r="AM85" s="32" t="s">
        <v>3064</v>
      </c>
      <c r="AN85" s="32" t="s">
        <v>3065</v>
      </c>
      <c r="AO85" s="32" t="s">
        <v>3066</v>
      </c>
      <c r="AP85" s="32" t="s">
        <v>1324</v>
      </c>
      <c r="AQ85" s="32" t="s">
        <v>1324</v>
      </c>
      <c r="AR85" s="32" t="s">
        <v>3067</v>
      </c>
      <c r="AS85" s="32" t="s">
        <v>3068</v>
      </c>
      <c r="AT85" s="32" t="s">
        <v>2515</v>
      </c>
      <c r="AU85" s="32">
        <v>2013.0</v>
      </c>
      <c r="AV85" s="32">
        <v>5.0</v>
      </c>
      <c r="AW85" s="32">
        <v>8.0</v>
      </c>
      <c r="AX85" s="32" t="s">
        <v>1324</v>
      </c>
      <c r="AY85" s="32" t="s">
        <v>1324</v>
      </c>
      <c r="AZ85" s="32" t="s">
        <v>1324</v>
      </c>
      <c r="BA85" s="32" t="s">
        <v>1324</v>
      </c>
      <c r="BB85" s="32">
        <v>4125.0</v>
      </c>
      <c r="BC85" s="32">
        <v>4144.0</v>
      </c>
      <c r="BD85" s="32" t="s">
        <v>1324</v>
      </c>
      <c r="BE85" s="32" t="s">
        <v>1385</v>
      </c>
      <c r="BF85" s="38" t="str">
        <f>HYPERLINK("http://dx.doi.org/10.3390/rs5084125","http://dx.doi.org/10.3390/rs5084125")</f>
        <v>http://dx.doi.org/10.3390/rs5084125</v>
      </c>
      <c r="BG85" s="32" t="s">
        <v>1324</v>
      </c>
      <c r="BH85" s="32" t="s">
        <v>1324</v>
      </c>
      <c r="BI85" s="32">
        <v>20.0</v>
      </c>
      <c r="BJ85" s="32" t="s">
        <v>3069</v>
      </c>
      <c r="BK85" s="32" t="s">
        <v>2407</v>
      </c>
      <c r="BL85" s="32" t="s">
        <v>3070</v>
      </c>
      <c r="BM85" s="32" t="s">
        <v>4007</v>
      </c>
      <c r="BN85" s="32" t="s">
        <v>1324</v>
      </c>
      <c r="BO85" s="32" t="s">
        <v>2410</v>
      </c>
      <c r="BP85" s="32" t="s">
        <v>1324</v>
      </c>
      <c r="BQ85" s="32" t="s">
        <v>1324</v>
      </c>
      <c r="BR85" s="32" t="s">
        <v>5268</v>
      </c>
      <c r="BS85" s="32" t="s">
        <v>4008</v>
      </c>
      <c r="BT85" s="32" t="str">
        <f>HYPERLINK("https%3A%2F%2Fwww.webofscience.com%2Fwos%2Fwoscc%2Ffull-record%2FWOS:000328626100023","View Full Record in Web of Science")</f>
        <v>View Full Record in Web of Science</v>
      </c>
    </row>
    <row r="86" ht="12.75" customHeight="1">
      <c r="A86" s="32" t="s">
        <v>26</v>
      </c>
      <c r="B86" s="32" t="s">
        <v>4009</v>
      </c>
      <c r="C86" s="32" t="s">
        <v>1324</v>
      </c>
      <c r="D86" s="32" t="s">
        <v>1324</v>
      </c>
      <c r="E86" s="32" t="s">
        <v>1324</v>
      </c>
      <c r="F86" s="32" t="s">
        <v>1563</v>
      </c>
      <c r="G86" s="32" t="s">
        <v>1324</v>
      </c>
      <c r="H86" s="32" t="s">
        <v>1324</v>
      </c>
      <c r="I86" s="32" t="s">
        <v>1564</v>
      </c>
      <c r="J86" s="32" t="s">
        <v>1558</v>
      </c>
      <c r="K86" s="32" t="s">
        <v>1324</v>
      </c>
      <c r="L86" s="32" t="s">
        <v>1324</v>
      </c>
      <c r="M86" s="32" t="s">
        <v>2364</v>
      </c>
      <c r="N86" s="32" t="s">
        <v>38</v>
      </c>
      <c r="O86" s="32" t="s">
        <v>1324</v>
      </c>
      <c r="P86" s="32" t="s">
        <v>1324</v>
      </c>
      <c r="Q86" s="32" t="s">
        <v>1324</v>
      </c>
      <c r="R86" s="32" t="s">
        <v>1324</v>
      </c>
      <c r="S86" s="32" t="s">
        <v>1324</v>
      </c>
      <c r="T86" s="32" t="s">
        <v>4010</v>
      </c>
      <c r="U86" s="32" t="s">
        <v>4011</v>
      </c>
      <c r="V86" s="32" t="s">
        <v>1565</v>
      </c>
      <c r="W86" s="32" t="s">
        <v>4012</v>
      </c>
      <c r="X86" s="32" t="s">
        <v>4013</v>
      </c>
      <c r="Y86" s="32" t="s">
        <v>4014</v>
      </c>
      <c r="Z86" s="32" t="s">
        <v>4015</v>
      </c>
      <c r="AA86" s="32" t="s">
        <v>5367</v>
      </c>
      <c r="AB86" s="32" t="s">
        <v>5368</v>
      </c>
      <c r="AC86" s="32" t="s">
        <v>4018</v>
      </c>
      <c r="AD86" s="32" t="s">
        <v>4019</v>
      </c>
      <c r="AE86" s="32" t="s">
        <v>4020</v>
      </c>
      <c r="AF86" s="32" t="s">
        <v>1324</v>
      </c>
      <c r="AG86" s="32">
        <v>47.0</v>
      </c>
      <c r="AH86" s="32">
        <v>52.0</v>
      </c>
      <c r="AI86" s="32">
        <v>56.0</v>
      </c>
      <c r="AJ86" s="32">
        <v>0.0</v>
      </c>
      <c r="AK86" s="32">
        <v>66.0</v>
      </c>
      <c r="AL86" s="32" t="s">
        <v>2464</v>
      </c>
      <c r="AM86" s="32" t="s">
        <v>2465</v>
      </c>
      <c r="AN86" s="32" t="s">
        <v>2466</v>
      </c>
      <c r="AO86" s="32" t="s">
        <v>3204</v>
      </c>
      <c r="AP86" s="32" t="s">
        <v>3205</v>
      </c>
      <c r="AQ86" s="32" t="s">
        <v>1324</v>
      </c>
      <c r="AR86" s="32" t="s">
        <v>3206</v>
      </c>
      <c r="AS86" s="32" t="s">
        <v>3207</v>
      </c>
      <c r="AT86" s="32" t="s">
        <v>2557</v>
      </c>
      <c r="AU86" s="32">
        <v>2013.0</v>
      </c>
      <c r="AV86" s="32">
        <v>40.0</v>
      </c>
      <c r="AW86" s="32">
        <v>7.0</v>
      </c>
      <c r="AX86" s="32" t="s">
        <v>1324</v>
      </c>
      <c r="AY86" s="32" t="s">
        <v>1324</v>
      </c>
      <c r="AZ86" s="32" t="s">
        <v>1324</v>
      </c>
      <c r="BA86" s="32" t="s">
        <v>1324</v>
      </c>
      <c r="BB86" s="32">
        <v>1252.0</v>
      </c>
      <c r="BC86" s="32">
        <v>1265.0</v>
      </c>
      <c r="BD86" s="32" t="s">
        <v>1324</v>
      </c>
      <c r="BE86" s="32" t="s">
        <v>1566</v>
      </c>
      <c r="BF86" s="38" t="str">
        <f>HYPERLINK("http://dx.doi.org/10.1111/jbi.12105","http://dx.doi.org/10.1111/jbi.12105")</f>
        <v>http://dx.doi.org/10.1111/jbi.12105</v>
      </c>
      <c r="BG86" s="32" t="s">
        <v>1324</v>
      </c>
      <c r="BH86" s="32" t="s">
        <v>1324</v>
      </c>
      <c r="BI86" s="32">
        <v>14.0</v>
      </c>
      <c r="BJ86" s="32" t="s">
        <v>1257</v>
      </c>
      <c r="BK86" s="32" t="s">
        <v>2407</v>
      </c>
      <c r="BL86" s="32" t="s">
        <v>2840</v>
      </c>
      <c r="BM86" s="32" t="s">
        <v>4021</v>
      </c>
      <c r="BN86" s="32" t="s">
        <v>1324</v>
      </c>
      <c r="BO86" s="32" t="s">
        <v>1324</v>
      </c>
      <c r="BP86" s="32" t="s">
        <v>1324</v>
      </c>
      <c r="BQ86" s="32" t="s">
        <v>1324</v>
      </c>
      <c r="BR86" s="32" t="s">
        <v>5268</v>
      </c>
      <c r="BS86" s="32" t="s">
        <v>4022</v>
      </c>
      <c r="BT86" s="32" t="str">
        <f>HYPERLINK("https%3A%2F%2Fwww.webofscience.com%2Fwos%2Fwoscc%2Ffull-record%2FWOS:000320175400005","View Full Record in Web of Science")</f>
        <v>View Full Record in Web of Science</v>
      </c>
    </row>
    <row r="87" ht="12.75" customHeight="1">
      <c r="A87" s="32" t="s">
        <v>26</v>
      </c>
      <c r="B87" s="32" t="s">
        <v>4023</v>
      </c>
      <c r="C87" s="32" t="s">
        <v>1324</v>
      </c>
      <c r="D87" s="32" t="s">
        <v>1324</v>
      </c>
      <c r="E87" s="32" t="s">
        <v>1324</v>
      </c>
      <c r="F87" s="32" t="s">
        <v>2254</v>
      </c>
      <c r="G87" s="32" t="s">
        <v>1324</v>
      </c>
      <c r="H87" s="32" t="s">
        <v>1324</v>
      </c>
      <c r="I87" s="32" t="s">
        <v>2255</v>
      </c>
      <c r="J87" s="32" t="s">
        <v>2244</v>
      </c>
      <c r="K87" s="32" t="s">
        <v>1324</v>
      </c>
      <c r="L87" s="32" t="s">
        <v>1324</v>
      </c>
      <c r="M87" s="32" t="s">
        <v>2364</v>
      </c>
      <c r="N87" s="32" t="s">
        <v>38</v>
      </c>
      <c r="O87" s="32" t="s">
        <v>1324</v>
      </c>
      <c r="P87" s="32" t="s">
        <v>1324</v>
      </c>
      <c r="Q87" s="32" t="s">
        <v>1324</v>
      </c>
      <c r="R87" s="32" t="s">
        <v>1324</v>
      </c>
      <c r="S87" s="32" t="s">
        <v>1324</v>
      </c>
      <c r="T87" s="32" t="s">
        <v>4024</v>
      </c>
      <c r="U87" s="32" t="s">
        <v>4025</v>
      </c>
      <c r="V87" s="32" t="s">
        <v>2256</v>
      </c>
      <c r="W87" s="32" t="s">
        <v>4026</v>
      </c>
      <c r="X87" s="32" t="s">
        <v>4027</v>
      </c>
      <c r="Y87" s="32" t="s">
        <v>4028</v>
      </c>
      <c r="Z87" s="32" t="s">
        <v>4029</v>
      </c>
      <c r="AA87" s="32" t="s">
        <v>5369</v>
      </c>
      <c r="AB87" s="32" t="s">
        <v>5370</v>
      </c>
      <c r="AC87" s="32" t="s">
        <v>4032</v>
      </c>
      <c r="AD87" s="32" t="s">
        <v>4032</v>
      </c>
      <c r="AE87" s="32" t="s">
        <v>4033</v>
      </c>
      <c r="AF87" s="32" t="s">
        <v>1324</v>
      </c>
      <c r="AG87" s="32">
        <v>56.0</v>
      </c>
      <c r="AH87" s="32">
        <v>65.0</v>
      </c>
      <c r="AI87" s="32">
        <v>76.0</v>
      </c>
      <c r="AJ87" s="32">
        <v>2.0</v>
      </c>
      <c r="AK87" s="32">
        <v>105.0</v>
      </c>
      <c r="AL87" s="32" t="s">
        <v>2464</v>
      </c>
      <c r="AM87" s="32" t="s">
        <v>2465</v>
      </c>
      <c r="AN87" s="32" t="s">
        <v>2466</v>
      </c>
      <c r="AO87" s="32" t="s">
        <v>2814</v>
      </c>
      <c r="AP87" s="32" t="s">
        <v>2815</v>
      </c>
      <c r="AQ87" s="32" t="s">
        <v>1324</v>
      </c>
      <c r="AR87" s="32" t="s">
        <v>2816</v>
      </c>
      <c r="AS87" s="32" t="s">
        <v>2817</v>
      </c>
      <c r="AT87" s="32" t="s">
        <v>2632</v>
      </c>
      <c r="AU87" s="32">
        <v>2013.0</v>
      </c>
      <c r="AV87" s="32">
        <v>23.0</v>
      </c>
      <c r="AW87" s="32">
        <v>3.0</v>
      </c>
      <c r="AX87" s="32" t="s">
        <v>1324</v>
      </c>
      <c r="AY87" s="32" t="s">
        <v>1324</v>
      </c>
      <c r="AZ87" s="32" t="s">
        <v>1324</v>
      </c>
      <c r="BA87" s="32" t="s">
        <v>1324</v>
      </c>
      <c r="BB87" s="32">
        <v>405.0</v>
      </c>
      <c r="BC87" s="32">
        <v>417.0</v>
      </c>
      <c r="BD87" s="32" t="s">
        <v>1324</v>
      </c>
      <c r="BE87" s="32" t="s">
        <v>2257</v>
      </c>
      <c r="BF87" s="38" t="str">
        <f>HYPERLINK("http://dx.doi.org/10.1002/aqc.2345","http://dx.doi.org/10.1002/aqc.2345")</f>
        <v>http://dx.doi.org/10.1002/aqc.2345</v>
      </c>
      <c r="BG87" s="32" t="s">
        <v>1324</v>
      </c>
      <c r="BH87" s="32" t="s">
        <v>1324</v>
      </c>
      <c r="BI87" s="32">
        <v>13.0</v>
      </c>
      <c r="BJ87" s="32" t="s">
        <v>2819</v>
      </c>
      <c r="BK87" s="32" t="s">
        <v>2407</v>
      </c>
      <c r="BL87" s="32" t="s">
        <v>2820</v>
      </c>
      <c r="BM87" s="32" t="s">
        <v>4034</v>
      </c>
      <c r="BN87" s="32" t="s">
        <v>1324</v>
      </c>
      <c r="BO87" s="32" t="s">
        <v>1324</v>
      </c>
      <c r="BP87" s="32" t="s">
        <v>1324</v>
      </c>
      <c r="BQ87" s="32" t="s">
        <v>1324</v>
      </c>
      <c r="BR87" s="32" t="s">
        <v>5268</v>
      </c>
      <c r="BS87" s="32" t="s">
        <v>4035</v>
      </c>
      <c r="BT87" s="32" t="str">
        <f>HYPERLINK("https%3A%2F%2Fwww.webofscience.com%2Fwos%2Fwoscc%2Ffull-record%2FWOS:000319873700007","View Full Record in Web of Science")</f>
        <v>View Full Record in Web of Science</v>
      </c>
    </row>
    <row r="88" ht="12.75" customHeight="1">
      <c r="A88" s="32" t="s">
        <v>26</v>
      </c>
      <c r="B88" s="32" t="s">
        <v>4036</v>
      </c>
      <c r="C88" s="32" t="s">
        <v>1324</v>
      </c>
      <c r="D88" s="32" t="s">
        <v>1324</v>
      </c>
      <c r="E88" s="32" t="s">
        <v>1324</v>
      </c>
      <c r="F88" s="32" t="s">
        <v>1581</v>
      </c>
      <c r="G88" s="32" t="s">
        <v>1324</v>
      </c>
      <c r="H88" s="32" t="s">
        <v>1324</v>
      </c>
      <c r="I88" s="32" t="s">
        <v>1582</v>
      </c>
      <c r="J88" s="32" t="s">
        <v>1575</v>
      </c>
      <c r="K88" s="32" t="s">
        <v>1324</v>
      </c>
      <c r="L88" s="32" t="s">
        <v>1324</v>
      </c>
      <c r="M88" s="32" t="s">
        <v>2364</v>
      </c>
      <c r="N88" s="32" t="s">
        <v>38</v>
      </c>
      <c r="O88" s="32" t="s">
        <v>1324</v>
      </c>
      <c r="P88" s="32" t="s">
        <v>1324</v>
      </c>
      <c r="Q88" s="32" t="s">
        <v>1324</v>
      </c>
      <c r="R88" s="32" t="s">
        <v>1324</v>
      </c>
      <c r="S88" s="32" t="s">
        <v>1324</v>
      </c>
      <c r="T88" s="32" t="s">
        <v>1324</v>
      </c>
      <c r="U88" s="32" t="s">
        <v>4037</v>
      </c>
      <c r="V88" s="32" t="s">
        <v>1583</v>
      </c>
      <c r="W88" s="32" t="s">
        <v>4038</v>
      </c>
      <c r="X88" s="32" t="s">
        <v>5371</v>
      </c>
      <c r="Y88" s="32" t="s">
        <v>4040</v>
      </c>
      <c r="Z88" s="32" t="s">
        <v>4041</v>
      </c>
      <c r="AA88" s="32" t="s">
        <v>5372</v>
      </c>
      <c r="AB88" s="32" t="s">
        <v>5373</v>
      </c>
      <c r="AC88" s="32" t="s">
        <v>4044</v>
      </c>
      <c r="AD88" s="32" t="s">
        <v>4045</v>
      </c>
      <c r="AE88" s="32" t="s">
        <v>4046</v>
      </c>
      <c r="AF88" s="32" t="s">
        <v>1324</v>
      </c>
      <c r="AG88" s="32">
        <v>67.0</v>
      </c>
      <c r="AH88" s="32">
        <v>16.0</v>
      </c>
      <c r="AI88" s="32">
        <v>17.0</v>
      </c>
      <c r="AJ88" s="32">
        <v>2.0</v>
      </c>
      <c r="AK88" s="32">
        <v>107.0</v>
      </c>
      <c r="AL88" s="32" t="s">
        <v>2464</v>
      </c>
      <c r="AM88" s="32" t="s">
        <v>2465</v>
      </c>
      <c r="AN88" s="32" t="s">
        <v>2466</v>
      </c>
      <c r="AO88" s="32" t="s">
        <v>4047</v>
      </c>
      <c r="AP88" s="32" t="s">
        <v>4048</v>
      </c>
      <c r="AQ88" s="32" t="s">
        <v>1324</v>
      </c>
      <c r="AR88" s="32" t="s">
        <v>1575</v>
      </c>
      <c r="AS88" s="32" t="s">
        <v>4049</v>
      </c>
      <c r="AT88" s="32" t="s">
        <v>2632</v>
      </c>
      <c r="AU88" s="32">
        <v>2013.0</v>
      </c>
      <c r="AV88" s="32">
        <v>122.0</v>
      </c>
      <c r="AW88" s="32">
        <v>6.0</v>
      </c>
      <c r="AX88" s="32" t="s">
        <v>1324</v>
      </c>
      <c r="AY88" s="32" t="s">
        <v>1324</v>
      </c>
      <c r="AZ88" s="32" t="s">
        <v>1324</v>
      </c>
      <c r="BA88" s="32" t="s">
        <v>1324</v>
      </c>
      <c r="BB88" s="32">
        <v>835.0</v>
      </c>
      <c r="BC88" s="32">
        <v>844.0</v>
      </c>
      <c r="BD88" s="32" t="s">
        <v>1324</v>
      </c>
      <c r="BE88" s="32" t="s">
        <v>1584</v>
      </c>
      <c r="BF88" s="38" t="str">
        <f>HYPERLINK("http://dx.doi.org/10.1111/j.1600-0706.2012.19858.x","http://dx.doi.org/10.1111/j.1600-0706.2012.19858.x")</f>
        <v>http://dx.doi.org/10.1111/j.1600-0706.2012.19858.x</v>
      </c>
      <c r="BG88" s="32" t="s">
        <v>1324</v>
      </c>
      <c r="BH88" s="32" t="s">
        <v>1324</v>
      </c>
      <c r="BI88" s="32">
        <v>10.0</v>
      </c>
      <c r="BJ88" s="32" t="s">
        <v>817</v>
      </c>
      <c r="BK88" s="32" t="s">
        <v>2407</v>
      </c>
      <c r="BL88" s="32" t="s">
        <v>2472</v>
      </c>
      <c r="BM88" s="32" t="s">
        <v>4050</v>
      </c>
      <c r="BN88" s="32" t="s">
        <v>1324</v>
      </c>
      <c r="BO88" s="32" t="s">
        <v>1324</v>
      </c>
      <c r="BP88" s="32" t="s">
        <v>1324</v>
      </c>
      <c r="BQ88" s="32" t="s">
        <v>1324</v>
      </c>
      <c r="BR88" s="32" t="s">
        <v>5268</v>
      </c>
      <c r="BS88" s="32" t="s">
        <v>4051</v>
      </c>
      <c r="BT88" s="32" t="str">
        <f>HYPERLINK("https%3A%2F%2Fwww.webofscience.com%2Fwos%2Fwoscc%2Ffull-record%2FWOS:000319408300004","View Full Record in Web of Science")</f>
        <v>View Full Record in Web of Science</v>
      </c>
    </row>
    <row r="89" ht="12.75" customHeight="1">
      <c r="A89" s="32" t="s">
        <v>26</v>
      </c>
      <c r="B89" s="32" t="s">
        <v>3451</v>
      </c>
      <c r="C89" s="32" t="s">
        <v>1324</v>
      </c>
      <c r="D89" s="32" t="s">
        <v>1324</v>
      </c>
      <c r="E89" s="32" t="s">
        <v>1324</v>
      </c>
      <c r="F89" s="32" t="s">
        <v>2232</v>
      </c>
      <c r="G89" s="32" t="s">
        <v>1324</v>
      </c>
      <c r="H89" s="32" t="s">
        <v>1324</v>
      </c>
      <c r="I89" s="32" t="s">
        <v>2234</v>
      </c>
      <c r="J89" s="32" t="s">
        <v>2233</v>
      </c>
      <c r="K89" s="32" t="s">
        <v>1324</v>
      </c>
      <c r="L89" s="32" t="s">
        <v>1324</v>
      </c>
      <c r="M89" s="32" t="s">
        <v>2364</v>
      </c>
      <c r="N89" s="32" t="s">
        <v>30</v>
      </c>
      <c r="O89" s="32" t="s">
        <v>1324</v>
      </c>
      <c r="P89" s="32" t="s">
        <v>1324</v>
      </c>
      <c r="Q89" s="32" t="s">
        <v>1324</v>
      </c>
      <c r="R89" s="32" t="s">
        <v>1324</v>
      </c>
      <c r="S89" s="32" t="s">
        <v>1324</v>
      </c>
      <c r="T89" s="32" t="s">
        <v>1324</v>
      </c>
      <c r="U89" s="32" t="s">
        <v>3455</v>
      </c>
      <c r="V89" s="32" t="s">
        <v>2235</v>
      </c>
      <c r="W89" s="32" t="s">
        <v>4052</v>
      </c>
      <c r="X89" s="32" t="s">
        <v>3457</v>
      </c>
      <c r="Y89" s="32" t="s">
        <v>4053</v>
      </c>
      <c r="Z89" s="32" t="s">
        <v>3459</v>
      </c>
      <c r="AA89" s="32" t="s">
        <v>3460</v>
      </c>
      <c r="AB89" s="32" t="s">
        <v>5374</v>
      </c>
      <c r="AC89" s="32" t="s">
        <v>1324</v>
      </c>
      <c r="AD89" s="32" t="s">
        <v>1324</v>
      </c>
      <c r="AE89" s="32" t="s">
        <v>1324</v>
      </c>
      <c r="AF89" s="32" t="s">
        <v>1324</v>
      </c>
      <c r="AG89" s="32">
        <v>155.0</v>
      </c>
      <c r="AH89" s="32">
        <v>56.0</v>
      </c>
      <c r="AI89" s="32">
        <v>64.0</v>
      </c>
      <c r="AJ89" s="32">
        <v>0.0</v>
      </c>
      <c r="AK89" s="32">
        <v>57.0</v>
      </c>
      <c r="AL89" s="32" t="s">
        <v>4056</v>
      </c>
      <c r="AM89" s="32" t="s">
        <v>2424</v>
      </c>
      <c r="AN89" s="32" t="s">
        <v>4057</v>
      </c>
      <c r="AO89" s="32" t="s">
        <v>4058</v>
      </c>
      <c r="AP89" s="32" t="s">
        <v>4059</v>
      </c>
      <c r="AQ89" s="32" t="s">
        <v>1324</v>
      </c>
      <c r="AR89" s="32" t="s">
        <v>4060</v>
      </c>
      <c r="AS89" s="32" t="s">
        <v>4061</v>
      </c>
      <c r="AT89" s="32" t="s">
        <v>4062</v>
      </c>
      <c r="AU89" s="32">
        <v>2013.0</v>
      </c>
      <c r="AV89" s="32">
        <v>2.0</v>
      </c>
      <c r="AW89" s="32">
        <v>3.0</v>
      </c>
      <c r="AX89" s="32" t="s">
        <v>1324</v>
      </c>
      <c r="AY89" s="32" t="s">
        <v>1324</v>
      </c>
      <c r="AZ89" s="32" t="s">
        <v>1324</v>
      </c>
      <c r="BA89" s="32" t="s">
        <v>1324</v>
      </c>
      <c r="BB89" s="32">
        <v>282.0</v>
      </c>
      <c r="BC89" s="32">
        <v>303.0</v>
      </c>
      <c r="BD89" s="32" t="s">
        <v>1324</v>
      </c>
      <c r="BE89" s="32" t="s">
        <v>2236</v>
      </c>
      <c r="BF89" s="38" t="str">
        <f>HYPERLINK("http://dx.doi.org/10.1002/wene.41","http://dx.doi.org/10.1002/wene.41")</f>
        <v>http://dx.doi.org/10.1002/wene.41</v>
      </c>
      <c r="BG89" s="32" t="s">
        <v>1324</v>
      </c>
      <c r="BH89" s="32" t="s">
        <v>1324</v>
      </c>
      <c r="BI89" s="32">
        <v>22.0</v>
      </c>
      <c r="BJ89" s="32" t="s">
        <v>4063</v>
      </c>
      <c r="BK89" s="32" t="s">
        <v>2878</v>
      </c>
      <c r="BL89" s="32" t="s">
        <v>4063</v>
      </c>
      <c r="BM89" s="32" t="s">
        <v>4064</v>
      </c>
      <c r="BN89" s="32" t="s">
        <v>1324</v>
      </c>
      <c r="BO89" s="32" t="s">
        <v>1324</v>
      </c>
      <c r="BP89" s="32" t="s">
        <v>1324</v>
      </c>
      <c r="BQ89" s="32" t="s">
        <v>1324</v>
      </c>
      <c r="BR89" s="32" t="s">
        <v>5268</v>
      </c>
      <c r="BS89" s="32" t="s">
        <v>4065</v>
      </c>
      <c r="BT89" s="32" t="str">
        <f>HYPERLINK("https%3A%2F%2Fwww.webofscience.com%2Fwos%2Fwoscc%2Ffull-record%2FWOS:000343208300003","View Full Record in Web of Science")</f>
        <v>View Full Record in Web of Science</v>
      </c>
    </row>
    <row r="90" ht="12.75" customHeight="1">
      <c r="A90" s="32" t="s">
        <v>26</v>
      </c>
      <c r="B90" s="32" t="s">
        <v>4066</v>
      </c>
      <c r="C90" s="32" t="s">
        <v>1324</v>
      </c>
      <c r="D90" s="32" t="s">
        <v>1324</v>
      </c>
      <c r="E90" s="32" t="s">
        <v>1324</v>
      </c>
      <c r="F90" s="32" t="s">
        <v>1574</v>
      </c>
      <c r="G90" s="32" t="s">
        <v>1324</v>
      </c>
      <c r="H90" s="32" t="s">
        <v>1324</v>
      </c>
      <c r="I90" s="32" t="s">
        <v>1576</v>
      </c>
      <c r="J90" s="32" t="s">
        <v>1575</v>
      </c>
      <c r="K90" s="32" t="s">
        <v>1324</v>
      </c>
      <c r="L90" s="32" t="s">
        <v>1324</v>
      </c>
      <c r="M90" s="32" t="s">
        <v>2364</v>
      </c>
      <c r="N90" s="32" t="s">
        <v>38</v>
      </c>
      <c r="O90" s="32" t="s">
        <v>1324</v>
      </c>
      <c r="P90" s="32" t="s">
        <v>1324</v>
      </c>
      <c r="Q90" s="32" t="s">
        <v>1324</v>
      </c>
      <c r="R90" s="32" t="s">
        <v>1324</v>
      </c>
      <c r="S90" s="32" t="s">
        <v>1324</v>
      </c>
      <c r="T90" s="32" t="s">
        <v>1324</v>
      </c>
      <c r="U90" s="32" t="s">
        <v>4067</v>
      </c>
      <c r="V90" s="32" t="s">
        <v>1577</v>
      </c>
      <c r="W90" s="32" t="s">
        <v>4068</v>
      </c>
      <c r="X90" s="32" t="s">
        <v>4069</v>
      </c>
      <c r="Y90" s="32" t="s">
        <v>4070</v>
      </c>
      <c r="Z90" s="32" t="s">
        <v>4071</v>
      </c>
      <c r="AA90" s="32" t="s">
        <v>1324</v>
      </c>
      <c r="AB90" s="32" t="s">
        <v>4072</v>
      </c>
      <c r="AC90" s="32" t="s">
        <v>4073</v>
      </c>
      <c r="AD90" s="32" t="s">
        <v>4074</v>
      </c>
      <c r="AE90" s="32" t="s">
        <v>4075</v>
      </c>
      <c r="AF90" s="32" t="s">
        <v>1324</v>
      </c>
      <c r="AG90" s="32">
        <v>65.0</v>
      </c>
      <c r="AH90" s="32">
        <v>21.0</v>
      </c>
      <c r="AI90" s="32">
        <v>29.0</v>
      </c>
      <c r="AJ90" s="32">
        <v>1.0</v>
      </c>
      <c r="AK90" s="32">
        <v>87.0</v>
      </c>
      <c r="AL90" s="32" t="s">
        <v>2464</v>
      </c>
      <c r="AM90" s="32" t="s">
        <v>2465</v>
      </c>
      <c r="AN90" s="32" t="s">
        <v>2466</v>
      </c>
      <c r="AO90" s="32" t="s">
        <v>4047</v>
      </c>
      <c r="AP90" s="32" t="s">
        <v>4048</v>
      </c>
      <c r="AQ90" s="32" t="s">
        <v>1324</v>
      </c>
      <c r="AR90" s="32" t="s">
        <v>1575</v>
      </c>
      <c r="AS90" s="32" t="s">
        <v>4049</v>
      </c>
      <c r="AT90" s="32" t="s">
        <v>2651</v>
      </c>
      <c r="AU90" s="32">
        <v>2013.0</v>
      </c>
      <c r="AV90" s="32">
        <v>122.0</v>
      </c>
      <c r="AW90" s="32">
        <v>5.0</v>
      </c>
      <c r="AX90" s="32" t="s">
        <v>1324</v>
      </c>
      <c r="AY90" s="32" t="s">
        <v>1324</v>
      </c>
      <c r="AZ90" s="32" t="s">
        <v>1324</v>
      </c>
      <c r="BA90" s="32" t="s">
        <v>1324</v>
      </c>
      <c r="BB90" s="32">
        <v>790.0</v>
      </c>
      <c r="BC90" s="32">
        <v>800.0</v>
      </c>
      <c r="BD90" s="32" t="s">
        <v>1324</v>
      </c>
      <c r="BE90" s="32" t="s">
        <v>1578</v>
      </c>
      <c r="BF90" s="38" t="str">
        <f>HYPERLINK("http://dx.doi.org/10.1111/j.1600-0706.2012.20696.x","http://dx.doi.org/10.1111/j.1600-0706.2012.20696.x")</f>
        <v>http://dx.doi.org/10.1111/j.1600-0706.2012.20696.x</v>
      </c>
      <c r="BG90" s="32" t="s">
        <v>1324</v>
      </c>
      <c r="BH90" s="32" t="s">
        <v>1324</v>
      </c>
      <c r="BI90" s="32">
        <v>11.0</v>
      </c>
      <c r="BJ90" s="32" t="s">
        <v>817</v>
      </c>
      <c r="BK90" s="32" t="s">
        <v>2407</v>
      </c>
      <c r="BL90" s="32" t="s">
        <v>2472</v>
      </c>
      <c r="BM90" s="32" t="s">
        <v>4076</v>
      </c>
      <c r="BN90" s="32" t="s">
        <v>1324</v>
      </c>
      <c r="BO90" s="32" t="s">
        <v>1324</v>
      </c>
      <c r="BP90" s="32" t="s">
        <v>1324</v>
      </c>
      <c r="BQ90" s="32" t="s">
        <v>1324</v>
      </c>
      <c r="BR90" s="32" t="s">
        <v>5268</v>
      </c>
      <c r="BS90" s="32" t="s">
        <v>4077</v>
      </c>
      <c r="BT90" s="32" t="str">
        <f>HYPERLINK("https%3A%2F%2Fwww.webofscience.com%2Fwos%2Fwoscc%2Ffull-record%2FWOS:000317981400015","View Full Record in Web of Science")</f>
        <v>View Full Record in Web of Science</v>
      </c>
    </row>
    <row r="91" ht="12.75" customHeight="1">
      <c r="A91" s="32" t="s">
        <v>26</v>
      </c>
      <c r="B91" s="32" t="s">
        <v>4078</v>
      </c>
      <c r="C91" s="32" t="s">
        <v>1324</v>
      </c>
      <c r="D91" s="32" t="s">
        <v>1324</v>
      </c>
      <c r="E91" s="32" t="s">
        <v>1324</v>
      </c>
      <c r="F91" s="32" t="s">
        <v>1757</v>
      </c>
      <c r="G91" s="32" t="s">
        <v>1324</v>
      </c>
      <c r="H91" s="32" t="s">
        <v>1324</v>
      </c>
      <c r="I91" s="32" t="s">
        <v>1758</v>
      </c>
      <c r="J91" s="32" t="s">
        <v>318</v>
      </c>
      <c r="K91" s="32" t="s">
        <v>1324</v>
      </c>
      <c r="L91" s="32" t="s">
        <v>1324</v>
      </c>
      <c r="M91" s="32" t="s">
        <v>2364</v>
      </c>
      <c r="N91" s="32" t="s">
        <v>38</v>
      </c>
      <c r="O91" s="32" t="s">
        <v>1324</v>
      </c>
      <c r="P91" s="32" t="s">
        <v>1324</v>
      </c>
      <c r="Q91" s="32" t="s">
        <v>1324</v>
      </c>
      <c r="R91" s="32" t="s">
        <v>1324</v>
      </c>
      <c r="S91" s="32" t="s">
        <v>1324</v>
      </c>
      <c r="T91" s="32" t="s">
        <v>4079</v>
      </c>
      <c r="U91" s="32" t="s">
        <v>4080</v>
      </c>
      <c r="V91" s="32" t="s">
        <v>1759</v>
      </c>
      <c r="W91" s="32" t="s">
        <v>4081</v>
      </c>
      <c r="X91" s="32" t="s">
        <v>4082</v>
      </c>
      <c r="Y91" s="32" t="s">
        <v>4083</v>
      </c>
      <c r="Z91" s="32" t="s">
        <v>4084</v>
      </c>
      <c r="AA91" s="32" t="s">
        <v>5375</v>
      </c>
      <c r="AB91" s="32" t="s">
        <v>5376</v>
      </c>
      <c r="AC91" s="32" t="s">
        <v>1324</v>
      </c>
      <c r="AD91" s="32" t="s">
        <v>1324</v>
      </c>
      <c r="AE91" s="32" t="s">
        <v>1324</v>
      </c>
      <c r="AF91" s="32" t="s">
        <v>1324</v>
      </c>
      <c r="AG91" s="32">
        <v>56.0</v>
      </c>
      <c r="AH91" s="32">
        <v>47.0</v>
      </c>
      <c r="AI91" s="32">
        <v>58.0</v>
      </c>
      <c r="AJ91" s="32">
        <v>0.0</v>
      </c>
      <c r="AK91" s="32">
        <v>11.0</v>
      </c>
      <c r="AL91" s="32" t="s">
        <v>2590</v>
      </c>
      <c r="AM91" s="32" t="s">
        <v>2591</v>
      </c>
      <c r="AN91" s="32" t="s">
        <v>2592</v>
      </c>
      <c r="AO91" s="32" t="s">
        <v>2593</v>
      </c>
      <c r="AP91" s="32" t="s">
        <v>1324</v>
      </c>
      <c r="AQ91" s="32" t="s">
        <v>1324</v>
      </c>
      <c r="AR91" s="32" t="s">
        <v>2594</v>
      </c>
      <c r="AS91" s="32" t="s">
        <v>2595</v>
      </c>
      <c r="AT91" s="32" t="s">
        <v>4087</v>
      </c>
      <c r="AU91" s="32">
        <v>2013.0</v>
      </c>
      <c r="AV91" s="32">
        <v>8.0</v>
      </c>
      <c r="AW91" s="32">
        <v>2.0</v>
      </c>
      <c r="AX91" s="32" t="s">
        <v>1324</v>
      </c>
      <c r="AY91" s="32" t="s">
        <v>1324</v>
      </c>
      <c r="AZ91" s="32" t="s">
        <v>1324</v>
      </c>
      <c r="BA91" s="32" t="s">
        <v>1324</v>
      </c>
      <c r="BB91" s="32" t="s">
        <v>1324</v>
      </c>
      <c r="BC91" s="32" t="s">
        <v>1324</v>
      </c>
      <c r="BD91" s="32">
        <v>24034.0</v>
      </c>
      <c r="BE91" s="32" t="s">
        <v>1760</v>
      </c>
      <c r="BF91" s="38" t="str">
        <f>HYPERLINK("http://dx.doi.org/10.1088/1748-9326/8/2/024034","http://dx.doi.org/10.1088/1748-9326/8/2/024034")</f>
        <v>http://dx.doi.org/10.1088/1748-9326/8/2/024034</v>
      </c>
      <c r="BG91" s="32" t="s">
        <v>1324</v>
      </c>
      <c r="BH91" s="32" t="s">
        <v>1324</v>
      </c>
      <c r="BI91" s="32">
        <v>13.0</v>
      </c>
      <c r="BJ91" s="32" t="s">
        <v>322</v>
      </c>
      <c r="BK91" s="32" t="s">
        <v>2407</v>
      </c>
      <c r="BL91" s="32" t="s">
        <v>2596</v>
      </c>
      <c r="BM91" s="32" t="s">
        <v>4088</v>
      </c>
      <c r="BN91" s="32" t="s">
        <v>1324</v>
      </c>
      <c r="BO91" s="32" t="s">
        <v>2598</v>
      </c>
      <c r="BP91" s="32" t="s">
        <v>1324</v>
      </c>
      <c r="BQ91" s="32" t="s">
        <v>1324</v>
      </c>
      <c r="BR91" s="32" t="s">
        <v>5268</v>
      </c>
      <c r="BS91" s="32" t="s">
        <v>4089</v>
      </c>
      <c r="BT91" s="32" t="str">
        <f>HYPERLINK("https%3A%2F%2Fwww.webofscience.com%2Fwos%2Fwoscc%2Ffull-record%2FWOS:000321425100038","View Full Record in Web of Science")</f>
        <v>View Full Record in Web of Science</v>
      </c>
    </row>
    <row r="92" ht="12.75" customHeight="1">
      <c r="A92" s="32" t="s">
        <v>26</v>
      </c>
      <c r="B92" s="32" t="s">
        <v>4090</v>
      </c>
      <c r="C92" s="32" t="s">
        <v>1324</v>
      </c>
      <c r="D92" s="32" t="s">
        <v>1324</v>
      </c>
      <c r="E92" s="32" t="s">
        <v>1324</v>
      </c>
      <c r="F92" s="32" t="s">
        <v>2188</v>
      </c>
      <c r="G92" s="32" t="s">
        <v>1324</v>
      </c>
      <c r="H92" s="32" t="s">
        <v>1324</v>
      </c>
      <c r="I92" s="32" t="s">
        <v>2190</v>
      </c>
      <c r="J92" s="32" t="s">
        <v>2189</v>
      </c>
      <c r="K92" s="32" t="s">
        <v>1324</v>
      </c>
      <c r="L92" s="32" t="s">
        <v>1324</v>
      </c>
      <c r="M92" s="32" t="s">
        <v>2364</v>
      </c>
      <c r="N92" s="32" t="s">
        <v>38</v>
      </c>
      <c r="O92" s="32" t="s">
        <v>1324</v>
      </c>
      <c r="P92" s="32" t="s">
        <v>1324</v>
      </c>
      <c r="Q92" s="32" t="s">
        <v>1324</v>
      </c>
      <c r="R92" s="32" t="s">
        <v>1324</v>
      </c>
      <c r="S92" s="32" t="s">
        <v>1324</v>
      </c>
      <c r="T92" s="32" t="s">
        <v>4091</v>
      </c>
      <c r="U92" s="32" t="s">
        <v>4092</v>
      </c>
      <c r="V92" s="32" t="s">
        <v>2191</v>
      </c>
      <c r="W92" s="32" t="s">
        <v>4093</v>
      </c>
      <c r="X92" s="32" t="s">
        <v>4094</v>
      </c>
      <c r="Y92" s="32" t="s">
        <v>4095</v>
      </c>
      <c r="Z92" s="32" t="s">
        <v>4096</v>
      </c>
      <c r="AA92" s="32" t="s">
        <v>5095</v>
      </c>
      <c r="AB92" s="32" t="s">
        <v>1324</v>
      </c>
      <c r="AC92" s="32" t="s">
        <v>4098</v>
      </c>
      <c r="AD92" s="32" t="s">
        <v>4099</v>
      </c>
      <c r="AE92" s="32" t="s">
        <v>4100</v>
      </c>
      <c r="AF92" s="32" t="s">
        <v>1324</v>
      </c>
      <c r="AG92" s="32">
        <v>48.0</v>
      </c>
      <c r="AH92" s="32">
        <v>9.0</v>
      </c>
      <c r="AI92" s="32">
        <v>15.0</v>
      </c>
      <c r="AJ92" s="32">
        <v>0.0</v>
      </c>
      <c r="AK92" s="32">
        <v>160.0</v>
      </c>
      <c r="AL92" s="32" t="s">
        <v>3250</v>
      </c>
      <c r="AM92" s="32" t="s">
        <v>3872</v>
      </c>
      <c r="AN92" s="32" t="s">
        <v>3873</v>
      </c>
      <c r="AO92" s="32" t="s">
        <v>4101</v>
      </c>
      <c r="AP92" s="32" t="s">
        <v>4102</v>
      </c>
      <c r="AQ92" s="32" t="s">
        <v>1324</v>
      </c>
      <c r="AR92" s="32" t="s">
        <v>4103</v>
      </c>
      <c r="AS92" s="32" t="s">
        <v>4104</v>
      </c>
      <c r="AT92" s="32" t="s">
        <v>3168</v>
      </c>
      <c r="AU92" s="32">
        <v>2013.0</v>
      </c>
      <c r="AV92" s="32">
        <v>7.0</v>
      </c>
      <c r="AW92" s="32">
        <v>1.0</v>
      </c>
      <c r="AX92" s="32" t="s">
        <v>1324</v>
      </c>
      <c r="AY92" s="32" t="s">
        <v>1324</v>
      </c>
      <c r="AZ92" s="32" t="s">
        <v>1324</v>
      </c>
      <c r="BA92" s="32" t="s">
        <v>1324</v>
      </c>
      <c r="BB92" s="32">
        <v>92.0</v>
      </c>
      <c r="BC92" s="32">
        <v>102.0</v>
      </c>
      <c r="BD92" s="32" t="s">
        <v>1324</v>
      </c>
      <c r="BE92" s="32" t="s">
        <v>2192</v>
      </c>
      <c r="BF92" s="38" t="str">
        <f>HYPERLINK("http://dx.doi.org/10.1007/s11707-012-0335-x","http://dx.doi.org/10.1007/s11707-012-0335-x")</f>
        <v>http://dx.doi.org/10.1007/s11707-012-0335-x</v>
      </c>
      <c r="BG92" s="32" t="s">
        <v>1324</v>
      </c>
      <c r="BH92" s="32" t="s">
        <v>1324</v>
      </c>
      <c r="BI92" s="32">
        <v>11.0</v>
      </c>
      <c r="BJ92" s="32" t="s">
        <v>59</v>
      </c>
      <c r="BK92" s="32" t="s">
        <v>2407</v>
      </c>
      <c r="BL92" s="32" t="s">
        <v>4105</v>
      </c>
      <c r="BM92" s="32" t="s">
        <v>4106</v>
      </c>
      <c r="BN92" s="32" t="s">
        <v>1324</v>
      </c>
      <c r="BO92" s="32" t="s">
        <v>1324</v>
      </c>
      <c r="BP92" s="32" t="s">
        <v>1324</v>
      </c>
      <c r="BQ92" s="32" t="s">
        <v>1324</v>
      </c>
      <c r="BR92" s="32" t="s">
        <v>5268</v>
      </c>
      <c r="BS92" s="32" t="s">
        <v>4107</v>
      </c>
      <c r="BT92" s="32" t="str">
        <f>HYPERLINK("https%3A%2F%2Fwww.webofscience.com%2Fwos%2Fwoscc%2Ffull-record%2FWOS:000314279400009","View Full Record in Web of Science")</f>
        <v>View Full Record in Web of Science</v>
      </c>
    </row>
    <row r="93" ht="12.75" customHeight="1">
      <c r="A93" s="32" t="s">
        <v>26</v>
      </c>
      <c r="B93" s="32" t="s">
        <v>4136</v>
      </c>
      <c r="C93" s="32" t="s">
        <v>1324</v>
      </c>
      <c r="D93" s="32" t="s">
        <v>1324</v>
      </c>
      <c r="E93" s="32" t="s">
        <v>1324</v>
      </c>
      <c r="F93" s="32" t="s">
        <v>2136</v>
      </c>
      <c r="G93" s="32" t="s">
        <v>1324</v>
      </c>
      <c r="H93" s="32" t="s">
        <v>1324</v>
      </c>
      <c r="I93" s="32" t="s">
        <v>2137</v>
      </c>
      <c r="J93" s="32" t="s">
        <v>2131</v>
      </c>
      <c r="K93" s="32" t="s">
        <v>1324</v>
      </c>
      <c r="L93" s="32" t="s">
        <v>1324</v>
      </c>
      <c r="M93" s="32" t="s">
        <v>2364</v>
      </c>
      <c r="N93" s="32" t="s">
        <v>38</v>
      </c>
      <c r="O93" s="32" t="s">
        <v>1324</v>
      </c>
      <c r="P93" s="32" t="s">
        <v>1324</v>
      </c>
      <c r="Q93" s="32" t="s">
        <v>1324</v>
      </c>
      <c r="R93" s="32" t="s">
        <v>1324</v>
      </c>
      <c r="S93" s="32" t="s">
        <v>1324</v>
      </c>
      <c r="T93" s="32" t="s">
        <v>4137</v>
      </c>
      <c r="U93" s="32" t="s">
        <v>4138</v>
      </c>
      <c r="V93" s="32" t="s">
        <v>2138</v>
      </c>
      <c r="W93" s="32" t="s">
        <v>4139</v>
      </c>
      <c r="X93" s="32" t="s">
        <v>4140</v>
      </c>
      <c r="Y93" s="32" t="s">
        <v>4141</v>
      </c>
      <c r="Z93" s="32" t="s">
        <v>4142</v>
      </c>
      <c r="AA93" s="32" t="s">
        <v>4143</v>
      </c>
      <c r="AB93" s="32" t="s">
        <v>4144</v>
      </c>
      <c r="AC93" s="32" t="s">
        <v>1324</v>
      </c>
      <c r="AD93" s="32" t="s">
        <v>1324</v>
      </c>
      <c r="AE93" s="32" t="s">
        <v>1324</v>
      </c>
      <c r="AF93" s="32" t="s">
        <v>1324</v>
      </c>
      <c r="AG93" s="32">
        <v>42.0</v>
      </c>
      <c r="AH93" s="32">
        <v>65.0</v>
      </c>
      <c r="AI93" s="32">
        <v>80.0</v>
      </c>
      <c r="AJ93" s="32">
        <v>0.0</v>
      </c>
      <c r="AK93" s="32">
        <v>66.0</v>
      </c>
      <c r="AL93" s="32" t="s">
        <v>2486</v>
      </c>
      <c r="AM93" s="32" t="s">
        <v>2487</v>
      </c>
      <c r="AN93" s="32" t="s">
        <v>2488</v>
      </c>
      <c r="AO93" s="32" t="s">
        <v>3797</v>
      </c>
      <c r="AP93" s="32" t="s">
        <v>3798</v>
      </c>
      <c r="AQ93" s="32" t="s">
        <v>1324</v>
      </c>
      <c r="AR93" s="32" t="s">
        <v>3799</v>
      </c>
      <c r="AS93" s="32" t="s">
        <v>3800</v>
      </c>
      <c r="AT93" s="32" t="s">
        <v>4145</v>
      </c>
      <c r="AU93" s="32">
        <v>2012.0</v>
      </c>
      <c r="AV93" s="32">
        <v>166.0</v>
      </c>
      <c r="AW93" s="32" t="s">
        <v>1324</v>
      </c>
      <c r="AX93" s="32" t="s">
        <v>1324</v>
      </c>
      <c r="AY93" s="32" t="s">
        <v>1324</v>
      </c>
      <c r="AZ93" s="32" t="s">
        <v>1324</v>
      </c>
      <c r="BA93" s="32" t="s">
        <v>1324</v>
      </c>
      <c r="BB93" s="32">
        <v>50.0</v>
      </c>
      <c r="BC93" s="32">
        <v>61.0</v>
      </c>
      <c r="BD93" s="32" t="s">
        <v>1324</v>
      </c>
      <c r="BE93" s="32" t="s">
        <v>2139</v>
      </c>
      <c r="BF93" s="38" t="str">
        <f>HYPERLINK("http://dx.doi.org/10.1016/j.agrformet.2012.07.007","http://dx.doi.org/10.1016/j.agrformet.2012.07.007")</f>
        <v>http://dx.doi.org/10.1016/j.agrformet.2012.07.007</v>
      </c>
      <c r="BG93" s="32" t="s">
        <v>1324</v>
      </c>
      <c r="BH93" s="32" t="s">
        <v>1324</v>
      </c>
      <c r="BI93" s="32">
        <v>12.0</v>
      </c>
      <c r="BJ93" s="32" t="s">
        <v>3802</v>
      </c>
      <c r="BK93" s="32" t="s">
        <v>2407</v>
      </c>
      <c r="BL93" s="32" t="s">
        <v>3803</v>
      </c>
      <c r="BM93" s="32" t="s">
        <v>4146</v>
      </c>
      <c r="BN93" s="32" t="s">
        <v>1324</v>
      </c>
      <c r="BO93" s="32" t="s">
        <v>1324</v>
      </c>
      <c r="BP93" s="32" t="s">
        <v>1324</v>
      </c>
      <c r="BQ93" s="32" t="s">
        <v>1324</v>
      </c>
      <c r="BR93" s="32" t="s">
        <v>5268</v>
      </c>
      <c r="BS93" s="32" t="s">
        <v>4147</v>
      </c>
      <c r="BT93" s="32" t="str">
        <f>HYPERLINK("https%3A%2F%2Fwww.webofscience.com%2Fwos%2Fwoscc%2Ffull-record%2FWOS:000313479100007","View Full Record in Web of Science")</f>
        <v>View Full Record in Web of Science</v>
      </c>
    </row>
    <row r="94" ht="12.75" customHeight="1">
      <c r="A94" s="32" t="s">
        <v>26</v>
      </c>
      <c r="B94" s="32" t="s">
        <v>4148</v>
      </c>
      <c r="C94" s="32" t="s">
        <v>1324</v>
      </c>
      <c r="D94" s="32" t="s">
        <v>1324</v>
      </c>
      <c r="E94" s="32" t="s">
        <v>1324</v>
      </c>
      <c r="F94" s="32" t="s">
        <v>1981</v>
      </c>
      <c r="G94" s="32" t="s">
        <v>1324</v>
      </c>
      <c r="H94" s="32" t="s">
        <v>1324</v>
      </c>
      <c r="I94" s="32" t="s">
        <v>1982</v>
      </c>
      <c r="J94" s="32" t="s">
        <v>1976</v>
      </c>
      <c r="K94" s="32" t="s">
        <v>1324</v>
      </c>
      <c r="L94" s="32" t="s">
        <v>1324</v>
      </c>
      <c r="M94" s="32" t="s">
        <v>2364</v>
      </c>
      <c r="N94" s="32" t="s">
        <v>38</v>
      </c>
      <c r="O94" s="32" t="s">
        <v>1324</v>
      </c>
      <c r="P94" s="32" t="s">
        <v>1324</v>
      </c>
      <c r="Q94" s="32" t="s">
        <v>1324</v>
      </c>
      <c r="R94" s="32" t="s">
        <v>1324</v>
      </c>
      <c r="S94" s="32" t="s">
        <v>1324</v>
      </c>
      <c r="T94" s="32" t="s">
        <v>4149</v>
      </c>
      <c r="U94" s="32" t="s">
        <v>4150</v>
      </c>
      <c r="V94" s="32" t="s">
        <v>1983</v>
      </c>
      <c r="W94" s="32" t="s">
        <v>4151</v>
      </c>
      <c r="X94" s="32" t="s">
        <v>4152</v>
      </c>
      <c r="Y94" s="32" t="s">
        <v>4153</v>
      </c>
      <c r="Z94" s="32" t="s">
        <v>4154</v>
      </c>
      <c r="AA94" s="32" t="s">
        <v>1324</v>
      </c>
      <c r="AB94" s="32" t="s">
        <v>1324</v>
      </c>
      <c r="AC94" s="32" t="s">
        <v>4155</v>
      </c>
      <c r="AD94" s="32" t="s">
        <v>4156</v>
      </c>
      <c r="AE94" s="32" t="s">
        <v>4157</v>
      </c>
      <c r="AF94" s="32" t="s">
        <v>1324</v>
      </c>
      <c r="AG94" s="32">
        <v>44.0</v>
      </c>
      <c r="AH94" s="32">
        <v>10.0</v>
      </c>
      <c r="AI94" s="32">
        <v>10.0</v>
      </c>
      <c r="AJ94" s="32">
        <v>1.0</v>
      </c>
      <c r="AK94" s="32">
        <v>22.0</v>
      </c>
      <c r="AL94" s="32" t="s">
        <v>2530</v>
      </c>
      <c r="AM94" s="32" t="s">
        <v>2509</v>
      </c>
      <c r="AN94" s="32" t="s">
        <v>2646</v>
      </c>
      <c r="AO94" s="32" t="s">
        <v>3402</v>
      </c>
      <c r="AP94" s="32" t="s">
        <v>1324</v>
      </c>
      <c r="AQ94" s="32" t="s">
        <v>1324</v>
      </c>
      <c r="AR94" s="32" t="s">
        <v>3403</v>
      </c>
      <c r="AS94" s="32" t="s">
        <v>3404</v>
      </c>
      <c r="AT94" s="32" t="s">
        <v>2908</v>
      </c>
      <c r="AU94" s="32">
        <v>2012.0</v>
      </c>
      <c r="AV94" s="32">
        <v>38.0</v>
      </c>
      <c r="AW94" s="32">
        <v>4.0</v>
      </c>
      <c r="AX94" s="32" t="s">
        <v>1324</v>
      </c>
      <c r="AY94" s="32" t="s">
        <v>1324</v>
      </c>
      <c r="AZ94" s="32" t="s">
        <v>1324</v>
      </c>
      <c r="BA94" s="32" t="s">
        <v>1324</v>
      </c>
      <c r="BB94" s="32">
        <v>720.0</v>
      </c>
      <c r="BC94" s="32">
        <v>729.0</v>
      </c>
      <c r="BD94" s="32" t="s">
        <v>1324</v>
      </c>
      <c r="BE94" s="32" t="s">
        <v>1984</v>
      </c>
      <c r="BF94" s="38" t="str">
        <f>HYPERLINK("http://dx.doi.org/10.1016/j.jglr.2012.09.022","http://dx.doi.org/10.1016/j.jglr.2012.09.022")</f>
        <v>http://dx.doi.org/10.1016/j.jglr.2012.09.022</v>
      </c>
      <c r="BG94" s="32" t="s">
        <v>1324</v>
      </c>
      <c r="BH94" s="32" t="s">
        <v>1324</v>
      </c>
      <c r="BI94" s="32">
        <v>10.0</v>
      </c>
      <c r="BJ94" s="32" t="s">
        <v>3405</v>
      </c>
      <c r="BK94" s="32" t="s">
        <v>2407</v>
      </c>
      <c r="BL94" s="32" t="s">
        <v>2516</v>
      </c>
      <c r="BM94" s="32" t="s">
        <v>4158</v>
      </c>
      <c r="BN94" s="32" t="s">
        <v>1324</v>
      </c>
      <c r="BO94" s="32" t="s">
        <v>2474</v>
      </c>
      <c r="BP94" s="32" t="s">
        <v>1324</v>
      </c>
      <c r="BQ94" s="32" t="s">
        <v>1324</v>
      </c>
      <c r="BR94" s="32" t="s">
        <v>5268</v>
      </c>
      <c r="BS94" s="32" t="s">
        <v>4159</v>
      </c>
      <c r="BT94" s="32" t="str">
        <f>HYPERLINK("https%3A%2F%2Fwww.webofscience.com%2Fwos%2Fwoscc%2Ffull-record%2FWOS:000312183100013","View Full Record in Web of Science")</f>
        <v>View Full Record in Web of Science</v>
      </c>
    </row>
    <row r="95" ht="12.75" customHeight="1">
      <c r="A95" s="32" t="s">
        <v>26</v>
      </c>
      <c r="B95" s="32" t="s">
        <v>4160</v>
      </c>
      <c r="C95" s="32" t="s">
        <v>1324</v>
      </c>
      <c r="D95" s="32" t="s">
        <v>1324</v>
      </c>
      <c r="E95" s="32" t="s">
        <v>1324</v>
      </c>
      <c r="F95" s="32" t="s">
        <v>1992</v>
      </c>
      <c r="G95" s="32" t="s">
        <v>1324</v>
      </c>
      <c r="H95" s="32" t="s">
        <v>1324</v>
      </c>
      <c r="I95" s="32" t="s">
        <v>1993</v>
      </c>
      <c r="J95" s="32" t="s">
        <v>193</v>
      </c>
      <c r="K95" s="32" t="s">
        <v>1324</v>
      </c>
      <c r="L95" s="32" t="s">
        <v>1324</v>
      </c>
      <c r="M95" s="32" t="s">
        <v>2364</v>
      </c>
      <c r="N95" s="32" t="s">
        <v>38</v>
      </c>
      <c r="O95" s="32" t="s">
        <v>1324</v>
      </c>
      <c r="P95" s="32" t="s">
        <v>1324</v>
      </c>
      <c r="Q95" s="32" t="s">
        <v>1324</v>
      </c>
      <c r="R95" s="32" t="s">
        <v>1324</v>
      </c>
      <c r="S95" s="32" t="s">
        <v>1324</v>
      </c>
      <c r="T95" s="32" t="s">
        <v>4161</v>
      </c>
      <c r="U95" s="32" t="s">
        <v>4162</v>
      </c>
      <c r="V95" s="32" t="s">
        <v>1994</v>
      </c>
      <c r="W95" s="32" t="s">
        <v>4163</v>
      </c>
      <c r="X95" s="32" t="s">
        <v>4164</v>
      </c>
      <c r="Y95" s="32" t="s">
        <v>4165</v>
      </c>
      <c r="Z95" s="32" t="s">
        <v>4166</v>
      </c>
      <c r="AA95" s="32" t="s">
        <v>5377</v>
      </c>
      <c r="AB95" s="32" t="s">
        <v>4168</v>
      </c>
      <c r="AC95" s="32" t="s">
        <v>4169</v>
      </c>
      <c r="AD95" s="32" t="s">
        <v>4170</v>
      </c>
      <c r="AE95" s="32" t="s">
        <v>4171</v>
      </c>
      <c r="AF95" s="32" t="s">
        <v>1324</v>
      </c>
      <c r="AG95" s="32">
        <v>43.0</v>
      </c>
      <c r="AH95" s="32">
        <v>33.0</v>
      </c>
      <c r="AI95" s="32">
        <v>35.0</v>
      </c>
      <c r="AJ95" s="32">
        <v>2.0</v>
      </c>
      <c r="AK95" s="32">
        <v>121.0</v>
      </c>
      <c r="AL95" s="32" t="s">
        <v>2530</v>
      </c>
      <c r="AM95" s="32" t="s">
        <v>2509</v>
      </c>
      <c r="AN95" s="32" t="s">
        <v>2646</v>
      </c>
      <c r="AO95" s="32" t="s">
        <v>4172</v>
      </c>
      <c r="AP95" s="32" t="s">
        <v>4173</v>
      </c>
      <c r="AQ95" s="32" t="s">
        <v>1324</v>
      </c>
      <c r="AR95" s="32" t="s">
        <v>4174</v>
      </c>
      <c r="AS95" s="32" t="s">
        <v>4175</v>
      </c>
      <c r="AT95" s="32" t="s">
        <v>2908</v>
      </c>
      <c r="AU95" s="32">
        <v>2012.0</v>
      </c>
      <c r="AV95" s="32">
        <v>37.0</v>
      </c>
      <c r="AW95" s="32" t="s">
        <v>1324</v>
      </c>
      <c r="AX95" s="32" t="s">
        <v>1324</v>
      </c>
      <c r="AY95" s="32" t="s">
        <v>1324</v>
      </c>
      <c r="AZ95" s="32" t="s">
        <v>1324</v>
      </c>
      <c r="BA95" s="32" t="s">
        <v>1324</v>
      </c>
      <c r="BB95" s="32">
        <v>107.0</v>
      </c>
      <c r="BC95" s="32">
        <v>114.0</v>
      </c>
      <c r="BD95" s="32" t="s">
        <v>1324</v>
      </c>
      <c r="BE95" s="32" t="s">
        <v>1995</v>
      </c>
      <c r="BF95" s="38" t="str">
        <f>HYPERLINK("http://dx.doi.org/10.1016/j.jclepro.2012.06.016","http://dx.doi.org/10.1016/j.jclepro.2012.06.016")</f>
        <v>http://dx.doi.org/10.1016/j.jclepro.2012.06.016</v>
      </c>
      <c r="BG95" s="32" t="s">
        <v>1324</v>
      </c>
      <c r="BH95" s="32" t="s">
        <v>1324</v>
      </c>
      <c r="BI95" s="32">
        <v>8.0</v>
      </c>
      <c r="BJ95" s="32" t="s">
        <v>197</v>
      </c>
      <c r="BK95" s="32" t="s">
        <v>2878</v>
      </c>
      <c r="BL95" s="32" t="s">
        <v>4176</v>
      </c>
      <c r="BM95" s="32" t="s">
        <v>4177</v>
      </c>
      <c r="BN95" s="32" t="s">
        <v>1324</v>
      </c>
      <c r="BO95" s="32" t="s">
        <v>2715</v>
      </c>
      <c r="BP95" s="32" t="s">
        <v>1324</v>
      </c>
      <c r="BQ95" s="32" t="s">
        <v>1324</v>
      </c>
      <c r="BR95" s="32" t="s">
        <v>5268</v>
      </c>
      <c r="BS95" s="32" t="s">
        <v>4178</v>
      </c>
      <c r="BT95" s="32" t="str">
        <f>HYPERLINK("https%3A%2F%2Fwww.webofscience.com%2Fwos%2Fwoscc%2Ffull-record%2FWOS:000309375200010","View Full Record in Web of Science")</f>
        <v>View Full Record in Web of Science</v>
      </c>
    </row>
    <row r="96" ht="12.75" customHeight="1">
      <c r="A96" s="32" t="s">
        <v>26</v>
      </c>
      <c r="B96" s="32" t="s">
        <v>4179</v>
      </c>
      <c r="C96" s="32" t="s">
        <v>1324</v>
      </c>
      <c r="D96" s="32" t="s">
        <v>1324</v>
      </c>
      <c r="E96" s="32" t="s">
        <v>1324</v>
      </c>
      <c r="F96" s="32" t="s">
        <v>1872</v>
      </c>
      <c r="G96" s="32" t="s">
        <v>1324</v>
      </c>
      <c r="H96" s="32" t="s">
        <v>1324</v>
      </c>
      <c r="I96" s="32" t="s">
        <v>1874</v>
      </c>
      <c r="J96" s="32" t="s">
        <v>1873</v>
      </c>
      <c r="K96" s="32" t="s">
        <v>1324</v>
      </c>
      <c r="L96" s="32" t="s">
        <v>1324</v>
      </c>
      <c r="M96" s="32" t="s">
        <v>2364</v>
      </c>
      <c r="N96" s="32" t="s">
        <v>38</v>
      </c>
      <c r="O96" s="32" t="s">
        <v>1324</v>
      </c>
      <c r="P96" s="32" t="s">
        <v>1324</v>
      </c>
      <c r="Q96" s="32" t="s">
        <v>1324</v>
      </c>
      <c r="R96" s="32" t="s">
        <v>1324</v>
      </c>
      <c r="S96" s="32" t="s">
        <v>1324</v>
      </c>
      <c r="T96" s="32" t="s">
        <v>4180</v>
      </c>
      <c r="U96" s="32" t="s">
        <v>4181</v>
      </c>
      <c r="V96" s="32" t="s">
        <v>1875</v>
      </c>
      <c r="W96" s="32" t="s">
        <v>4182</v>
      </c>
      <c r="X96" s="32" t="s">
        <v>4183</v>
      </c>
      <c r="Y96" s="32" t="s">
        <v>4184</v>
      </c>
      <c r="Z96" s="32" t="s">
        <v>4185</v>
      </c>
      <c r="AA96" s="32" t="s">
        <v>1324</v>
      </c>
      <c r="AB96" s="32" t="s">
        <v>1324</v>
      </c>
      <c r="AC96" s="32" t="s">
        <v>4186</v>
      </c>
      <c r="AD96" s="32" t="s">
        <v>4186</v>
      </c>
      <c r="AE96" s="32" t="s">
        <v>4187</v>
      </c>
      <c r="AF96" s="32" t="s">
        <v>1324</v>
      </c>
      <c r="AG96" s="32">
        <v>68.0</v>
      </c>
      <c r="AH96" s="32">
        <v>31.0</v>
      </c>
      <c r="AI96" s="32">
        <v>39.0</v>
      </c>
      <c r="AJ96" s="32">
        <v>0.0</v>
      </c>
      <c r="AK96" s="32">
        <v>53.0</v>
      </c>
      <c r="AL96" s="32" t="s">
        <v>4188</v>
      </c>
      <c r="AM96" s="32" t="s">
        <v>4189</v>
      </c>
      <c r="AN96" s="32" t="s">
        <v>4190</v>
      </c>
      <c r="AO96" s="32" t="s">
        <v>4191</v>
      </c>
      <c r="AP96" s="32" t="s">
        <v>4192</v>
      </c>
      <c r="AQ96" s="32" t="s">
        <v>1324</v>
      </c>
      <c r="AR96" s="32" t="s">
        <v>1873</v>
      </c>
      <c r="AS96" s="32" t="s">
        <v>4193</v>
      </c>
      <c r="AT96" s="32" t="s">
        <v>3518</v>
      </c>
      <c r="AU96" s="32">
        <v>2012.0</v>
      </c>
      <c r="AV96" s="32">
        <v>46.0</v>
      </c>
      <c r="AW96" s="32">
        <v>4.0</v>
      </c>
      <c r="AX96" s="32" t="s">
        <v>1324</v>
      </c>
      <c r="AY96" s="32" t="s">
        <v>1324</v>
      </c>
      <c r="AZ96" s="32" t="s">
        <v>1324</v>
      </c>
      <c r="BA96" s="32" t="s">
        <v>1324</v>
      </c>
      <c r="BB96" s="32">
        <v>544.0</v>
      </c>
      <c r="BC96" s="32">
        <v>553.0</v>
      </c>
      <c r="BD96" s="32" t="s">
        <v>1324</v>
      </c>
      <c r="BE96" s="32" t="s">
        <v>1876</v>
      </c>
      <c r="BF96" s="38" t="str">
        <f>HYPERLINK("http://dx.doi.org/10.1017/S0030605311000937","http://dx.doi.org/10.1017/S0030605311000937")</f>
        <v>http://dx.doi.org/10.1017/S0030605311000937</v>
      </c>
      <c r="BG96" s="32" t="s">
        <v>1324</v>
      </c>
      <c r="BH96" s="32" t="s">
        <v>1324</v>
      </c>
      <c r="BI96" s="32">
        <v>10.0</v>
      </c>
      <c r="BJ96" s="32" t="s">
        <v>1124</v>
      </c>
      <c r="BK96" s="32" t="s">
        <v>2407</v>
      </c>
      <c r="BL96" s="32" t="s">
        <v>2577</v>
      </c>
      <c r="BM96" s="32" t="s">
        <v>4194</v>
      </c>
      <c r="BN96" s="32" t="s">
        <v>1324</v>
      </c>
      <c r="BO96" s="32" t="s">
        <v>2715</v>
      </c>
      <c r="BP96" s="32" t="s">
        <v>1324</v>
      </c>
      <c r="BQ96" s="32" t="s">
        <v>1324</v>
      </c>
      <c r="BR96" s="32" t="s">
        <v>5268</v>
      </c>
      <c r="BS96" s="32" t="s">
        <v>4195</v>
      </c>
      <c r="BT96" s="32" t="str">
        <f>HYPERLINK("https%3A%2F%2Fwww.webofscience.com%2Fwos%2Fwoscc%2Ffull-record%2FWOS:000309472600015","View Full Record in Web of Science")</f>
        <v>View Full Record in Web of Science</v>
      </c>
    </row>
    <row r="97" ht="12.75" customHeight="1">
      <c r="A97" s="32" t="s">
        <v>26</v>
      </c>
      <c r="B97" s="32" t="s">
        <v>4196</v>
      </c>
      <c r="C97" s="32" t="s">
        <v>1324</v>
      </c>
      <c r="D97" s="32" t="s">
        <v>1324</v>
      </c>
      <c r="E97" s="32" t="s">
        <v>1324</v>
      </c>
      <c r="F97" s="32" t="s">
        <v>1471</v>
      </c>
      <c r="G97" s="32" t="s">
        <v>1324</v>
      </c>
      <c r="H97" s="32" t="s">
        <v>1324</v>
      </c>
      <c r="I97" s="32" t="s">
        <v>1472</v>
      </c>
      <c r="J97" s="32" t="s">
        <v>365</v>
      </c>
      <c r="K97" s="32" t="s">
        <v>1324</v>
      </c>
      <c r="L97" s="32" t="s">
        <v>1324</v>
      </c>
      <c r="M97" s="32" t="s">
        <v>2364</v>
      </c>
      <c r="N97" s="32" t="s">
        <v>38</v>
      </c>
      <c r="O97" s="32" t="s">
        <v>1324</v>
      </c>
      <c r="P97" s="32" t="s">
        <v>1324</v>
      </c>
      <c r="Q97" s="32" t="s">
        <v>1324</v>
      </c>
      <c r="R97" s="32" t="s">
        <v>1324</v>
      </c>
      <c r="S97" s="32" t="s">
        <v>1324</v>
      </c>
      <c r="T97" s="32" t="s">
        <v>1324</v>
      </c>
      <c r="U97" s="32" t="s">
        <v>4197</v>
      </c>
      <c r="V97" s="32" t="s">
        <v>1473</v>
      </c>
      <c r="W97" s="32" t="s">
        <v>4198</v>
      </c>
      <c r="X97" s="32" t="s">
        <v>4199</v>
      </c>
      <c r="Y97" s="32" t="s">
        <v>4200</v>
      </c>
      <c r="Z97" s="32" t="s">
        <v>4201</v>
      </c>
      <c r="AA97" s="32" t="s">
        <v>5378</v>
      </c>
      <c r="AB97" s="32" t="s">
        <v>5379</v>
      </c>
      <c r="AC97" s="32" t="s">
        <v>4204</v>
      </c>
      <c r="AD97" s="32" t="s">
        <v>4204</v>
      </c>
      <c r="AE97" s="32" t="s">
        <v>4205</v>
      </c>
      <c r="AF97" s="32" t="s">
        <v>1324</v>
      </c>
      <c r="AG97" s="32">
        <v>159.0</v>
      </c>
      <c r="AH97" s="32">
        <v>54.0</v>
      </c>
      <c r="AI97" s="32">
        <v>68.0</v>
      </c>
      <c r="AJ97" s="32">
        <v>0.0</v>
      </c>
      <c r="AK97" s="32">
        <v>99.0</v>
      </c>
      <c r="AL97" s="32" t="s">
        <v>2423</v>
      </c>
      <c r="AM97" s="32" t="s">
        <v>2424</v>
      </c>
      <c r="AN97" s="32" t="s">
        <v>2425</v>
      </c>
      <c r="AO97" s="32" t="s">
        <v>2426</v>
      </c>
      <c r="AP97" s="32" t="s">
        <v>1324</v>
      </c>
      <c r="AQ97" s="32" t="s">
        <v>1324</v>
      </c>
      <c r="AR97" s="32" t="s">
        <v>365</v>
      </c>
      <c r="AS97" s="32" t="s">
        <v>2427</v>
      </c>
      <c r="AT97" s="32" t="s">
        <v>4206</v>
      </c>
      <c r="AU97" s="32">
        <v>2012.0</v>
      </c>
      <c r="AV97" s="32">
        <v>7.0</v>
      </c>
      <c r="AW97" s="32">
        <v>7.0</v>
      </c>
      <c r="AX97" s="32" t="s">
        <v>1324</v>
      </c>
      <c r="AY97" s="32" t="s">
        <v>1324</v>
      </c>
      <c r="AZ97" s="32" t="s">
        <v>1324</v>
      </c>
      <c r="BA97" s="32" t="s">
        <v>1324</v>
      </c>
      <c r="BB97" s="32" t="s">
        <v>1324</v>
      </c>
      <c r="BC97" s="32" t="s">
        <v>1324</v>
      </c>
      <c r="BD97" s="32" t="s">
        <v>4207</v>
      </c>
      <c r="BE97" s="32" t="s">
        <v>1474</v>
      </c>
      <c r="BF97" s="38" t="str">
        <f>HYPERLINK("http://dx.doi.org/10.1371/journal.pone.0039825","http://dx.doi.org/10.1371/journal.pone.0039825")</f>
        <v>http://dx.doi.org/10.1371/journal.pone.0039825</v>
      </c>
      <c r="BG97" s="32" t="s">
        <v>1324</v>
      </c>
      <c r="BH97" s="32" t="s">
        <v>1324</v>
      </c>
      <c r="BI97" s="32">
        <v>13.0</v>
      </c>
      <c r="BJ97" s="32" t="s">
        <v>42</v>
      </c>
      <c r="BK97" s="32" t="s">
        <v>2407</v>
      </c>
      <c r="BL97" s="32" t="s">
        <v>2430</v>
      </c>
      <c r="BM97" s="32" t="s">
        <v>4208</v>
      </c>
      <c r="BN97" s="32">
        <v>2.2808066E7</v>
      </c>
      <c r="BO97" s="32" t="s">
        <v>2410</v>
      </c>
      <c r="BP97" s="32" t="s">
        <v>1324</v>
      </c>
      <c r="BQ97" s="32" t="s">
        <v>1324</v>
      </c>
      <c r="BR97" s="32" t="s">
        <v>5268</v>
      </c>
      <c r="BS97" s="32" t="s">
        <v>4209</v>
      </c>
      <c r="BT97" s="32" t="str">
        <f>HYPERLINK("https%3A%2F%2Fwww.webofscience.com%2Fwos%2Fwoscc%2Ffull-record%2FWOS:000306362400022","View Full Record in Web of Science")</f>
        <v>View Full Record in Web of Science</v>
      </c>
    </row>
    <row r="98" ht="12.75" customHeight="1">
      <c r="A98" s="32" t="s">
        <v>26</v>
      </c>
      <c r="B98" s="32" t="s">
        <v>4210</v>
      </c>
      <c r="C98" s="32" t="s">
        <v>1324</v>
      </c>
      <c r="D98" s="32" t="s">
        <v>1324</v>
      </c>
      <c r="E98" s="32" t="s">
        <v>1324</v>
      </c>
      <c r="F98" s="32" t="s">
        <v>2182</v>
      </c>
      <c r="G98" s="32" t="s">
        <v>1324</v>
      </c>
      <c r="H98" s="32" t="s">
        <v>1324</v>
      </c>
      <c r="I98" s="32" t="s">
        <v>2184</v>
      </c>
      <c r="J98" s="32" t="s">
        <v>2183</v>
      </c>
      <c r="K98" s="32" t="s">
        <v>1324</v>
      </c>
      <c r="L98" s="32" t="s">
        <v>1324</v>
      </c>
      <c r="M98" s="32" t="s">
        <v>2364</v>
      </c>
      <c r="N98" s="32" t="s">
        <v>38</v>
      </c>
      <c r="O98" s="32" t="s">
        <v>1324</v>
      </c>
      <c r="P98" s="32" t="s">
        <v>1324</v>
      </c>
      <c r="Q98" s="32" t="s">
        <v>1324</v>
      </c>
      <c r="R98" s="32" t="s">
        <v>1324</v>
      </c>
      <c r="S98" s="32" t="s">
        <v>1324</v>
      </c>
      <c r="T98" s="32" t="s">
        <v>4211</v>
      </c>
      <c r="U98" s="32" t="s">
        <v>4212</v>
      </c>
      <c r="V98" s="32" t="s">
        <v>2185</v>
      </c>
      <c r="W98" s="32" t="s">
        <v>4213</v>
      </c>
      <c r="X98" s="32" t="s">
        <v>4214</v>
      </c>
      <c r="Y98" s="32" t="s">
        <v>4215</v>
      </c>
      <c r="Z98" s="32" t="s">
        <v>4216</v>
      </c>
      <c r="AA98" s="32" t="s">
        <v>4217</v>
      </c>
      <c r="AB98" s="32" t="s">
        <v>4218</v>
      </c>
      <c r="AC98" s="32" t="s">
        <v>4219</v>
      </c>
      <c r="AD98" s="32" t="s">
        <v>4220</v>
      </c>
      <c r="AE98" s="32" t="s">
        <v>4221</v>
      </c>
      <c r="AF98" s="32" t="s">
        <v>1324</v>
      </c>
      <c r="AG98" s="32">
        <v>97.0</v>
      </c>
      <c r="AH98" s="32">
        <v>11.0</v>
      </c>
      <c r="AI98" s="32">
        <v>12.0</v>
      </c>
      <c r="AJ98" s="32">
        <v>1.0</v>
      </c>
      <c r="AK98" s="32">
        <v>21.0</v>
      </c>
      <c r="AL98" s="32" t="s">
        <v>3250</v>
      </c>
      <c r="AM98" s="32" t="s">
        <v>3872</v>
      </c>
      <c r="AN98" s="32" t="s">
        <v>3873</v>
      </c>
      <c r="AO98" s="32" t="s">
        <v>4222</v>
      </c>
      <c r="AP98" s="32" t="s">
        <v>4223</v>
      </c>
      <c r="AQ98" s="32" t="s">
        <v>1324</v>
      </c>
      <c r="AR98" s="32" t="s">
        <v>4224</v>
      </c>
      <c r="AS98" s="32" t="s">
        <v>4225</v>
      </c>
      <c r="AT98" s="32" t="s">
        <v>2557</v>
      </c>
      <c r="AU98" s="32">
        <v>2012.0</v>
      </c>
      <c r="AV98" s="32">
        <v>35.0</v>
      </c>
      <c r="AW98" s="32">
        <v>4.0</v>
      </c>
      <c r="AX98" s="32" t="s">
        <v>1324</v>
      </c>
      <c r="AY98" s="32" t="s">
        <v>1324</v>
      </c>
      <c r="AZ98" s="32" t="s">
        <v>1324</v>
      </c>
      <c r="BA98" s="32" t="s">
        <v>1324</v>
      </c>
      <c r="BB98" s="32">
        <v>1082.0</v>
      </c>
      <c r="BC98" s="32">
        <v>1099.0</v>
      </c>
      <c r="BD98" s="32" t="s">
        <v>1324</v>
      </c>
      <c r="BE98" s="32" t="s">
        <v>2186</v>
      </c>
      <c r="BF98" s="38" t="str">
        <f>HYPERLINK("http://dx.doi.org/10.1007/s12237-012-9506-y","http://dx.doi.org/10.1007/s12237-012-9506-y")</f>
        <v>http://dx.doi.org/10.1007/s12237-012-9506-y</v>
      </c>
      <c r="BG98" s="32" t="s">
        <v>1324</v>
      </c>
      <c r="BH98" s="32" t="s">
        <v>1324</v>
      </c>
      <c r="BI98" s="32">
        <v>18.0</v>
      </c>
      <c r="BJ98" s="32" t="s">
        <v>148</v>
      </c>
      <c r="BK98" s="32" t="s">
        <v>2407</v>
      </c>
      <c r="BL98" s="32" t="s">
        <v>2516</v>
      </c>
      <c r="BM98" s="32" t="s">
        <v>4226</v>
      </c>
      <c r="BN98" s="32" t="s">
        <v>1324</v>
      </c>
      <c r="BO98" s="32" t="s">
        <v>1324</v>
      </c>
      <c r="BP98" s="32" t="s">
        <v>1324</v>
      </c>
      <c r="BQ98" s="32" t="s">
        <v>1324</v>
      </c>
      <c r="BR98" s="32" t="s">
        <v>5268</v>
      </c>
      <c r="BS98" s="32" t="s">
        <v>4227</v>
      </c>
      <c r="BT98" s="32" t="str">
        <f>HYPERLINK("https%3A%2F%2Fwww.webofscience.com%2Fwos%2Fwoscc%2Ffull-record%2FWOS:000304697600014","View Full Record in Web of Science")</f>
        <v>View Full Record in Web of Science</v>
      </c>
    </row>
    <row r="99" ht="12.75" customHeight="1">
      <c r="A99" s="32" t="s">
        <v>26</v>
      </c>
      <c r="B99" s="32" t="s">
        <v>4228</v>
      </c>
      <c r="C99" s="32" t="s">
        <v>1324</v>
      </c>
      <c r="D99" s="32" t="s">
        <v>1324</v>
      </c>
      <c r="E99" s="32" t="s">
        <v>1324</v>
      </c>
      <c r="F99" s="32" t="s">
        <v>1736</v>
      </c>
      <c r="G99" s="32" t="s">
        <v>1324</v>
      </c>
      <c r="H99" s="32" t="s">
        <v>1324</v>
      </c>
      <c r="I99" s="32" t="s">
        <v>1737</v>
      </c>
      <c r="J99" s="32" t="s">
        <v>1731</v>
      </c>
      <c r="K99" s="32" t="s">
        <v>1324</v>
      </c>
      <c r="L99" s="32" t="s">
        <v>1324</v>
      </c>
      <c r="M99" s="32" t="s">
        <v>2364</v>
      </c>
      <c r="N99" s="32" t="s">
        <v>38</v>
      </c>
      <c r="O99" s="32" t="s">
        <v>1324</v>
      </c>
      <c r="P99" s="32" t="s">
        <v>1324</v>
      </c>
      <c r="Q99" s="32" t="s">
        <v>1324</v>
      </c>
      <c r="R99" s="32" t="s">
        <v>1324</v>
      </c>
      <c r="S99" s="32" t="s">
        <v>1324</v>
      </c>
      <c r="T99" s="32" t="s">
        <v>4229</v>
      </c>
      <c r="U99" s="32" t="s">
        <v>4230</v>
      </c>
      <c r="V99" s="32" t="s">
        <v>1738</v>
      </c>
      <c r="W99" s="32" t="s">
        <v>4231</v>
      </c>
      <c r="X99" s="32" t="s">
        <v>4232</v>
      </c>
      <c r="Y99" s="32" t="s">
        <v>4233</v>
      </c>
      <c r="Z99" s="32" t="s">
        <v>4234</v>
      </c>
      <c r="AA99" s="32" t="s">
        <v>4235</v>
      </c>
      <c r="AB99" s="32" t="s">
        <v>4236</v>
      </c>
      <c r="AC99" s="32" t="s">
        <v>4237</v>
      </c>
      <c r="AD99" s="32" t="s">
        <v>4237</v>
      </c>
      <c r="AE99" s="32" t="s">
        <v>4238</v>
      </c>
      <c r="AF99" s="32" t="s">
        <v>1324</v>
      </c>
      <c r="AG99" s="32">
        <v>59.0</v>
      </c>
      <c r="AH99" s="32">
        <v>65.0</v>
      </c>
      <c r="AI99" s="32">
        <v>66.0</v>
      </c>
      <c r="AJ99" s="32">
        <v>2.0</v>
      </c>
      <c r="AK99" s="32">
        <v>73.0</v>
      </c>
      <c r="AL99" s="32" t="s">
        <v>3737</v>
      </c>
      <c r="AM99" s="32" t="s">
        <v>2509</v>
      </c>
      <c r="AN99" s="32" t="s">
        <v>3738</v>
      </c>
      <c r="AO99" s="32" t="s">
        <v>3739</v>
      </c>
      <c r="AP99" s="32" t="s">
        <v>3740</v>
      </c>
      <c r="AQ99" s="32" t="s">
        <v>1324</v>
      </c>
      <c r="AR99" s="32" t="s">
        <v>3741</v>
      </c>
      <c r="AS99" s="32" t="s">
        <v>3742</v>
      </c>
      <c r="AT99" s="32" t="s">
        <v>2557</v>
      </c>
      <c r="AU99" s="32">
        <v>2012.0</v>
      </c>
      <c r="AV99" s="32">
        <v>69.0</v>
      </c>
      <c r="AW99" s="32">
        <v>6.0</v>
      </c>
      <c r="AX99" s="32" t="s">
        <v>1324</v>
      </c>
      <c r="AY99" s="32" t="s">
        <v>1324</v>
      </c>
      <c r="AZ99" s="32" t="s">
        <v>1324</v>
      </c>
      <c r="BA99" s="32" t="s">
        <v>1324</v>
      </c>
      <c r="BB99" s="32">
        <v>961.0</v>
      </c>
      <c r="BC99" s="32">
        <v>970.0</v>
      </c>
      <c r="BD99" s="32" t="s">
        <v>1324</v>
      </c>
      <c r="BE99" s="32" t="s">
        <v>1739</v>
      </c>
      <c r="BF99" s="38" t="str">
        <f>HYPERLINK("http://dx.doi.org/10.1093/icesjms/fss072","http://dx.doi.org/10.1093/icesjms/fss072")</f>
        <v>http://dx.doi.org/10.1093/icesjms/fss072</v>
      </c>
      <c r="BG99" s="32" t="s">
        <v>1324</v>
      </c>
      <c r="BH99" s="32" t="s">
        <v>1324</v>
      </c>
      <c r="BI99" s="32">
        <v>10.0</v>
      </c>
      <c r="BJ99" s="32" t="s">
        <v>3744</v>
      </c>
      <c r="BK99" s="32" t="s">
        <v>2407</v>
      </c>
      <c r="BL99" s="32" t="s">
        <v>3744</v>
      </c>
      <c r="BM99" s="32" t="s">
        <v>4239</v>
      </c>
      <c r="BN99" s="32" t="s">
        <v>1324</v>
      </c>
      <c r="BO99" s="32" t="s">
        <v>2715</v>
      </c>
      <c r="BP99" s="32" t="s">
        <v>1324</v>
      </c>
      <c r="BQ99" s="32" t="s">
        <v>1324</v>
      </c>
      <c r="BR99" s="32" t="s">
        <v>5268</v>
      </c>
      <c r="BS99" s="32" t="s">
        <v>4240</v>
      </c>
      <c r="BT99" s="32" t="str">
        <f>HYPERLINK("https%3A%2F%2Fwww.webofscience.com%2Fwos%2Fwoscc%2Ffull-record%2FWOS:000305461200004","View Full Record in Web of Science")</f>
        <v>View Full Record in Web of Science</v>
      </c>
    </row>
    <row r="100" ht="12.75" customHeight="1">
      <c r="A100" s="32" t="s">
        <v>26</v>
      </c>
      <c r="B100" s="32" t="s">
        <v>4241</v>
      </c>
      <c r="C100" s="32" t="s">
        <v>1324</v>
      </c>
      <c r="D100" s="32" t="s">
        <v>1324</v>
      </c>
      <c r="E100" s="32" t="s">
        <v>1324</v>
      </c>
      <c r="F100" s="32" t="s">
        <v>1621</v>
      </c>
      <c r="G100" s="32" t="s">
        <v>1324</v>
      </c>
      <c r="H100" s="32" t="s">
        <v>1324</v>
      </c>
      <c r="I100" s="32" t="s">
        <v>1622</v>
      </c>
      <c r="J100" s="32" t="s">
        <v>774</v>
      </c>
      <c r="K100" s="32" t="s">
        <v>1324</v>
      </c>
      <c r="L100" s="32" t="s">
        <v>1324</v>
      </c>
      <c r="M100" s="32" t="s">
        <v>2364</v>
      </c>
      <c r="N100" s="32" t="s">
        <v>38</v>
      </c>
      <c r="O100" s="32" t="s">
        <v>1324</v>
      </c>
      <c r="P100" s="32" t="s">
        <v>1324</v>
      </c>
      <c r="Q100" s="32" t="s">
        <v>1324</v>
      </c>
      <c r="R100" s="32" t="s">
        <v>1324</v>
      </c>
      <c r="S100" s="32" t="s">
        <v>1324</v>
      </c>
      <c r="T100" s="32" t="s">
        <v>4242</v>
      </c>
      <c r="U100" s="32" t="s">
        <v>4243</v>
      </c>
      <c r="V100" s="32" t="s">
        <v>1623</v>
      </c>
      <c r="W100" s="32" t="s">
        <v>4244</v>
      </c>
      <c r="X100" s="32" t="s">
        <v>4245</v>
      </c>
      <c r="Y100" s="32" t="s">
        <v>4246</v>
      </c>
      <c r="Z100" s="32" t="s">
        <v>4247</v>
      </c>
      <c r="AA100" s="32" t="s">
        <v>5380</v>
      </c>
      <c r="AB100" s="32" t="s">
        <v>5381</v>
      </c>
      <c r="AC100" s="32" t="s">
        <v>4250</v>
      </c>
      <c r="AD100" s="32" t="s">
        <v>4251</v>
      </c>
      <c r="AE100" s="32" t="s">
        <v>4252</v>
      </c>
      <c r="AF100" s="32" t="s">
        <v>1324</v>
      </c>
      <c r="AG100" s="32">
        <v>64.0</v>
      </c>
      <c r="AH100" s="32">
        <v>99.0</v>
      </c>
      <c r="AI100" s="32">
        <v>107.0</v>
      </c>
      <c r="AJ100" s="32">
        <v>0.0</v>
      </c>
      <c r="AK100" s="32">
        <v>176.0</v>
      </c>
      <c r="AL100" s="32" t="s">
        <v>2464</v>
      </c>
      <c r="AM100" s="32" t="s">
        <v>2465</v>
      </c>
      <c r="AN100" s="32" t="s">
        <v>2466</v>
      </c>
      <c r="AO100" s="32" t="s">
        <v>2923</v>
      </c>
      <c r="AP100" s="32" t="s">
        <v>2924</v>
      </c>
      <c r="AQ100" s="32" t="s">
        <v>1324</v>
      </c>
      <c r="AR100" s="32" t="s">
        <v>2925</v>
      </c>
      <c r="AS100" s="32" t="s">
        <v>2926</v>
      </c>
      <c r="AT100" s="32" t="s">
        <v>2557</v>
      </c>
      <c r="AU100" s="32">
        <v>2012.0</v>
      </c>
      <c r="AV100" s="32">
        <v>18.0</v>
      </c>
      <c r="AW100" s="32">
        <v>7.0</v>
      </c>
      <c r="AX100" s="32" t="s">
        <v>1324</v>
      </c>
      <c r="AY100" s="32" t="s">
        <v>1324</v>
      </c>
      <c r="AZ100" s="32" t="s">
        <v>1324</v>
      </c>
      <c r="BA100" s="32" t="s">
        <v>1324</v>
      </c>
      <c r="BB100" s="32">
        <v>2184.0</v>
      </c>
      <c r="BC100" s="32">
        <v>2194.0</v>
      </c>
      <c r="BD100" s="32" t="s">
        <v>1324</v>
      </c>
      <c r="BE100" s="32" t="s">
        <v>1624</v>
      </c>
      <c r="BF100" s="38" t="str">
        <f>HYPERLINK("http://dx.doi.org/10.1111/j.1365-2486.2012.02662.x","http://dx.doi.org/10.1111/j.1365-2486.2012.02662.x")</f>
        <v>http://dx.doi.org/10.1111/j.1365-2486.2012.02662.x</v>
      </c>
      <c r="BG100" s="32" t="s">
        <v>1324</v>
      </c>
      <c r="BH100" s="32" t="s">
        <v>1324</v>
      </c>
      <c r="BI100" s="32">
        <v>11.0</v>
      </c>
      <c r="BJ100" s="32" t="s">
        <v>255</v>
      </c>
      <c r="BK100" s="32" t="s">
        <v>2407</v>
      </c>
      <c r="BL100" s="32" t="s">
        <v>2577</v>
      </c>
      <c r="BM100" s="32" t="s">
        <v>4253</v>
      </c>
      <c r="BN100" s="32" t="s">
        <v>1324</v>
      </c>
      <c r="BO100" s="32" t="s">
        <v>1324</v>
      </c>
      <c r="BP100" s="32" t="s">
        <v>1324</v>
      </c>
      <c r="BQ100" s="32" t="s">
        <v>1324</v>
      </c>
      <c r="BR100" s="32" t="s">
        <v>5268</v>
      </c>
      <c r="BS100" s="32" t="s">
        <v>4254</v>
      </c>
      <c r="BT100" s="32" t="str">
        <f>HYPERLINK("https%3A%2F%2Fwww.webofscience.com%2Fwos%2Fwoscc%2Ffull-record%2FWOS:000304820300009","View Full Record in Web of Science")</f>
        <v>View Full Record in Web of Science</v>
      </c>
    </row>
    <row r="101" ht="12.75" customHeight="1">
      <c r="A101" s="32" t="s">
        <v>26</v>
      </c>
      <c r="B101" s="32" t="s">
        <v>4255</v>
      </c>
      <c r="C101" s="32" t="s">
        <v>1324</v>
      </c>
      <c r="D101" s="32" t="s">
        <v>1324</v>
      </c>
      <c r="E101" s="32" t="s">
        <v>1324</v>
      </c>
      <c r="F101" s="32" t="s">
        <v>1806</v>
      </c>
      <c r="G101" s="32" t="s">
        <v>1324</v>
      </c>
      <c r="H101" s="32" t="s">
        <v>1324</v>
      </c>
      <c r="I101" s="32" t="s">
        <v>1808</v>
      </c>
      <c r="J101" s="32" t="s">
        <v>1807</v>
      </c>
      <c r="K101" s="32" t="s">
        <v>1324</v>
      </c>
      <c r="L101" s="32" t="s">
        <v>1324</v>
      </c>
      <c r="M101" s="32" t="s">
        <v>2364</v>
      </c>
      <c r="N101" s="32" t="s">
        <v>38</v>
      </c>
      <c r="O101" s="32" t="s">
        <v>1324</v>
      </c>
      <c r="P101" s="32" t="s">
        <v>1324</v>
      </c>
      <c r="Q101" s="32" t="s">
        <v>1324</v>
      </c>
      <c r="R101" s="32" t="s">
        <v>1324</v>
      </c>
      <c r="S101" s="32" t="s">
        <v>1324</v>
      </c>
      <c r="T101" s="32" t="s">
        <v>1324</v>
      </c>
      <c r="U101" s="32" t="s">
        <v>4256</v>
      </c>
      <c r="V101" s="32" t="s">
        <v>1809</v>
      </c>
      <c r="W101" s="32" t="s">
        <v>4257</v>
      </c>
      <c r="X101" s="32" t="s">
        <v>4258</v>
      </c>
      <c r="Y101" s="32" t="s">
        <v>4259</v>
      </c>
      <c r="Z101" s="32" t="s">
        <v>4260</v>
      </c>
      <c r="AA101" s="32" t="s">
        <v>5148</v>
      </c>
      <c r="AB101" s="32" t="s">
        <v>4262</v>
      </c>
      <c r="AC101" s="32" t="s">
        <v>4263</v>
      </c>
      <c r="AD101" s="32" t="s">
        <v>4264</v>
      </c>
      <c r="AE101" s="32" t="s">
        <v>4265</v>
      </c>
      <c r="AF101" s="32" t="s">
        <v>1324</v>
      </c>
      <c r="AG101" s="32">
        <v>84.0</v>
      </c>
      <c r="AH101" s="32">
        <v>53.0</v>
      </c>
      <c r="AI101" s="32">
        <v>63.0</v>
      </c>
      <c r="AJ101" s="32">
        <v>0.0</v>
      </c>
      <c r="AK101" s="32">
        <v>7.0</v>
      </c>
      <c r="AL101" s="32" t="s">
        <v>4266</v>
      </c>
      <c r="AM101" s="32" t="s">
        <v>2792</v>
      </c>
      <c r="AN101" s="32" t="s">
        <v>4267</v>
      </c>
      <c r="AO101" s="32" t="s">
        <v>4268</v>
      </c>
      <c r="AP101" s="32" t="s">
        <v>4269</v>
      </c>
      <c r="AQ101" s="32" t="s">
        <v>1324</v>
      </c>
      <c r="AR101" s="32" t="s">
        <v>4270</v>
      </c>
      <c r="AS101" s="32" t="s">
        <v>4271</v>
      </c>
      <c r="AT101" s="32" t="s">
        <v>4272</v>
      </c>
      <c r="AU101" s="32">
        <v>2012.0</v>
      </c>
      <c r="AV101" s="32">
        <v>117.0</v>
      </c>
      <c r="AW101" s="32" t="s">
        <v>1324</v>
      </c>
      <c r="AX101" s="32" t="s">
        <v>1324</v>
      </c>
      <c r="AY101" s="32" t="s">
        <v>1324</v>
      </c>
      <c r="AZ101" s="32" t="s">
        <v>1324</v>
      </c>
      <c r="BA101" s="32" t="s">
        <v>1324</v>
      </c>
      <c r="BB101" s="32" t="s">
        <v>1324</v>
      </c>
      <c r="BC101" s="32" t="s">
        <v>1324</v>
      </c>
      <c r="BD101" s="32" t="s">
        <v>4273</v>
      </c>
      <c r="BE101" s="32" t="s">
        <v>1810</v>
      </c>
      <c r="BF101" s="38" t="str">
        <f>HYPERLINK("http://dx.doi.org/10.1029/2011JG001930","http://dx.doi.org/10.1029/2011JG001930")</f>
        <v>http://dx.doi.org/10.1029/2011JG001930</v>
      </c>
      <c r="BG101" s="32" t="s">
        <v>1324</v>
      </c>
      <c r="BH101" s="32" t="s">
        <v>1324</v>
      </c>
      <c r="BI101" s="32">
        <v>18.0</v>
      </c>
      <c r="BJ101" s="32" t="s">
        <v>1266</v>
      </c>
      <c r="BK101" s="32" t="s">
        <v>2407</v>
      </c>
      <c r="BL101" s="32" t="s">
        <v>3113</v>
      </c>
      <c r="BM101" s="32" t="s">
        <v>4274</v>
      </c>
      <c r="BN101" s="32" t="s">
        <v>1324</v>
      </c>
      <c r="BO101" s="32" t="s">
        <v>1324</v>
      </c>
      <c r="BP101" s="32" t="s">
        <v>1324</v>
      </c>
      <c r="BQ101" s="32" t="s">
        <v>1324</v>
      </c>
      <c r="BR101" s="32" t="s">
        <v>5268</v>
      </c>
      <c r="BS101" s="32" t="s">
        <v>4275</v>
      </c>
      <c r="BT101" s="32" t="str">
        <f>HYPERLINK("https%3A%2F%2Fwww.webofscience.com%2Fwos%2Fwoscc%2Ffull-record%2FWOS:000305154000001","View Full Record in Web of Science")</f>
        <v>View Full Record in Web of Science</v>
      </c>
    </row>
    <row r="102" ht="12.75" customHeight="1">
      <c r="A102" s="32" t="s">
        <v>26</v>
      </c>
      <c r="B102" s="32" t="s">
        <v>4276</v>
      </c>
      <c r="C102" s="32" t="s">
        <v>1324</v>
      </c>
      <c r="D102" s="32" t="s">
        <v>1324</v>
      </c>
      <c r="E102" s="32" t="s">
        <v>1324</v>
      </c>
      <c r="F102" s="32" t="s">
        <v>2114</v>
      </c>
      <c r="G102" s="32" t="s">
        <v>1324</v>
      </c>
      <c r="H102" s="32" t="s">
        <v>1324</v>
      </c>
      <c r="I102" s="32" t="s">
        <v>2115</v>
      </c>
      <c r="J102" s="32" t="s">
        <v>251</v>
      </c>
      <c r="K102" s="32" t="s">
        <v>1324</v>
      </c>
      <c r="L102" s="32" t="s">
        <v>1324</v>
      </c>
      <c r="M102" s="32" t="s">
        <v>2364</v>
      </c>
      <c r="N102" s="32" t="s">
        <v>38</v>
      </c>
      <c r="O102" s="32" t="s">
        <v>1324</v>
      </c>
      <c r="P102" s="32" t="s">
        <v>1324</v>
      </c>
      <c r="Q102" s="32" t="s">
        <v>1324</v>
      </c>
      <c r="R102" s="32" t="s">
        <v>1324</v>
      </c>
      <c r="S102" s="32" t="s">
        <v>1324</v>
      </c>
      <c r="T102" s="32" t="s">
        <v>4277</v>
      </c>
      <c r="U102" s="32" t="s">
        <v>4278</v>
      </c>
      <c r="V102" s="32" t="s">
        <v>2116</v>
      </c>
      <c r="W102" s="32" t="s">
        <v>4279</v>
      </c>
      <c r="X102" s="32" t="s">
        <v>4280</v>
      </c>
      <c r="Y102" s="32" t="s">
        <v>4281</v>
      </c>
      <c r="Z102" s="32" t="s">
        <v>4282</v>
      </c>
      <c r="AA102" s="32" t="s">
        <v>5382</v>
      </c>
      <c r="AB102" s="32" t="s">
        <v>5240</v>
      </c>
      <c r="AC102" s="32" t="s">
        <v>4285</v>
      </c>
      <c r="AD102" s="32" t="s">
        <v>4286</v>
      </c>
      <c r="AE102" s="32" t="s">
        <v>4287</v>
      </c>
      <c r="AF102" s="32" t="s">
        <v>1324</v>
      </c>
      <c r="AG102" s="32">
        <v>50.0</v>
      </c>
      <c r="AH102" s="32">
        <v>55.0</v>
      </c>
      <c r="AI102" s="32">
        <v>62.0</v>
      </c>
      <c r="AJ102" s="32">
        <v>0.0</v>
      </c>
      <c r="AK102" s="32">
        <v>121.0</v>
      </c>
      <c r="AL102" s="32" t="s">
        <v>2530</v>
      </c>
      <c r="AM102" s="32" t="s">
        <v>2509</v>
      </c>
      <c r="AN102" s="32" t="s">
        <v>2646</v>
      </c>
      <c r="AO102" s="32" t="s">
        <v>2939</v>
      </c>
      <c r="AP102" s="32" t="s">
        <v>2940</v>
      </c>
      <c r="AQ102" s="32" t="s">
        <v>1324</v>
      </c>
      <c r="AR102" s="32" t="s">
        <v>2941</v>
      </c>
      <c r="AS102" s="32" t="s">
        <v>2942</v>
      </c>
      <c r="AT102" s="32" t="s">
        <v>2734</v>
      </c>
      <c r="AU102" s="32">
        <v>2012.0</v>
      </c>
      <c r="AV102" s="32">
        <v>148.0</v>
      </c>
      <c r="AW102" s="32">
        <v>1.0</v>
      </c>
      <c r="AX102" s="32" t="s">
        <v>1324</v>
      </c>
      <c r="AY102" s="32" t="s">
        <v>1324</v>
      </c>
      <c r="AZ102" s="32" t="s">
        <v>1324</v>
      </c>
      <c r="BA102" s="32" t="s">
        <v>1324</v>
      </c>
      <c r="BB102" s="32">
        <v>61.0</v>
      </c>
      <c r="BC102" s="32">
        <v>68.0</v>
      </c>
      <c r="BD102" s="32" t="s">
        <v>1324</v>
      </c>
      <c r="BE102" s="32" t="s">
        <v>2117</v>
      </c>
      <c r="BF102" s="38" t="str">
        <f>HYPERLINK("http://dx.doi.org/10.1016/j.biocon.2012.01.062","http://dx.doi.org/10.1016/j.biocon.2012.01.062")</f>
        <v>http://dx.doi.org/10.1016/j.biocon.2012.01.062</v>
      </c>
      <c r="BG102" s="32" t="s">
        <v>1324</v>
      </c>
      <c r="BH102" s="32" t="s">
        <v>1324</v>
      </c>
      <c r="BI102" s="32">
        <v>8.0</v>
      </c>
      <c r="BJ102" s="32" t="s">
        <v>255</v>
      </c>
      <c r="BK102" s="32" t="s">
        <v>2407</v>
      </c>
      <c r="BL102" s="32" t="s">
        <v>2577</v>
      </c>
      <c r="BM102" s="32" t="s">
        <v>4288</v>
      </c>
      <c r="BN102" s="32" t="s">
        <v>1324</v>
      </c>
      <c r="BO102" s="32" t="s">
        <v>1324</v>
      </c>
      <c r="BP102" s="32" t="s">
        <v>1324</v>
      </c>
      <c r="BQ102" s="32" t="s">
        <v>1324</v>
      </c>
      <c r="BR102" s="32" t="s">
        <v>5268</v>
      </c>
      <c r="BS102" s="32" t="s">
        <v>4289</v>
      </c>
      <c r="BT102" s="32" t="str">
        <f>HYPERLINK("https%3A%2F%2Fwww.webofscience.com%2Fwos%2Fwoscc%2Ffull-record%2FWOS:000302840100007","View Full Record in Web of Science")</f>
        <v>View Full Record in Web of Science</v>
      </c>
    </row>
    <row r="103" ht="12.75" customHeight="1">
      <c r="A103" s="32" t="s">
        <v>26</v>
      </c>
      <c r="B103" s="32" t="s">
        <v>4290</v>
      </c>
      <c r="C103" s="32" t="s">
        <v>1324</v>
      </c>
      <c r="D103" s="32" t="s">
        <v>1324</v>
      </c>
      <c r="E103" s="32" t="s">
        <v>1324</v>
      </c>
      <c r="F103" s="32" t="s">
        <v>1847</v>
      </c>
      <c r="G103" s="32" t="s">
        <v>1324</v>
      </c>
      <c r="H103" s="32" t="s">
        <v>1324</v>
      </c>
      <c r="I103" s="32" t="s">
        <v>1849</v>
      </c>
      <c r="J103" s="32" t="s">
        <v>1848</v>
      </c>
      <c r="K103" s="32" t="s">
        <v>1324</v>
      </c>
      <c r="L103" s="32" t="s">
        <v>1324</v>
      </c>
      <c r="M103" s="32" t="s">
        <v>2364</v>
      </c>
      <c r="N103" s="32" t="s">
        <v>38</v>
      </c>
      <c r="O103" s="32" t="s">
        <v>1324</v>
      </c>
      <c r="P103" s="32" t="s">
        <v>1324</v>
      </c>
      <c r="Q103" s="32" t="s">
        <v>1324</v>
      </c>
      <c r="R103" s="32" t="s">
        <v>1324</v>
      </c>
      <c r="S103" s="32" t="s">
        <v>1324</v>
      </c>
      <c r="T103" s="32" t="s">
        <v>1324</v>
      </c>
      <c r="U103" s="32" t="s">
        <v>4291</v>
      </c>
      <c r="V103" s="32" t="s">
        <v>1850</v>
      </c>
      <c r="W103" s="32" t="s">
        <v>4292</v>
      </c>
      <c r="X103" s="32" t="s">
        <v>4293</v>
      </c>
      <c r="Y103" s="32" t="s">
        <v>4294</v>
      </c>
      <c r="Z103" s="32" t="s">
        <v>4295</v>
      </c>
      <c r="AA103" s="32" t="s">
        <v>4296</v>
      </c>
      <c r="AB103" s="32" t="s">
        <v>4297</v>
      </c>
      <c r="AC103" s="32" t="s">
        <v>1324</v>
      </c>
      <c r="AD103" s="32" t="s">
        <v>1324</v>
      </c>
      <c r="AE103" s="32" t="s">
        <v>1324</v>
      </c>
      <c r="AF103" s="32" t="s">
        <v>1324</v>
      </c>
      <c r="AG103" s="32">
        <v>77.0</v>
      </c>
      <c r="AH103" s="32">
        <v>922.0</v>
      </c>
      <c r="AI103" s="32">
        <v>1074.0</v>
      </c>
      <c r="AJ103" s="32">
        <v>7.0</v>
      </c>
      <c r="AK103" s="32">
        <v>426.0</v>
      </c>
      <c r="AL103" s="32" t="s">
        <v>4188</v>
      </c>
      <c r="AM103" s="32" t="s">
        <v>3872</v>
      </c>
      <c r="AN103" s="32" t="s">
        <v>4298</v>
      </c>
      <c r="AO103" s="32" t="s">
        <v>4299</v>
      </c>
      <c r="AP103" s="32" t="s">
        <v>4300</v>
      </c>
      <c r="AQ103" s="32" t="s">
        <v>1324</v>
      </c>
      <c r="AR103" s="32" t="s">
        <v>4301</v>
      </c>
      <c r="AS103" s="32" t="s">
        <v>4302</v>
      </c>
      <c r="AT103" s="32" t="s">
        <v>3168</v>
      </c>
      <c r="AU103" s="32">
        <v>2012.0</v>
      </c>
      <c r="AV103" s="32">
        <v>22.0</v>
      </c>
      <c r="AW103" s="32">
        <v>1.0</v>
      </c>
      <c r="AX103" s="32" t="s">
        <v>1324</v>
      </c>
      <c r="AY103" s="32" t="s">
        <v>1324</v>
      </c>
      <c r="AZ103" s="32" t="s">
        <v>1324</v>
      </c>
      <c r="BA103" s="32" t="s">
        <v>1324</v>
      </c>
      <c r="BB103" s="32">
        <v>1.0</v>
      </c>
      <c r="BC103" s="32">
        <v>34.0</v>
      </c>
      <c r="BD103" s="32" t="s">
        <v>1324</v>
      </c>
      <c r="BE103" s="32" t="s">
        <v>1851</v>
      </c>
      <c r="BF103" s="38" t="str">
        <f>HYPERLINK("http://dx.doi.org/10.1017/S0959270912000020","http://dx.doi.org/10.1017/S0959270912000020")</f>
        <v>http://dx.doi.org/10.1017/S0959270912000020</v>
      </c>
      <c r="BG103" s="32" t="s">
        <v>1324</v>
      </c>
      <c r="BH103" s="32" t="s">
        <v>1324</v>
      </c>
      <c r="BI103" s="32">
        <v>34.0</v>
      </c>
      <c r="BJ103" s="32" t="s">
        <v>4303</v>
      </c>
      <c r="BK103" s="32" t="s">
        <v>2407</v>
      </c>
      <c r="BL103" s="32" t="s">
        <v>4304</v>
      </c>
      <c r="BM103" s="32" t="s">
        <v>4305</v>
      </c>
      <c r="BN103" s="32" t="s">
        <v>1324</v>
      </c>
      <c r="BO103" s="32" t="s">
        <v>2715</v>
      </c>
      <c r="BP103" s="32" t="s">
        <v>1324</v>
      </c>
      <c r="BQ103" s="32" t="s">
        <v>1324</v>
      </c>
      <c r="BR103" s="32" t="s">
        <v>5268</v>
      </c>
      <c r="BS103" s="32" t="s">
        <v>4306</v>
      </c>
      <c r="BT103" s="32" t="str">
        <f>HYPERLINK("https%3A%2F%2Fwww.webofscience.com%2Fwos%2Fwoscc%2Ffull-record%2FWOS:000301298900001","View Full Record in Web of Science")</f>
        <v>View Full Record in Web of Science</v>
      </c>
    </row>
    <row r="104" ht="12.75" customHeight="1">
      <c r="A104" s="32" t="s">
        <v>26</v>
      </c>
      <c r="B104" s="32" t="s">
        <v>4307</v>
      </c>
      <c r="C104" s="32" t="s">
        <v>1324</v>
      </c>
      <c r="D104" s="32" t="s">
        <v>1324</v>
      </c>
      <c r="E104" s="32" t="s">
        <v>1324</v>
      </c>
      <c r="F104" s="32" t="s">
        <v>1626</v>
      </c>
      <c r="G104" s="32" t="s">
        <v>1324</v>
      </c>
      <c r="H104" s="32" t="s">
        <v>1324</v>
      </c>
      <c r="I104" s="32" t="s">
        <v>1627</v>
      </c>
      <c r="J104" s="32" t="s">
        <v>774</v>
      </c>
      <c r="K104" s="32" t="s">
        <v>1324</v>
      </c>
      <c r="L104" s="32" t="s">
        <v>1324</v>
      </c>
      <c r="M104" s="32" t="s">
        <v>2364</v>
      </c>
      <c r="N104" s="32" t="s">
        <v>38</v>
      </c>
      <c r="O104" s="32" t="s">
        <v>1324</v>
      </c>
      <c r="P104" s="32" t="s">
        <v>1324</v>
      </c>
      <c r="Q104" s="32" t="s">
        <v>1324</v>
      </c>
      <c r="R104" s="32" t="s">
        <v>1324</v>
      </c>
      <c r="S104" s="32" t="s">
        <v>1324</v>
      </c>
      <c r="T104" s="32" t="s">
        <v>4308</v>
      </c>
      <c r="U104" s="32" t="s">
        <v>4309</v>
      </c>
      <c r="V104" s="32" t="s">
        <v>1628</v>
      </c>
      <c r="W104" s="32" t="s">
        <v>4310</v>
      </c>
      <c r="X104" s="32" t="s">
        <v>4311</v>
      </c>
      <c r="Y104" s="32" t="s">
        <v>4312</v>
      </c>
      <c r="Z104" s="32" t="s">
        <v>4313</v>
      </c>
      <c r="AA104" s="32" t="s">
        <v>5383</v>
      </c>
      <c r="AB104" s="32" t="s">
        <v>5384</v>
      </c>
      <c r="AC104" s="32" t="s">
        <v>4316</v>
      </c>
      <c r="AD104" s="32" t="s">
        <v>4317</v>
      </c>
      <c r="AE104" s="32" t="s">
        <v>4318</v>
      </c>
      <c r="AF104" s="32" t="s">
        <v>1324</v>
      </c>
      <c r="AG104" s="32">
        <v>76.0</v>
      </c>
      <c r="AH104" s="32">
        <v>127.0</v>
      </c>
      <c r="AI104" s="32">
        <v>152.0</v>
      </c>
      <c r="AJ104" s="32">
        <v>13.0</v>
      </c>
      <c r="AK104" s="32">
        <v>377.0</v>
      </c>
      <c r="AL104" s="32" t="s">
        <v>2464</v>
      </c>
      <c r="AM104" s="32" t="s">
        <v>2465</v>
      </c>
      <c r="AN104" s="32" t="s">
        <v>2466</v>
      </c>
      <c r="AO104" s="32" t="s">
        <v>2923</v>
      </c>
      <c r="AP104" s="32" t="s">
        <v>2924</v>
      </c>
      <c r="AQ104" s="32" t="s">
        <v>1324</v>
      </c>
      <c r="AR104" s="32" t="s">
        <v>2925</v>
      </c>
      <c r="AS104" s="32" t="s">
        <v>2926</v>
      </c>
      <c r="AT104" s="32" t="s">
        <v>2818</v>
      </c>
      <c r="AU104" s="32">
        <v>2012.0</v>
      </c>
      <c r="AV104" s="32">
        <v>18.0</v>
      </c>
      <c r="AW104" s="32">
        <v>2.0</v>
      </c>
      <c r="AX104" s="32" t="s">
        <v>1324</v>
      </c>
      <c r="AY104" s="32" t="s">
        <v>1324</v>
      </c>
      <c r="AZ104" s="32" t="s">
        <v>1324</v>
      </c>
      <c r="BA104" s="32" t="s">
        <v>1324</v>
      </c>
      <c r="BB104" s="32">
        <v>504.0</v>
      </c>
      <c r="BC104" s="32">
        <v>514.0</v>
      </c>
      <c r="BD104" s="32" t="s">
        <v>1324</v>
      </c>
      <c r="BE104" s="32" t="s">
        <v>1629</v>
      </c>
      <c r="BF104" s="38" t="str">
        <f>HYPERLINK("http://dx.doi.org/10.1111/j.1365-2486.2011.02540.x","http://dx.doi.org/10.1111/j.1365-2486.2011.02540.x")</f>
        <v>http://dx.doi.org/10.1111/j.1365-2486.2011.02540.x</v>
      </c>
      <c r="BG104" s="32" t="s">
        <v>1324</v>
      </c>
      <c r="BH104" s="32" t="s">
        <v>1324</v>
      </c>
      <c r="BI104" s="32">
        <v>11.0</v>
      </c>
      <c r="BJ104" s="32" t="s">
        <v>255</v>
      </c>
      <c r="BK104" s="32" t="s">
        <v>2407</v>
      </c>
      <c r="BL104" s="32" t="s">
        <v>2577</v>
      </c>
      <c r="BM104" s="32" t="s">
        <v>4319</v>
      </c>
      <c r="BN104" s="32" t="s">
        <v>1324</v>
      </c>
      <c r="BO104" s="32" t="s">
        <v>1324</v>
      </c>
      <c r="BP104" s="32" t="s">
        <v>1324</v>
      </c>
      <c r="BQ104" s="32" t="s">
        <v>1324</v>
      </c>
      <c r="BR104" s="32" t="s">
        <v>5268</v>
      </c>
      <c r="BS104" s="32" t="s">
        <v>4320</v>
      </c>
      <c r="BT104" s="32" t="str">
        <f>HYPERLINK("https%3A%2F%2Fwww.webofscience.com%2Fwos%2Fwoscc%2Ffull-record%2FWOS:000299042500010","View Full Record in Web of Science")</f>
        <v>View Full Record in Web of Science</v>
      </c>
    </row>
    <row r="105" ht="12.75" customHeight="1">
      <c r="A105" s="32" t="s">
        <v>2433</v>
      </c>
      <c r="B105" s="32" t="s">
        <v>4321</v>
      </c>
      <c r="C105" s="32" t="s">
        <v>1324</v>
      </c>
      <c r="D105" s="32" t="s">
        <v>4321</v>
      </c>
      <c r="E105" s="32" t="s">
        <v>1324</v>
      </c>
      <c r="F105" s="32" t="s">
        <v>2159</v>
      </c>
      <c r="G105" s="32" t="s">
        <v>1324</v>
      </c>
      <c r="H105" s="32" t="s">
        <v>1324</v>
      </c>
      <c r="I105" s="32" t="s">
        <v>2161</v>
      </c>
      <c r="J105" s="32" t="s">
        <v>2160</v>
      </c>
      <c r="K105" s="32" t="s">
        <v>4322</v>
      </c>
      <c r="L105" s="32" t="s">
        <v>1324</v>
      </c>
      <c r="M105" s="32" t="s">
        <v>2364</v>
      </c>
      <c r="N105" s="32" t="s">
        <v>2437</v>
      </c>
      <c r="O105" s="32" t="s">
        <v>1324</v>
      </c>
      <c r="P105" s="32" t="s">
        <v>1324</v>
      </c>
      <c r="Q105" s="32" t="s">
        <v>1324</v>
      </c>
      <c r="R105" s="32" t="s">
        <v>1324</v>
      </c>
      <c r="S105" s="32" t="s">
        <v>1324</v>
      </c>
      <c r="T105" s="32" t="s">
        <v>4323</v>
      </c>
      <c r="U105" s="32" t="s">
        <v>4324</v>
      </c>
      <c r="V105" s="32" t="s">
        <v>4325</v>
      </c>
      <c r="W105" s="32" t="s">
        <v>4326</v>
      </c>
      <c r="X105" s="32" t="s">
        <v>4327</v>
      </c>
      <c r="Y105" s="32" t="s">
        <v>4328</v>
      </c>
      <c r="Z105" s="32" t="s">
        <v>1324</v>
      </c>
      <c r="AA105" s="32" t="s">
        <v>4329</v>
      </c>
      <c r="AB105" s="32" t="s">
        <v>4330</v>
      </c>
      <c r="AC105" s="32" t="s">
        <v>1324</v>
      </c>
      <c r="AD105" s="32" t="s">
        <v>1324</v>
      </c>
      <c r="AE105" s="32" t="s">
        <v>1324</v>
      </c>
      <c r="AF105" s="32" t="s">
        <v>1324</v>
      </c>
      <c r="AG105" s="32">
        <v>16.0</v>
      </c>
      <c r="AH105" s="32">
        <v>29.0</v>
      </c>
      <c r="AI105" s="32">
        <v>35.0</v>
      </c>
      <c r="AJ105" s="32">
        <v>0.0</v>
      </c>
      <c r="AK105" s="32">
        <v>7.0</v>
      </c>
      <c r="AL105" s="32" t="s">
        <v>3043</v>
      </c>
      <c r="AM105" s="32" t="s">
        <v>2487</v>
      </c>
      <c r="AN105" s="32" t="s">
        <v>4331</v>
      </c>
      <c r="AO105" s="32" t="s">
        <v>1324</v>
      </c>
      <c r="AP105" s="32" t="s">
        <v>1324</v>
      </c>
      <c r="AQ105" s="32" t="s">
        <v>4332</v>
      </c>
      <c r="AR105" s="32" t="s">
        <v>4333</v>
      </c>
      <c r="AS105" s="32" t="s">
        <v>1324</v>
      </c>
      <c r="AT105" s="32" t="s">
        <v>1324</v>
      </c>
      <c r="AU105" s="32">
        <v>2012.0</v>
      </c>
      <c r="AV105" s="32" t="s">
        <v>1324</v>
      </c>
      <c r="AW105" s="32" t="s">
        <v>1324</v>
      </c>
      <c r="AX105" s="32" t="s">
        <v>1324</v>
      </c>
      <c r="AY105" s="32" t="s">
        <v>1324</v>
      </c>
      <c r="AZ105" s="32" t="s">
        <v>1324</v>
      </c>
      <c r="BA105" s="32" t="s">
        <v>1324</v>
      </c>
      <c r="BB105" s="32">
        <v>871.0</v>
      </c>
      <c r="BC105" s="32">
        <v>890.0</v>
      </c>
      <c r="BD105" s="32" t="s">
        <v>1324</v>
      </c>
      <c r="BE105" s="32" t="s">
        <v>2163</v>
      </c>
      <c r="BF105" s="38" t="str">
        <f>HYPERLINK("http://dx.doi.org/10.1016/B978-0-12-385140-6.00064-5","http://dx.doi.org/10.1016/B978-0-12-385140-6.00064-5")</f>
        <v>http://dx.doi.org/10.1016/B978-0-12-385140-6.00064-5</v>
      </c>
      <c r="BG105" s="32" t="s">
        <v>1324</v>
      </c>
      <c r="BH105" s="32" t="s">
        <v>1324</v>
      </c>
      <c r="BI105" s="32">
        <v>20.0</v>
      </c>
      <c r="BJ105" s="32" t="s">
        <v>59</v>
      </c>
      <c r="BK105" s="32" t="s">
        <v>2448</v>
      </c>
      <c r="BL105" s="32" t="s">
        <v>4105</v>
      </c>
      <c r="BM105" s="32" t="s">
        <v>4334</v>
      </c>
      <c r="BN105" s="32" t="s">
        <v>1324</v>
      </c>
      <c r="BO105" s="32" t="s">
        <v>1324</v>
      </c>
      <c r="BP105" s="32" t="s">
        <v>1324</v>
      </c>
      <c r="BQ105" s="32" t="s">
        <v>1324</v>
      </c>
      <c r="BR105" s="32" t="s">
        <v>5268</v>
      </c>
      <c r="BS105" s="32" t="s">
        <v>4335</v>
      </c>
      <c r="BT105" s="32" t="str">
        <f>HYPERLINK("https%3A%2F%2Fwww.webofscience.com%2Fwos%2Fwoscc%2Ffull-record%2FWOS:000322237000066","View Full Record in Web of Science")</f>
        <v>View Full Record in Web of Science</v>
      </c>
    </row>
    <row r="106" ht="12.75" customHeight="1">
      <c r="A106" s="32" t="s">
        <v>26</v>
      </c>
      <c r="B106" s="32" t="s">
        <v>4336</v>
      </c>
      <c r="C106" s="32" t="s">
        <v>1324</v>
      </c>
      <c r="D106" s="32" t="s">
        <v>1324</v>
      </c>
      <c r="E106" s="32" t="s">
        <v>1324</v>
      </c>
      <c r="F106" s="32" t="s">
        <v>2177</v>
      </c>
      <c r="G106" s="32" t="s">
        <v>1324</v>
      </c>
      <c r="H106" s="32" t="s">
        <v>1324</v>
      </c>
      <c r="I106" s="32" t="s">
        <v>2178</v>
      </c>
      <c r="J106" s="32" t="s">
        <v>2172</v>
      </c>
      <c r="K106" s="32" t="s">
        <v>1324</v>
      </c>
      <c r="L106" s="32" t="s">
        <v>1324</v>
      </c>
      <c r="M106" s="32" t="s">
        <v>2364</v>
      </c>
      <c r="N106" s="32" t="s">
        <v>38</v>
      </c>
      <c r="O106" s="32" t="s">
        <v>1324</v>
      </c>
      <c r="P106" s="32" t="s">
        <v>1324</v>
      </c>
      <c r="Q106" s="32" t="s">
        <v>1324</v>
      </c>
      <c r="R106" s="32" t="s">
        <v>1324</v>
      </c>
      <c r="S106" s="32" t="s">
        <v>1324</v>
      </c>
      <c r="T106" s="32" t="s">
        <v>4337</v>
      </c>
      <c r="U106" s="32" t="s">
        <v>4338</v>
      </c>
      <c r="V106" s="32" t="s">
        <v>2179</v>
      </c>
      <c r="W106" s="32" t="s">
        <v>4339</v>
      </c>
      <c r="X106" s="32" t="s">
        <v>4340</v>
      </c>
      <c r="Y106" s="32" t="s">
        <v>4341</v>
      </c>
      <c r="Z106" s="32" t="s">
        <v>4342</v>
      </c>
      <c r="AA106" s="32" t="s">
        <v>1324</v>
      </c>
      <c r="AB106" s="32" t="s">
        <v>1324</v>
      </c>
      <c r="AC106" s="32" t="s">
        <v>4343</v>
      </c>
      <c r="AD106" s="32" t="s">
        <v>4344</v>
      </c>
      <c r="AE106" s="32" t="s">
        <v>4345</v>
      </c>
      <c r="AF106" s="32" t="s">
        <v>1324</v>
      </c>
      <c r="AG106" s="32">
        <v>60.0</v>
      </c>
      <c r="AH106" s="32">
        <v>53.0</v>
      </c>
      <c r="AI106" s="32">
        <v>58.0</v>
      </c>
      <c r="AJ106" s="32">
        <v>4.0</v>
      </c>
      <c r="AK106" s="32">
        <v>131.0</v>
      </c>
      <c r="AL106" s="32" t="s">
        <v>3250</v>
      </c>
      <c r="AM106" s="32" t="s">
        <v>3872</v>
      </c>
      <c r="AN106" s="32" t="s">
        <v>3873</v>
      </c>
      <c r="AO106" s="32" t="s">
        <v>3874</v>
      </c>
      <c r="AP106" s="32" t="s">
        <v>3875</v>
      </c>
      <c r="AQ106" s="32" t="s">
        <v>1324</v>
      </c>
      <c r="AR106" s="32" t="s">
        <v>3876</v>
      </c>
      <c r="AS106" s="32" t="s">
        <v>3877</v>
      </c>
      <c r="AT106" s="32" t="s">
        <v>2908</v>
      </c>
      <c r="AU106" s="32">
        <v>2011.0</v>
      </c>
      <c r="AV106" s="32">
        <v>64.0</v>
      </c>
      <c r="AW106" s="32">
        <v>8.0</v>
      </c>
      <c r="AX106" s="32" t="s">
        <v>1324</v>
      </c>
      <c r="AY106" s="32" t="s">
        <v>1324</v>
      </c>
      <c r="AZ106" s="32" t="s">
        <v>1324</v>
      </c>
      <c r="BA106" s="32" t="s">
        <v>1324</v>
      </c>
      <c r="BB106" s="32">
        <v>2183.0</v>
      </c>
      <c r="BC106" s="32">
        <v>2193.0</v>
      </c>
      <c r="BD106" s="32" t="s">
        <v>1324</v>
      </c>
      <c r="BE106" s="32" t="s">
        <v>2180</v>
      </c>
      <c r="BF106" s="38" t="str">
        <f>HYPERLINK("http://dx.doi.org/10.1007/s12665-011-1046-4","http://dx.doi.org/10.1007/s12665-011-1046-4")</f>
        <v>http://dx.doi.org/10.1007/s12665-011-1046-4</v>
      </c>
      <c r="BG106" s="32" t="s">
        <v>1324</v>
      </c>
      <c r="BH106" s="32" t="s">
        <v>1324</v>
      </c>
      <c r="BI106" s="32">
        <v>11.0</v>
      </c>
      <c r="BJ106" s="32" t="s">
        <v>3878</v>
      </c>
      <c r="BK106" s="32" t="s">
        <v>2407</v>
      </c>
      <c r="BL106" s="32" t="s">
        <v>3879</v>
      </c>
      <c r="BM106" s="32" t="s">
        <v>4346</v>
      </c>
      <c r="BN106" s="32" t="s">
        <v>1324</v>
      </c>
      <c r="BO106" s="32" t="s">
        <v>1324</v>
      </c>
      <c r="BP106" s="32" t="s">
        <v>1324</v>
      </c>
      <c r="BQ106" s="32" t="s">
        <v>1324</v>
      </c>
      <c r="BR106" s="32" t="s">
        <v>5268</v>
      </c>
      <c r="BS106" s="32" t="s">
        <v>4347</v>
      </c>
      <c r="BT106" s="32" t="str">
        <f>HYPERLINK("https%3A%2F%2Fwww.webofscience.com%2Fwos%2Fwoscc%2Ffull-record%2FWOS:000297165900017","View Full Record in Web of Science")</f>
        <v>View Full Record in Web of Science</v>
      </c>
    </row>
    <row r="107" ht="12.75" customHeight="1">
      <c r="A107" s="32" t="s">
        <v>26</v>
      </c>
      <c r="B107" s="32" t="s">
        <v>2412</v>
      </c>
      <c r="C107" s="32" t="s">
        <v>1324</v>
      </c>
      <c r="D107" s="32" t="s">
        <v>1324</v>
      </c>
      <c r="E107" s="32" t="s">
        <v>1324</v>
      </c>
      <c r="F107" s="32" t="s">
        <v>1477</v>
      </c>
      <c r="G107" s="32" t="s">
        <v>1324</v>
      </c>
      <c r="H107" s="32" t="s">
        <v>1324</v>
      </c>
      <c r="I107" s="32" t="s">
        <v>1478</v>
      </c>
      <c r="J107" s="32" t="s">
        <v>365</v>
      </c>
      <c r="K107" s="32" t="s">
        <v>1324</v>
      </c>
      <c r="L107" s="32" t="s">
        <v>1324</v>
      </c>
      <c r="M107" s="32" t="s">
        <v>2364</v>
      </c>
      <c r="N107" s="32" t="s">
        <v>38</v>
      </c>
      <c r="O107" s="32" t="s">
        <v>1324</v>
      </c>
      <c r="P107" s="32" t="s">
        <v>1324</v>
      </c>
      <c r="Q107" s="32" t="s">
        <v>1324</v>
      </c>
      <c r="R107" s="32" t="s">
        <v>1324</v>
      </c>
      <c r="S107" s="32" t="s">
        <v>1324</v>
      </c>
      <c r="T107" s="32" t="s">
        <v>1324</v>
      </c>
      <c r="U107" s="32" t="s">
        <v>2413</v>
      </c>
      <c r="V107" s="32" t="s">
        <v>1479</v>
      </c>
      <c r="W107" s="32" t="s">
        <v>2414</v>
      </c>
      <c r="X107" s="32" t="s">
        <v>2415</v>
      </c>
      <c r="Y107" s="32" t="s">
        <v>2416</v>
      </c>
      <c r="Z107" s="32" t="s">
        <v>2417</v>
      </c>
      <c r="AA107" s="32" t="s">
        <v>5385</v>
      </c>
      <c r="AB107" s="32" t="s">
        <v>5386</v>
      </c>
      <c r="AC107" s="32" t="s">
        <v>2420</v>
      </c>
      <c r="AD107" s="32" t="s">
        <v>2421</v>
      </c>
      <c r="AE107" s="32" t="s">
        <v>2422</v>
      </c>
      <c r="AF107" s="32" t="s">
        <v>1324</v>
      </c>
      <c r="AG107" s="32">
        <v>69.0</v>
      </c>
      <c r="AH107" s="32">
        <v>65.0</v>
      </c>
      <c r="AI107" s="32">
        <v>80.0</v>
      </c>
      <c r="AJ107" s="32">
        <v>2.0</v>
      </c>
      <c r="AK107" s="32">
        <v>181.0</v>
      </c>
      <c r="AL107" s="32" t="s">
        <v>2423</v>
      </c>
      <c r="AM107" s="32" t="s">
        <v>2424</v>
      </c>
      <c r="AN107" s="32" t="s">
        <v>2425</v>
      </c>
      <c r="AO107" s="32" t="s">
        <v>2426</v>
      </c>
      <c r="AP107" s="32" t="s">
        <v>1324</v>
      </c>
      <c r="AQ107" s="32" t="s">
        <v>1324</v>
      </c>
      <c r="AR107" s="32" t="s">
        <v>365</v>
      </c>
      <c r="AS107" s="32" t="s">
        <v>2427</v>
      </c>
      <c r="AT107" s="32" t="s">
        <v>2428</v>
      </c>
      <c r="AU107" s="32">
        <v>2011.0</v>
      </c>
      <c r="AV107" s="32">
        <v>6.0</v>
      </c>
      <c r="AW107" s="32">
        <v>11.0</v>
      </c>
      <c r="AX107" s="32" t="s">
        <v>1324</v>
      </c>
      <c r="AY107" s="32" t="s">
        <v>1324</v>
      </c>
      <c r="AZ107" s="32" t="s">
        <v>1324</v>
      </c>
      <c r="BA107" s="32" t="s">
        <v>1324</v>
      </c>
      <c r="BB107" s="32" t="s">
        <v>1324</v>
      </c>
      <c r="BC107" s="32" t="s">
        <v>1324</v>
      </c>
      <c r="BD107" s="32" t="s">
        <v>2429</v>
      </c>
      <c r="BE107" s="32" t="s">
        <v>1480</v>
      </c>
      <c r="BF107" s="38" t="str">
        <f>HYPERLINK("http://dx.doi.org/10.1371/journal.pone.0027785","http://dx.doi.org/10.1371/journal.pone.0027785")</f>
        <v>http://dx.doi.org/10.1371/journal.pone.0027785</v>
      </c>
      <c r="BG107" s="32" t="s">
        <v>1324</v>
      </c>
      <c r="BH107" s="32" t="s">
        <v>1324</v>
      </c>
      <c r="BI107" s="32">
        <v>12.0</v>
      </c>
      <c r="BJ107" s="32" t="s">
        <v>42</v>
      </c>
      <c r="BK107" s="32" t="s">
        <v>2407</v>
      </c>
      <c r="BL107" s="32" t="s">
        <v>2430</v>
      </c>
      <c r="BM107" s="32" t="s">
        <v>2431</v>
      </c>
      <c r="BN107" s="32">
        <v>2.2114695E7</v>
      </c>
      <c r="BO107" s="32" t="s">
        <v>2410</v>
      </c>
      <c r="BP107" s="32" t="s">
        <v>1324</v>
      </c>
      <c r="BQ107" s="32" t="s">
        <v>1324</v>
      </c>
      <c r="BR107" s="32" t="s">
        <v>5268</v>
      </c>
      <c r="BS107" s="32" t="s">
        <v>2432</v>
      </c>
      <c r="BT107" s="32" t="str">
        <f>HYPERLINK("https%3A%2F%2Fwww.webofscience.com%2Fwos%2Fwoscc%2Ffull-record%2FWOS:000297555400114","View Full Record in Web of Science")</f>
        <v>View Full Record in Web of Science</v>
      </c>
    </row>
    <row r="108" ht="12.75" customHeight="1">
      <c r="A108" s="32" t="s">
        <v>26</v>
      </c>
      <c r="B108" s="32" t="s">
        <v>4361</v>
      </c>
      <c r="C108" s="32" t="s">
        <v>1324</v>
      </c>
      <c r="D108" s="32" t="s">
        <v>1324</v>
      </c>
      <c r="E108" s="32" t="s">
        <v>1324</v>
      </c>
      <c r="F108" s="32" t="s">
        <v>1714</v>
      </c>
      <c r="G108" s="32" t="s">
        <v>1324</v>
      </c>
      <c r="H108" s="32" t="s">
        <v>1324</v>
      </c>
      <c r="I108" s="32" t="s">
        <v>1715</v>
      </c>
      <c r="J108" s="32" t="s">
        <v>460</v>
      </c>
      <c r="K108" s="32" t="s">
        <v>1324</v>
      </c>
      <c r="L108" s="32" t="s">
        <v>1324</v>
      </c>
      <c r="M108" s="32" t="s">
        <v>2364</v>
      </c>
      <c r="N108" s="32" t="s">
        <v>38</v>
      </c>
      <c r="O108" s="32" t="s">
        <v>1324</v>
      </c>
      <c r="P108" s="32" t="s">
        <v>1324</v>
      </c>
      <c r="Q108" s="32" t="s">
        <v>1324</v>
      </c>
      <c r="R108" s="32" t="s">
        <v>1324</v>
      </c>
      <c r="S108" s="32" t="s">
        <v>1324</v>
      </c>
      <c r="T108" s="32" t="s">
        <v>4362</v>
      </c>
      <c r="U108" s="32" t="s">
        <v>4363</v>
      </c>
      <c r="V108" s="32" t="s">
        <v>1716</v>
      </c>
      <c r="W108" s="32" t="s">
        <v>4364</v>
      </c>
      <c r="X108" s="32" t="s">
        <v>4365</v>
      </c>
      <c r="Y108" s="32" t="s">
        <v>4366</v>
      </c>
      <c r="Z108" s="32" t="s">
        <v>4367</v>
      </c>
      <c r="AA108" s="32" t="s">
        <v>5387</v>
      </c>
      <c r="AB108" s="32" t="s">
        <v>5388</v>
      </c>
      <c r="AC108" s="32" t="s">
        <v>4370</v>
      </c>
      <c r="AD108" s="32" t="s">
        <v>4371</v>
      </c>
      <c r="AE108" s="32" t="s">
        <v>4372</v>
      </c>
      <c r="AF108" s="32" t="s">
        <v>1324</v>
      </c>
      <c r="AG108" s="32">
        <v>89.0</v>
      </c>
      <c r="AH108" s="32">
        <v>149.0</v>
      </c>
      <c r="AI108" s="32">
        <v>173.0</v>
      </c>
      <c r="AJ108" s="32">
        <v>2.0</v>
      </c>
      <c r="AK108" s="32">
        <v>124.0</v>
      </c>
      <c r="AL108" s="32" t="s">
        <v>4373</v>
      </c>
      <c r="AM108" s="32" t="s">
        <v>2400</v>
      </c>
      <c r="AN108" s="32" t="s">
        <v>4374</v>
      </c>
      <c r="AO108" s="32" t="s">
        <v>4375</v>
      </c>
      <c r="AP108" s="32" t="s">
        <v>4376</v>
      </c>
      <c r="AQ108" s="32" t="s">
        <v>1324</v>
      </c>
      <c r="AR108" s="32" t="s">
        <v>4377</v>
      </c>
      <c r="AS108" s="32" t="s">
        <v>4378</v>
      </c>
      <c r="AT108" s="32" t="s">
        <v>4379</v>
      </c>
      <c r="AU108" s="32">
        <v>2011.0</v>
      </c>
      <c r="AV108" s="32">
        <v>366.0</v>
      </c>
      <c r="AW108" s="32">
        <v>1578.0</v>
      </c>
      <c r="AX108" s="32" t="s">
        <v>1324</v>
      </c>
      <c r="AY108" s="32" t="s">
        <v>1324</v>
      </c>
      <c r="AZ108" s="32" t="s">
        <v>3257</v>
      </c>
      <c r="BA108" s="32" t="s">
        <v>1324</v>
      </c>
      <c r="BB108" s="32">
        <v>2598.0</v>
      </c>
      <c r="BC108" s="32">
        <v>2610.0</v>
      </c>
      <c r="BD108" s="32" t="s">
        <v>1324</v>
      </c>
      <c r="BE108" s="32" t="s">
        <v>1717</v>
      </c>
      <c r="BF108" s="38" t="str">
        <f>HYPERLINK("http://dx.doi.org/10.1098/rstb.2011.0116","http://dx.doi.org/10.1098/rstb.2011.0116")</f>
        <v>http://dx.doi.org/10.1098/rstb.2011.0116</v>
      </c>
      <c r="BG108" s="32" t="s">
        <v>1324</v>
      </c>
      <c r="BH108" s="32" t="s">
        <v>1324</v>
      </c>
      <c r="BI108" s="32">
        <v>13.0</v>
      </c>
      <c r="BJ108" s="32" t="s">
        <v>188</v>
      </c>
      <c r="BK108" s="32" t="s">
        <v>2407</v>
      </c>
      <c r="BL108" s="32" t="s">
        <v>3721</v>
      </c>
      <c r="BM108" s="32" t="s">
        <v>4380</v>
      </c>
      <c r="BN108" s="32">
        <v>2.1844039E7</v>
      </c>
      <c r="BO108" s="32" t="s">
        <v>1324</v>
      </c>
      <c r="BP108" s="32" t="s">
        <v>1324</v>
      </c>
      <c r="BQ108" s="32" t="s">
        <v>1324</v>
      </c>
      <c r="BR108" s="32" t="s">
        <v>5268</v>
      </c>
      <c r="BS108" s="32" t="s">
        <v>4381</v>
      </c>
      <c r="BT108" s="32" t="str">
        <f>HYPERLINK("https%3A%2F%2Fwww.webofscience.com%2Fwos%2Fwoscc%2Ffull-record%2FWOS:000293858100002","View Full Record in Web of Science")</f>
        <v>View Full Record in Web of Science</v>
      </c>
    </row>
    <row r="109" ht="12.75" customHeight="1">
      <c r="A109" s="32" t="s">
        <v>26</v>
      </c>
      <c r="B109" s="32" t="s">
        <v>4382</v>
      </c>
      <c r="C109" s="32" t="s">
        <v>1324</v>
      </c>
      <c r="D109" s="32" t="s">
        <v>1324</v>
      </c>
      <c r="E109" s="32" t="s">
        <v>1324</v>
      </c>
      <c r="F109" s="32" t="s">
        <v>2064</v>
      </c>
      <c r="G109" s="32" t="s">
        <v>1324</v>
      </c>
      <c r="H109" s="32" t="s">
        <v>1324</v>
      </c>
      <c r="I109" s="32" t="s">
        <v>2065</v>
      </c>
      <c r="J109" s="32" t="s">
        <v>2059</v>
      </c>
      <c r="K109" s="32" t="s">
        <v>1324</v>
      </c>
      <c r="L109" s="32" t="s">
        <v>1324</v>
      </c>
      <c r="M109" s="32" t="s">
        <v>2364</v>
      </c>
      <c r="N109" s="32" t="s">
        <v>269</v>
      </c>
      <c r="O109" s="32" t="s">
        <v>4383</v>
      </c>
      <c r="P109" s="32" t="s">
        <v>4384</v>
      </c>
      <c r="Q109" s="32" t="s">
        <v>4385</v>
      </c>
      <c r="R109" s="32" t="s">
        <v>4386</v>
      </c>
      <c r="S109" s="32" t="s">
        <v>1324</v>
      </c>
      <c r="T109" s="32" t="s">
        <v>4387</v>
      </c>
      <c r="U109" s="32" t="s">
        <v>4388</v>
      </c>
      <c r="V109" s="32" t="s">
        <v>4389</v>
      </c>
      <c r="W109" s="32" t="s">
        <v>4390</v>
      </c>
      <c r="X109" s="32" t="s">
        <v>4391</v>
      </c>
      <c r="Y109" s="32" t="s">
        <v>4392</v>
      </c>
      <c r="Z109" s="32" t="s">
        <v>4393</v>
      </c>
      <c r="AA109" s="32" t="s">
        <v>5389</v>
      </c>
      <c r="AB109" s="32" t="s">
        <v>5390</v>
      </c>
      <c r="AC109" s="32" t="s">
        <v>1324</v>
      </c>
      <c r="AD109" s="32" t="s">
        <v>1324</v>
      </c>
      <c r="AE109" s="32" t="s">
        <v>1324</v>
      </c>
      <c r="AF109" s="32" t="s">
        <v>1324</v>
      </c>
      <c r="AG109" s="32">
        <v>33.0</v>
      </c>
      <c r="AH109" s="32">
        <v>30.0</v>
      </c>
      <c r="AI109" s="32">
        <v>38.0</v>
      </c>
      <c r="AJ109" s="32">
        <v>2.0</v>
      </c>
      <c r="AK109" s="32">
        <v>76.0</v>
      </c>
      <c r="AL109" s="32" t="s">
        <v>2486</v>
      </c>
      <c r="AM109" s="32" t="s">
        <v>2487</v>
      </c>
      <c r="AN109" s="32" t="s">
        <v>2488</v>
      </c>
      <c r="AO109" s="32" t="s">
        <v>3853</v>
      </c>
      <c r="AP109" s="32" t="s">
        <v>3854</v>
      </c>
      <c r="AQ109" s="32" t="s">
        <v>1324</v>
      </c>
      <c r="AR109" s="32" t="s">
        <v>3855</v>
      </c>
      <c r="AS109" s="32" t="s">
        <v>3856</v>
      </c>
      <c r="AT109" s="32" t="s">
        <v>4396</v>
      </c>
      <c r="AU109" s="32">
        <v>2011.0</v>
      </c>
      <c r="AV109" s="32">
        <v>222.0</v>
      </c>
      <c r="AW109" s="32">
        <v>14.0</v>
      </c>
      <c r="AX109" s="32" t="s">
        <v>1324</v>
      </c>
      <c r="AY109" s="32" t="s">
        <v>1324</v>
      </c>
      <c r="AZ109" s="32" t="s">
        <v>3257</v>
      </c>
      <c r="BA109" s="32" t="s">
        <v>1324</v>
      </c>
      <c r="BB109" s="32">
        <v>2333.0</v>
      </c>
      <c r="BC109" s="32">
        <v>2341.0</v>
      </c>
      <c r="BD109" s="32" t="s">
        <v>1324</v>
      </c>
      <c r="BE109" s="32" t="s">
        <v>2067</v>
      </c>
      <c r="BF109" s="38" t="str">
        <f>HYPERLINK("http://dx.doi.org/10.1016/j.ecolmodel.2011.03.042","http://dx.doi.org/10.1016/j.ecolmodel.2011.03.042")</f>
        <v>http://dx.doi.org/10.1016/j.ecolmodel.2011.03.042</v>
      </c>
      <c r="BG109" s="32" t="s">
        <v>1324</v>
      </c>
      <c r="BH109" s="32" t="s">
        <v>1324</v>
      </c>
      <c r="BI109" s="32">
        <v>9.0</v>
      </c>
      <c r="BJ109" s="32" t="s">
        <v>817</v>
      </c>
      <c r="BK109" s="32" t="s">
        <v>4397</v>
      </c>
      <c r="BL109" s="32" t="s">
        <v>2472</v>
      </c>
      <c r="BM109" s="32" t="s">
        <v>4398</v>
      </c>
      <c r="BN109" s="32" t="s">
        <v>1324</v>
      </c>
      <c r="BO109" s="32" t="s">
        <v>1324</v>
      </c>
      <c r="BP109" s="32" t="s">
        <v>1324</v>
      </c>
      <c r="BQ109" s="32" t="s">
        <v>1324</v>
      </c>
      <c r="BR109" s="32" t="s">
        <v>5268</v>
      </c>
      <c r="BS109" s="32" t="s">
        <v>4399</v>
      </c>
      <c r="BT109" s="32" t="str">
        <f>HYPERLINK("https%3A%2F%2Fwww.webofscience.com%2Fwos%2Fwoscc%2Ffull-record%2FWOS:000293038700014","View Full Record in Web of Science")</f>
        <v>View Full Record in Web of Science</v>
      </c>
    </row>
    <row r="110" ht="12.75" customHeight="1">
      <c r="A110" s="32" t="s">
        <v>26</v>
      </c>
      <c r="B110" s="32" t="s">
        <v>4400</v>
      </c>
      <c r="C110" s="32" t="s">
        <v>1324</v>
      </c>
      <c r="D110" s="32" t="s">
        <v>1324</v>
      </c>
      <c r="E110" s="32" t="s">
        <v>1324</v>
      </c>
      <c r="F110" s="32" t="s">
        <v>1812</v>
      </c>
      <c r="G110" s="32" t="s">
        <v>1324</v>
      </c>
      <c r="H110" s="32" t="s">
        <v>1324</v>
      </c>
      <c r="I110" s="32" t="s">
        <v>1814</v>
      </c>
      <c r="J110" s="32" t="s">
        <v>1813</v>
      </c>
      <c r="K110" s="32" t="s">
        <v>1324</v>
      </c>
      <c r="L110" s="32" t="s">
        <v>1324</v>
      </c>
      <c r="M110" s="32" t="s">
        <v>2364</v>
      </c>
      <c r="N110" s="32" t="s">
        <v>38</v>
      </c>
      <c r="O110" s="32" t="s">
        <v>1324</v>
      </c>
      <c r="P110" s="32" t="s">
        <v>1324</v>
      </c>
      <c r="Q110" s="32" t="s">
        <v>1324</v>
      </c>
      <c r="R110" s="32" t="s">
        <v>1324</v>
      </c>
      <c r="S110" s="32" t="s">
        <v>1324</v>
      </c>
      <c r="T110" s="32" t="s">
        <v>1324</v>
      </c>
      <c r="U110" s="32" t="s">
        <v>4401</v>
      </c>
      <c r="V110" s="32" t="s">
        <v>1815</v>
      </c>
      <c r="W110" s="32" t="s">
        <v>4402</v>
      </c>
      <c r="X110" s="32" t="s">
        <v>4403</v>
      </c>
      <c r="Y110" s="32" t="s">
        <v>4404</v>
      </c>
      <c r="Z110" s="32" t="s">
        <v>3509</v>
      </c>
      <c r="AA110" s="32" t="s">
        <v>5391</v>
      </c>
      <c r="AB110" s="32" t="s">
        <v>5392</v>
      </c>
      <c r="AC110" s="32" t="s">
        <v>5092</v>
      </c>
      <c r="AD110" s="32" t="s">
        <v>5093</v>
      </c>
      <c r="AE110" s="32" t="s">
        <v>4409</v>
      </c>
      <c r="AF110" s="32" t="s">
        <v>1324</v>
      </c>
      <c r="AG110" s="32">
        <v>102.0</v>
      </c>
      <c r="AH110" s="32">
        <v>250.0</v>
      </c>
      <c r="AI110" s="32">
        <v>297.0</v>
      </c>
      <c r="AJ110" s="32">
        <v>7.0</v>
      </c>
      <c r="AK110" s="32">
        <v>306.0</v>
      </c>
      <c r="AL110" s="32" t="s">
        <v>4266</v>
      </c>
      <c r="AM110" s="32" t="s">
        <v>2792</v>
      </c>
      <c r="AN110" s="32" t="s">
        <v>4267</v>
      </c>
      <c r="AO110" s="32" t="s">
        <v>4410</v>
      </c>
      <c r="AP110" s="32" t="s">
        <v>4411</v>
      </c>
      <c r="AQ110" s="32" t="s">
        <v>1324</v>
      </c>
      <c r="AR110" s="32" t="s">
        <v>4412</v>
      </c>
      <c r="AS110" s="32" t="s">
        <v>4413</v>
      </c>
      <c r="AT110" s="32" t="s">
        <v>4414</v>
      </c>
      <c r="AU110" s="32">
        <v>2011.0</v>
      </c>
      <c r="AV110" s="32">
        <v>25.0</v>
      </c>
      <c r="AW110" s="32" t="s">
        <v>1324</v>
      </c>
      <c r="AX110" s="32" t="s">
        <v>1324</v>
      </c>
      <c r="AY110" s="32" t="s">
        <v>1324</v>
      </c>
      <c r="AZ110" s="32" t="s">
        <v>1324</v>
      </c>
      <c r="BA110" s="32" t="s">
        <v>1324</v>
      </c>
      <c r="BB110" s="32" t="s">
        <v>1324</v>
      </c>
      <c r="BC110" s="32" t="s">
        <v>1324</v>
      </c>
      <c r="BD110" s="32" t="s">
        <v>4415</v>
      </c>
      <c r="BE110" s="32" t="s">
        <v>1816</v>
      </c>
      <c r="BF110" s="38" t="str">
        <f>HYPERLINK("http://dx.doi.org/10.1029/2010GB003838","http://dx.doi.org/10.1029/2010GB003838")</f>
        <v>http://dx.doi.org/10.1029/2010GB003838</v>
      </c>
      <c r="BG110" s="32" t="s">
        <v>1324</v>
      </c>
      <c r="BH110" s="32" t="s">
        <v>1324</v>
      </c>
      <c r="BI110" s="32">
        <v>16.0</v>
      </c>
      <c r="BJ110" s="32" t="s">
        <v>527</v>
      </c>
      <c r="BK110" s="32" t="s">
        <v>2407</v>
      </c>
      <c r="BL110" s="32" t="s">
        <v>4416</v>
      </c>
      <c r="BM110" s="32" t="s">
        <v>4417</v>
      </c>
      <c r="BN110" s="32" t="s">
        <v>1324</v>
      </c>
      <c r="BO110" s="32" t="s">
        <v>2474</v>
      </c>
      <c r="BP110" s="32" t="s">
        <v>1324</v>
      </c>
      <c r="BQ110" s="32" t="s">
        <v>1324</v>
      </c>
      <c r="BR110" s="32" t="s">
        <v>5268</v>
      </c>
      <c r="BS110" s="32" t="s">
        <v>4418</v>
      </c>
      <c r="BT110" s="32" t="str">
        <f>HYPERLINK("https%3A%2F%2Fwww.webofscience.com%2Fwos%2Fwoscc%2Ffull-record%2FWOS:000289085400001","View Full Record in Web of Science")</f>
        <v>View Full Record in Web of Science</v>
      </c>
    </row>
    <row r="111" ht="12.75" customHeight="1">
      <c r="A111" s="32" t="s">
        <v>26</v>
      </c>
      <c r="B111" s="32" t="s">
        <v>4438</v>
      </c>
      <c r="C111" s="32" t="s">
        <v>1324</v>
      </c>
      <c r="D111" s="32" t="s">
        <v>1324</v>
      </c>
      <c r="E111" s="32" t="s">
        <v>1324</v>
      </c>
      <c r="F111" s="32" t="s">
        <v>1603</v>
      </c>
      <c r="G111" s="32" t="s">
        <v>1324</v>
      </c>
      <c r="H111" s="32" t="s">
        <v>1324</v>
      </c>
      <c r="I111" s="32" t="s">
        <v>1604</v>
      </c>
      <c r="J111" s="32" t="s">
        <v>1253</v>
      </c>
      <c r="K111" s="32" t="s">
        <v>1324</v>
      </c>
      <c r="L111" s="32" t="s">
        <v>1324</v>
      </c>
      <c r="M111" s="32" t="s">
        <v>2364</v>
      </c>
      <c r="N111" s="32" t="s">
        <v>38</v>
      </c>
      <c r="O111" s="32" t="s">
        <v>1324</v>
      </c>
      <c r="P111" s="32" t="s">
        <v>1324</v>
      </c>
      <c r="Q111" s="32" t="s">
        <v>1324</v>
      </c>
      <c r="R111" s="32" t="s">
        <v>1324</v>
      </c>
      <c r="S111" s="32" t="s">
        <v>1324</v>
      </c>
      <c r="T111" s="32" t="s">
        <v>4439</v>
      </c>
      <c r="U111" s="32" t="s">
        <v>4440</v>
      </c>
      <c r="V111" s="32" t="s">
        <v>4441</v>
      </c>
      <c r="W111" s="32" t="s">
        <v>4442</v>
      </c>
      <c r="X111" s="32" t="s">
        <v>4443</v>
      </c>
      <c r="Y111" s="32" t="s">
        <v>4444</v>
      </c>
      <c r="Z111" s="32" t="s">
        <v>4445</v>
      </c>
      <c r="AA111" s="32" t="s">
        <v>5393</v>
      </c>
      <c r="AB111" s="32" t="s">
        <v>5394</v>
      </c>
      <c r="AC111" s="32" t="s">
        <v>1324</v>
      </c>
      <c r="AD111" s="32" t="s">
        <v>1324</v>
      </c>
      <c r="AE111" s="32" t="s">
        <v>1324</v>
      </c>
      <c r="AF111" s="32" t="s">
        <v>1324</v>
      </c>
      <c r="AG111" s="32">
        <v>51.0</v>
      </c>
      <c r="AH111" s="32">
        <v>408.0</v>
      </c>
      <c r="AI111" s="32">
        <v>434.0</v>
      </c>
      <c r="AJ111" s="32">
        <v>1.0</v>
      </c>
      <c r="AK111" s="32">
        <v>256.0</v>
      </c>
      <c r="AL111" s="32" t="s">
        <v>4448</v>
      </c>
      <c r="AM111" s="32" t="s">
        <v>2465</v>
      </c>
      <c r="AN111" s="32" t="s">
        <v>2466</v>
      </c>
      <c r="AO111" s="32" t="s">
        <v>2836</v>
      </c>
      <c r="AP111" s="32" t="s">
        <v>2837</v>
      </c>
      <c r="AQ111" s="32" t="s">
        <v>1324</v>
      </c>
      <c r="AR111" s="32" t="s">
        <v>2838</v>
      </c>
      <c r="AS111" s="32" t="s">
        <v>2839</v>
      </c>
      <c r="AT111" s="32" t="s">
        <v>3208</v>
      </c>
      <c r="AU111" s="32">
        <v>2011.0</v>
      </c>
      <c r="AV111" s="32">
        <v>20.0</v>
      </c>
      <c r="AW111" s="32">
        <v>1.0</v>
      </c>
      <c r="AX111" s="32" t="s">
        <v>1324</v>
      </c>
      <c r="AY111" s="32" t="s">
        <v>1324</v>
      </c>
      <c r="AZ111" s="32" t="s">
        <v>1324</v>
      </c>
      <c r="BA111" s="32" t="s">
        <v>1324</v>
      </c>
      <c r="BB111" s="32">
        <v>58.0</v>
      </c>
      <c r="BC111" s="32">
        <v>72.0</v>
      </c>
      <c r="BD111" s="32" t="s">
        <v>1324</v>
      </c>
      <c r="BE111" s="32" t="s">
        <v>1606</v>
      </c>
      <c r="BF111" s="38" t="str">
        <f>HYPERLINK("http://dx.doi.org/10.1111/j.1466-8238.2010.00575.x","http://dx.doi.org/10.1111/j.1466-8238.2010.00575.x")</f>
        <v>http://dx.doi.org/10.1111/j.1466-8238.2010.00575.x</v>
      </c>
      <c r="BG111" s="32" t="s">
        <v>1324</v>
      </c>
      <c r="BH111" s="32" t="s">
        <v>1324</v>
      </c>
      <c r="BI111" s="32">
        <v>15.0</v>
      </c>
      <c r="BJ111" s="32" t="s">
        <v>1257</v>
      </c>
      <c r="BK111" s="32" t="s">
        <v>2407</v>
      </c>
      <c r="BL111" s="32" t="s">
        <v>2840</v>
      </c>
      <c r="BM111" s="32" t="s">
        <v>4449</v>
      </c>
      <c r="BN111" s="32" t="s">
        <v>1324</v>
      </c>
      <c r="BO111" s="32" t="s">
        <v>1324</v>
      </c>
      <c r="BP111" s="32" t="s">
        <v>1324</v>
      </c>
      <c r="BQ111" s="32" t="s">
        <v>1324</v>
      </c>
      <c r="BR111" s="32" t="s">
        <v>5268</v>
      </c>
      <c r="BS111" s="32" t="s">
        <v>4450</v>
      </c>
      <c r="BT111" s="32" t="str">
        <f>HYPERLINK("https%3A%2F%2Fwww.webofscience.com%2Fwos%2Fwoscc%2Ffull-record%2FWOS:000285109200005","View Full Record in Web of Science")</f>
        <v>View Full Record in Web of Science</v>
      </c>
    </row>
    <row r="112" ht="12.75" customHeight="1">
      <c r="A112" s="32" t="s">
        <v>26</v>
      </c>
      <c r="B112" s="32" t="s">
        <v>4451</v>
      </c>
      <c r="C112" s="32" t="s">
        <v>1324</v>
      </c>
      <c r="D112" s="32" t="s">
        <v>1324</v>
      </c>
      <c r="E112" s="32" t="s">
        <v>1324</v>
      </c>
      <c r="F112" s="32" t="s">
        <v>1779</v>
      </c>
      <c r="G112" s="32" t="s">
        <v>1324</v>
      </c>
      <c r="H112" s="32" t="s">
        <v>1324</v>
      </c>
      <c r="I112" s="32" t="s">
        <v>1781</v>
      </c>
      <c r="J112" s="32" t="s">
        <v>4452</v>
      </c>
      <c r="K112" s="32" t="s">
        <v>1324</v>
      </c>
      <c r="L112" s="32" t="s">
        <v>1324</v>
      </c>
      <c r="M112" s="32" t="s">
        <v>2364</v>
      </c>
      <c r="N112" s="32" t="s">
        <v>38</v>
      </c>
      <c r="O112" s="32" t="s">
        <v>1324</v>
      </c>
      <c r="P112" s="32" t="s">
        <v>1324</v>
      </c>
      <c r="Q112" s="32" t="s">
        <v>1324</v>
      </c>
      <c r="R112" s="32" t="s">
        <v>1324</v>
      </c>
      <c r="S112" s="32" t="s">
        <v>1324</v>
      </c>
      <c r="T112" s="32" t="s">
        <v>4453</v>
      </c>
      <c r="U112" s="32" t="s">
        <v>4454</v>
      </c>
      <c r="V112" s="32" t="s">
        <v>1782</v>
      </c>
      <c r="W112" s="32" t="s">
        <v>4455</v>
      </c>
      <c r="X112" s="32" t="s">
        <v>4456</v>
      </c>
      <c r="Y112" s="32" t="s">
        <v>4457</v>
      </c>
      <c r="Z112" s="32" t="s">
        <v>4458</v>
      </c>
      <c r="AA112" s="32" t="s">
        <v>4459</v>
      </c>
      <c r="AB112" s="32" t="s">
        <v>4460</v>
      </c>
      <c r="AC112" s="32" t="s">
        <v>4461</v>
      </c>
      <c r="AD112" s="32" t="s">
        <v>4462</v>
      </c>
      <c r="AE112" s="32" t="s">
        <v>4463</v>
      </c>
      <c r="AF112" s="32" t="s">
        <v>1324</v>
      </c>
      <c r="AG112" s="32">
        <v>64.0</v>
      </c>
      <c r="AH112" s="32">
        <v>25.0</v>
      </c>
      <c r="AI112" s="32">
        <v>27.0</v>
      </c>
      <c r="AJ112" s="32">
        <v>1.0</v>
      </c>
      <c r="AK112" s="32">
        <v>48.0</v>
      </c>
      <c r="AL112" s="32" t="s">
        <v>4464</v>
      </c>
      <c r="AM112" s="32" t="s">
        <v>4465</v>
      </c>
      <c r="AN112" s="32" t="s">
        <v>4466</v>
      </c>
      <c r="AO112" s="32" t="s">
        <v>4467</v>
      </c>
      <c r="AP112" s="32" t="s">
        <v>4468</v>
      </c>
      <c r="AQ112" s="32" t="s">
        <v>1324</v>
      </c>
      <c r="AR112" s="32" t="s">
        <v>1780</v>
      </c>
      <c r="AS112" s="32" t="s">
        <v>4469</v>
      </c>
      <c r="AT112" s="32" t="s">
        <v>1324</v>
      </c>
      <c r="AU112" s="32">
        <v>2011.0</v>
      </c>
      <c r="AV112" s="32">
        <v>111.0</v>
      </c>
      <c r="AW112" s="32">
        <v>2.0</v>
      </c>
      <c r="AX112" s="32" t="s">
        <v>1324</v>
      </c>
      <c r="AY112" s="32" t="s">
        <v>1324</v>
      </c>
      <c r="AZ112" s="32" t="s">
        <v>1324</v>
      </c>
      <c r="BA112" s="32" t="s">
        <v>1324</v>
      </c>
      <c r="BB112" s="32">
        <v>120.0</v>
      </c>
      <c r="BC112" s="32">
        <v>131.0</v>
      </c>
      <c r="BD112" s="32" t="s">
        <v>1324</v>
      </c>
      <c r="BE112" s="32" t="s">
        <v>1783</v>
      </c>
      <c r="BF112" s="38" t="str">
        <f>HYPERLINK("http://dx.doi.org/10.1071/MU10009","http://dx.doi.org/10.1071/MU10009")</f>
        <v>http://dx.doi.org/10.1071/MU10009</v>
      </c>
      <c r="BG112" s="32" t="s">
        <v>1324</v>
      </c>
      <c r="BH112" s="32" t="s">
        <v>1324</v>
      </c>
      <c r="BI112" s="32">
        <v>12.0</v>
      </c>
      <c r="BJ112" s="32" t="s">
        <v>273</v>
      </c>
      <c r="BK112" s="32" t="s">
        <v>2407</v>
      </c>
      <c r="BL112" s="32" t="s">
        <v>2691</v>
      </c>
      <c r="BM112" s="32" t="s">
        <v>4470</v>
      </c>
      <c r="BN112" s="32" t="s">
        <v>1324</v>
      </c>
      <c r="BO112" s="32" t="s">
        <v>1324</v>
      </c>
      <c r="BP112" s="32" t="s">
        <v>1324</v>
      </c>
      <c r="BQ112" s="32" t="s">
        <v>1324</v>
      </c>
      <c r="BR112" s="32" t="s">
        <v>5268</v>
      </c>
      <c r="BS112" s="32" t="s">
        <v>4471</v>
      </c>
      <c r="BT112" s="32" t="str">
        <f>HYPERLINK("https%3A%2F%2Fwww.webofscience.com%2Fwos%2Fwoscc%2Ffull-record%2FWOS:000291035900004","View Full Record in Web of Science")</f>
        <v>View Full Record in Web of Science</v>
      </c>
    </row>
    <row r="113" ht="12.75" customHeight="1">
      <c r="A113" s="32" t="s">
        <v>26</v>
      </c>
      <c r="B113" s="32" t="s">
        <v>4484</v>
      </c>
      <c r="C113" s="32" t="s">
        <v>1324</v>
      </c>
      <c r="D113" s="32" t="s">
        <v>1324</v>
      </c>
      <c r="E113" s="32" t="s">
        <v>1324</v>
      </c>
      <c r="F113" s="32" t="s">
        <v>1598</v>
      </c>
      <c r="G113" s="32" t="s">
        <v>1324</v>
      </c>
      <c r="H113" s="32" t="s">
        <v>1324</v>
      </c>
      <c r="I113" s="32" t="s">
        <v>1599</v>
      </c>
      <c r="J113" s="32" t="s">
        <v>1120</v>
      </c>
      <c r="K113" s="32" t="s">
        <v>1324</v>
      </c>
      <c r="L113" s="32" t="s">
        <v>1324</v>
      </c>
      <c r="M113" s="32" t="s">
        <v>2364</v>
      </c>
      <c r="N113" s="32" t="s">
        <v>38</v>
      </c>
      <c r="O113" s="32" t="s">
        <v>1324</v>
      </c>
      <c r="P113" s="32" t="s">
        <v>1324</v>
      </c>
      <c r="Q113" s="32" t="s">
        <v>1324</v>
      </c>
      <c r="R113" s="32" t="s">
        <v>1324</v>
      </c>
      <c r="S113" s="32" t="s">
        <v>1324</v>
      </c>
      <c r="T113" s="32" t="s">
        <v>4485</v>
      </c>
      <c r="U113" s="32" t="s">
        <v>4486</v>
      </c>
      <c r="V113" s="32" t="s">
        <v>1600</v>
      </c>
      <c r="W113" s="32" t="s">
        <v>4487</v>
      </c>
      <c r="X113" s="32" t="s">
        <v>4488</v>
      </c>
      <c r="Y113" s="32" t="s">
        <v>4489</v>
      </c>
      <c r="Z113" s="32" t="s">
        <v>4490</v>
      </c>
      <c r="AA113" s="32" t="s">
        <v>4491</v>
      </c>
      <c r="AB113" s="32" t="s">
        <v>4492</v>
      </c>
      <c r="AC113" s="32" t="s">
        <v>4493</v>
      </c>
      <c r="AD113" s="32" t="s">
        <v>4494</v>
      </c>
      <c r="AE113" s="32" t="s">
        <v>4495</v>
      </c>
      <c r="AF113" s="32" t="s">
        <v>1324</v>
      </c>
      <c r="AG113" s="32">
        <v>59.0</v>
      </c>
      <c r="AH113" s="32">
        <v>32.0</v>
      </c>
      <c r="AI113" s="32">
        <v>33.0</v>
      </c>
      <c r="AJ113" s="32">
        <v>0.0</v>
      </c>
      <c r="AK113" s="32">
        <v>53.0</v>
      </c>
      <c r="AL113" s="32" t="s">
        <v>2464</v>
      </c>
      <c r="AM113" s="32" t="s">
        <v>2465</v>
      </c>
      <c r="AN113" s="32" t="s">
        <v>2466</v>
      </c>
      <c r="AO113" s="32" t="s">
        <v>4496</v>
      </c>
      <c r="AP113" s="32" t="s">
        <v>4497</v>
      </c>
      <c r="AQ113" s="32" t="s">
        <v>1324</v>
      </c>
      <c r="AR113" s="32" t="s">
        <v>4498</v>
      </c>
      <c r="AS113" s="32" t="s">
        <v>4499</v>
      </c>
      <c r="AT113" s="32" t="s">
        <v>3518</v>
      </c>
      <c r="AU113" s="32">
        <v>2010.0</v>
      </c>
      <c r="AV113" s="32">
        <v>13.0</v>
      </c>
      <c r="AW113" s="32">
        <v>5.0</v>
      </c>
      <c r="AX113" s="32" t="s">
        <v>1324</v>
      </c>
      <c r="AY113" s="32" t="s">
        <v>1324</v>
      </c>
      <c r="AZ113" s="32" t="s">
        <v>1324</v>
      </c>
      <c r="BA113" s="32" t="s">
        <v>1324</v>
      </c>
      <c r="BB113" s="32">
        <v>495.0</v>
      </c>
      <c r="BC113" s="32">
        <v>504.0</v>
      </c>
      <c r="BD113" s="32" t="s">
        <v>1324</v>
      </c>
      <c r="BE113" s="32" t="s">
        <v>1601</v>
      </c>
      <c r="BF113" s="38" t="str">
        <f>HYPERLINK("http://dx.doi.org/10.1111/j.1469-1795.2010.00369.x","http://dx.doi.org/10.1111/j.1469-1795.2010.00369.x")</f>
        <v>http://dx.doi.org/10.1111/j.1469-1795.2010.00369.x</v>
      </c>
      <c r="BG113" s="32" t="s">
        <v>1324</v>
      </c>
      <c r="BH113" s="32" t="s">
        <v>1324</v>
      </c>
      <c r="BI113" s="32">
        <v>10.0</v>
      </c>
      <c r="BJ113" s="32" t="s">
        <v>1124</v>
      </c>
      <c r="BK113" s="32" t="s">
        <v>2407</v>
      </c>
      <c r="BL113" s="32" t="s">
        <v>2577</v>
      </c>
      <c r="BM113" s="32" t="s">
        <v>4500</v>
      </c>
      <c r="BN113" s="32" t="s">
        <v>1324</v>
      </c>
      <c r="BO113" s="32" t="s">
        <v>2579</v>
      </c>
      <c r="BP113" s="32" t="s">
        <v>1324</v>
      </c>
      <c r="BQ113" s="32" t="s">
        <v>1324</v>
      </c>
      <c r="BR113" s="32" t="s">
        <v>5268</v>
      </c>
      <c r="BS113" s="32" t="s">
        <v>4501</v>
      </c>
      <c r="BT113" s="32" t="str">
        <f>HYPERLINK("https%3A%2F%2Fwww.webofscience.com%2Fwos%2Fwoscc%2Ffull-record%2FWOS:000282370500011","View Full Record in Web of Science")</f>
        <v>View Full Record in Web of Science</v>
      </c>
    </row>
    <row r="114" ht="12.75" customHeight="1">
      <c r="A114" s="32" t="s">
        <v>26</v>
      </c>
      <c r="B114" s="32" t="s">
        <v>4502</v>
      </c>
      <c r="C114" s="32" t="s">
        <v>1324</v>
      </c>
      <c r="D114" s="32" t="s">
        <v>1324</v>
      </c>
      <c r="E114" s="32" t="s">
        <v>1324</v>
      </c>
      <c r="F114" s="32" t="s">
        <v>1741</v>
      </c>
      <c r="G114" s="32" t="s">
        <v>1324</v>
      </c>
      <c r="H114" s="32" t="s">
        <v>1324</v>
      </c>
      <c r="I114" s="32" t="s">
        <v>1743</v>
      </c>
      <c r="J114" s="32" t="s">
        <v>1742</v>
      </c>
      <c r="K114" s="32" t="s">
        <v>1324</v>
      </c>
      <c r="L114" s="32" t="s">
        <v>1324</v>
      </c>
      <c r="M114" s="32" t="s">
        <v>2364</v>
      </c>
      <c r="N114" s="32" t="s">
        <v>38</v>
      </c>
      <c r="O114" s="32" t="s">
        <v>1324</v>
      </c>
      <c r="P114" s="32" t="s">
        <v>1324</v>
      </c>
      <c r="Q114" s="32" t="s">
        <v>1324</v>
      </c>
      <c r="R114" s="32" t="s">
        <v>1324</v>
      </c>
      <c r="S114" s="32" t="s">
        <v>1324</v>
      </c>
      <c r="T114" s="32" t="s">
        <v>1324</v>
      </c>
      <c r="U114" s="32" t="s">
        <v>4503</v>
      </c>
      <c r="V114" s="32" t="s">
        <v>1744</v>
      </c>
      <c r="W114" s="32" t="s">
        <v>4504</v>
      </c>
      <c r="X114" s="32" t="s">
        <v>4505</v>
      </c>
      <c r="Y114" s="32" t="s">
        <v>4506</v>
      </c>
      <c r="Z114" s="32" t="s">
        <v>4507</v>
      </c>
      <c r="AA114" s="32" t="s">
        <v>4508</v>
      </c>
      <c r="AB114" s="32" t="s">
        <v>4509</v>
      </c>
      <c r="AC114" s="32" t="s">
        <v>4510</v>
      </c>
      <c r="AD114" s="32" t="s">
        <v>4511</v>
      </c>
      <c r="AE114" s="32" t="s">
        <v>4512</v>
      </c>
      <c r="AF114" s="32" t="s">
        <v>1324</v>
      </c>
      <c r="AG114" s="32">
        <v>101.0</v>
      </c>
      <c r="AH114" s="32">
        <v>33.0</v>
      </c>
      <c r="AI114" s="32">
        <v>44.0</v>
      </c>
      <c r="AJ114" s="32">
        <v>1.0</v>
      </c>
      <c r="AK114" s="32">
        <v>56.0</v>
      </c>
      <c r="AL114" s="32" t="s">
        <v>4513</v>
      </c>
      <c r="AM114" s="32" t="s">
        <v>4514</v>
      </c>
      <c r="AN114" s="32" t="s">
        <v>4515</v>
      </c>
      <c r="AO114" s="32" t="s">
        <v>4516</v>
      </c>
      <c r="AP114" s="32" t="s">
        <v>4517</v>
      </c>
      <c r="AQ114" s="32" t="s">
        <v>1324</v>
      </c>
      <c r="AR114" s="32" t="s">
        <v>4518</v>
      </c>
      <c r="AS114" s="32" t="s">
        <v>4519</v>
      </c>
      <c r="AT114" s="32" t="s">
        <v>2515</v>
      </c>
      <c r="AU114" s="32">
        <v>2010.0</v>
      </c>
      <c r="AV114" s="32">
        <v>50.0</v>
      </c>
      <c r="AW114" s="32">
        <v>2.0</v>
      </c>
      <c r="AX114" s="32" t="s">
        <v>1324</v>
      </c>
      <c r="AY114" s="32" t="s">
        <v>1324</v>
      </c>
      <c r="AZ114" s="32" t="s">
        <v>1324</v>
      </c>
      <c r="BA114" s="32" t="s">
        <v>1324</v>
      </c>
      <c r="BB114" s="32">
        <v>201.0</v>
      </c>
      <c r="BC114" s="32">
        <v>212.0</v>
      </c>
      <c r="BD114" s="32" t="s">
        <v>1324</v>
      </c>
      <c r="BE114" s="32" t="s">
        <v>1745</v>
      </c>
      <c r="BF114" s="38" t="str">
        <f>HYPERLINK("http://dx.doi.org/10.1093/icb/icq072","http://dx.doi.org/10.1093/icb/icq072")</f>
        <v>http://dx.doi.org/10.1093/icb/icq072</v>
      </c>
      <c r="BG114" s="32" t="s">
        <v>1324</v>
      </c>
      <c r="BH114" s="32" t="s">
        <v>1324</v>
      </c>
      <c r="BI114" s="32">
        <v>12.0</v>
      </c>
      <c r="BJ114" s="32" t="s">
        <v>2691</v>
      </c>
      <c r="BK114" s="32" t="s">
        <v>2407</v>
      </c>
      <c r="BL114" s="32" t="s">
        <v>2691</v>
      </c>
      <c r="BM114" s="32" t="s">
        <v>4520</v>
      </c>
      <c r="BN114" s="32">
        <v>2.1558199E7</v>
      </c>
      <c r="BO114" s="32" t="s">
        <v>2715</v>
      </c>
      <c r="BP114" s="32" t="s">
        <v>1324</v>
      </c>
      <c r="BQ114" s="32" t="s">
        <v>1324</v>
      </c>
      <c r="BR114" s="32" t="s">
        <v>5268</v>
      </c>
      <c r="BS114" s="32" t="s">
        <v>4521</v>
      </c>
      <c r="BT114" s="32" t="str">
        <f>HYPERLINK("https%3A%2F%2Fwww.webofscience.com%2Fwos%2Fwoscc%2Ffull-record%2FWOS:000280279800005","View Full Record in Web of Science")</f>
        <v>View Full Record in Web of Science</v>
      </c>
    </row>
    <row r="115" ht="12.75" customHeight="1">
      <c r="A115" s="32" t="s">
        <v>26</v>
      </c>
      <c r="B115" s="32" t="s">
        <v>4522</v>
      </c>
      <c r="C115" s="32" t="s">
        <v>1324</v>
      </c>
      <c r="D115" s="32" t="s">
        <v>1324</v>
      </c>
      <c r="E115" s="32" t="s">
        <v>1324</v>
      </c>
      <c r="F115" s="32" t="s">
        <v>1724</v>
      </c>
      <c r="G115" s="32" t="s">
        <v>1324</v>
      </c>
      <c r="H115" s="32" t="s">
        <v>1324</v>
      </c>
      <c r="I115" s="32" t="s">
        <v>1726</v>
      </c>
      <c r="J115" s="32" t="s">
        <v>1725</v>
      </c>
      <c r="K115" s="32" t="s">
        <v>1324</v>
      </c>
      <c r="L115" s="32" t="s">
        <v>1324</v>
      </c>
      <c r="M115" s="32" t="s">
        <v>2364</v>
      </c>
      <c r="N115" s="32" t="s">
        <v>38</v>
      </c>
      <c r="O115" s="32" t="s">
        <v>1324</v>
      </c>
      <c r="P115" s="32" t="s">
        <v>1324</v>
      </c>
      <c r="Q115" s="32" t="s">
        <v>1324</v>
      </c>
      <c r="R115" s="32" t="s">
        <v>1324</v>
      </c>
      <c r="S115" s="32" t="s">
        <v>1324</v>
      </c>
      <c r="T115" s="32" t="s">
        <v>4523</v>
      </c>
      <c r="U115" s="32" t="s">
        <v>4524</v>
      </c>
      <c r="V115" s="32" t="s">
        <v>1727</v>
      </c>
      <c r="W115" s="32" t="s">
        <v>4525</v>
      </c>
      <c r="X115" s="32" t="s">
        <v>5067</v>
      </c>
      <c r="Y115" s="32" t="s">
        <v>4527</v>
      </c>
      <c r="Z115" s="32" t="s">
        <v>4528</v>
      </c>
      <c r="AA115" s="32" t="s">
        <v>5068</v>
      </c>
      <c r="AB115" s="32" t="s">
        <v>4530</v>
      </c>
      <c r="AC115" s="32" t="s">
        <v>4531</v>
      </c>
      <c r="AD115" s="32" t="s">
        <v>4532</v>
      </c>
      <c r="AE115" s="32" t="s">
        <v>4533</v>
      </c>
      <c r="AF115" s="32" t="s">
        <v>1324</v>
      </c>
      <c r="AG115" s="32">
        <v>40.0</v>
      </c>
      <c r="AH115" s="32">
        <v>165.0</v>
      </c>
      <c r="AI115" s="32">
        <v>186.0</v>
      </c>
      <c r="AJ115" s="32">
        <v>0.0</v>
      </c>
      <c r="AK115" s="32">
        <v>145.0</v>
      </c>
      <c r="AL115" s="32" t="s">
        <v>4373</v>
      </c>
      <c r="AM115" s="32" t="s">
        <v>2400</v>
      </c>
      <c r="AN115" s="32" t="s">
        <v>4374</v>
      </c>
      <c r="AO115" s="32" t="s">
        <v>4534</v>
      </c>
      <c r="AP115" s="32" t="s">
        <v>4535</v>
      </c>
      <c r="AQ115" s="32" t="s">
        <v>1324</v>
      </c>
      <c r="AR115" s="32" t="s">
        <v>4536</v>
      </c>
      <c r="AS115" s="32" t="s">
        <v>4537</v>
      </c>
      <c r="AT115" s="32" t="s">
        <v>4538</v>
      </c>
      <c r="AU115" s="32">
        <v>2010.0</v>
      </c>
      <c r="AV115" s="32">
        <v>277.0</v>
      </c>
      <c r="AW115" s="32">
        <v>1686.0</v>
      </c>
      <c r="AX115" s="32" t="s">
        <v>1324</v>
      </c>
      <c r="AY115" s="32" t="s">
        <v>1324</v>
      </c>
      <c r="AZ115" s="32" t="s">
        <v>1324</v>
      </c>
      <c r="BA115" s="32" t="s">
        <v>1324</v>
      </c>
      <c r="BB115" s="32">
        <v>1353.0</v>
      </c>
      <c r="BC115" s="32">
        <v>1360.0</v>
      </c>
      <c r="BD115" s="32" t="s">
        <v>1324</v>
      </c>
      <c r="BE115" s="32" t="s">
        <v>1728</v>
      </c>
      <c r="BF115" s="38" t="str">
        <f>HYPERLINK("http://dx.doi.org/10.1098/rspb.2009.1020","http://dx.doi.org/10.1098/rspb.2009.1020")</f>
        <v>http://dx.doi.org/10.1098/rspb.2009.1020</v>
      </c>
      <c r="BG115" s="32" t="s">
        <v>1324</v>
      </c>
      <c r="BH115" s="32" t="s">
        <v>1324</v>
      </c>
      <c r="BI115" s="32">
        <v>8.0</v>
      </c>
      <c r="BJ115" s="32" t="s">
        <v>139</v>
      </c>
      <c r="BK115" s="32" t="s">
        <v>2407</v>
      </c>
      <c r="BL115" s="32" t="s">
        <v>4539</v>
      </c>
      <c r="BM115" s="32" t="s">
        <v>4540</v>
      </c>
      <c r="BN115" s="32">
        <v>2.0031989E7</v>
      </c>
      <c r="BO115" s="32" t="s">
        <v>1324</v>
      </c>
      <c r="BP115" s="32" t="s">
        <v>1324</v>
      </c>
      <c r="BQ115" s="32" t="s">
        <v>1324</v>
      </c>
      <c r="BR115" s="32" t="s">
        <v>5268</v>
      </c>
      <c r="BS115" s="32" t="s">
        <v>4541</v>
      </c>
      <c r="BT115" s="32" t="str">
        <f>HYPERLINK("https%3A%2F%2Fwww.webofscience.com%2Fwos%2Fwoscc%2Ffull-record%2FWOS:000276003400008","View Full Record in Web of Science")</f>
        <v>View Full Record in Web of Science</v>
      </c>
    </row>
    <row r="116" ht="12.75" customHeight="1">
      <c r="A116" s="32" t="s">
        <v>26</v>
      </c>
      <c r="B116" s="32" t="s">
        <v>4542</v>
      </c>
      <c r="C116" s="32" t="s">
        <v>1324</v>
      </c>
      <c r="D116" s="32" t="s">
        <v>1324</v>
      </c>
      <c r="E116" s="32" t="s">
        <v>1324</v>
      </c>
      <c r="F116" s="32" t="s">
        <v>2259</v>
      </c>
      <c r="G116" s="32" t="s">
        <v>1324</v>
      </c>
      <c r="H116" s="32" t="s">
        <v>1324</v>
      </c>
      <c r="I116" s="32" t="s">
        <v>2260</v>
      </c>
      <c r="J116" s="32" t="s">
        <v>2244</v>
      </c>
      <c r="K116" s="32" t="s">
        <v>1324</v>
      </c>
      <c r="L116" s="32" t="s">
        <v>1324</v>
      </c>
      <c r="M116" s="32" t="s">
        <v>2364</v>
      </c>
      <c r="N116" s="32" t="s">
        <v>38</v>
      </c>
      <c r="O116" s="32" t="s">
        <v>1324</v>
      </c>
      <c r="P116" s="32" t="s">
        <v>1324</v>
      </c>
      <c r="Q116" s="32" t="s">
        <v>1324</v>
      </c>
      <c r="R116" s="32" t="s">
        <v>1324</v>
      </c>
      <c r="S116" s="32" t="s">
        <v>1324</v>
      </c>
      <c r="T116" s="32" t="s">
        <v>4543</v>
      </c>
      <c r="U116" s="32" t="s">
        <v>4544</v>
      </c>
      <c r="V116" s="32" t="s">
        <v>4545</v>
      </c>
      <c r="W116" s="32" t="s">
        <v>4546</v>
      </c>
      <c r="X116" s="32" t="s">
        <v>4547</v>
      </c>
      <c r="Y116" s="32" t="s">
        <v>4548</v>
      </c>
      <c r="Z116" s="32" t="s">
        <v>4549</v>
      </c>
      <c r="AA116" s="32" t="s">
        <v>5395</v>
      </c>
      <c r="AB116" s="32" t="s">
        <v>5396</v>
      </c>
      <c r="AC116" s="32" t="s">
        <v>4552</v>
      </c>
      <c r="AD116" s="32" t="s">
        <v>4553</v>
      </c>
      <c r="AE116" s="32" t="s">
        <v>4554</v>
      </c>
      <c r="AF116" s="32" t="s">
        <v>1324</v>
      </c>
      <c r="AG116" s="32">
        <v>85.0</v>
      </c>
      <c r="AH116" s="32">
        <v>24.0</v>
      </c>
      <c r="AI116" s="32">
        <v>25.0</v>
      </c>
      <c r="AJ116" s="32">
        <v>0.0</v>
      </c>
      <c r="AK116" s="32">
        <v>54.0</v>
      </c>
      <c r="AL116" s="32" t="s">
        <v>2464</v>
      </c>
      <c r="AM116" s="32" t="s">
        <v>2465</v>
      </c>
      <c r="AN116" s="32" t="s">
        <v>2466</v>
      </c>
      <c r="AO116" s="32" t="s">
        <v>2814</v>
      </c>
      <c r="AP116" s="32" t="s">
        <v>2815</v>
      </c>
      <c r="AQ116" s="32" t="s">
        <v>1324</v>
      </c>
      <c r="AR116" s="32" t="s">
        <v>2816</v>
      </c>
      <c r="AS116" s="32" t="s">
        <v>2817</v>
      </c>
      <c r="AT116" s="32" t="s">
        <v>2651</v>
      </c>
      <c r="AU116" s="32">
        <v>2010.0</v>
      </c>
      <c r="AV116" s="32">
        <v>20.0</v>
      </c>
      <c r="AW116" s="32">
        <v>3.0</v>
      </c>
      <c r="AX116" s="32" t="s">
        <v>1324</v>
      </c>
      <c r="AY116" s="32" t="s">
        <v>1324</v>
      </c>
      <c r="AZ116" s="32" t="s">
        <v>1324</v>
      </c>
      <c r="BA116" s="32" t="s">
        <v>1324</v>
      </c>
      <c r="BB116" s="32">
        <v>297.0</v>
      </c>
      <c r="BC116" s="32">
        <v>311.0</v>
      </c>
      <c r="BD116" s="32" t="s">
        <v>1324</v>
      </c>
      <c r="BE116" s="32" t="s">
        <v>2262</v>
      </c>
      <c r="BF116" s="38" t="str">
        <f>HYPERLINK("http://dx.doi.org/10.1002/aqc.1079","http://dx.doi.org/10.1002/aqc.1079")</f>
        <v>http://dx.doi.org/10.1002/aqc.1079</v>
      </c>
      <c r="BG116" s="32" t="s">
        <v>1324</v>
      </c>
      <c r="BH116" s="32" t="s">
        <v>1324</v>
      </c>
      <c r="BI116" s="32">
        <v>15.0</v>
      </c>
      <c r="BJ116" s="32" t="s">
        <v>2819</v>
      </c>
      <c r="BK116" s="32" t="s">
        <v>2407</v>
      </c>
      <c r="BL116" s="32" t="s">
        <v>2820</v>
      </c>
      <c r="BM116" s="32" t="s">
        <v>4555</v>
      </c>
      <c r="BN116" s="32" t="s">
        <v>1324</v>
      </c>
      <c r="BO116" s="32" t="s">
        <v>1324</v>
      </c>
      <c r="BP116" s="32" t="s">
        <v>1324</v>
      </c>
      <c r="BQ116" s="32" t="s">
        <v>1324</v>
      </c>
      <c r="BR116" s="32" t="s">
        <v>5268</v>
      </c>
      <c r="BS116" s="32" t="s">
        <v>4556</v>
      </c>
      <c r="BT116" s="32" t="str">
        <f>HYPERLINK("https%3A%2F%2Fwww.webofscience.com%2Fwos%2Fwoscc%2Ffull-record%2FWOS:000277830200007","View Full Record in Web of Science")</f>
        <v>View Full Record in Web of Science</v>
      </c>
    </row>
    <row r="117" ht="12.75" customHeight="1">
      <c r="A117" s="32" t="s">
        <v>26</v>
      </c>
      <c r="B117" s="32" t="s">
        <v>4557</v>
      </c>
      <c r="C117" s="32" t="s">
        <v>1324</v>
      </c>
      <c r="D117" s="32" t="s">
        <v>1324</v>
      </c>
      <c r="E117" s="32" t="s">
        <v>1324</v>
      </c>
      <c r="F117" s="32" t="s">
        <v>1483</v>
      </c>
      <c r="G117" s="32" t="s">
        <v>1324</v>
      </c>
      <c r="H117" s="32" t="s">
        <v>1324</v>
      </c>
      <c r="I117" s="32" t="s">
        <v>1484</v>
      </c>
      <c r="J117" s="32" t="s">
        <v>365</v>
      </c>
      <c r="K117" s="32" t="s">
        <v>1324</v>
      </c>
      <c r="L117" s="32" t="s">
        <v>1324</v>
      </c>
      <c r="M117" s="32" t="s">
        <v>2364</v>
      </c>
      <c r="N117" s="32" t="s">
        <v>38</v>
      </c>
      <c r="O117" s="32" t="s">
        <v>1324</v>
      </c>
      <c r="P117" s="32" t="s">
        <v>1324</v>
      </c>
      <c r="Q117" s="32" t="s">
        <v>1324</v>
      </c>
      <c r="R117" s="32" t="s">
        <v>1324</v>
      </c>
      <c r="S117" s="32" t="s">
        <v>1324</v>
      </c>
      <c r="T117" s="32" t="s">
        <v>1324</v>
      </c>
      <c r="U117" s="32" t="s">
        <v>4558</v>
      </c>
      <c r="V117" s="32" t="s">
        <v>1485</v>
      </c>
      <c r="W117" s="32" t="s">
        <v>4559</v>
      </c>
      <c r="X117" s="32" t="s">
        <v>4560</v>
      </c>
      <c r="Y117" s="32" t="s">
        <v>4561</v>
      </c>
      <c r="Z117" s="32" t="s">
        <v>4562</v>
      </c>
      <c r="AA117" s="32" t="s">
        <v>5397</v>
      </c>
      <c r="AB117" s="32" t="s">
        <v>5398</v>
      </c>
      <c r="AC117" s="32" t="s">
        <v>4565</v>
      </c>
      <c r="AD117" s="32" t="s">
        <v>4565</v>
      </c>
      <c r="AE117" s="32" t="s">
        <v>4566</v>
      </c>
      <c r="AF117" s="32" t="s">
        <v>1324</v>
      </c>
      <c r="AG117" s="32">
        <v>86.0</v>
      </c>
      <c r="AH117" s="32">
        <v>888.0</v>
      </c>
      <c r="AI117" s="32">
        <v>1076.0</v>
      </c>
      <c r="AJ117" s="32">
        <v>14.0</v>
      </c>
      <c r="AK117" s="32">
        <v>156.0</v>
      </c>
      <c r="AL117" s="32" t="s">
        <v>2423</v>
      </c>
      <c r="AM117" s="32" t="s">
        <v>2424</v>
      </c>
      <c r="AN117" s="32" t="s">
        <v>2425</v>
      </c>
      <c r="AO117" s="32" t="s">
        <v>2426</v>
      </c>
      <c r="AP117" s="32" t="s">
        <v>1324</v>
      </c>
      <c r="AQ117" s="32" t="s">
        <v>1324</v>
      </c>
      <c r="AR117" s="32" t="s">
        <v>365</v>
      </c>
      <c r="AS117" s="32" t="s">
        <v>2427</v>
      </c>
      <c r="AT117" s="32" t="s">
        <v>4567</v>
      </c>
      <c r="AU117" s="32">
        <v>2010.0</v>
      </c>
      <c r="AV117" s="32">
        <v>5.0</v>
      </c>
      <c r="AW117" s="32">
        <v>4.0</v>
      </c>
      <c r="AX117" s="32" t="s">
        <v>1324</v>
      </c>
      <c r="AY117" s="32" t="s">
        <v>1324</v>
      </c>
      <c r="AZ117" s="32" t="s">
        <v>1324</v>
      </c>
      <c r="BA117" s="32" t="s">
        <v>1324</v>
      </c>
      <c r="BB117" s="32" t="s">
        <v>1324</v>
      </c>
      <c r="BC117" s="32" t="s">
        <v>1324</v>
      </c>
      <c r="BD117" s="32" t="s">
        <v>4568</v>
      </c>
      <c r="BE117" s="32" t="s">
        <v>1486</v>
      </c>
      <c r="BF117" s="38" t="str">
        <f>HYPERLINK("http://dx.doi.org/10.1371/journal.pone.0010095","http://dx.doi.org/10.1371/journal.pone.0010095")</f>
        <v>http://dx.doi.org/10.1371/journal.pone.0010095</v>
      </c>
      <c r="BG117" s="32" t="s">
        <v>1324</v>
      </c>
      <c r="BH117" s="32" t="s">
        <v>1324</v>
      </c>
      <c r="BI117" s="32">
        <v>10.0</v>
      </c>
      <c r="BJ117" s="32" t="s">
        <v>42</v>
      </c>
      <c r="BK117" s="32" t="s">
        <v>2407</v>
      </c>
      <c r="BL117" s="32" t="s">
        <v>2430</v>
      </c>
      <c r="BM117" s="32" t="s">
        <v>4569</v>
      </c>
      <c r="BN117" s="32">
        <v>2.038671E7</v>
      </c>
      <c r="BO117" s="32" t="s">
        <v>2410</v>
      </c>
      <c r="BP117" s="32" t="s">
        <v>1324</v>
      </c>
      <c r="BQ117" s="32" t="s">
        <v>1324</v>
      </c>
      <c r="BR117" s="32" t="s">
        <v>5268</v>
      </c>
      <c r="BS117" s="32" t="s">
        <v>4570</v>
      </c>
      <c r="BT117" s="32" t="str">
        <f>HYPERLINK("https%3A%2F%2Fwww.webofscience.com%2Fwos%2Fwoscc%2Ffull-record%2FWOS:000276482000021","View Full Record in Web of Science")</f>
        <v>View Full Record in Web of Science</v>
      </c>
    </row>
    <row r="118" ht="12.75" customHeight="1">
      <c r="A118" s="32" t="s">
        <v>26</v>
      </c>
      <c r="B118" s="32" t="s">
        <v>4571</v>
      </c>
      <c r="C118" s="32" t="s">
        <v>1324</v>
      </c>
      <c r="D118" s="32" t="s">
        <v>1324</v>
      </c>
      <c r="E118" s="32" t="s">
        <v>1324</v>
      </c>
      <c r="F118" s="32" t="s">
        <v>1411</v>
      </c>
      <c r="G118" s="32" t="s">
        <v>1324</v>
      </c>
      <c r="H118" s="32" t="s">
        <v>1324</v>
      </c>
      <c r="I118" s="32" t="s">
        <v>1412</v>
      </c>
      <c r="J118" s="32" t="s">
        <v>1397</v>
      </c>
      <c r="K118" s="32" t="s">
        <v>1324</v>
      </c>
      <c r="L118" s="32" t="s">
        <v>1324</v>
      </c>
      <c r="M118" s="32" t="s">
        <v>2364</v>
      </c>
      <c r="N118" s="32" t="s">
        <v>38</v>
      </c>
      <c r="O118" s="32" t="s">
        <v>1324</v>
      </c>
      <c r="P118" s="32" t="s">
        <v>1324</v>
      </c>
      <c r="Q118" s="32" t="s">
        <v>1324</v>
      </c>
      <c r="R118" s="32" t="s">
        <v>1324</v>
      </c>
      <c r="S118" s="32" t="s">
        <v>1324</v>
      </c>
      <c r="T118" s="32" t="s">
        <v>4572</v>
      </c>
      <c r="U118" s="32" t="s">
        <v>4573</v>
      </c>
      <c r="V118" s="32" t="s">
        <v>1413</v>
      </c>
      <c r="W118" s="32" t="s">
        <v>4574</v>
      </c>
      <c r="X118" s="32" t="s">
        <v>4575</v>
      </c>
      <c r="Y118" s="32" t="s">
        <v>4576</v>
      </c>
      <c r="Z118" s="32" t="s">
        <v>4577</v>
      </c>
      <c r="AA118" s="32" t="s">
        <v>1324</v>
      </c>
      <c r="AB118" s="32" t="s">
        <v>4578</v>
      </c>
      <c r="AC118" s="32" t="s">
        <v>1324</v>
      </c>
      <c r="AD118" s="32" t="s">
        <v>1324</v>
      </c>
      <c r="AE118" s="32" t="s">
        <v>1324</v>
      </c>
      <c r="AF118" s="32" t="s">
        <v>1324</v>
      </c>
      <c r="AG118" s="32">
        <v>45.0</v>
      </c>
      <c r="AH118" s="32">
        <v>85.0</v>
      </c>
      <c r="AI118" s="32">
        <v>87.0</v>
      </c>
      <c r="AJ118" s="32">
        <v>1.0</v>
      </c>
      <c r="AK118" s="32">
        <v>50.0</v>
      </c>
      <c r="AL118" s="32" t="s">
        <v>2769</v>
      </c>
      <c r="AM118" s="32" t="s">
        <v>2770</v>
      </c>
      <c r="AN118" s="32" t="s">
        <v>2771</v>
      </c>
      <c r="AO118" s="32" t="s">
        <v>2772</v>
      </c>
      <c r="AP118" s="32" t="s">
        <v>1324</v>
      </c>
      <c r="AQ118" s="32" t="s">
        <v>1324</v>
      </c>
      <c r="AR118" s="32" t="s">
        <v>2774</v>
      </c>
      <c r="AS118" s="32" t="s">
        <v>2775</v>
      </c>
      <c r="AT118" s="32" t="s">
        <v>1324</v>
      </c>
      <c r="AU118" s="32">
        <v>2010.0</v>
      </c>
      <c r="AV118" s="32">
        <v>413.0</v>
      </c>
      <c r="AW118" s="32" t="s">
        <v>1324</v>
      </c>
      <c r="AX118" s="32" t="s">
        <v>1324</v>
      </c>
      <c r="AY118" s="32" t="s">
        <v>1324</v>
      </c>
      <c r="AZ118" s="32" t="s">
        <v>1324</v>
      </c>
      <c r="BA118" s="32" t="s">
        <v>1324</v>
      </c>
      <c r="BB118" s="32">
        <v>241.0</v>
      </c>
      <c r="BC118" s="32">
        <v>252.0</v>
      </c>
      <c r="BD118" s="32" t="s">
        <v>1324</v>
      </c>
      <c r="BE118" s="32" t="s">
        <v>1414</v>
      </c>
      <c r="BF118" s="38" t="str">
        <f>HYPERLINK("http://dx.doi.org/10.3354/meps08592","http://dx.doi.org/10.3354/meps08592")</f>
        <v>http://dx.doi.org/10.3354/meps08592</v>
      </c>
      <c r="BG118" s="32" t="s">
        <v>1324</v>
      </c>
      <c r="BH118" s="32" t="s">
        <v>1324</v>
      </c>
      <c r="BI118" s="32">
        <v>12.0</v>
      </c>
      <c r="BJ118" s="32" t="s">
        <v>2447</v>
      </c>
      <c r="BK118" s="32" t="s">
        <v>2407</v>
      </c>
      <c r="BL118" s="32" t="s">
        <v>2449</v>
      </c>
      <c r="BM118" s="32" t="s">
        <v>4579</v>
      </c>
      <c r="BN118" s="32" t="s">
        <v>1324</v>
      </c>
      <c r="BO118" s="32" t="s">
        <v>5236</v>
      </c>
      <c r="BP118" s="32" t="s">
        <v>1324</v>
      </c>
      <c r="BQ118" s="32" t="s">
        <v>1324</v>
      </c>
      <c r="BR118" s="32" t="s">
        <v>5268</v>
      </c>
      <c r="BS118" s="32" t="s">
        <v>4580</v>
      </c>
      <c r="BT118" s="32" t="str">
        <f>HYPERLINK("https%3A%2F%2Fwww.webofscience.com%2Fwos%2Fwoscc%2Ffull-record%2FWOS:000281566900019","View Full Record in Web of Science")</f>
        <v>View Full Record in Web of Science</v>
      </c>
    </row>
    <row r="119" ht="12.75" customHeight="1">
      <c r="A119" s="32" t="s">
        <v>26</v>
      </c>
      <c r="B119" s="32" t="s">
        <v>4581</v>
      </c>
      <c r="C119" s="32" t="s">
        <v>1324</v>
      </c>
      <c r="D119" s="32" t="s">
        <v>1324</v>
      </c>
      <c r="E119" s="32" t="s">
        <v>1324</v>
      </c>
      <c r="F119" s="32" t="s">
        <v>1592</v>
      </c>
      <c r="G119" s="32" t="s">
        <v>1324</v>
      </c>
      <c r="H119" s="32" t="s">
        <v>1324</v>
      </c>
      <c r="I119" s="32" t="s">
        <v>1594</v>
      </c>
      <c r="J119" s="32" t="s">
        <v>1593</v>
      </c>
      <c r="K119" s="32" t="s">
        <v>1324</v>
      </c>
      <c r="L119" s="32" t="s">
        <v>1324</v>
      </c>
      <c r="M119" s="32" t="s">
        <v>2364</v>
      </c>
      <c r="N119" s="32" t="s">
        <v>38</v>
      </c>
      <c r="O119" s="32" t="s">
        <v>1324</v>
      </c>
      <c r="P119" s="32" t="s">
        <v>1324</v>
      </c>
      <c r="Q119" s="32" t="s">
        <v>1324</v>
      </c>
      <c r="R119" s="32" t="s">
        <v>1324</v>
      </c>
      <c r="S119" s="32" t="s">
        <v>1324</v>
      </c>
      <c r="T119" s="32" t="s">
        <v>4582</v>
      </c>
      <c r="U119" s="32" t="s">
        <v>4583</v>
      </c>
      <c r="V119" s="32" t="s">
        <v>4584</v>
      </c>
      <c r="W119" s="32" t="s">
        <v>4585</v>
      </c>
      <c r="X119" s="32" t="s">
        <v>4586</v>
      </c>
      <c r="Y119" s="32" t="s">
        <v>4587</v>
      </c>
      <c r="Z119" s="32" t="s">
        <v>4588</v>
      </c>
      <c r="AA119" s="32" t="s">
        <v>5197</v>
      </c>
      <c r="AB119" s="32" t="s">
        <v>5198</v>
      </c>
      <c r="AC119" s="32" t="s">
        <v>4591</v>
      </c>
      <c r="AD119" s="32" t="s">
        <v>4591</v>
      </c>
      <c r="AE119" s="32" t="s">
        <v>4592</v>
      </c>
      <c r="AF119" s="32" t="s">
        <v>1324</v>
      </c>
      <c r="AG119" s="32">
        <v>53.0</v>
      </c>
      <c r="AH119" s="32">
        <v>492.0</v>
      </c>
      <c r="AI119" s="32">
        <v>592.0</v>
      </c>
      <c r="AJ119" s="32">
        <v>9.0</v>
      </c>
      <c r="AK119" s="32">
        <v>413.0</v>
      </c>
      <c r="AL119" s="32" t="s">
        <v>4593</v>
      </c>
      <c r="AM119" s="32" t="s">
        <v>4594</v>
      </c>
      <c r="AN119" s="32" t="s">
        <v>4595</v>
      </c>
      <c r="AO119" s="32" t="s">
        <v>2751</v>
      </c>
      <c r="AP119" s="32" t="s">
        <v>1324</v>
      </c>
      <c r="AQ119" s="32" t="s">
        <v>1324</v>
      </c>
      <c r="AR119" s="32" t="s">
        <v>2753</v>
      </c>
      <c r="AS119" s="32" t="s">
        <v>2754</v>
      </c>
      <c r="AT119" s="32" t="s">
        <v>3208</v>
      </c>
      <c r="AU119" s="32">
        <v>2010.0</v>
      </c>
      <c r="AV119" s="32">
        <v>16.0</v>
      </c>
      <c r="AW119" s="32">
        <v>1.0</v>
      </c>
      <c r="AX119" s="32" t="s">
        <v>1324</v>
      </c>
      <c r="AY119" s="32" t="s">
        <v>1324</v>
      </c>
      <c r="AZ119" s="32" t="s">
        <v>1324</v>
      </c>
      <c r="BA119" s="32" t="s">
        <v>1324</v>
      </c>
      <c r="BB119" s="32">
        <v>95.0</v>
      </c>
      <c r="BC119" s="32">
        <v>108.0</v>
      </c>
      <c r="BD119" s="32" t="s">
        <v>1324</v>
      </c>
      <c r="BE119" s="32" t="s">
        <v>1596</v>
      </c>
      <c r="BF119" s="38" t="str">
        <f>HYPERLINK("http://dx.doi.org/10.1111/j.1472-4642.2009.00633.x","http://dx.doi.org/10.1111/j.1472-4642.2009.00633.x")</f>
        <v>http://dx.doi.org/10.1111/j.1472-4642.2009.00633.x</v>
      </c>
      <c r="BG119" s="32" t="s">
        <v>1324</v>
      </c>
      <c r="BH119" s="32" t="s">
        <v>1324</v>
      </c>
      <c r="BI119" s="32">
        <v>14.0</v>
      </c>
      <c r="BJ119" s="32" t="s">
        <v>1124</v>
      </c>
      <c r="BK119" s="32" t="s">
        <v>2407</v>
      </c>
      <c r="BL119" s="32" t="s">
        <v>2577</v>
      </c>
      <c r="BM119" s="32" t="s">
        <v>4596</v>
      </c>
      <c r="BN119" s="32" t="s">
        <v>1324</v>
      </c>
      <c r="BO119" s="32" t="s">
        <v>2715</v>
      </c>
      <c r="BP119" s="32" t="s">
        <v>1324</v>
      </c>
      <c r="BQ119" s="32" t="s">
        <v>1324</v>
      </c>
      <c r="BR119" s="32" t="s">
        <v>5268</v>
      </c>
      <c r="BS119" s="32" t="s">
        <v>4597</v>
      </c>
      <c r="BT119" s="32" t="str">
        <f>HYPERLINK("https%3A%2F%2Fwww.webofscience.com%2Fwos%2Fwoscc%2Ffull-record%2FWOS:000273723100010","View Full Record in Web of Science")</f>
        <v>View Full Record in Web of Science</v>
      </c>
    </row>
    <row r="120" ht="12.75" customHeight="1">
      <c r="A120" s="32" t="s">
        <v>26</v>
      </c>
      <c r="B120" s="32" t="s">
        <v>4635</v>
      </c>
      <c r="C120" s="32" t="s">
        <v>1324</v>
      </c>
      <c r="D120" s="32" t="s">
        <v>1324</v>
      </c>
      <c r="E120" s="32" t="s">
        <v>1324</v>
      </c>
      <c r="F120" s="32" t="s">
        <v>2018</v>
      </c>
      <c r="G120" s="32" t="s">
        <v>1324</v>
      </c>
      <c r="H120" s="32" t="s">
        <v>1324</v>
      </c>
      <c r="I120" s="32" t="s">
        <v>2019</v>
      </c>
      <c r="J120" s="32" t="s">
        <v>2008</v>
      </c>
      <c r="K120" s="32" t="s">
        <v>1324</v>
      </c>
      <c r="L120" s="32" t="s">
        <v>1324</v>
      </c>
      <c r="M120" s="32" t="s">
        <v>2364</v>
      </c>
      <c r="N120" s="32" t="s">
        <v>38</v>
      </c>
      <c r="O120" s="32" t="s">
        <v>1324</v>
      </c>
      <c r="P120" s="32" t="s">
        <v>1324</v>
      </c>
      <c r="Q120" s="32" t="s">
        <v>1324</v>
      </c>
      <c r="R120" s="32" t="s">
        <v>1324</v>
      </c>
      <c r="S120" s="32" t="s">
        <v>1324</v>
      </c>
      <c r="T120" s="32" t="s">
        <v>4636</v>
      </c>
      <c r="U120" s="32" t="s">
        <v>4637</v>
      </c>
      <c r="V120" s="32" t="s">
        <v>2020</v>
      </c>
      <c r="W120" s="32" t="s">
        <v>4638</v>
      </c>
      <c r="X120" s="32" t="s">
        <v>4639</v>
      </c>
      <c r="Y120" s="32" t="s">
        <v>4640</v>
      </c>
      <c r="Z120" s="32" t="s">
        <v>4641</v>
      </c>
      <c r="AA120" s="32" t="s">
        <v>5208</v>
      </c>
      <c r="AB120" s="32" t="s">
        <v>5209</v>
      </c>
      <c r="AC120" s="32" t="s">
        <v>1324</v>
      </c>
      <c r="AD120" s="32" t="s">
        <v>1324</v>
      </c>
      <c r="AE120" s="32" t="s">
        <v>1324</v>
      </c>
      <c r="AF120" s="32" t="s">
        <v>1324</v>
      </c>
      <c r="AG120" s="32">
        <v>49.0</v>
      </c>
      <c r="AH120" s="32">
        <v>16.0</v>
      </c>
      <c r="AI120" s="32">
        <v>19.0</v>
      </c>
      <c r="AJ120" s="32">
        <v>0.0</v>
      </c>
      <c r="AK120" s="32">
        <v>27.0</v>
      </c>
      <c r="AL120" s="32" t="s">
        <v>2486</v>
      </c>
      <c r="AM120" s="32" t="s">
        <v>2487</v>
      </c>
      <c r="AN120" s="32" t="s">
        <v>2488</v>
      </c>
      <c r="AO120" s="32" t="s">
        <v>2489</v>
      </c>
      <c r="AP120" s="32" t="s">
        <v>2490</v>
      </c>
      <c r="AQ120" s="32" t="s">
        <v>1324</v>
      </c>
      <c r="AR120" s="32" t="s">
        <v>2491</v>
      </c>
      <c r="AS120" s="32" t="s">
        <v>2492</v>
      </c>
      <c r="AT120" s="32" t="s">
        <v>2979</v>
      </c>
      <c r="AU120" s="32">
        <v>2009.0</v>
      </c>
      <c r="AV120" s="32">
        <v>258.0</v>
      </c>
      <c r="AW120" s="32">
        <v>7.0</v>
      </c>
      <c r="AX120" s="32" t="s">
        <v>1324</v>
      </c>
      <c r="AY120" s="32" t="s">
        <v>1324</v>
      </c>
      <c r="AZ120" s="32" t="s">
        <v>1324</v>
      </c>
      <c r="BA120" s="32" t="s">
        <v>1324</v>
      </c>
      <c r="BB120" s="32">
        <v>1586.0</v>
      </c>
      <c r="BC120" s="32">
        <v>1593.0</v>
      </c>
      <c r="BD120" s="32" t="s">
        <v>1324</v>
      </c>
      <c r="BE120" s="32" t="s">
        <v>2021</v>
      </c>
      <c r="BF120" s="38" t="str">
        <f>HYPERLINK("http://dx.doi.org/10.1016/j.foreco.2009.07.013","http://dx.doi.org/10.1016/j.foreco.2009.07.013")</f>
        <v>http://dx.doi.org/10.1016/j.foreco.2009.07.013</v>
      </c>
      <c r="BG120" s="32" t="s">
        <v>1324</v>
      </c>
      <c r="BH120" s="32" t="s">
        <v>1324</v>
      </c>
      <c r="BI120" s="32">
        <v>8.0</v>
      </c>
      <c r="BJ120" s="32" t="s">
        <v>2494</v>
      </c>
      <c r="BK120" s="32" t="s">
        <v>2407</v>
      </c>
      <c r="BL120" s="32" t="s">
        <v>2494</v>
      </c>
      <c r="BM120" s="32" t="s">
        <v>4644</v>
      </c>
      <c r="BN120" s="32" t="s">
        <v>1324</v>
      </c>
      <c r="BO120" s="32" t="s">
        <v>1324</v>
      </c>
      <c r="BP120" s="32" t="s">
        <v>1324</v>
      </c>
      <c r="BQ120" s="32" t="s">
        <v>1324</v>
      </c>
      <c r="BR120" s="32" t="s">
        <v>5268</v>
      </c>
      <c r="BS120" s="32" t="s">
        <v>4645</v>
      </c>
      <c r="BT120" s="32" t="str">
        <f>HYPERLINK("https%3A%2F%2Fwww.webofscience.com%2Fwos%2Fwoscc%2Ffull-record%2FWOS:000270152300065","View Full Record in Web of Science")</f>
        <v>View Full Record in Web of Science</v>
      </c>
    </row>
    <row r="121" ht="12.75" customHeight="1">
      <c r="A121" s="32" t="s">
        <v>26</v>
      </c>
      <c r="B121" s="32" t="s">
        <v>4646</v>
      </c>
      <c r="C121" s="32" t="s">
        <v>1324</v>
      </c>
      <c r="D121" s="32" t="s">
        <v>1324</v>
      </c>
      <c r="E121" s="32" t="s">
        <v>1324</v>
      </c>
      <c r="F121" s="32" t="s">
        <v>1608</v>
      </c>
      <c r="G121" s="32" t="s">
        <v>1324</v>
      </c>
      <c r="H121" s="32" t="s">
        <v>1324</v>
      </c>
      <c r="I121" s="32" t="s">
        <v>1610</v>
      </c>
      <c r="J121" s="32" t="s">
        <v>1609</v>
      </c>
      <c r="K121" s="32" t="s">
        <v>1324</v>
      </c>
      <c r="L121" s="32" t="s">
        <v>1324</v>
      </c>
      <c r="M121" s="32" t="s">
        <v>2364</v>
      </c>
      <c r="N121" s="32" t="s">
        <v>38</v>
      </c>
      <c r="O121" s="32" t="s">
        <v>1324</v>
      </c>
      <c r="P121" s="32" t="s">
        <v>1324</v>
      </c>
      <c r="Q121" s="32" t="s">
        <v>1324</v>
      </c>
      <c r="R121" s="32" t="s">
        <v>1324</v>
      </c>
      <c r="S121" s="32" t="s">
        <v>1324</v>
      </c>
      <c r="T121" s="32" t="s">
        <v>4647</v>
      </c>
      <c r="U121" s="32" t="s">
        <v>4648</v>
      </c>
      <c r="V121" s="32" t="s">
        <v>1611</v>
      </c>
      <c r="W121" s="32" t="s">
        <v>4649</v>
      </c>
      <c r="X121" s="32" t="s">
        <v>4650</v>
      </c>
      <c r="Y121" s="32" t="s">
        <v>4651</v>
      </c>
      <c r="Z121" s="32" t="s">
        <v>4652</v>
      </c>
      <c r="AA121" s="32" t="s">
        <v>4653</v>
      </c>
      <c r="AB121" s="32" t="s">
        <v>4654</v>
      </c>
      <c r="AC121" s="32" t="s">
        <v>4655</v>
      </c>
      <c r="AD121" s="32" t="s">
        <v>4655</v>
      </c>
      <c r="AE121" s="32" t="s">
        <v>4656</v>
      </c>
      <c r="AF121" s="32" t="s">
        <v>1324</v>
      </c>
      <c r="AG121" s="32">
        <v>67.0</v>
      </c>
      <c r="AH121" s="32">
        <v>45.0</v>
      </c>
      <c r="AI121" s="32">
        <v>49.0</v>
      </c>
      <c r="AJ121" s="32">
        <v>0.0</v>
      </c>
      <c r="AK121" s="32">
        <v>33.0</v>
      </c>
      <c r="AL121" s="32" t="s">
        <v>2464</v>
      </c>
      <c r="AM121" s="32" t="s">
        <v>2465</v>
      </c>
      <c r="AN121" s="32" t="s">
        <v>2466</v>
      </c>
      <c r="AO121" s="32" t="s">
        <v>4657</v>
      </c>
      <c r="AP121" s="32" t="s">
        <v>4658</v>
      </c>
      <c r="AQ121" s="32" t="s">
        <v>1324</v>
      </c>
      <c r="AR121" s="32" t="s">
        <v>4659</v>
      </c>
      <c r="AS121" s="32" t="s">
        <v>4660</v>
      </c>
      <c r="AT121" s="32" t="s">
        <v>2471</v>
      </c>
      <c r="AU121" s="32">
        <v>2009.0</v>
      </c>
      <c r="AV121" s="32">
        <v>34.0</v>
      </c>
      <c r="AW121" s="32">
        <v>6.0</v>
      </c>
      <c r="AX121" s="32" t="s">
        <v>1324</v>
      </c>
      <c r="AY121" s="32" t="s">
        <v>1324</v>
      </c>
      <c r="AZ121" s="32" t="s">
        <v>1324</v>
      </c>
      <c r="BA121" s="32" t="s">
        <v>1324</v>
      </c>
      <c r="BB121" s="32">
        <v>705.0</v>
      </c>
      <c r="BC121" s="32">
        <v>716.0</v>
      </c>
      <c r="BD121" s="32" t="s">
        <v>1324</v>
      </c>
      <c r="BE121" s="32" t="s">
        <v>1612</v>
      </c>
      <c r="BF121" s="38" t="str">
        <f>HYPERLINK("http://dx.doi.org/10.1111/j.1442-9993.2009.01979.x","http://dx.doi.org/10.1111/j.1442-9993.2009.01979.x")</f>
        <v>http://dx.doi.org/10.1111/j.1442-9993.2009.01979.x</v>
      </c>
      <c r="BG121" s="32" t="s">
        <v>1324</v>
      </c>
      <c r="BH121" s="32" t="s">
        <v>1324</v>
      </c>
      <c r="BI121" s="32">
        <v>12.0</v>
      </c>
      <c r="BJ121" s="32" t="s">
        <v>817</v>
      </c>
      <c r="BK121" s="32" t="s">
        <v>2407</v>
      </c>
      <c r="BL121" s="32" t="s">
        <v>2472</v>
      </c>
      <c r="BM121" s="32" t="s">
        <v>4661</v>
      </c>
      <c r="BN121" s="32" t="s">
        <v>1324</v>
      </c>
      <c r="BO121" s="32" t="s">
        <v>1324</v>
      </c>
      <c r="BP121" s="32" t="s">
        <v>1324</v>
      </c>
      <c r="BQ121" s="32" t="s">
        <v>1324</v>
      </c>
      <c r="BR121" s="32" t="s">
        <v>5268</v>
      </c>
      <c r="BS121" s="32" t="s">
        <v>4662</v>
      </c>
      <c r="BT121" s="32" t="str">
        <f>HYPERLINK("https%3A%2F%2Fwww.webofscience.com%2Fwos%2Fwoscc%2Ffull-record%2FWOS:000269675600012","View Full Record in Web of Science")</f>
        <v>View Full Record in Web of Science</v>
      </c>
    </row>
    <row r="122" ht="12.75" customHeight="1">
      <c r="A122" s="32" t="s">
        <v>26</v>
      </c>
      <c r="B122" s="32" t="s">
        <v>4707</v>
      </c>
      <c r="C122" s="32" t="s">
        <v>1324</v>
      </c>
      <c r="D122" s="32" t="s">
        <v>1324</v>
      </c>
      <c r="E122" s="32" t="s">
        <v>1324</v>
      </c>
      <c r="F122" s="32" t="s">
        <v>1418</v>
      </c>
      <c r="G122" s="32" t="s">
        <v>1324</v>
      </c>
      <c r="H122" s="32" t="s">
        <v>1324</v>
      </c>
      <c r="I122" s="32" t="s">
        <v>1420</v>
      </c>
      <c r="J122" s="32" t="s">
        <v>1419</v>
      </c>
      <c r="K122" s="32" t="s">
        <v>1324</v>
      </c>
      <c r="L122" s="32" t="s">
        <v>1324</v>
      </c>
      <c r="M122" s="32" t="s">
        <v>2364</v>
      </c>
      <c r="N122" s="32" t="s">
        <v>38</v>
      </c>
      <c r="O122" s="32" t="s">
        <v>1324</v>
      </c>
      <c r="P122" s="32" t="s">
        <v>1324</v>
      </c>
      <c r="Q122" s="32" t="s">
        <v>1324</v>
      </c>
      <c r="R122" s="32" t="s">
        <v>1324</v>
      </c>
      <c r="S122" s="32" t="s">
        <v>1324</v>
      </c>
      <c r="T122" s="32" t="s">
        <v>4708</v>
      </c>
      <c r="U122" s="32" t="s">
        <v>4709</v>
      </c>
      <c r="V122" s="32" t="s">
        <v>1421</v>
      </c>
      <c r="W122" s="32" t="s">
        <v>4710</v>
      </c>
      <c r="X122" s="32" t="s">
        <v>4711</v>
      </c>
      <c r="Y122" s="32" t="s">
        <v>4712</v>
      </c>
      <c r="Z122" s="32" t="s">
        <v>4713</v>
      </c>
      <c r="AA122" s="32" t="s">
        <v>1324</v>
      </c>
      <c r="AB122" s="32" t="s">
        <v>1324</v>
      </c>
      <c r="AC122" s="32" t="s">
        <v>4714</v>
      </c>
      <c r="AD122" s="32" t="s">
        <v>4715</v>
      </c>
      <c r="AE122" s="32" t="s">
        <v>4716</v>
      </c>
      <c r="AF122" s="32" t="s">
        <v>1324</v>
      </c>
      <c r="AG122" s="32">
        <v>82.0</v>
      </c>
      <c r="AH122" s="32">
        <v>24.0</v>
      </c>
      <c r="AI122" s="32">
        <v>26.0</v>
      </c>
      <c r="AJ122" s="32">
        <v>0.0</v>
      </c>
      <c r="AK122" s="32">
        <v>25.0</v>
      </c>
      <c r="AL122" s="32" t="s">
        <v>2464</v>
      </c>
      <c r="AM122" s="32" t="s">
        <v>2465</v>
      </c>
      <c r="AN122" s="32" t="s">
        <v>2466</v>
      </c>
      <c r="AO122" s="32" t="s">
        <v>2467</v>
      </c>
      <c r="AP122" s="32" t="s">
        <v>2468</v>
      </c>
      <c r="AQ122" s="32" t="s">
        <v>1324</v>
      </c>
      <c r="AR122" s="32" t="s">
        <v>2469</v>
      </c>
      <c r="AS122" s="32" t="s">
        <v>2470</v>
      </c>
      <c r="AT122" s="32" t="s">
        <v>2908</v>
      </c>
      <c r="AU122" s="32">
        <v>2008.0</v>
      </c>
      <c r="AV122" s="32">
        <v>18.0</v>
      </c>
      <c r="AW122" s="32">
        <v>8.0</v>
      </c>
      <c r="AX122" s="32" t="s">
        <v>1324</v>
      </c>
      <c r="AY122" s="32" t="s">
        <v>1324</v>
      </c>
      <c r="AZ122" s="32" t="s">
        <v>1324</v>
      </c>
      <c r="BA122" s="32" t="s">
        <v>1324</v>
      </c>
      <c r="BB122" s="32">
        <v>1932.0</v>
      </c>
      <c r="BC122" s="32">
        <v>1955.0</v>
      </c>
      <c r="BD122" s="32" t="s">
        <v>1324</v>
      </c>
      <c r="BE122" s="32" t="s">
        <v>1422</v>
      </c>
      <c r="BF122" s="38" t="str">
        <f>HYPERLINK("http://dx.doi.org/10.1890/07-1254.1","http://dx.doi.org/10.1890/07-1254.1")</f>
        <v>http://dx.doi.org/10.1890/07-1254.1</v>
      </c>
      <c r="BG122" s="32" t="s">
        <v>1324</v>
      </c>
      <c r="BH122" s="32" t="s">
        <v>1324</v>
      </c>
      <c r="BI122" s="32">
        <v>24.0</v>
      </c>
      <c r="BJ122" s="32" t="s">
        <v>698</v>
      </c>
      <c r="BK122" s="32" t="s">
        <v>2407</v>
      </c>
      <c r="BL122" s="32" t="s">
        <v>2472</v>
      </c>
      <c r="BM122" s="32" t="s">
        <v>4717</v>
      </c>
      <c r="BN122" s="32">
        <v>1.9263889E7</v>
      </c>
      <c r="BO122" s="32" t="s">
        <v>1324</v>
      </c>
      <c r="BP122" s="32" t="s">
        <v>1324</v>
      </c>
      <c r="BQ122" s="32" t="s">
        <v>1324</v>
      </c>
      <c r="BR122" s="32" t="s">
        <v>5268</v>
      </c>
      <c r="BS122" s="32" t="s">
        <v>4718</v>
      </c>
      <c r="BT122" s="32" t="str">
        <f>HYPERLINK("https%3A%2F%2Fwww.webofscience.com%2Fwos%2Fwoscc%2Ffull-record%2FWOS:000262605500010","View Full Record in Web of Science")</f>
        <v>View Full Record in Web of Science</v>
      </c>
    </row>
    <row r="123" ht="12.75" customHeight="1">
      <c r="A123" s="32" t="s">
        <v>26</v>
      </c>
      <c r="B123" s="32" t="s">
        <v>4719</v>
      </c>
      <c r="C123" s="32" t="s">
        <v>1324</v>
      </c>
      <c r="D123" s="32" t="s">
        <v>1324</v>
      </c>
      <c r="E123" s="32" t="s">
        <v>1324</v>
      </c>
      <c r="F123" s="32" t="s">
        <v>1853</v>
      </c>
      <c r="G123" s="32" t="s">
        <v>1324</v>
      </c>
      <c r="H123" s="32" t="s">
        <v>1324</v>
      </c>
      <c r="I123" s="32" t="s">
        <v>1854</v>
      </c>
      <c r="J123" s="32" t="s">
        <v>1848</v>
      </c>
      <c r="K123" s="32" t="s">
        <v>1324</v>
      </c>
      <c r="L123" s="32" t="s">
        <v>1324</v>
      </c>
      <c r="M123" s="32" t="s">
        <v>2364</v>
      </c>
      <c r="N123" s="32" t="s">
        <v>38</v>
      </c>
      <c r="O123" s="32" t="s">
        <v>1324</v>
      </c>
      <c r="P123" s="32" t="s">
        <v>1324</v>
      </c>
      <c r="Q123" s="32" t="s">
        <v>1324</v>
      </c>
      <c r="R123" s="32" t="s">
        <v>1324</v>
      </c>
      <c r="S123" s="32" t="s">
        <v>1324</v>
      </c>
      <c r="T123" s="32" t="s">
        <v>1324</v>
      </c>
      <c r="U123" s="32" t="s">
        <v>4720</v>
      </c>
      <c r="V123" s="32" t="s">
        <v>1855</v>
      </c>
      <c r="W123" s="32" t="s">
        <v>4721</v>
      </c>
      <c r="X123" s="32" t="s">
        <v>4722</v>
      </c>
      <c r="Y123" s="32" t="s">
        <v>4723</v>
      </c>
      <c r="Z123" s="32" t="s">
        <v>4724</v>
      </c>
      <c r="AA123" s="32" t="s">
        <v>5104</v>
      </c>
      <c r="AB123" s="32" t="s">
        <v>5105</v>
      </c>
      <c r="AC123" s="32" t="s">
        <v>4727</v>
      </c>
      <c r="AD123" s="32" t="s">
        <v>4728</v>
      </c>
      <c r="AE123" s="32" t="s">
        <v>4729</v>
      </c>
      <c r="AF123" s="32" t="s">
        <v>1324</v>
      </c>
      <c r="AG123" s="32">
        <v>82.0</v>
      </c>
      <c r="AH123" s="32">
        <v>363.0</v>
      </c>
      <c r="AI123" s="32">
        <v>447.0</v>
      </c>
      <c r="AJ123" s="32">
        <v>7.0</v>
      </c>
      <c r="AK123" s="32">
        <v>289.0</v>
      </c>
      <c r="AL123" s="32" t="s">
        <v>4188</v>
      </c>
      <c r="AM123" s="32" t="s">
        <v>3872</v>
      </c>
      <c r="AN123" s="32" t="s">
        <v>4298</v>
      </c>
      <c r="AO123" s="32" t="s">
        <v>4299</v>
      </c>
      <c r="AP123" s="32" t="s">
        <v>4300</v>
      </c>
      <c r="AQ123" s="32" t="s">
        <v>1324</v>
      </c>
      <c r="AR123" s="32" t="s">
        <v>4301</v>
      </c>
      <c r="AS123" s="32" t="s">
        <v>4302</v>
      </c>
      <c r="AT123" s="32" t="s">
        <v>2471</v>
      </c>
      <c r="AU123" s="32">
        <v>2008.0</v>
      </c>
      <c r="AV123" s="32">
        <v>18.0</v>
      </c>
      <c r="AW123" s="32" t="s">
        <v>1324</v>
      </c>
      <c r="AX123" s="32" t="s">
        <v>1324</v>
      </c>
      <c r="AY123" s="32">
        <v>1.0</v>
      </c>
      <c r="AZ123" s="32" t="s">
        <v>1324</v>
      </c>
      <c r="BA123" s="32" t="s">
        <v>1324</v>
      </c>
      <c r="BB123" s="32" t="s">
        <v>4730</v>
      </c>
      <c r="BC123" s="32" t="s">
        <v>4731</v>
      </c>
      <c r="BD123" s="32" t="s">
        <v>1324</v>
      </c>
      <c r="BE123" s="32" t="s">
        <v>1856</v>
      </c>
      <c r="BF123" s="38" t="str">
        <f>HYPERLINK("http://dx.doi.org/10.1017/S0959270908000439","http://dx.doi.org/10.1017/S0959270908000439")</f>
        <v>http://dx.doi.org/10.1017/S0959270908000439</v>
      </c>
      <c r="BG123" s="32" t="s">
        <v>1324</v>
      </c>
      <c r="BH123" s="32" t="s">
        <v>1324</v>
      </c>
      <c r="BI123" s="32">
        <v>25.0</v>
      </c>
      <c r="BJ123" s="32" t="s">
        <v>4303</v>
      </c>
      <c r="BK123" s="32" t="s">
        <v>2407</v>
      </c>
      <c r="BL123" s="32" t="s">
        <v>4304</v>
      </c>
      <c r="BM123" s="32" t="s">
        <v>4732</v>
      </c>
      <c r="BN123" s="32" t="s">
        <v>1324</v>
      </c>
      <c r="BO123" s="32" t="s">
        <v>2715</v>
      </c>
      <c r="BP123" s="32" t="s">
        <v>1324</v>
      </c>
      <c r="BQ123" s="32" t="s">
        <v>1324</v>
      </c>
      <c r="BR123" s="32" t="s">
        <v>5268</v>
      </c>
      <c r="BS123" s="32" t="s">
        <v>4733</v>
      </c>
      <c r="BT123" s="32" t="str">
        <f>HYPERLINK("https%3A%2F%2Fwww.webofscience.com%2Fwos%2Fwoscc%2Ffull-record%2FWOS:000259453100005","View Full Record in Web of Science")</f>
        <v>View Full Record in Web of Science</v>
      </c>
    </row>
    <row r="124" ht="12.75" customHeight="1">
      <c r="A124" s="32" t="s">
        <v>26</v>
      </c>
      <c r="B124" s="32" t="s">
        <v>4734</v>
      </c>
      <c r="C124" s="32" t="s">
        <v>1324</v>
      </c>
      <c r="D124" s="32" t="s">
        <v>1324</v>
      </c>
      <c r="E124" s="32" t="s">
        <v>1324</v>
      </c>
      <c r="F124" s="32" t="s">
        <v>1490</v>
      </c>
      <c r="G124" s="32" t="s">
        <v>1324</v>
      </c>
      <c r="H124" s="32" t="s">
        <v>1324</v>
      </c>
      <c r="I124" s="32" t="s">
        <v>1491</v>
      </c>
      <c r="J124" s="32" t="s">
        <v>365</v>
      </c>
      <c r="K124" s="32" t="s">
        <v>1324</v>
      </c>
      <c r="L124" s="32" t="s">
        <v>1324</v>
      </c>
      <c r="M124" s="32" t="s">
        <v>2364</v>
      </c>
      <c r="N124" s="32" t="s">
        <v>38</v>
      </c>
      <c r="O124" s="32" t="s">
        <v>1324</v>
      </c>
      <c r="P124" s="32" t="s">
        <v>1324</v>
      </c>
      <c r="Q124" s="32" t="s">
        <v>1324</v>
      </c>
      <c r="R124" s="32" t="s">
        <v>1324</v>
      </c>
      <c r="S124" s="32" t="s">
        <v>1324</v>
      </c>
      <c r="T124" s="32" t="s">
        <v>1324</v>
      </c>
      <c r="U124" s="32" t="s">
        <v>4735</v>
      </c>
      <c r="V124" s="32" t="s">
        <v>1492</v>
      </c>
      <c r="W124" s="32" t="s">
        <v>4736</v>
      </c>
      <c r="X124" s="32" t="s">
        <v>5399</v>
      </c>
      <c r="Y124" s="32" t="s">
        <v>4738</v>
      </c>
      <c r="Z124" s="32" t="s">
        <v>4739</v>
      </c>
      <c r="AA124" s="32" t="s">
        <v>5400</v>
      </c>
      <c r="AB124" s="32" t="s">
        <v>5401</v>
      </c>
      <c r="AC124" s="32" t="s">
        <v>4742</v>
      </c>
      <c r="AD124" s="32" t="s">
        <v>4743</v>
      </c>
      <c r="AE124" s="32" t="s">
        <v>4744</v>
      </c>
      <c r="AF124" s="32" t="s">
        <v>1324</v>
      </c>
      <c r="AG124" s="32">
        <v>52.0</v>
      </c>
      <c r="AH124" s="32">
        <v>218.0</v>
      </c>
      <c r="AI124" s="32">
        <v>241.0</v>
      </c>
      <c r="AJ124" s="32">
        <v>0.0</v>
      </c>
      <c r="AK124" s="32">
        <v>194.0</v>
      </c>
      <c r="AL124" s="32" t="s">
        <v>2423</v>
      </c>
      <c r="AM124" s="32" t="s">
        <v>2424</v>
      </c>
      <c r="AN124" s="32" t="s">
        <v>2425</v>
      </c>
      <c r="AO124" s="32" t="s">
        <v>2426</v>
      </c>
      <c r="AP124" s="32" t="s">
        <v>1324</v>
      </c>
      <c r="AQ124" s="32" t="s">
        <v>1324</v>
      </c>
      <c r="AR124" s="32" t="s">
        <v>365</v>
      </c>
      <c r="AS124" s="32" t="s">
        <v>2427</v>
      </c>
      <c r="AT124" s="32" t="s">
        <v>4745</v>
      </c>
      <c r="AU124" s="32">
        <v>2008.0</v>
      </c>
      <c r="AV124" s="32">
        <v>3.0</v>
      </c>
      <c r="AW124" s="32">
        <v>8.0</v>
      </c>
      <c r="AX124" s="32" t="s">
        <v>1324</v>
      </c>
      <c r="AY124" s="32" t="s">
        <v>1324</v>
      </c>
      <c r="AZ124" s="32" t="s">
        <v>1324</v>
      </c>
      <c r="BA124" s="32" t="s">
        <v>1324</v>
      </c>
      <c r="BB124" s="32" t="s">
        <v>1324</v>
      </c>
      <c r="BC124" s="32" t="s">
        <v>1324</v>
      </c>
      <c r="BD124" s="32" t="s">
        <v>4746</v>
      </c>
      <c r="BE124" s="32" t="s">
        <v>1493</v>
      </c>
      <c r="BF124" s="38" t="str">
        <f>HYPERLINK("http://dx.doi.org/10.1371/journal.pone.0003039","http://dx.doi.org/10.1371/journal.pone.0003039")</f>
        <v>http://dx.doi.org/10.1371/journal.pone.0003039</v>
      </c>
      <c r="BG124" s="32" t="s">
        <v>1324</v>
      </c>
      <c r="BH124" s="32" t="s">
        <v>1324</v>
      </c>
      <c r="BI124" s="32">
        <v>9.0</v>
      </c>
      <c r="BJ124" s="32" t="s">
        <v>42</v>
      </c>
      <c r="BK124" s="32" t="s">
        <v>2407</v>
      </c>
      <c r="BL124" s="32" t="s">
        <v>2430</v>
      </c>
      <c r="BM124" s="32" t="s">
        <v>4747</v>
      </c>
      <c r="BN124" s="32">
        <v>1.8728776E7</v>
      </c>
      <c r="BO124" s="32" t="s">
        <v>2410</v>
      </c>
      <c r="BP124" s="32" t="s">
        <v>1324</v>
      </c>
      <c r="BQ124" s="32" t="s">
        <v>1324</v>
      </c>
      <c r="BR124" s="32" t="s">
        <v>5268</v>
      </c>
      <c r="BS124" s="32" t="s">
        <v>4748</v>
      </c>
      <c r="BT124" s="32" t="str">
        <f>HYPERLINK("https%3A%2F%2Fwww.webofscience.com%2Fwos%2Fwoscc%2Ffull-record%2FWOS:000264796400003","View Full Record in Web of Science")</f>
        <v>View Full Record in Web of Science</v>
      </c>
    </row>
    <row r="125" ht="12.75" customHeight="1">
      <c r="A125" s="32" t="s">
        <v>26</v>
      </c>
      <c r="B125" s="32" t="s">
        <v>4749</v>
      </c>
      <c r="C125" s="32" t="s">
        <v>1324</v>
      </c>
      <c r="D125" s="32" t="s">
        <v>1324</v>
      </c>
      <c r="E125" s="32" t="s">
        <v>1324</v>
      </c>
      <c r="F125" s="32" t="s">
        <v>2120</v>
      </c>
      <c r="G125" s="32" t="s">
        <v>1324</v>
      </c>
      <c r="H125" s="32" t="s">
        <v>1324</v>
      </c>
      <c r="I125" s="32" t="s">
        <v>2121</v>
      </c>
      <c r="J125" s="32" t="s">
        <v>251</v>
      </c>
      <c r="K125" s="32" t="s">
        <v>1324</v>
      </c>
      <c r="L125" s="32" t="s">
        <v>1324</v>
      </c>
      <c r="M125" s="32" t="s">
        <v>2364</v>
      </c>
      <c r="N125" s="32" t="s">
        <v>38</v>
      </c>
      <c r="O125" s="32" t="s">
        <v>1324</v>
      </c>
      <c r="P125" s="32" t="s">
        <v>1324</v>
      </c>
      <c r="Q125" s="32" t="s">
        <v>1324</v>
      </c>
      <c r="R125" s="32" t="s">
        <v>1324</v>
      </c>
      <c r="S125" s="32" t="s">
        <v>1324</v>
      </c>
      <c r="T125" s="32" t="s">
        <v>4750</v>
      </c>
      <c r="U125" s="32" t="s">
        <v>4751</v>
      </c>
      <c r="V125" s="32" t="s">
        <v>2122</v>
      </c>
      <c r="W125" s="32" t="s">
        <v>4752</v>
      </c>
      <c r="X125" s="32" t="s">
        <v>4753</v>
      </c>
      <c r="Y125" s="32" t="s">
        <v>4754</v>
      </c>
      <c r="Z125" s="32" t="s">
        <v>4755</v>
      </c>
      <c r="AA125" s="32" t="s">
        <v>5402</v>
      </c>
      <c r="AB125" s="32" t="s">
        <v>5403</v>
      </c>
      <c r="AC125" s="32" t="s">
        <v>4758</v>
      </c>
      <c r="AD125" s="32" t="s">
        <v>4759</v>
      </c>
      <c r="AE125" s="32" t="s">
        <v>1324</v>
      </c>
      <c r="AF125" s="32" t="s">
        <v>1324</v>
      </c>
      <c r="AG125" s="32">
        <v>74.0</v>
      </c>
      <c r="AH125" s="32">
        <v>413.0</v>
      </c>
      <c r="AI125" s="32">
        <v>475.0</v>
      </c>
      <c r="AJ125" s="32">
        <v>7.0</v>
      </c>
      <c r="AK125" s="32">
        <v>285.0</v>
      </c>
      <c r="AL125" s="32" t="s">
        <v>2530</v>
      </c>
      <c r="AM125" s="32" t="s">
        <v>2509</v>
      </c>
      <c r="AN125" s="32" t="s">
        <v>2646</v>
      </c>
      <c r="AO125" s="32" t="s">
        <v>2939</v>
      </c>
      <c r="AP125" s="32" t="s">
        <v>2940</v>
      </c>
      <c r="AQ125" s="32" t="s">
        <v>1324</v>
      </c>
      <c r="AR125" s="32" t="s">
        <v>2941</v>
      </c>
      <c r="AS125" s="32" t="s">
        <v>2942</v>
      </c>
      <c r="AT125" s="32" t="s">
        <v>2557</v>
      </c>
      <c r="AU125" s="32">
        <v>2008.0</v>
      </c>
      <c r="AV125" s="32">
        <v>141.0</v>
      </c>
      <c r="AW125" s="32">
        <v>7.0</v>
      </c>
      <c r="AX125" s="32" t="s">
        <v>1324</v>
      </c>
      <c r="AY125" s="32" t="s">
        <v>1324</v>
      </c>
      <c r="AZ125" s="32" t="s">
        <v>1324</v>
      </c>
      <c r="BA125" s="32" t="s">
        <v>1324</v>
      </c>
      <c r="BB125" s="32">
        <v>1745.0</v>
      </c>
      <c r="BC125" s="32">
        <v>1757.0</v>
      </c>
      <c r="BD125" s="32" t="s">
        <v>1324</v>
      </c>
      <c r="BE125" s="32" t="s">
        <v>2123</v>
      </c>
      <c r="BF125" s="38" t="str">
        <f>HYPERLINK("http://dx.doi.org/10.1016/j.biocon.2008.04.024","http://dx.doi.org/10.1016/j.biocon.2008.04.024")</f>
        <v>http://dx.doi.org/10.1016/j.biocon.2008.04.024</v>
      </c>
      <c r="BG125" s="32" t="s">
        <v>1324</v>
      </c>
      <c r="BH125" s="32" t="s">
        <v>1324</v>
      </c>
      <c r="BI125" s="32">
        <v>13.0</v>
      </c>
      <c r="BJ125" s="32" t="s">
        <v>255</v>
      </c>
      <c r="BK125" s="32" t="s">
        <v>2407</v>
      </c>
      <c r="BL125" s="32" t="s">
        <v>2577</v>
      </c>
      <c r="BM125" s="32" t="s">
        <v>4760</v>
      </c>
      <c r="BN125" s="32" t="s">
        <v>1324</v>
      </c>
      <c r="BO125" s="32" t="s">
        <v>1324</v>
      </c>
      <c r="BP125" s="32" t="s">
        <v>1324</v>
      </c>
      <c r="BQ125" s="32" t="s">
        <v>1324</v>
      </c>
      <c r="BR125" s="32" t="s">
        <v>5268</v>
      </c>
      <c r="BS125" s="32" t="s">
        <v>4761</v>
      </c>
      <c r="BT125" s="32" t="str">
        <f>HYPERLINK("https%3A%2F%2Fwww.webofscience.com%2Fwos%2Fwoscc%2Ffull-record%2FWOS:000258306300002","View Full Record in Web of Science")</f>
        <v>View Full Record in Web of Science</v>
      </c>
    </row>
    <row r="126" ht="12.75" customHeight="1">
      <c r="A126" s="32" t="s">
        <v>26</v>
      </c>
      <c r="B126" s="32" t="s">
        <v>4762</v>
      </c>
      <c r="C126" s="32" t="s">
        <v>1324</v>
      </c>
      <c r="D126" s="32" t="s">
        <v>1324</v>
      </c>
      <c r="E126" s="32" t="s">
        <v>1324</v>
      </c>
      <c r="F126" s="32" t="s">
        <v>2220</v>
      </c>
      <c r="G126" s="32" t="s">
        <v>1324</v>
      </c>
      <c r="H126" s="32" t="s">
        <v>1324</v>
      </c>
      <c r="I126" s="32" t="s">
        <v>2222</v>
      </c>
      <c r="J126" s="32" t="s">
        <v>2221</v>
      </c>
      <c r="K126" s="32" t="s">
        <v>1324</v>
      </c>
      <c r="L126" s="32" t="s">
        <v>1324</v>
      </c>
      <c r="M126" s="32" t="s">
        <v>2364</v>
      </c>
      <c r="N126" s="32" t="s">
        <v>38</v>
      </c>
      <c r="O126" s="32" t="s">
        <v>1324</v>
      </c>
      <c r="P126" s="32" t="s">
        <v>1324</v>
      </c>
      <c r="Q126" s="32" t="s">
        <v>1324</v>
      </c>
      <c r="R126" s="32" t="s">
        <v>1324</v>
      </c>
      <c r="S126" s="32" t="s">
        <v>1324</v>
      </c>
      <c r="T126" s="32" t="s">
        <v>4763</v>
      </c>
      <c r="U126" s="32" t="s">
        <v>4764</v>
      </c>
      <c r="V126" s="32" t="s">
        <v>2223</v>
      </c>
      <c r="W126" s="32" t="s">
        <v>4765</v>
      </c>
      <c r="X126" s="32" t="s">
        <v>4766</v>
      </c>
      <c r="Y126" s="32" t="s">
        <v>4767</v>
      </c>
      <c r="Z126" s="32" t="s">
        <v>4768</v>
      </c>
      <c r="AA126" s="32" t="s">
        <v>1324</v>
      </c>
      <c r="AB126" s="32" t="s">
        <v>4769</v>
      </c>
      <c r="AC126" s="32" t="s">
        <v>1324</v>
      </c>
      <c r="AD126" s="32" t="s">
        <v>1324</v>
      </c>
      <c r="AE126" s="32" t="s">
        <v>1324</v>
      </c>
      <c r="AF126" s="32" t="s">
        <v>1324</v>
      </c>
      <c r="AG126" s="32">
        <v>37.0</v>
      </c>
      <c r="AH126" s="32">
        <v>391.0</v>
      </c>
      <c r="AI126" s="32">
        <v>461.0</v>
      </c>
      <c r="AJ126" s="32">
        <v>5.0</v>
      </c>
      <c r="AK126" s="32">
        <v>223.0</v>
      </c>
      <c r="AL126" s="32" t="s">
        <v>3250</v>
      </c>
      <c r="AM126" s="32" t="s">
        <v>3251</v>
      </c>
      <c r="AN126" s="32" t="s">
        <v>3252</v>
      </c>
      <c r="AO126" s="32" t="s">
        <v>4770</v>
      </c>
      <c r="AP126" s="32" t="s">
        <v>4771</v>
      </c>
      <c r="AQ126" s="32" t="s">
        <v>1324</v>
      </c>
      <c r="AR126" s="32" t="s">
        <v>4772</v>
      </c>
      <c r="AS126" s="32" t="s">
        <v>4773</v>
      </c>
      <c r="AT126" s="32" t="s">
        <v>2734</v>
      </c>
      <c r="AU126" s="32">
        <v>2008.0</v>
      </c>
      <c r="AV126" s="32">
        <v>10.0</v>
      </c>
      <c r="AW126" s="32">
        <v>4.0</v>
      </c>
      <c r="AX126" s="32" t="s">
        <v>1324</v>
      </c>
      <c r="AY126" s="32" t="s">
        <v>1324</v>
      </c>
      <c r="AZ126" s="32" t="s">
        <v>1324</v>
      </c>
      <c r="BA126" s="32" t="s">
        <v>1324</v>
      </c>
      <c r="BB126" s="32">
        <v>391.0</v>
      </c>
      <c r="BC126" s="32">
        <v>398.0</v>
      </c>
      <c r="BD126" s="32" t="s">
        <v>1324</v>
      </c>
      <c r="BE126" s="32" t="s">
        <v>2224</v>
      </c>
      <c r="BF126" s="38" t="str">
        <f>HYPERLINK("http://dx.doi.org/10.1007/s10530-007-9138-5","http://dx.doi.org/10.1007/s10530-007-9138-5")</f>
        <v>http://dx.doi.org/10.1007/s10530-007-9138-5</v>
      </c>
      <c r="BG126" s="32" t="s">
        <v>1324</v>
      </c>
      <c r="BH126" s="32" t="s">
        <v>1324</v>
      </c>
      <c r="BI126" s="32">
        <v>8.0</v>
      </c>
      <c r="BJ126" s="32" t="s">
        <v>1124</v>
      </c>
      <c r="BK126" s="32" t="s">
        <v>2878</v>
      </c>
      <c r="BL126" s="32" t="s">
        <v>2577</v>
      </c>
      <c r="BM126" s="32" t="s">
        <v>4774</v>
      </c>
      <c r="BN126" s="32" t="s">
        <v>1324</v>
      </c>
      <c r="BO126" s="32" t="s">
        <v>1324</v>
      </c>
      <c r="BP126" s="32" t="s">
        <v>1324</v>
      </c>
      <c r="BQ126" s="32" t="s">
        <v>1324</v>
      </c>
      <c r="BR126" s="32" t="s">
        <v>5268</v>
      </c>
      <c r="BS126" s="32" t="s">
        <v>4775</v>
      </c>
      <c r="BT126" s="32" t="str">
        <f>HYPERLINK("https%3A%2F%2Fwww.webofscience.com%2Fwos%2Fwoscc%2Ffull-record%2FWOS:000254086900002","View Full Record in Web of Science")</f>
        <v>View Full Record in Web of Science</v>
      </c>
    </row>
    <row r="127" ht="12.75" customHeight="1">
      <c r="A127" s="32" t="s">
        <v>636</v>
      </c>
      <c r="B127" s="32" t="s">
        <v>4776</v>
      </c>
      <c r="C127" s="32" t="s">
        <v>1324</v>
      </c>
      <c r="D127" s="32" t="s">
        <v>4777</v>
      </c>
      <c r="E127" s="32" t="s">
        <v>1324</v>
      </c>
      <c r="F127" s="32" t="s">
        <v>2153</v>
      </c>
      <c r="G127" s="32" t="s">
        <v>1324</v>
      </c>
      <c r="H127" s="32" t="s">
        <v>1324</v>
      </c>
      <c r="I127" s="32" t="s">
        <v>2155</v>
      </c>
      <c r="J127" s="32" t="s">
        <v>2154</v>
      </c>
      <c r="K127" s="32" t="s">
        <v>4778</v>
      </c>
      <c r="L127" s="32" t="s">
        <v>1324</v>
      </c>
      <c r="M127" s="32" t="s">
        <v>2364</v>
      </c>
      <c r="N127" s="32" t="s">
        <v>2437</v>
      </c>
      <c r="O127" s="32" t="s">
        <v>1324</v>
      </c>
      <c r="P127" s="32" t="s">
        <v>1324</v>
      </c>
      <c r="Q127" s="32" t="s">
        <v>1324</v>
      </c>
      <c r="R127" s="32" t="s">
        <v>1324</v>
      </c>
      <c r="S127" s="32" t="s">
        <v>1324</v>
      </c>
      <c r="T127" s="32" t="s">
        <v>1324</v>
      </c>
      <c r="U127" s="32" t="s">
        <v>4779</v>
      </c>
      <c r="V127" s="32" t="s">
        <v>4780</v>
      </c>
      <c r="W127" s="32" t="s">
        <v>4781</v>
      </c>
      <c r="X127" s="32" t="s">
        <v>4782</v>
      </c>
      <c r="Y127" s="32" t="s">
        <v>4783</v>
      </c>
      <c r="Z127" s="32" t="s">
        <v>1324</v>
      </c>
      <c r="AA127" s="32" t="s">
        <v>5404</v>
      </c>
      <c r="AB127" s="32" t="s">
        <v>5405</v>
      </c>
      <c r="AC127" s="32" t="s">
        <v>1324</v>
      </c>
      <c r="AD127" s="32" t="s">
        <v>1324</v>
      </c>
      <c r="AE127" s="32" t="s">
        <v>1324</v>
      </c>
      <c r="AF127" s="32" t="s">
        <v>1324</v>
      </c>
      <c r="AG127" s="32">
        <v>169.0</v>
      </c>
      <c r="AH127" s="32">
        <v>165.0</v>
      </c>
      <c r="AI127" s="32">
        <v>207.0</v>
      </c>
      <c r="AJ127" s="32">
        <v>2.0</v>
      </c>
      <c r="AK127" s="32">
        <v>21.0</v>
      </c>
      <c r="AL127" s="32" t="s">
        <v>4786</v>
      </c>
      <c r="AM127" s="32" t="s">
        <v>3483</v>
      </c>
      <c r="AN127" s="32" t="s">
        <v>4787</v>
      </c>
      <c r="AO127" s="32" t="s">
        <v>4788</v>
      </c>
      <c r="AP127" s="32" t="s">
        <v>1324</v>
      </c>
      <c r="AQ127" s="32" t="s">
        <v>4789</v>
      </c>
      <c r="AR127" s="32" t="s">
        <v>4790</v>
      </c>
      <c r="AS127" s="32" t="s">
        <v>4791</v>
      </c>
      <c r="AT127" s="32" t="s">
        <v>1324</v>
      </c>
      <c r="AU127" s="32">
        <v>2008.0</v>
      </c>
      <c r="AV127" s="32" t="s">
        <v>1324</v>
      </c>
      <c r="AW127" s="32" t="s">
        <v>1324</v>
      </c>
      <c r="AX127" s="32" t="s">
        <v>1324</v>
      </c>
      <c r="AY127" s="32" t="s">
        <v>1324</v>
      </c>
      <c r="AZ127" s="32" t="s">
        <v>1324</v>
      </c>
      <c r="BA127" s="32" t="s">
        <v>1324</v>
      </c>
      <c r="BB127" s="32">
        <v>107.0</v>
      </c>
      <c r="BC127" s="32">
        <v>146.0</v>
      </c>
      <c r="BD127" s="32" t="s">
        <v>1324</v>
      </c>
      <c r="BE127" s="32" t="s">
        <v>2157</v>
      </c>
      <c r="BF127" s="38" t="str">
        <f>HYPERLINK("http://dx.doi.org/10.1016/B978-012088449-0.50007-8","http://dx.doi.org/10.1016/B978-012088449-0.50007-8")</f>
        <v>http://dx.doi.org/10.1016/B978-012088449-0.50007-8</v>
      </c>
      <c r="BG127" s="32" t="s">
        <v>1324</v>
      </c>
      <c r="BH127" s="32" t="s">
        <v>1324</v>
      </c>
      <c r="BI127" s="32">
        <v>40.0</v>
      </c>
      <c r="BJ127" s="32" t="s">
        <v>130</v>
      </c>
      <c r="BK127" s="32" t="s">
        <v>2448</v>
      </c>
      <c r="BL127" s="32" t="s">
        <v>2516</v>
      </c>
      <c r="BM127" s="32" t="s">
        <v>4792</v>
      </c>
      <c r="BN127" s="32" t="s">
        <v>1324</v>
      </c>
      <c r="BO127" s="32" t="s">
        <v>1324</v>
      </c>
      <c r="BP127" s="32" t="s">
        <v>1324</v>
      </c>
      <c r="BQ127" s="32" t="s">
        <v>1324</v>
      </c>
      <c r="BR127" s="32" t="s">
        <v>5268</v>
      </c>
      <c r="BS127" s="32" t="s">
        <v>4793</v>
      </c>
      <c r="BT127" s="32" t="str">
        <f>HYPERLINK("https%3A%2F%2Fwww.webofscience.com%2Fwos%2Fwoscc%2Ffull-record%2FWOS:000318618900006","View Full Record in Web of Science")</f>
        <v>View Full Record in Web of Science</v>
      </c>
    </row>
    <row r="128" ht="12.75" customHeight="1">
      <c r="A128" s="32" t="s">
        <v>26</v>
      </c>
      <c r="B128" s="32" t="s">
        <v>4794</v>
      </c>
      <c r="C128" s="32" t="s">
        <v>1324</v>
      </c>
      <c r="D128" s="32" t="s">
        <v>1324</v>
      </c>
      <c r="E128" s="32" t="s">
        <v>1324</v>
      </c>
      <c r="F128" s="32" t="s">
        <v>1878</v>
      </c>
      <c r="G128" s="32" t="s">
        <v>1324</v>
      </c>
      <c r="H128" s="32" t="s">
        <v>1324</v>
      </c>
      <c r="I128" s="32" t="s">
        <v>4795</v>
      </c>
      <c r="J128" s="32" t="s">
        <v>1873</v>
      </c>
      <c r="K128" s="32" t="s">
        <v>1324</v>
      </c>
      <c r="L128" s="32" t="s">
        <v>1324</v>
      </c>
      <c r="M128" s="32" t="s">
        <v>2364</v>
      </c>
      <c r="N128" s="32" t="s">
        <v>38</v>
      </c>
      <c r="O128" s="32" t="s">
        <v>1324</v>
      </c>
      <c r="P128" s="32" t="s">
        <v>1324</v>
      </c>
      <c r="Q128" s="32" t="s">
        <v>1324</v>
      </c>
      <c r="R128" s="32" t="s">
        <v>1324</v>
      </c>
      <c r="S128" s="32" t="s">
        <v>1324</v>
      </c>
      <c r="T128" s="32" t="s">
        <v>4796</v>
      </c>
      <c r="U128" s="32" t="s">
        <v>4797</v>
      </c>
      <c r="V128" s="32" t="s">
        <v>1880</v>
      </c>
      <c r="W128" s="32" t="s">
        <v>4798</v>
      </c>
      <c r="X128" s="32" t="s">
        <v>4799</v>
      </c>
      <c r="Y128" s="32" t="s">
        <v>4800</v>
      </c>
      <c r="Z128" s="32" t="s">
        <v>4801</v>
      </c>
      <c r="AA128" s="32" t="s">
        <v>4802</v>
      </c>
      <c r="AB128" s="32" t="s">
        <v>1324</v>
      </c>
      <c r="AC128" s="32" t="s">
        <v>1324</v>
      </c>
      <c r="AD128" s="32" t="s">
        <v>1324</v>
      </c>
      <c r="AE128" s="32" t="s">
        <v>1324</v>
      </c>
      <c r="AF128" s="32" t="s">
        <v>1324</v>
      </c>
      <c r="AG128" s="32">
        <v>23.0</v>
      </c>
      <c r="AH128" s="32">
        <v>28.0</v>
      </c>
      <c r="AI128" s="32">
        <v>33.0</v>
      </c>
      <c r="AJ128" s="32">
        <v>0.0</v>
      </c>
      <c r="AK128" s="32">
        <v>31.0</v>
      </c>
      <c r="AL128" s="32" t="s">
        <v>4188</v>
      </c>
      <c r="AM128" s="32" t="s">
        <v>3872</v>
      </c>
      <c r="AN128" s="32" t="s">
        <v>4298</v>
      </c>
      <c r="AO128" s="32" t="s">
        <v>4191</v>
      </c>
      <c r="AP128" s="32" t="s">
        <v>4192</v>
      </c>
      <c r="AQ128" s="32" t="s">
        <v>1324</v>
      </c>
      <c r="AR128" s="32" t="s">
        <v>1873</v>
      </c>
      <c r="AS128" s="32" t="s">
        <v>4193</v>
      </c>
      <c r="AT128" s="32" t="s">
        <v>2734</v>
      </c>
      <c r="AU128" s="32">
        <v>2007.0</v>
      </c>
      <c r="AV128" s="32">
        <v>41.0</v>
      </c>
      <c r="AW128" s="32">
        <v>2.0</v>
      </c>
      <c r="AX128" s="32" t="s">
        <v>1324</v>
      </c>
      <c r="AY128" s="32" t="s">
        <v>1324</v>
      </c>
      <c r="AZ128" s="32" t="s">
        <v>1324</v>
      </c>
      <c r="BA128" s="32" t="s">
        <v>1324</v>
      </c>
      <c r="BB128" s="32">
        <v>263.0</v>
      </c>
      <c r="BC128" s="32">
        <v>271.0</v>
      </c>
      <c r="BD128" s="32" t="s">
        <v>1324</v>
      </c>
      <c r="BE128" s="32" t="s">
        <v>1881</v>
      </c>
      <c r="BF128" s="38" t="str">
        <f>HYPERLINK("http://dx.doi.org/10.1017/S0030605307001883","http://dx.doi.org/10.1017/S0030605307001883")</f>
        <v>http://dx.doi.org/10.1017/S0030605307001883</v>
      </c>
      <c r="BG128" s="32" t="s">
        <v>1324</v>
      </c>
      <c r="BH128" s="32" t="s">
        <v>1324</v>
      </c>
      <c r="BI128" s="32">
        <v>9.0</v>
      </c>
      <c r="BJ128" s="32" t="s">
        <v>1124</v>
      </c>
      <c r="BK128" s="32" t="s">
        <v>2407</v>
      </c>
      <c r="BL128" s="32" t="s">
        <v>2577</v>
      </c>
      <c r="BM128" s="32" t="s">
        <v>4803</v>
      </c>
      <c r="BN128" s="32" t="s">
        <v>1324</v>
      </c>
      <c r="BO128" s="32" t="s">
        <v>2715</v>
      </c>
      <c r="BP128" s="32" t="s">
        <v>1324</v>
      </c>
      <c r="BQ128" s="32" t="s">
        <v>1324</v>
      </c>
      <c r="BR128" s="32" t="s">
        <v>5268</v>
      </c>
      <c r="BS128" s="32" t="s">
        <v>4804</v>
      </c>
      <c r="BT128" s="32" t="str">
        <f>HYPERLINK("https%3A%2F%2Fwww.webofscience.com%2Fwos%2Fwoscc%2Ffull-record%2FWOS:000247440700024","View Full Record in Web of Science")</f>
        <v>View Full Record in Web of Science</v>
      </c>
    </row>
    <row r="129" ht="12.75" customHeight="1">
      <c r="A129" s="32" t="s">
        <v>26</v>
      </c>
      <c r="B129" s="32" t="s">
        <v>4805</v>
      </c>
      <c r="C129" s="32" t="s">
        <v>1324</v>
      </c>
      <c r="D129" s="32" t="s">
        <v>1324</v>
      </c>
      <c r="E129" s="32" t="s">
        <v>1324</v>
      </c>
      <c r="F129" s="32" t="s">
        <v>1762</v>
      </c>
      <c r="G129" s="32" t="s">
        <v>1324</v>
      </c>
      <c r="H129" s="32" t="s">
        <v>1324</v>
      </c>
      <c r="I129" s="32" t="s">
        <v>1764</v>
      </c>
      <c r="J129" s="32" t="s">
        <v>1763</v>
      </c>
      <c r="K129" s="32" t="s">
        <v>1324</v>
      </c>
      <c r="L129" s="32" t="s">
        <v>1324</v>
      </c>
      <c r="M129" s="32" t="s">
        <v>2364</v>
      </c>
      <c r="N129" s="32" t="s">
        <v>38</v>
      </c>
      <c r="O129" s="32" t="s">
        <v>1324</v>
      </c>
      <c r="P129" s="32" t="s">
        <v>1324</v>
      </c>
      <c r="Q129" s="32" t="s">
        <v>1324</v>
      </c>
      <c r="R129" s="32" t="s">
        <v>1324</v>
      </c>
      <c r="S129" s="32" t="s">
        <v>1324</v>
      </c>
      <c r="T129" s="32" t="s">
        <v>4806</v>
      </c>
      <c r="U129" s="32" t="s">
        <v>4807</v>
      </c>
      <c r="V129" s="32" t="s">
        <v>1765</v>
      </c>
      <c r="W129" s="32" t="s">
        <v>4808</v>
      </c>
      <c r="X129" s="32" t="s">
        <v>4809</v>
      </c>
      <c r="Y129" s="32" t="s">
        <v>4810</v>
      </c>
      <c r="Z129" s="32" t="s">
        <v>4811</v>
      </c>
      <c r="AA129" s="32" t="s">
        <v>4812</v>
      </c>
      <c r="AB129" s="32" t="s">
        <v>4813</v>
      </c>
      <c r="AC129" s="32" t="s">
        <v>1324</v>
      </c>
      <c r="AD129" s="32" t="s">
        <v>1324</v>
      </c>
      <c r="AE129" s="32" t="s">
        <v>1324</v>
      </c>
      <c r="AF129" s="32" t="s">
        <v>1324</v>
      </c>
      <c r="AG129" s="32">
        <v>45.0</v>
      </c>
      <c r="AH129" s="32">
        <v>19.0</v>
      </c>
      <c r="AI129" s="32">
        <v>24.0</v>
      </c>
      <c r="AJ129" s="32">
        <v>0.0</v>
      </c>
      <c r="AK129" s="32">
        <v>49.0</v>
      </c>
      <c r="AL129" s="32" t="s">
        <v>3181</v>
      </c>
      <c r="AM129" s="32" t="s">
        <v>3182</v>
      </c>
      <c r="AN129" s="32" t="s">
        <v>4814</v>
      </c>
      <c r="AO129" s="32" t="s">
        <v>4815</v>
      </c>
      <c r="AP129" s="32" t="s">
        <v>1324</v>
      </c>
      <c r="AQ129" s="32" t="s">
        <v>1324</v>
      </c>
      <c r="AR129" s="32" t="s">
        <v>4816</v>
      </c>
      <c r="AS129" s="32" t="s">
        <v>4817</v>
      </c>
      <c r="AT129" s="32" t="s">
        <v>4087</v>
      </c>
      <c r="AU129" s="32">
        <v>2007.0</v>
      </c>
      <c r="AV129" s="32">
        <v>10.0</v>
      </c>
      <c r="AW129" s="32">
        <v>2.0</v>
      </c>
      <c r="AX129" s="32" t="s">
        <v>1324</v>
      </c>
      <c r="AY129" s="32" t="s">
        <v>1324</v>
      </c>
      <c r="AZ129" s="32" t="s">
        <v>1324</v>
      </c>
      <c r="BA129" s="32" t="s">
        <v>1324</v>
      </c>
      <c r="BB129" s="32">
        <v>140.0</v>
      </c>
      <c r="BC129" s="32">
        <v>152.0</v>
      </c>
      <c r="BD129" s="32" t="s">
        <v>1324</v>
      </c>
      <c r="BE129" s="32" t="s">
        <v>1766</v>
      </c>
      <c r="BF129" s="38" t="str">
        <f>HYPERLINK("http://dx.doi.org/10.1080/14634980701350686","http://dx.doi.org/10.1080/14634980701350686")</f>
        <v>http://dx.doi.org/10.1080/14634980701350686</v>
      </c>
      <c r="BG129" s="32" t="s">
        <v>1324</v>
      </c>
      <c r="BH129" s="32" t="s">
        <v>1324</v>
      </c>
      <c r="BI129" s="32">
        <v>13.0</v>
      </c>
      <c r="BJ129" s="32" t="s">
        <v>4818</v>
      </c>
      <c r="BK129" s="32" t="s">
        <v>2407</v>
      </c>
      <c r="BL129" s="32" t="s">
        <v>2820</v>
      </c>
      <c r="BM129" s="32" t="s">
        <v>4819</v>
      </c>
      <c r="BN129" s="32" t="s">
        <v>1324</v>
      </c>
      <c r="BO129" s="32" t="s">
        <v>1324</v>
      </c>
      <c r="BP129" s="32" t="s">
        <v>1324</v>
      </c>
      <c r="BQ129" s="32" t="s">
        <v>1324</v>
      </c>
      <c r="BR129" s="32" t="s">
        <v>5268</v>
      </c>
      <c r="BS129" s="32" t="s">
        <v>4820</v>
      </c>
      <c r="BT129" s="32" t="str">
        <f>HYPERLINK("https%3A%2F%2Fwww.webofscience.com%2Fwos%2Fwoscc%2Ffull-record%2FWOS:000247870000003","View Full Record in Web of Science")</f>
        <v>View Full Record in Web of Science</v>
      </c>
    </row>
    <row r="130" ht="12.75" customHeight="1">
      <c r="A130" s="32" t="s">
        <v>26</v>
      </c>
      <c r="B130" s="32" t="s">
        <v>4821</v>
      </c>
      <c r="C130" s="32" t="s">
        <v>1324</v>
      </c>
      <c r="D130" s="32" t="s">
        <v>1324</v>
      </c>
      <c r="E130" s="32" t="s">
        <v>1324</v>
      </c>
      <c r="F130" s="32" t="s">
        <v>2226</v>
      </c>
      <c r="G130" s="32" t="s">
        <v>1324</v>
      </c>
      <c r="H130" s="32" t="s">
        <v>1324</v>
      </c>
      <c r="I130" s="32" t="s">
        <v>2228</v>
      </c>
      <c r="J130" s="32" t="s">
        <v>2227</v>
      </c>
      <c r="K130" s="32" t="s">
        <v>1324</v>
      </c>
      <c r="L130" s="32" t="s">
        <v>1324</v>
      </c>
      <c r="M130" s="32" t="s">
        <v>2364</v>
      </c>
      <c r="N130" s="32" t="s">
        <v>38</v>
      </c>
      <c r="O130" s="32" t="s">
        <v>1324</v>
      </c>
      <c r="P130" s="32" t="s">
        <v>1324</v>
      </c>
      <c r="Q130" s="32" t="s">
        <v>1324</v>
      </c>
      <c r="R130" s="32" t="s">
        <v>1324</v>
      </c>
      <c r="S130" s="32" t="s">
        <v>1324</v>
      </c>
      <c r="T130" s="32" t="s">
        <v>4822</v>
      </c>
      <c r="U130" s="32" t="s">
        <v>4823</v>
      </c>
      <c r="V130" s="32" t="s">
        <v>4824</v>
      </c>
      <c r="W130" s="32" t="s">
        <v>4825</v>
      </c>
      <c r="X130" s="32" t="s">
        <v>5406</v>
      </c>
      <c r="Y130" s="32" t="s">
        <v>4827</v>
      </c>
      <c r="Z130" s="32" t="s">
        <v>4828</v>
      </c>
      <c r="AA130" s="32" t="s">
        <v>5407</v>
      </c>
      <c r="AB130" s="32" t="s">
        <v>5408</v>
      </c>
      <c r="AC130" s="32" t="s">
        <v>1324</v>
      </c>
      <c r="AD130" s="32" t="s">
        <v>1324</v>
      </c>
      <c r="AE130" s="32" t="s">
        <v>1324</v>
      </c>
      <c r="AF130" s="32" t="s">
        <v>1324</v>
      </c>
      <c r="AG130" s="32">
        <v>77.0</v>
      </c>
      <c r="AH130" s="32">
        <v>105.0</v>
      </c>
      <c r="AI130" s="32">
        <v>114.0</v>
      </c>
      <c r="AJ130" s="32">
        <v>0.0</v>
      </c>
      <c r="AK130" s="32">
        <v>69.0</v>
      </c>
      <c r="AL130" s="32" t="s">
        <v>3250</v>
      </c>
      <c r="AM130" s="32" t="s">
        <v>3872</v>
      </c>
      <c r="AN130" s="32" t="s">
        <v>4831</v>
      </c>
      <c r="AO130" s="32" t="s">
        <v>4832</v>
      </c>
      <c r="AP130" s="32" t="s">
        <v>4833</v>
      </c>
      <c r="AQ130" s="32" t="s">
        <v>1324</v>
      </c>
      <c r="AR130" s="32" t="s">
        <v>2227</v>
      </c>
      <c r="AS130" s="32" t="s">
        <v>4834</v>
      </c>
      <c r="AT130" s="32" t="s">
        <v>3168</v>
      </c>
      <c r="AU130" s="32">
        <v>2007.0</v>
      </c>
      <c r="AV130" s="32">
        <v>151.0</v>
      </c>
      <c r="AW130" s="32">
        <v>3.0</v>
      </c>
      <c r="AX130" s="32" t="s">
        <v>1324</v>
      </c>
      <c r="AY130" s="32" t="s">
        <v>1324</v>
      </c>
      <c r="AZ130" s="32" t="s">
        <v>1324</v>
      </c>
      <c r="BA130" s="32" t="s">
        <v>1324</v>
      </c>
      <c r="BB130" s="32">
        <v>544.0</v>
      </c>
      <c r="BC130" s="32">
        <v>559.0</v>
      </c>
      <c r="BD130" s="32" t="s">
        <v>1324</v>
      </c>
      <c r="BE130" s="32" t="s">
        <v>2230</v>
      </c>
      <c r="BF130" s="38" t="str">
        <f>HYPERLINK("http://dx.doi.org/10.1007/s00442-006-0655-1","http://dx.doi.org/10.1007/s00442-006-0655-1")</f>
        <v>http://dx.doi.org/10.1007/s00442-006-0655-1</v>
      </c>
      <c r="BG130" s="32" t="s">
        <v>1324</v>
      </c>
      <c r="BH130" s="32" t="s">
        <v>1324</v>
      </c>
      <c r="BI130" s="32">
        <v>16.0</v>
      </c>
      <c r="BJ130" s="32" t="s">
        <v>817</v>
      </c>
      <c r="BK130" s="32" t="s">
        <v>2407</v>
      </c>
      <c r="BL130" s="32" t="s">
        <v>2472</v>
      </c>
      <c r="BM130" s="32" t="s">
        <v>4835</v>
      </c>
      <c r="BN130" s="32">
        <v>1.7242905E7</v>
      </c>
      <c r="BO130" s="32" t="s">
        <v>1324</v>
      </c>
      <c r="BP130" s="32" t="s">
        <v>1324</v>
      </c>
      <c r="BQ130" s="32" t="s">
        <v>1324</v>
      </c>
      <c r="BR130" s="32" t="s">
        <v>5268</v>
      </c>
      <c r="BS130" s="32" t="s">
        <v>4836</v>
      </c>
      <c r="BT130" s="32" t="str">
        <f>HYPERLINK("https%3A%2F%2Fwww.webofscience.com%2Fwos%2Fwoscc%2Ffull-record%2FWOS:000244692700016","View Full Record in Web of Science")</f>
        <v>View Full Record in Web of Science</v>
      </c>
    </row>
    <row r="131" ht="12.75" customHeight="1">
      <c r="A131" s="32" t="s">
        <v>26</v>
      </c>
      <c r="B131" s="32" t="s">
        <v>4837</v>
      </c>
      <c r="C131" s="32" t="s">
        <v>1324</v>
      </c>
      <c r="D131" s="32" t="s">
        <v>1324</v>
      </c>
      <c r="E131" s="32" t="s">
        <v>1324</v>
      </c>
      <c r="F131" s="32" t="s">
        <v>2053</v>
      </c>
      <c r="G131" s="32" t="s">
        <v>1324</v>
      </c>
      <c r="H131" s="32" t="s">
        <v>1324</v>
      </c>
      <c r="I131" s="32" t="s">
        <v>4838</v>
      </c>
      <c r="J131" s="32" t="s">
        <v>227</v>
      </c>
      <c r="K131" s="32" t="s">
        <v>1324</v>
      </c>
      <c r="L131" s="32" t="s">
        <v>1324</v>
      </c>
      <c r="M131" s="32" t="s">
        <v>2364</v>
      </c>
      <c r="N131" s="32" t="s">
        <v>38</v>
      </c>
      <c r="O131" s="32" t="s">
        <v>1324</v>
      </c>
      <c r="P131" s="32" t="s">
        <v>1324</v>
      </c>
      <c r="Q131" s="32" t="s">
        <v>1324</v>
      </c>
      <c r="R131" s="32" t="s">
        <v>1324</v>
      </c>
      <c r="S131" s="32" t="s">
        <v>1324</v>
      </c>
      <c r="T131" s="32" t="s">
        <v>4839</v>
      </c>
      <c r="U131" s="32" t="s">
        <v>4840</v>
      </c>
      <c r="V131" s="32" t="s">
        <v>4841</v>
      </c>
      <c r="W131" s="32" t="s">
        <v>4842</v>
      </c>
      <c r="X131" s="32" t="s">
        <v>5237</v>
      </c>
      <c r="Y131" s="32" t="s">
        <v>4844</v>
      </c>
      <c r="Z131" s="32" t="s">
        <v>4845</v>
      </c>
      <c r="AA131" s="32" t="s">
        <v>4846</v>
      </c>
      <c r="AB131" s="32" t="s">
        <v>4847</v>
      </c>
      <c r="AC131" s="32" t="s">
        <v>1324</v>
      </c>
      <c r="AD131" s="32" t="s">
        <v>1324</v>
      </c>
      <c r="AE131" s="32" t="s">
        <v>1324</v>
      </c>
      <c r="AF131" s="32" t="s">
        <v>1324</v>
      </c>
      <c r="AG131" s="32">
        <v>55.0</v>
      </c>
      <c r="AH131" s="32">
        <v>58.0</v>
      </c>
      <c r="AI131" s="32">
        <v>62.0</v>
      </c>
      <c r="AJ131" s="32">
        <v>0.0</v>
      </c>
      <c r="AK131" s="32">
        <v>20.0</v>
      </c>
      <c r="AL131" s="32" t="s">
        <v>3602</v>
      </c>
      <c r="AM131" s="32" t="s">
        <v>2400</v>
      </c>
      <c r="AN131" s="32" t="s">
        <v>3603</v>
      </c>
      <c r="AO131" s="32" t="s">
        <v>4848</v>
      </c>
      <c r="AP131" s="32" t="s">
        <v>4849</v>
      </c>
      <c r="AQ131" s="32" t="s">
        <v>1324</v>
      </c>
      <c r="AR131" s="32" t="s">
        <v>4850</v>
      </c>
      <c r="AS131" s="32" t="s">
        <v>4851</v>
      </c>
      <c r="AT131" s="32" t="s">
        <v>2818</v>
      </c>
      <c r="AU131" s="32">
        <v>2007.0</v>
      </c>
      <c r="AV131" s="32">
        <v>71.0</v>
      </c>
      <c r="AW131" s="32" t="s">
        <v>4852</v>
      </c>
      <c r="AX131" s="32" t="s">
        <v>1324</v>
      </c>
      <c r="AY131" s="32" t="s">
        <v>1324</v>
      </c>
      <c r="AZ131" s="32" t="s">
        <v>1324</v>
      </c>
      <c r="BA131" s="32" t="s">
        <v>1324</v>
      </c>
      <c r="BB131" s="32">
        <v>429.0</v>
      </c>
      <c r="BC131" s="32">
        <v>442.0</v>
      </c>
      <c r="BD131" s="32" t="s">
        <v>1324</v>
      </c>
      <c r="BE131" s="32" t="s">
        <v>2056</v>
      </c>
      <c r="BF131" s="38" t="str">
        <f>HYPERLINK("http://dx.doi.org/10.1016/j.ecss.2006.08.018","http://dx.doi.org/10.1016/j.ecss.2006.08.018")</f>
        <v>http://dx.doi.org/10.1016/j.ecss.2006.08.018</v>
      </c>
      <c r="BG131" s="32" t="s">
        <v>1324</v>
      </c>
      <c r="BH131" s="32" t="s">
        <v>1324</v>
      </c>
      <c r="BI131" s="32">
        <v>14.0</v>
      </c>
      <c r="BJ131" s="32" t="s">
        <v>231</v>
      </c>
      <c r="BK131" s="32" t="s">
        <v>2407</v>
      </c>
      <c r="BL131" s="32" t="s">
        <v>231</v>
      </c>
      <c r="BM131" s="32" t="s">
        <v>4853</v>
      </c>
      <c r="BN131" s="32" t="s">
        <v>1324</v>
      </c>
      <c r="BO131" s="32" t="s">
        <v>1324</v>
      </c>
      <c r="BP131" s="32" t="s">
        <v>1324</v>
      </c>
      <c r="BQ131" s="32" t="s">
        <v>1324</v>
      </c>
      <c r="BR131" s="32" t="s">
        <v>5268</v>
      </c>
      <c r="BS131" s="32" t="s">
        <v>4854</v>
      </c>
      <c r="BT131" s="32" t="str">
        <f>HYPERLINK("https%3A%2F%2Fwww.webofscience.com%2Fwos%2Fwoscc%2Ffull-record%2FWOS:000244177300008","View Full Record in Web of Science")</f>
        <v>View Full Record in Web of Science</v>
      </c>
    </row>
    <row r="132" ht="12.75" customHeight="1">
      <c r="A132" s="32" t="s">
        <v>26</v>
      </c>
      <c r="B132" s="32" t="s">
        <v>4855</v>
      </c>
      <c r="C132" s="32" t="s">
        <v>1324</v>
      </c>
      <c r="D132" s="32" t="s">
        <v>1324</v>
      </c>
      <c r="E132" s="32" t="s">
        <v>1324</v>
      </c>
      <c r="F132" s="32" t="s">
        <v>1615</v>
      </c>
      <c r="G132" s="32" t="s">
        <v>1324</v>
      </c>
      <c r="H132" s="32" t="s">
        <v>1324</v>
      </c>
      <c r="I132" s="32" t="s">
        <v>1617</v>
      </c>
      <c r="J132" s="32" t="s">
        <v>1616</v>
      </c>
      <c r="K132" s="32" t="s">
        <v>1324</v>
      </c>
      <c r="L132" s="32" t="s">
        <v>1324</v>
      </c>
      <c r="M132" s="32" t="s">
        <v>2364</v>
      </c>
      <c r="N132" s="32" t="s">
        <v>38</v>
      </c>
      <c r="O132" s="32" t="s">
        <v>1324</v>
      </c>
      <c r="P132" s="32" t="s">
        <v>1324</v>
      </c>
      <c r="Q132" s="32" t="s">
        <v>1324</v>
      </c>
      <c r="R132" s="32" t="s">
        <v>1324</v>
      </c>
      <c r="S132" s="32" t="s">
        <v>1324</v>
      </c>
      <c r="T132" s="32" t="s">
        <v>4856</v>
      </c>
      <c r="U132" s="32" t="s">
        <v>4857</v>
      </c>
      <c r="V132" s="32" t="s">
        <v>4858</v>
      </c>
      <c r="W132" s="32" t="s">
        <v>4859</v>
      </c>
      <c r="X132" s="32" t="s">
        <v>4860</v>
      </c>
      <c r="Y132" s="32" t="s">
        <v>4861</v>
      </c>
      <c r="Z132" s="32" t="s">
        <v>4862</v>
      </c>
      <c r="AA132" s="32" t="s">
        <v>4863</v>
      </c>
      <c r="AB132" s="32" t="s">
        <v>4864</v>
      </c>
      <c r="AC132" s="32" t="s">
        <v>1324</v>
      </c>
      <c r="AD132" s="32" t="s">
        <v>1324</v>
      </c>
      <c r="AE132" s="32" t="s">
        <v>1324</v>
      </c>
      <c r="AF132" s="32" t="s">
        <v>1324</v>
      </c>
      <c r="AG132" s="32">
        <v>71.0</v>
      </c>
      <c r="AH132" s="32">
        <v>23.0</v>
      </c>
      <c r="AI132" s="32">
        <v>26.0</v>
      </c>
      <c r="AJ132" s="32">
        <v>1.0</v>
      </c>
      <c r="AK132" s="32">
        <v>41.0</v>
      </c>
      <c r="AL132" s="32" t="s">
        <v>2464</v>
      </c>
      <c r="AM132" s="32" t="s">
        <v>2465</v>
      </c>
      <c r="AN132" s="32" t="s">
        <v>2466</v>
      </c>
      <c r="AO132" s="32" t="s">
        <v>4865</v>
      </c>
      <c r="AP132" s="32" t="s">
        <v>4866</v>
      </c>
      <c r="AQ132" s="32" t="s">
        <v>1324</v>
      </c>
      <c r="AR132" s="32" t="s">
        <v>4867</v>
      </c>
      <c r="AS132" s="32" t="s">
        <v>4868</v>
      </c>
      <c r="AT132" s="32" t="s">
        <v>2471</v>
      </c>
      <c r="AU132" s="32">
        <v>2006.0</v>
      </c>
      <c r="AV132" s="32">
        <v>94.0</v>
      </c>
      <c r="AW132" s="32">
        <v>5.0</v>
      </c>
      <c r="AX132" s="32" t="s">
        <v>1324</v>
      </c>
      <c r="AY132" s="32" t="s">
        <v>1324</v>
      </c>
      <c r="AZ132" s="32" t="s">
        <v>1324</v>
      </c>
      <c r="BA132" s="32" t="s">
        <v>1324</v>
      </c>
      <c r="BB132" s="32">
        <v>987.0</v>
      </c>
      <c r="BC132" s="32">
        <v>1002.0</v>
      </c>
      <c r="BD132" s="32" t="s">
        <v>1324</v>
      </c>
      <c r="BE132" s="32" t="s">
        <v>1619</v>
      </c>
      <c r="BF132" s="38" t="str">
        <f>HYPERLINK("http://dx.doi.org/10.1111/j.1365-2745.2006.01140.x","http://dx.doi.org/10.1111/j.1365-2745.2006.01140.x")</f>
        <v>http://dx.doi.org/10.1111/j.1365-2745.2006.01140.x</v>
      </c>
      <c r="BG132" s="32" t="s">
        <v>1324</v>
      </c>
      <c r="BH132" s="32" t="s">
        <v>1324</v>
      </c>
      <c r="BI132" s="32">
        <v>16.0</v>
      </c>
      <c r="BJ132" s="32" t="s">
        <v>3648</v>
      </c>
      <c r="BK132" s="32" t="s">
        <v>2407</v>
      </c>
      <c r="BL132" s="32" t="s">
        <v>3649</v>
      </c>
      <c r="BM132" s="32" t="s">
        <v>4869</v>
      </c>
      <c r="BN132" s="32" t="s">
        <v>1324</v>
      </c>
      <c r="BO132" s="32" t="s">
        <v>1324</v>
      </c>
      <c r="BP132" s="32" t="s">
        <v>1324</v>
      </c>
      <c r="BQ132" s="32" t="s">
        <v>1324</v>
      </c>
      <c r="BR132" s="32" t="s">
        <v>5268</v>
      </c>
      <c r="BS132" s="32" t="s">
        <v>4870</v>
      </c>
      <c r="BT132" s="32" t="str">
        <f>HYPERLINK("https%3A%2F%2Fwww.webofscience.com%2Fwos%2Fwoscc%2Ffull-record%2FWOS:000239510400011","View Full Record in Web of Science")</f>
        <v>View Full Record in Web of Science</v>
      </c>
    </row>
    <row r="133" ht="12.75" customHeight="1">
      <c r="A133" s="32" t="s">
        <v>26</v>
      </c>
      <c r="B133" s="32" t="s">
        <v>2141</v>
      </c>
      <c r="C133" s="32" t="s">
        <v>1324</v>
      </c>
      <c r="D133" s="32" t="s">
        <v>1324</v>
      </c>
      <c r="E133" s="32" t="s">
        <v>1324</v>
      </c>
      <c r="F133" s="32" t="s">
        <v>2141</v>
      </c>
      <c r="G133" s="32" t="s">
        <v>1324</v>
      </c>
      <c r="H133" s="32" t="s">
        <v>1324</v>
      </c>
      <c r="I133" s="32" t="s">
        <v>2143</v>
      </c>
      <c r="J133" s="32" t="s">
        <v>2142</v>
      </c>
      <c r="K133" s="32" t="s">
        <v>1324</v>
      </c>
      <c r="L133" s="32" t="s">
        <v>1324</v>
      </c>
      <c r="M133" s="32" t="s">
        <v>2364</v>
      </c>
      <c r="N133" s="32" t="s">
        <v>38</v>
      </c>
      <c r="O133" s="32" t="s">
        <v>1324</v>
      </c>
      <c r="P133" s="32" t="s">
        <v>1324</v>
      </c>
      <c r="Q133" s="32" t="s">
        <v>1324</v>
      </c>
      <c r="R133" s="32" t="s">
        <v>1324</v>
      </c>
      <c r="S133" s="32" t="s">
        <v>1324</v>
      </c>
      <c r="T133" s="32" t="s">
        <v>4871</v>
      </c>
      <c r="U133" s="32" t="s">
        <v>4872</v>
      </c>
      <c r="V133" s="32" t="s">
        <v>2144</v>
      </c>
      <c r="W133" s="32" t="s">
        <v>4873</v>
      </c>
      <c r="X133" s="32" t="s">
        <v>4874</v>
      </c>
      <c r="Y133" s="32" t="s">
        <v>4875</v>
      </c>
      <c r="Z133" s="32" t="s">
        <v>4876</v>
      </c>
      <c r="AA133" s="32" t="s">
        <v>5040</v>
      </c>
      <c r="AB133" s="32" t="s">
        <v>5041</v>
      </c>
      <c r="AC133" s="32" t="s">
        <v>1324</v>
      </c>
      <c r="AD133" s="32" t="s">
        <v>1324</v>
      </c>
      <c r="AE133" s="32" t="s">
        <v>1324</v>
      </c>
      <c r="AF133" s="32" t="s">
        <v>1324</v>
      </c>
      <c r="AG133" s="32">
        <v>24.0</v>
      </c>
      <c r="AH133" s="32">
        <v>172.0</v>
      </c>
      <c r="AI133" s="32">
        <v>202.0</v>
      </c>
      <c r="AJ133" s="32">
        <v>0.0</v>
      </c>
      <c r="AK133" s="32">
        <v>30.0</v>
      </c>
      <c r="AL133" s="32" t="s">
        <v>3043</v>
      </c>
      <c r="AM133" s="32" t="s">
        <v>2487</v>
      </c>
      <c r="AN133" s="32" t="s">
        <v>3044</v>
      </c>
      <c r="AO133" s="32" t="s">
        <v>4879</v>
      </c>
      <c r="AP133" s="32" t="s">
        <v>1324</v>
      </c>
      <c r="AQ133" s="32" t="s">
        <v>1324</v>
      </c>
      <c r="AR133" s="32" t="s">
        <v>4880</v>
      </c>
      <c r="AS133" s="32" t="s">
        <v>4881</v>
      </c>
      <c r="AT133" s="32" t="s">
        <v>2734</v>
      </c>
      <c r="AU133" s="32">
        <v>2006.0</v>
      </c>
      <c r="AV133" s="32">
        <v>113.0</v>
      </c>
      <c r="AW133" s="32" t="s">
        <v>4882</v>
      </c>
      <c r="AX133" s="32" t="s">
        <v>1324</v>
      </c>
      <c r="AY133" s="32" t="s">
        <v>1324</v>
      </c>
      <c r="AZ133" s="32" t="s">
        <v>1324</v>
      </c>
      <c r="BA133" s="32" t="s">
        <v>1324</v>
      </c>
      <c r="BB133" s="32">
        <v>254.0</v>
      </c>
      <c r="BC133" s="32">
        <v>263.0</v>
      </c>
      <c r="BD133" s="32" t="s">
        <v>1324</v>
      </c>
      <c r="BE133" s="32" t="s">
        <v>2145</v>
      </c>
      <c r="BF133" s="38" t="str">
        <f>HYPERLINK("http://dx.doi.org/10.1016/j.agee.2005.10.019","http://dx.doi.org/10.1016/j.agee.2005.10.019")</f>
        <v>http://dx.doi.org/10.1016/j.agee.2005.10.019</v>
      </c>
      <c r="BG133" s="32" t="s">
        <v>1324</v>
      </c>
      <c r="BH133" s="32" t="s">
        <v>1324</v>
      </c>
      <c r="BI133" s="32">
        <v>10.0</v>
      </c>
      <c r="BJ133" s="32" t="s">
        <v>4883</v>
      </c>
      <c r="BK133" s="32" t="s">
        <v>2407</v>
      </c>
      <c r="BL133" s="32" t="s">
        <v>4884</v>
      </c>
      <c r="BM133" s="32" t="s">
        <v>4885</v>
      </c>
      <c r="BN133" s="32" t="s">
        <v>1324</v>
      </c>
      <c r="BO133" s="32" t="s">
        <v>1324</v>
      </c>
      <c r="BP133" s="32" t="s">
        <v>1324</v>
      </c>
      <c r="BQ133" s="32" t="s">
        <v>1324</v>
      </c>
      <c r="BR133" s="32" t="s">
        <v>5268</v>
      </c>
      <c r="BS133" s="32" t="s">
        <v>4886</v>
      </c>
      <c r="BT133" s="32" t="str">
        <f>HYPERLINK("https%3A%2F%2Fwww.webofscience.com%2Fwos%2Fwoscc%2Ffull-record%2FWOS:000235765100023","View Full Record in Web of Science")</f>
        <v>View Full Record in Web of Science</v>
      </c>
    </row>
    <row r="134" ht="12.75" customHeight="1">
      <c r="A134" s="32" t="s">
        <v>26</v>
      </c>
      <c r="B134" s="32" t="s">
        <v>2385</v>
      </c>
      <c r="C134" s="32" t="s">
        <v>1324</v>
      </c>
      <c r="D134" s="32" t="s">
        <v>1324</v>
      </c>
      <c r="E134" s="32" t="s">
        <v>1324</v>
      </c>
      <c r="F134" s="32" t="s">
        <v>2386</v>
      </c>
      <c r="G134" s="32" t="s">
        <v>1324</v>
      </c>
      <c r="H134" s="32" t="s">
        <v>1324</v>
      </c>
      <c r="I134" s="32" t="s">
        <v>2387</v>
      </c>
      <c r="J134" s="32" t="s">
        <v>2388</v>
      </c>
      <c r="K134" s="32" t="s">
        <v>1324</v>
      </c>
      <c r="L134" s="32" t="s">
        <v>1324</v>
      </c>
      <c r="M134" s="32" t="s">
        <v>2364</v>
      </c>
      <c r="N134" s="32" t="s">
        <v>38</v>
      </c>
      <c r="O134" s="32" t="s">
        <v>1324</v>
      </c>
      <c r="P134" s="32" t="s">
        <v>1324</v>
      </c>
      <c r="Q134" s="32" t="s">
        <v>1324</v>
      </c>
      <c r="R134" s="32" t="s">
        <v>1324</v>
      </c>
      <c r="S134" s="32" t="s">
        <v>1324</v>
      </c>
      <c r="T134" s="32" t="s">
        <v>1324</v>
      </c>
      <c r="U134" s="32" t="s">
        <v>2389</v>
      </c>
      <c r="V134" s="32" t="s">
        <v>2291</v>
      </c>
      <c r="W134" s="32" t="s">
        <v>2390</v>
      </c>
      <c r="X134" s="32" t="s">
        <v>2391</v>
      </c>
      <c r="Y134" s="32" t="s">
        <v>2392</v>
      </c>
      <c r="Z134" s="32" t="s">
        <v>2393</v>
      </c>
      <c r="AA134" s="32" t="s">
        <v>2394</v>
      </c>
      <c r="AB134" s="32" t="s">
        <v>2395</v>
      </c>
      <c r="AC134" s="32" t="s">
        <v>2396</v>
      </c>
      <c r="AD134" s="32" t="s">
        <v>2397</v>
      </c>
      <c r="AE134" s="32" t="s">
        <v>2398</v>
      </c>
      <c r="AF134" s="32" t="s">
        <v>1324</v>
      </c>
      <c r="AG134" s="32">
        <v>82.0</v>
      </c>
      <c r="AH134" s="32">
        <v>60.0</v>
      </c>
      <c r="AI134" s="32">
        <v>72.0</v>
      </c>
      <c r="AJ134" s="32">
        <v>0.0</v>
      </c>
      <c r="AK134" s="32">
        <v>26.0</v>
      </c>
      <c r="AL134" s="32" t="s">
        <v>2399</v>
      </c>
      <c r="AM134" s="32" t="s">
        <v>2400</v>
      </c>
      <c r="AN134" s="32" t="s">
        <v>2401</v>
      </c>
      <c r="AO134" s="32" t="s">
        <v>1324</v>
      </c>
      <c r="AP134" s="32" t="s">
        <v>2402</v>
      </c>
      <c r="AQ134" s="32" t="s">
        <v>1324</v>
      </c>
      <c r="AR134" s="32" t="s">
        <v>2403</v>
      </c>
      <c r="AS134" s="32" t="s">
        <v>2404</v>
      </c>
      <c r="AT134" s="32" t="s">
        <v>1324</v>
      </c>
      <c r="AU134" s="32">
        <v>2006.0</v>
      </c>
      <c r="AV134" s="32">
        <v>2.0</v>
      </c>
      <c r="AW134" s="32" t="s">
        <v>1324</v>
      </c>
      <c r="AX134" s="32" t="s">
        <v>1324</v>
      </c>
      <c r="AY134" s="32" t="s">
        <v>1324</v>
      </c>
      <c r="AZ134" s="32" t="s">
        <v>1324</v>
      </c>
      <c r="BA134" s="32" t="s">
        <v>1324</v>
      </c>
      <c r="BB134" s="32" t="s">
        <v>1324</v>
      </c>
      <c r="BC134" s="32" t="s">
        <v>1324</v>
      </c>
      <c r="BD134" s="32">
        <v>24.0</v>
      </c>
      <c r="BE134" s="32" t="s">
        <v>2405</v>
      </c>
      <c r="BF134" s="38" t="str">
        <f>HYPERLINK("http://dx.doi.org/10.1186/1746-4269-2-24","http://dx.doi.org/10.1186/1746-4269-2-24")</f>
        <v>http://dx.doi.org/10.1186/1746-4269-2-24</v>
      </c>
      <c r="BG134" s="32" t="s">
        <v>1324</v>
      </c>
      <c r="BH134" s="32" t="s">
        <v>1324</v>
      </c>
      <c r="BI134" s="32">
        <v>22.0</v>
      </c>
      <c r="BJ134" s="32" t="s">
        <v>2406</v>
      </c>
      <c r="BK134" s="32" t="s">
        <v>2407</v>
      </c>
      <c r="BL134" s="32" t="s">
        <v>2408</v>
      </c>
      <c r="BM134" s="32" t="s">
        <v>2409</v>
      </c>
      <c r="BN134" s="32">
        <v>1.6681845E7</v>
      </c>
      <c r="BO134" s="32" t="s">
        <v>2410</v>
      </c>
      <c r="BP134" s="32" t="s">
        <v>1324</v>
      </c>
      <c r="BQ134" s="32" t="s">
        <v>1324</v>
      </c>
      <c r="BR134" s="32" t="s">
        <v>5268</v>
      </c>
      <c r="BS134" s="32" t="s">
        <v>2411</v>
      </c>
      <c r="BT134" s="32" t="str">
        <f>HYPERLINK("https%3A%2F%2Fwww.webofscience.com%2Fwos%2Fwoscc%2Ffull-record%2FWOS:000209091500024","View Full Record in Web of Science")</f>
        <v>View Full Record in Web of Science</v>
      </c>
    </row>
    <row r="135" ht="12.75" customHeight="1">
      <c r="A135" s="32" t="s">
        <v>26</v>
      </c>
      <c r="B135" s="32" t="s">
        <v>1866</v>
      </c>
      <c r="C135" s="32" t="s">
        <v>1324</v>
      </c>
      <c r="D135" s="32" t="s">
        <v>1324</v>
      </c>
      <c r="E135" s="32" t="s">
        <v>1324</v>
      </c>
      <c r="F135" s="32" t="s">
        <v>1866</v>
      </c>
      <c r="G135" s="32" t="s">
        <v>1324</v>
      </c>
      <c r="H135" s="32" t="s">
        <v>1324</v>
      </c>
      <c r="I135" s="32" t="s">
        <v>4921</v>
      </c>
      <c r="J135" s="32" t="s">
        <v>1867</v>
      </c>
      <c r="K135" s="32" t="s">
        <v>1324</v>
      </c>
      <c r="L135" s="32" t="s">
        <v>1324</v>
      </c>
      <c r="M135" s="32" t="s">
        <v>2364</v>
      </c>
      <c r="N135" s="32" t="s">
        <v>38</v>
      </c>
      <c r="O135" s="32" t="s">
        <v>1324</v>
      </c>
      <c r="P135" s="32" t="s">
        <v>1324</v>
      </c>
      <c r="Q135" s="32" t="s">
        <v>1324</v>
      </c>
      <c r="R135" s="32" t="s">
        <v>1324</v>
      </c>
      <c r="S135" s="32" t="s">
        <v>1324</v>
      </c>
      <c r="T135" s="32" t="s">
        <v>4922</v>
      </c>
      <c r="U135" s="32" t="s">
        <v>4923</v>
      </c>
      <c r="V135" s="32" t="s">
        <v>1869</v>
      </c>
      <c r="W135" s="32" t="s">
        <v>4924</v>
      </c>
      <c r="X135" s="32" t="s">
        <v>4925</v>
      </c>
      <c r="Y135" s="32" t="s">
        <v>4926</v>
      </c>
      <c r="Z135" s="32" t="s">
        <v>4927</v>
      </c>
      <c r="AA135" s="32" t="s">
        <v>1324</v>
      </c>
      <c r="AB135" s="32" t="s">
        <v>1324</v>
      </c>
      <c r="AC135" s="32" t="s">
        <v>1324</v>
      </c>
      <c r="AD135" s="32" t="s">
        <v>1324</v>
      </c>
      <c r="AE135" s="32" t="s">
        <v>1324</v>
      </c>
      <c r="AF135" s="32" t="s">
        <v>1324</v>
      </c>
      <c r="AG135" s="32">
        <v>58.0</v>
      </c>
      <c r="AH135" s="32">
        <v>118.0</v>
      </c>
      <c r="AI135" s="32">
        <v>136.0</v>
      </c>
      <c r="AJ135" s="32">
        <v>1.0</v>
      </c>
      <c r="AK135" s="32">
        <v>54.0</v>
      </c>
      <c r="AL135" s="32" t="s">
        <v>4188</v>
      </c>
      <c r="AM135" s="32" t="s">
        <v>4189</v>
      </c>
      <c r="AN135" s="32" t="s">
        <v>4190</v>
      </c>
      <c r="AO135" s="32" t="s">
        <v>4928</v>
      </c>
      <c r="AP135" s="32" t="s">
        <v>4929</v>
      </c>
      <c r="AQ135" s="32" t="s">
        <v>1324</v>
      </c>
      <c r="AR135" s="32" t="s">
        <v>4930</v>
      </c>
      <c r="AS135" s="32" t="s">
        <v>4931</v>
      </c>
      <c r="AT135" s="32" t="s">
        <v>3208</v>
      </c>
      <c r="AU135" s="32">
        <v>2005.0</v>
      </c>
      <c r="AV135" s="32">
        <v>21.0</v>
      </c>
      <c r="AW135" s="32" t="s">
        <v>1324</v>
      </c>
      <c r="AX135" s="32">
        <v>1.0</v>
      </c>
      <c r="AY135" s="32" t="s">
        <v>1324</v>
      </c>
      <c r="AZ135" s="32" t="s">
        <v>1324</v>
      </c>
      <c r="BA135" s="32" t="s">
        <v>1324</v>
      </c>
      <c r="BB135" s="32">
        <v>9.0</v>
      </c>
      <c r="BC135" s="32">
        <v>19.0</v>
      </c>
      <c r="BD135" s="32" t="s">
        <v>1324</v>
      </c>
      <c r="BE135" s="32" t="s">
        <v>1870</v>
      </c>
      <c r="BF135" s="38" t="str">
        <f>HYPERLINK("http://dx.doi.org/10.1017/S0266467404001683","http://dx.doi.org/10.1017/S0266467404001683")</f>
        <v>http://dx.doi.org/10.1017/S0266467404001683</v>
      </c>
      <c r="BG135" s="32" t="s">
        <v>1324</v>
      </c>
      <c r="BH135" s="32" t="s">
        <v>1324</v>
      </c>
      <c r="BI135" s="32">
        <v>11.0</v>
      </c>
      <c r="BJ135" s="32" t="s">
        <v>817</v>
      </c>
      <c r="BK135" s="32" t="s">
        <v>2407</v>
      </c>
      <c r="BL135" s="32" t="s">
        <v>2472</v>
      </c>
      <c r="BM135" s="32" t="s">
        <v>4932</v>
      </c>
      <c r="BN135" s="32" t="s">
        <v>1324</v>
      </c>
      <c r="BO135" s="32" t="s">
        <v>1324</v>
      </c>
      <c r="BP135" s="32" t="s">
        <v>1324</v>
      </c>
      <c r="BQ135" s="32" t="s">
        <v>1324</v>
      </c>
      <c r="BR135" s="32" t="s">
        <v>5268</v>
      </c>
      <c r="BS135" s="32" t="s">
        <v>4933</v>
      </c>
      <c r="BT135" s="32" t="str">
        <f>HYPERLINK("https%3A%2F%2Fwww.webofscience.com%2Fwos%2Fwoscc%2Ffull-record%2FWOS:000227083400002","View Full Record in Web of Science")</f>
        <v>View Full Record in Web of Science</v>
      </c>
    </row>
    <row r="136" ht="12.75" customHeight="1">
      <c r="A136" s="32" t="s">
        <v>26</v>
      </c>
      <c r="B136" s="32" t="s">
        <v>1889</v>
      </c>
      <c r="C136" s="32" t="s">
        <v>1324</v>
      </c>
      <c r="D136" s="32" t="s">
        <v>1324</v>
      </c>
      <c r="E136" s="32" t="s">
        <v>1324</v>
      </c>
      <c r="F136" s="32" t="s">
        <v>1889</v>
      </c>
      <c r="G136" s="32" t="s">
        <v>1324</v>
      </c>
      <c r="H136" s="32" t="s">
        <v>1324</v>
      </c>
      <c r="I136" s="32" t="s">
        <v>1890</v>
      </c>
      <c r="J136" s="32" t="s">
        <v>251</v>
      </c>
      <c r="K136" s="32" t="s">
        <v>1324</v>
      </c>
      <c r="L136" s="32" t="s">
        <v>1324</v>
      </c>
      <c r="M136" s="32" t="s">
        <v>2364</v>
      </c>
      <c r="N136" s="32" t="s">
        <v>38</v>
      </c>
      <c r="O136" s="32" t="s">
        <v>1324</v>
      </c>
      <c r="P136" s="32" t="s">
        <v>1324</v>
      </c>
      <c r="Q136" s="32" t="s">
        <v>1324</v>
      </c>
      <c r="R136" s="32" t="s">
        <v>1324</v>
      </c>
      <c r="S136" s="32" t="s">
        <v>1324</v>
      </c>
      <c r="T136" s="32" t="s">
        <v>4934</v>
      </c>
      <c r="U136" s="32" t="s">
        <v>4935</v>
      </c>
      <c r="V136" s="32" t="s">
        <v>1891</v>
      </c>
      <c r="W136" s="32" t="s">
        <v>4936</v>
      </c>
      <c r="X136" s="32" t="s">
        <v>4937</v>
      </c>
      <c r="Y136" s="32" t="s">
        <v>4938</v>
      </c>
      <c r="Z136" s="32" t="s">
        <v>4939</v>
      </c>
      <c r="AA136" s="32" t="s">
        <v>5409</v>
      </c>
      <c r="AB136" s="32" t="s">
        <v>5410</v>
      </c>
      <c r="AC136" s="32" t="s">
        <v>1324</v>
      </c>
      <c r="AD136" s="32" t="s">
        <v>1324</v>
      </c>
      <c r="AE136" s="32" t="s">
        <v>1324</v>
      </c>
      <c r="AF136" s="32" t="s">
        <v>1324</v>
      </c>
      <c r="AG136" s="32">
        <v>35.0</v>
      </c>
      <c r="AH136" s="32">
        <v>205.0</v>
      </c>
      <c r="AI136" s="32">
        <v>254.0</v>
      </c>
      <c r="AJ136" s="32">
        <v>1.0</v>
      </c>
      <c r="AK136" s="32">
        <v>63.0</v>
      </c>
      <c r="AL136" s="32" t="s">
        <v>2530</v>
      </c>
      <c r="AM136" s="32" t="s">
        <v>2531</v>
      </c>
      <c r="AN136" s="32" t="s">
        <v>2532</v>
      </c>
      <c r="AO136" s="32" t="s">
        <v>2939</v>
      </c>
      <c r="AP136" s="32" t="s">
        <v>2940</v>
      </c>
      <c r="AQ136" s="32" t="s">
        <v>1324</v>
      </c>
      <c r="AR136" s="32" t="s">
        <v>2941</v>
      </c>
      <c r="AS136" s="32" t="s">
        <v>2942</v>
      </c>
      <c r="AT136" s="32" t="s">
        <v>2908</v>
      </c>
      <c r="AU136" s="32">
        <v>2003.0</v>
      </c>
      <c r="AV136" s="32">
        <v>114.0</v>
      </c>
      <c r="AW136" s="32">
        <v>3.0</v>
      </c>
      <c r="AX136" s="32" t="s">
        <v>1324</v>
      </c>
      <c r="AY136" s="32" t="s">
        <v>1324</v>
      </c>
      <c r="AZ136" s="32" t="s">
        <v>1324</v>
      </c>
      <c r="BA136" s="32" t="s">
        <v>1324</v>
      </c>
      <c r="BB136" s="32">
        <v>317.0</v>
      </c>
      <c r="BC136" s="32">
        <v>326.0</v>
      </c>
      <c r="BD136" s="32" t="s">
        <v>1324</v>
      </c>
      <c r="BE136" s="32" t="s">
        <v>1892</v>
      </c>
      <c r="BF136" s="38" t="str">
        <f>HYPERLINK("http://dx.doi.org/10.1016/S0006-3207(03)00051-X","http://dx.doi.org/10.1016/S0006-3207(03)00051-X")</f>
        <v>http://dx.doi.org/10.1016/S0006-3207(03)00051-X</v>
      </c>
      <c r="BG136" s="32" t="s">
        <v>1324</v>
      </c>
      <c r="BH136" s="32" t="s">
        <v>1324</v>
      </c>
      <c r="BI136" s="32">
        <v>10.0</v>
      </c>
      <c r="BJ136" s="32" t="s">
        <v>255</v>
      </c>
      <c r="BK136" s="32" t="s">
        <v>2407</v>
      </c>
      <c r="BL136" s="32" t="s">
        <v>2577</v>
      </c>
      <c r="BM136" s="32" t="s">
        <v>4942</v>
      </c>
      <c r="BN136" s="32" t="s">
        <v>1324</v>
      </c>
      <c r="BO136" s="32" t="s">
        <v>1324</v>
      </c>
      <c r="BP136" s="32" t="s">
        <v>1324</v>
      </c>
      <c r="BQ136" s="32" t="s">
        <v>1324</v>
      </c>
      <c r="BR136" s="32" t="s">
        <v>5268</v>
      </c>
      <c r="BS136" s="32" t="s">
        <v>4943</v>
      </c>
      <c r="BT136" s="32" t="str">
        <f>HYPERLINK("https%3A%2F%2Fwww.webofscience.com%2Fwos%2Fwoscc%2Ffull-record%2FWOS:000185371200002","View Full Record in Web of Science")</f>
        <v>View Full Record in Web of Science</v>
      </c>
    </row>
    <row r="137" ht="12.75" customHeight="1">
      <c r="A137" s="32" t="s">
        <v>26</v>
      </c>
      <c r="B137" s="32" t="s">
        <v>1823</v>
      </c>
      <c r="C137" s="32" t="s">
        <v>1324</v>
      </c>
      <c r="D137" s="32" t="s">
        <v>1324</v>
      </c>
      <c r="E137" s="32" t="s">
        <v>1324</v>
      </c>
      <c r="F137" s="32" t="s">
        <v>1823</v>
      </c>
      <c r="G137" s="32" t="s">
        <v>1324</v>
      </c>
      <c r="H137" s="32" t="s">
        <v>1324</v>
      </c>
      <c r="I137" s="32" t="s">
        <v>1825</v>
      </c>
      <c r="J137" s="32" t="s">
        <v>1824</v>
      </c>
      <c r="K137" s="32" t="s">
        <v>1324</v>
      </c>
      <c r="L137" s="32" t="s">
        <v>1324</v>
      </c>
      <c r="M137" s="32" t="s">
        <v>2364</v>
      </c>
      <c r="N137" s="32" t="s">
        <v>38</v>
      </c>
      <c r="O137" s="32" t="s">
        <v>1324</v>
      </c>
      <c r="P137" s="32" t="s">
        <v>1324</v>
      </c>
      <c r="Q137" s="32" t="s">
        <v>1324</v>
      </c>
      <c r="R137" s="32" t="s">
        <v>1324</v>
      </c>
      <c r="S137" s="32" t="s">
        <v>1324</v>
      </c>
      <c r="T137" s="32" t="s">
        <v>4944</v>
      </c>
      <c r="U137" s="32" t="s">
        <v>4945</v>
      </c>
      <c r="V137" s="32" t="s">
        <v>1826</v>
      </c>
      <c r="W137" s="32" t="s">
        <v>4946</v>
      </c>
      <c r="X137" s="32" t="s">
        <v>4947</v>
      </c>
      <c r="Y137" s="32" t="s">
        <v>4948</v>
      </c>
      <c r="Z137" s="32" t="s">
        <v>1324</v>
      </c>
      <c r="AA137" s="32" t="s">
        <v>4949</v>
      </c>
      <c r="AB137" s="32" t="s">
        <v>1324</v>
      </c>
      <c r="AC137" s="32" t="s">
        <v>1324</v>
      </c>
      <c r="AD137" s="32" t="s">
        <v>1324</v>
      </c>
      <c r="AE137" s="32" t="s">
        <v>1324</v>
      </c>
      <c r="AF137" s="32" t="s">
        <v>1324</v>
      </c>
      <c r="AG137" s="32">
        <v>84.0</v>
      </c>
      <c r="AH137" s="32">
        <v>24.0</v>
      </c>
      <c r="AI137" s="32">
        <v>28.0</v>
      </c>
      <c r="AJ137" s="32">
        <v>0.0</v>
      </c>
      <c r="AK137" s="32">
        <v>20.0</v>
      </c>
      <c r="AL137" s="32" t="s">
        <v>4950</v>
      </c>
      <c r="AM137" s="32" t="s">
        <v>3251</v>
      </c>
      <c r="AN137" s="32" t="s">
        <v>3252</v>
      </c>
      <c r="AO137" s="32" t="s">
        <v>3253</v>
      </c>
      <c r="AP137" s="32" t="s">
        <v>1324</v>
      </c>
      <c r="AQ137" s="32" t="s">
        <v>1324</v>
      </c>
      <c r="AR137" s="32" t="s">
        <v>3255</v>
      </c>
      <c r="AS137" s="32" t="s">
        <v>3256</v>
      </c>
      <c r="AT137" s="32" t="s">
        <v>2471</v>
      </c>
      <c r="AU137" s="32">
        <v>2003.0</v>
      </c>
      <c r="AV137" s="32">
        <v>12.0</v>
      </c>
      <c r="AW137" s="32">
        <v>9.0</v>
      </c>
      <c r="AX137" s="32" t="s">
        <v>1324</v>
      </c>
      <c r="AY137" s="32" t="s">
        <v>1324</v>
      </c>
      <c r="AZ137" s="32" t="s">
        <v>1324</v>
      </c>
      <c r="BA137" s="32" t="s">
        <v>1324</v>
      </c>
      <c r="BB137" s="32">
        <v>1921.0</v>
      </c>
      <c r="BC137" s="32">
        <v>1936.0</v>
      </c>
      <c r="BD137" s="32" t="s">
        <v>1324</v>
      </c>
      <c r="BE137" s="32" t="s">
        <v>1827</v>
      </c>
      <c r="BF137" s="38" t="str">
        <f>HYPERLINK("http://dx.doi.org/10.1023/A:1024147529295","http://dx.doi.org/10.1023/A:1024147529295")</f>
        <v>http://dx.doi.org/10.1023/A:1024147529295</v>
      </c>
      <c r="BG137" s="32" t="s">
        <v>1324</v>
      </c>
      <c r="BH137" s="32" t="s">
        <v>1324</v>
      </c>
      <c r="BI137" s="32">
        <v>16.0</v>
      </c>
      <c r="BJ137" s="32" t="s">
        <v>255</v>
      </c>
      <c r="BK137" s="32" t="s">
        <v>2407</v>
      </c>
      <c r="BL137" s="32" t="s">
        <v>2577</v>
      </c>
      <c r="BM137" s="32" t="s">
        <v>4951</v>
      </c>
      <c r="BN137" s="32" t="s">
        <v>1324</v>
      </c>
      <c r="BO137" s="32" t="s">
        <v>1324</v>
      </c>
      <c r="BP137" s="32" t="s">
        <v>1324</v>
      </c>
      <c r="BQ137" s="32" t="s">
        <v>1324</v>
      </c>
      <c r="BR137" s="32" t="s">
        <v>5268</v>
      </c>
      <c r="BS137" s="32" t="s">
        <v>4952</v>
      </c>
      <c r="BT137" s="32" t="str">
        <f>HYPERLINK("https%3A%2F%2Fwww.webofscience.com%2Fwos%2Fwoscc%2Ffull-record%2FWOS:000183444300010","View Full Record in Web of Science")</f>
        <v>View Full Record in Web of Science</v>
      </c>
    </row>
    <row r="138" ht="12.75" customHeight="1">
      <c r="A138" s="32" t="s">
        <v>26</v>
      </c>
      <c r="B138" s="32" t="s">
        <v>1785</v>
      </c>
      <c r="C138" s="32" t="s">
        <v>1324</v>
      </c>
      <c r="D138" s="32" t="s">
        <v>1324</v>
      </c>
      <c r="E138" s="32" t="s">
        <v>1324</v>
      </c>
      <c r="F138" s="32" t="s">
        <v>1785</v>
      </c>
      <c r="G138" s="32" t="s">
        <v>1324</v>
      </c>
      <c r="H138" s="32" t="s">
        <v>1324</v>
      </c>
      <c r="I138" s="32" t="s">
        <v>1786</v>
      </c>
      <c r="J138" s="32" t="s">
        <v>774</v>
      </c>
      <c r="K138" s="32" t="s">
        <v>1324</v>
      </c>
      <c r="L138" s="32" t="s">
        <v>1324</v>
      </c>
      <c r="M138" s="32" t="s">
        <v>2364</v>
      </c>
      <c r="N138" s="32" t="s">
        <v>38</v>
      </c>
      <c r="O138" s="32" t="s">
        <v>1324</v>
      </c>
      <c r="P138" s="32" t="s">
        <v>1324</v>
      </c>
      <c r="Q138" s="32" t="s">
        <v>1324</v>
      </c>
      <c r="R138" s="32" t="s">
        <v>1324</v>
      </c>
      <c r="S138" s="32" t="s">
        <v>1324</v>
      </c>
      <c r="T138" s="32" t="s">
        <v>4953</v>
      </c>
      <c r="U138" s="32" t="s">
        <v>4954</v>
      </c>
      <c r="V138" s="32" t="s">
        <v>4955</v>
      </c>
      <c r="W138" s="32" t="s">
        <v>4956</v>
      </c>
      <c r="X138" s="32" t="s">
        <v>4957</v>
      </c>
      <c r="Y138" s="32" t="s">
        <v>4958</v>
      </c>
      <c r="Z138" s="32" t="s">
        <v>4959</v>
      </c>
      <c r="AA138" s="32" t="s">
        <v>4960</v>
      </c>
      <c r="AB138" s="32" t="s">
        <v>4961</v>
      </c>
      <c r="AC138" s="32" t="s">
        <v>1324</v>
      </c>
      <c r="AD138" s="32" t="s">
        <v>1324</v>
      </c>
      <c r="AE138" s="32" t="s">
        <v>1324</v>
      </c>
      <c r="AF138" s="32" t="s">
        <v>1324</v>
      </c>
      <c r="AG138" s="32">
        <v>55.0</v>
      </c>
      <c r="AH138" s="32">
        <v>214.0</v>
      </c>
      <c r="AI138" s="32">
        <v>255.0</v>
      </c>
      <c r="AJ138" s="32">
        <v>2.0</v>
      </c>
      <c r="AK138" s="32">
        <v>120.0</v>
      </c>
      <c r="AL138" s="32" t="s">
        <v>2464</v>
      </c>
      <c r="AM138" s="32" t="s">
        <v>2465</v>
      </c>
      <c r="AN138" s="32" t="s">
        <v>2466</v>
      </c>
      <c r="AO138" s="32" t="s">
        <v>2923</v>
      </c>
      <c r="AP138" s="32" t="s">
        <v>2924</v>
      </c>
      <c r="AQ138" s="32" t="s">
        <v>1324</v>
      </c>
      <c r="AR138" s="32" t="s">
        <v>2925</v>
      </c>
      <c r="AS138" s="32" t="s">
        <v>2926</v>
      </c>
      <c r="AT138" s="32" t="s">
        <v>2632</v>
      </c>
      <c r="AU138" s="32">
        <v>2002.0</v>
      </c>
      <c r="AV138" s="32">
        <v>8.0</v>
      </c>
      <c r="AW138" s="32">
        <v>6.0</v>
      </c>
      <c r="AX138" s="32" t="s">
        <v>1324</v>
      </c>
      <c r="AY138" s="32" t="s">
        <v>1324</v>
      </c>
      <c r="AZ138" s="32" t="s">
        <v>1324</v>
      </c>
      <c r="BA138" s="32" t="s">
        <v>1324</v>
      </c>
      <c r="BB138" s="32">
        <v>545.0</v>
      </c>
      <c r="BC138" s="32">
        <v>562.0</v>
      </c>
      <c r="BD138" s="32" t="s">
        <v>1324</v>
      </c>
      <c r="BE138" s="32" t="s">
        <v>1788</v>
      </c>
      <c r="BF138" s="38" t="str">
        <f>HYPERLINK("http://dx.doi.org/10.1046/j.1365-2486.2002.00482.x","http://dx.doi.org/10.1046/j.1365-2486.2002.00482.x")</f>
        <v>http://dx.doi.org/10.1046/j.1365-2486.2002.00482.x</v>
      </c>
      <c r="BG138" s="32" t="s">
        <v>1324</v>
      </c>
      <c r="BH138" s="32" t="s">
        <v>1324</v>
      </c>
      <c r="BI138" s="32">
        <v>18.0</v>
      </c>
      <c r="BJ138" s="32" t="s">
        <v>255</v>
      </c>
      <c r="BK138" s="32" t="s">
        <v>2407</v>
      </c>
      <c r="BL138" s="32" t="s">
        <v>2577</v>
      </c>
      <c r="BM138" s="32" t="s">
        <v>4962</v>
      </c>
      <c r="BN138" s="32" t="s">
        <v>1324</v>
      </c>
      <c r="BO138" s="32" t="s">
        <v>1324</v>
      </c>
      <c r="BP138" s="32" t="s">
        <v>1324</v>
      </c>
      <c r="BQ138" s="32" t="s">
        <v>1324</v>
      </c>
      <c r="BR138" s="32" t="s">
        <v>5268</v>
      </c>
      <c r="BS138" s="32" t="s">
        <v>4963</v>
      </c>
      <c r="BT138" s="32" t="str">
        <f>HYPERLINK("https%3A%2F%2Fwww.webofscience.com%2Fwos%2Fwoscc%2Ffull-record%2FWOS:000175749000004","View Full Record in Web of Science")</f>
        <v>View Full Record in Web of Science</v>
      </c>
    </row>
    <row r="139" ht="12.75" customHeight="1">
      <c r="A139" s="32" t="s">
        <v>26</v>
      </c>
      <c r="B139" s="32" t="s">
        <v>1829</v>
      </c>
      <c r="C139" s="32" t="s">
        <v>1324</v>
      </c>
      <c r="D139" s="32" t="s">
        <v>1324</v>
      </c>
      <c r="E139" s="32" t="s">
        <v>1324</v>
      </c>
      <c r="F139" s="32" t="s">
        <v>1829</v>
      </c>
      <c r="G139" s="32" t="s">
        <v>1324</v>
      </c>
      <c r="H139" s="32" t="s">
        <v>1324</v>
      </c>
      <c r="I139" s="32" t="s">
        <v>1831</v>
      </c>
      <c r="J139" s="32" t="s">
        <v>1830</v>
      </c>
      <c r="K139" s="32" t="s">
        <v>1324</v>
      </c>
      <c r="L139" s="32" t="s">
        <v>1324</v>
      </c>
      <c r="M139" s="32" t="s">
        <v>2364</v>
      </c>
      <c r="N139" s="32" t="s">
        <v>38</v>
      </c>
      <c r="O139" s="32" t="s">
        <v>1324</v>
      </c>
      <c r="P139" s="32" t="s">
        <v>1324</v>
      </c>
      <c r="Q139" s="32" t="s">
        <v>1324</v>
      </c>
      <c r="R139" s="32" t="s">
        <v>1324</v>
      </c>
      <c r="S139" s="32" t="s">
        <v>1324</v>
      </c>
      <c r="T139" s="32" t="s">
        <v>4964</v>
      </c>
      <c r="U139" s="32" t="s">
        <v>4965</v>
      </c>
      <c r="V139" s="32" t="s">
        <v>1832</v>
      </c>
      <c r="W139" s="32" t="s">
        <v>4966</v>
      </c>
      <c r="X139" s="32" t="s">
        <v>4967</v>
      </c>
      <c r="Y139" s="32" t="s">
        <v>4968</v>
      </c>
      <c r="Z139" s="32" t="s">
        <v>4969</v>
      </c>
      <c r="AA139" s="32" t="s">
        <v>4970</v>
      </c>
      <c r="AB139" s="32" t="s">
        <v>4971</v>
      </c>
      <c r="AC139" s="32" t="s">
        <v>1324</v>
      </c>
      <c r="AD139" s="32" t="s">
        <v>1324</v>
      </c>
      <c r="AE139" s="32" t="s">
        <v>1324</v>
      </c>
      <c r="AF139" s="32" t="s">
        <v>1324</v>
      </c>
      <c r="AG139" s="32">
        <v>93.0</v>
      </c>
      <c r="AH139" s="32">
        <v>101.0</v>
      </c>
      <c r="AI139" s="32">
        <v>136.0</v>
      </c>
      <c r="AJ139" s="32">
        <v>0.0</v>
      </c>
      <c r="AK139" s="32">
        <v>66.0</v>
      </c>
      <c r="AL139" s="32" t="s">
        <v>3250</v>
      </c>
      <c r="AM139" s="32" t="s">
        <v>3251</v>
      </c>
      <c r="AN139" s="32" t="s">
        <v>3252</v>
      </c>
      <c r="AO139" s="32" t="s">
        <v>4972</v>
      </c>
      <c r="AP139" s="32" t="s">
        <v>1324</v>
      </c>
      <c r="AQ139" s="32" t="s">
        <v>1324</v>
      </c>
      <c r="AR139" s="32" t="s">
        <v>4973</v>
      </c>
      <c r="AS139" s="32" t="s">
        <v>4974</v>
      </c>
      <c r="AT139" s="32" t="s">
        <v>2651</v>
      </c>
      <c r="AU139" s="32">
        <v>2001.0</v>
      </c>
      <c r="AV139" s="32">
        <v>16.0</v>
      </c>
      <c r="AW139" s="32">
        <v>4.0</v>
      </c>
      <c r="AX139" s="32" t="s">
        <v>1324</v>
      </c>
      <c r="AY139" s="32" t="s">
        <v>1324</v>
      </c>
      <c r="AZ139" s="32" t="s">
        <v>1324</v>
      </c>
      <c r="BA139" s="32" t="s">
        <v>1324</v>
      </c>
      <c r="BB139" s="32">
        <v>327.0</v>
      </c>
      <c r="BC139" s="32">
        <v>349.0</v>
      </c>
      <c r="BD139" s="32" t="s">
        <v>1324</v>
      </c>
      <c r="BE139" s="32" t="s">
        <v>1833</v>
      </c>
      <c r="BF139" s="38" t="str">
        <f>HYPERLINK("http://dx.doi.org/10.1023/A:1011185409347","http://dx.doi.org/10.1023/A:1011185409347")</f>
        <v>http://dx.doi.org/10.1023/A:1011185409347</v>
      </c>
      <c r="BG139" s="32" t="s">
        <v>1324</v>
      </c>
      <c r="BH139" s="32" t="s">
        <v>1324</v>
      </c>
      <c r="BI139" s="32">
        <v>23.0</v>
      </c>
      <c r="BJ139" s="32" t="s">
        <v>4975</v>
      </c>
      <c r="BK139" s="32" t="s">
        <v>2407</v>
      </c>
      <c r="BL139" s="32" t="s">
        <v>4704</v>
      </c>
      <c r="BM139" s="32" t="s">
        <v>4976</v>
      </c>
      <c r="BN139" s="32" t="s">
        <v>1324</v>
      </c>
      <c r="BO139" s="32" t="s">
        <v>1324</v>
      </c>
      <c r="BP139" s="32" t="s">
        <v>1324</v>
      </c>
      <c r="BQ139" s="32" t="s">
        <v>1324</v>
      </c>
      <c r="BR139" s="32" t="s">
        <v>5268</v>
      </c>
      <c r="BS139" s="32" t="s">
        <v>4977</v>
      </c>
      <c r="BT139" s="32" t="str">
        <f>HYPERLINK("https%3A%2F%2Fwww.webofscience.com%2Fwos%2Fwoscc%2Ffull-record%2FWOS:000169516300004","View Full Record in Web of Science")</f>
        <v>View Full Record in Web of Science</v>
      </c>
    </row>
    <row r="140" ht="12.75" customHeight="1">
      <c r="A140" s="32" t="s">
        <v>26</v>
      </c>
      <c r="B140" s="32" t="s">
        <v>1800</v>
      </c>
      <c r="C140" s="32" t="s">
        <v>1324</v>
      </c>
      <c r="D140" s="32" t="s">
        <v>1324</v>
      </c>
      <c r="E140" s="32" t="s">
        <v>1324</v>
      </c>
      <c r="F140" s="32" t="s">
        <v>1800</v>
      </c>
      <c r="G140" s="32" t="s">
        <v>1324</v>
      </c>
      <c r="H140" s="32" t="s">
        <v>1324</v>
      </c>
      <c r="I140" s="32" t="s">
        <v>1802</v>
      </c>
      <c r="J140" s="32" t="s">
        <v>1801</v>
      </c>
      <c r="K140" s="32" t="s">
        <v>1324</v>
      </c>
      <c r="L140" s="32" t="s">
        <v>1324</v>
      </c>
      <c r="M140" s="32" t="s">
        <v>2364</v>
      </c>
      <c r="N140" s="32" t="s">
        <v>38</v>
      </c>
      <c r="O140" s="32" t="s">
        <v>1324</v>
      </c>
      <c r="P140" s="32" t="s">
        <v>1324</v>
      </c>
      <c r="Q140" s="32" t="s">
        <v>1324</v>
      </c>
      <c r="R140" s="32" t="s">
        <v>1324</v>
      </c>
      <c r="S140" s="32" t="s">
        <v>1324</v>
      </c>
      <c r="T140" s="32" t="s">
        <v>1324</v>
      </c>
      <c r="U140" s="32" t="s">
        <v>4989</v>
      </c>
      <c r="V140" s="32" t="s">
        <v>1803</v>
      </c>
      <c r="W140" s="32" t="s">
        <v>4990</v>
      </c>
      <c r="X140" s="32" t="s">
        <v>4991</v>
      </c>
      <c r="Y140" s="32" t="s">
        <v>4992</v>
      </c>
      <c r="Z140" s="32" t="s">
        <v>1324</v>
      </c>
      <c r="AA140" s="32" t="s">
        <v>4993</v>
      </c>
      <c r="AB140" s="32" t="s">
        <v>1324</v>
      </c>
      <c r="AC140" s="32" t="s">
        <v>1324</v>
      </c>
      <c r="AD140" s="32" t="s">
        <v>1324</v>
      </c>
      <c r="AE140" s="32" t="s">
        <v>1324</v>
      </c>
      <c r="AF140" s="32" t="s">
        <v>1324</v>
      </c>
      <c r="AG140" s="32">
        <v>46.0</v>
      </c>
      <c r="AH140" s="32">
        <v>92.0</v>
      </c>
      <c r="AI140" s="32">
        <v>106.0</v>
      </c>
      <c r="AJ140" s="32">
        <v>0.0</v>
      </c>
      <c r="AK140" s="32">
        <v>28.0</v>
      </c>
      <c r="AL140" s="32" t="s">
        <v>4266</v>
      </c>
      <c r="AM140" s="32" t="s">
        <v>2792</v>
      </c>
      <c r="AN140" s="32" t="s">
        <v>4267</v>
      </c>
      <c r="AO140" s="32" t="s">
        <v>4994</v>
      </c>
      <c r="AP140" s="32" t="s">
        <v>1324</v>
      </c>
      <c r="AQ140" s="32" t="s">
        <v>1324</v>
      </c>
      <c r="AR140" s="32" t="s">
        <v>4995</v>
      </c>
      <c r="AS140" s="32" t="s">
        <v>4996</v>
      </c>
      <c r="AT140" s="32" t="s">
        <v>4997</v>
      </c>
      <c r="AU140" s="32">
        <v>1996.0</v>
      </c>
      <c r="AV140" s="32">
        <v>101.0</v>
      </c>
      <c r="AW140" s="32" t="s">
        <v>4998</v>
      </c>
      <c r="AX140" s="32" t="s">
        <v>1324</v>
      </c>
      <c r="AY140" s="32" t="s">
        <v>1324</v>
      </c>
      <c r="AZ140" s="32" t="s">
        <v>1324</v>
      </c>
      <c r="BA140" s="32" t="s">
        <v>1324</v>
      </c>
      <c r="BB140" s="32">
        <v>7157.0</v>
      </c>
      <c r="BC140" s="32">
        <v>7162.0</v>
      </c>
      <c r="BD140" s="32" t="s">
        <v>1324</v>
      </c>
      <c r="BE140" s="32" t="s">
        <v>1804</v>
      </c>
      <c r="BF140" s="38" t="str">
        <f>HYPERLINK("http://dx.doi.org/10.1029/95JD02138","http://dx.doi.org/10.1029/95JD02138")</f>
        <v>http://dx.doi.org/10.1029/95JD02138</v>
      </c>
      <c r="BG140" s="32" t="s">
        <v>1324</v>
      </c>
      <c r="BH140" s="32" t="s">
        <v>1324</v>
      </c>
      <c r="BI140" s="32">
        <v>6.0</v>
      </c>
      <c r="BJ140" s="32" t="s">
        <v>50</v>
      </c>
      <c r="BK140" s="32" t="s">
        <v>2407</v>
      </c>
      <c r="BL140" s="32" t="s">
        <v>50</v>
      </c>
      <c r="BM140" s="32" t="s">
        <v>4999</v>
      </c>
      <c r="BN140" s="32" t="s">
        <v>1324</v>
      </c>
      <c r="BO140" s="32" t="s">
        <v>1324</v>
      </c>
      <c r="BP140" s="32" t="s">
        <v>1324</v>
      </c>
      <c r="BQ140" s="32" t="s">
        <v>1324</v>
      </c>
      <c r="BR140" s="32" t="s">
        <v>5268</v>
      </c>
      <c r="BS140" s="32" t="s">
        <v>5000</v>
      </c>
      <c r="BT140" s="32" t="str">
        <f>HYPERLINK("https%3A%2F%2Fwww.webofscience.com%2Fwos%2Fwoscc%2Ffull-record%2FWOS:A1996UB98600039","View Full Record in Web of Science")</f>
        <v>View Full Record in Web of Science</v>
      </c>
    </row>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88"/>
    <col customWidth="1" min="2" max="2" width="2.25"/>
    <col customWidth="1" min="3" max="3" width="1.63"/>
    <col customWidth="1" min="4" max="4" width="3.13"/>
    <col customWidth="1" min="5" max="5" width="1.88"/>
    <col customWidth="1" min="6" max="6" width="12.63"/>
    <col customWidth="1" min="8" max="24" width="12.63"/>
  </cols>
  <sheetData>
    <row r="2">
      <c r="D2" s="7"/>
      <c r="F2" s="2" t="s">
        <v>5411</v>
      </c>
      <c r="J2" s="2" t="s">
        <v>5412</v>
      </c>
    </row>
    <row r="3" ht="1726.5" customHeight="1">
      <c r="A3" s="42"/>
      <c r="B3" s="42"/>
      <c r="C3" s="42"/>
      <c r="D3" s="42"/>
      <c r="E3" s="42"/>
      <c r="F3" s="43" t="s">
        <v>5413</v>
      </c>
      <c r="G3" s="42"/>
      <c r="H3" s="42"/>
      <c r="I3" s="42"/>
      <c r="J3" s="43" t="s">
        <v>5414</v>
      </c>
      <c r="K3" s="42"/>
      <c r="L3" s="42"/>
      <c r="M3" s="42"/>
      <c r="N3" s="42"/>
      <c r="O3" s="42"/>
      <c r="P3" s="42"/>
      <c r="Q3" s="42"/>
      <c r="R3" s="42"/>
      <c r="S3" s="42"/>
      <c r="T3" s="42"/>
      <c r="U3" s="42"/>
      <c r="V3" s="42"/>
      <c r="W3" s="42"/>
      <c r="X3" s="42"/>
      <c r="Y3" s="42"/>
      <c r="Z3" s="42"/>
    </row>
    <row r="5">
      <c r="J5" s="2" t="s">
        <v>5415</v>
      </c>
    </row>
    <row r="6">
      <c r="J6" s="2" t="s">
        <v>5416</v>
      </c>
    </row>
    <row r="7">
      <c r="J7" s="2" t="s">
        <v>5417</v>
      </c>
    </row>
    <row r="8">
      <c r="J8" s="2" t="s">
        <v>5418</v>
      </c>
    </row>
    <row r="9">
      <c r="J9" s="2" t="s">
        <v>5419</v>
      </c>
    </row>
    <row r="10">
      <c r="J10" s="2" t="s">
        <v>5420</v>
      </c>
    </row>
    <row r="11">
      <c r="J11" s="2" t="s">
        <v>5421</v>
      </c>
    </row>
    <row r="12">
      <c r="J12" s="2" t="s">
        <v>5422</v>
      </c>
    </row>
    <row r="13">
      <c r="J13" s="2" t="s">
        <v>5423</v>
      </c>
    </row>
    <row r="14">
      <c r="J14" s="2" t="s">
        <v>5424</v>
      </c>
    </row>
    <row r="15">
      <c r="J15" s="2" t="s">
        <v>5425</v>
      </c>
    </row>
    <row r="16">
      <c r="J16" s="2" t="s">
        <v>5426</v>
      </c>
    </row>
    <row r="17">
      <c r="J17" s="2" t="s">
        <v>5427</v>
      </c>
    </row>
    <row r="18">
      <c r="J18" s="2" t="s">
        <v>5428</v>
      </c>
    </row>
    <row r="19">
      <c r="J19" s="2" t="s">
        <v>5429</v>
      </c>
    </row>
    <row r="20">
      <c r="J20" s="2" t="s">
        <v>5430</v>
      </c>
    </row>
    <row r="21" ht="15.75" customHeight="1">
      <c r="J21" s="2" t="s">
        <v>42</v>
      </c>
    </row>
    <row r="22" ht="15.75" customHeight="1">
      <c r="J22" s="2" t="s">
        <v>5431</v>
      </c>
    </row>
    <row r="23" ht="15.75" customHeight="1"/>
    <row r="24" ht="15.75" customHeight="1">
      <c r="J24" s="2" t="s">
        <v>5432</v>
      </c>
    </row>
    <row r="25" ht="15.75" customHeight="1">
      <c r="J25" s="2" t="s">
        <v>5433</v>
      </c>
    </row>
    <row r="26" ht="15.75" customHeight="1">
      <c r="J26" s="2" t="s">
        <v>5433</v>
      </c>
    </row>
    <row r="27" ht="15.75" customHeight="1">
      <c r="J27" s="2" t="s">
        <v>5434</v>
      </c>
    </row>
    <row r="28" ht="15.75" customHeight="1">
      <c r="J28" s="2" t="s">
        <v>5435</v>
      </c>
    </row>
    <row r="29" ht="15.75" customHeight="1">
      <c r="J29" s="2" t="s">
        <v>5436</v>
      </c>
    </row>
    <row r="30" ht="15.75" customHeight="1">
      <c r="J30" s="2" t="s">
        <v>5431</v>
      </c>
    </row>
    <row r="31" ht="15.75" customHeight="1">
      <c r="J31" s="2" t="s">
        <v>5437</v>
      </c>
    </row>
    <row r="32" ht="15.75" customHeight="1">
      <c r="J32" s="2" t="s">
        <v>5438</v>
      </c>
    </row>
    <row r="33" ht="15.75" customHeight="1">
      <c r="J33" s="2" t="s">
        <v>5431</v>
      </c>
    </row>
    <row r="34" ht="15.75" customHeight="1"/>
    <row r="35" ht="15.75" customHeight="1">
      <c r="J35" s="2" t="s">
        <v>5439</v>
      </c>
    </row>
    <row r="36" ht="15.75" customHeight="1">
      <c r="J36" s="2" t="s">
        <v>5433</v>
      </c>
    </row>
    <row r="37" ht="15.75" customHeight="1">
      <c r="J37" s="2" t="s">
        <v>5433</v>
      </c>
    </row>
    <row r="38" ht="15.75" customHeight="1">
      <c r="J38" s="2" t="s">
        <v>5440</v>
      </c>
    </row>
    <row r="39" ht="15.75" customHeight="1">
      <c r="J39" s="2" t="s">
        <v>5441</v>
      </c>
    </row>
    <row r="40" ht="15.75" customHeight="1">
      <c r="J40" s="2" t="s">
        <v>5442</v>
      </c>
    </row>
    <row r="41" ht="15.75" customHeight="1">
      <c r="J41" s="2" t="s">
        <v>5443</v>
      </c>
    </row>
    <row r="42" ht="15.75" customHeight="1">
      <c r="J42" s="2" t="s">
        <v>5444</v>
      </c>
    </row>
    <row r="43" ht="15.75" customHeight="1">
      <c r="J43" s="2" t="s">
        <v>5445</v>
      </c>
    </row>
    <row r="44" ht="15.75" customHeight="1">
      <c r="J44" s="2" t="s">
        <v>5446</v>
      </c>
    </row>
    <row r="45" ht="15.75" customHeight="1">
      <c r="J45" s="2" t="s">
        <v>5447</v>
      </c>
    </row>
    <row r="46" ht="15.75" customHeight="1">
      <c r="J46" s="2" t="s">
        <v>5448</v>
      </c>
    </row>
    <row r="47" ht="15.75" customHeight="1">
      <c r="J47" s="2" t="s">
        <v>5449</v>
      </c>
    </row>
    <row r="48" ht="15.75" customHeight="1">
      <c r="J48" s="2" t="s">
        <v>5450</v>
      </c>
    </row>
    <row r="49" ht="15.75" customHeight="1">
      <c r="J49" s="2" t="s">
        <v>5451</v>
      </c>
    </row>
    <row r="50" ht="15.75" customHeight="1">
      <c r="J50" s="2" t="s">
        <v>5452</v>
      </c>
    </row>
    <row r="51" ht="15.75" customHeight="1">
      <c r="J51" s="2" t="s">
        <v>5453</v>
      </c>
    </row>
    <row r="52" ht="15.75" customHeight="1">
      <c r="J52" s="2" t="s">
        <v>5454</v>
      </c>
    </row>
    <row r="53" ht="15.75" customHeight="1">
      <c r="J53" s="2" t="s">
        <v>5431</v>
      </c>
    </row>
    <row r="54" ht="15.75" customHeight="1">
      <c r="J54" s="2" t="s">
        <v>5437</v>
      </c>
    </row>
    <row r="55" ht="15.75" customHeight="1">
      <c r="J55" s="2" t="s">
        <v>5433</v>
      </c>
    </row>
    <row r="56" ht="15.75" customHeight="1">
      <c r="J56" s="2" t="s">
        <v>5455</v>
      </c>
    </row>
    <row r="57" ht="15.75" customHeight="1">
      <c r="J57" s="2" t="s">
        <v>5456</v>
      </c>
    </row>
    <row r="58" ht="15.75" customHeight="1">
      <c r="J58" s="2" t="s">
        <v>5457</v>
      </c>
    </row>
    <row r="59" ht="15.75" customHeight="1">
      <c r="J59" s="2" t="s">
        <v>5458</v>
      </c>
    </row>
    <row r="60" ht="15.75" customHeight="1">
      <c r="J60" s="2" t="s">
        <v>5459</v>
      </c>
    </row>
    <row r="61" ht="15.75" customHeight="1">
      <c r="J61" s="2" t="s">
        <v>5460</v>
      </c>
    </row>
    <row r="62" ht="15.75" customHeight="1">
      <c r="J62" s="2" t="s">
        <v>5461</v>
      </c>
    </row>
    <row r="63" ht="15.75" customHeight="1">
      <c r="J63" s="2" t="s">
        <v>5431</v>
      </c>
    </row>
    <row r="64" ht="15.75" customHeight="1">
      <c r="J64" s="2" t="s">
        <v>5437</v>
      </c>
    </row>
    <row r="65" ht="15.75" customHeight="1">
      <c r="J65" s="2" t="s">
        <v>5433</v>
      </c>
    </row>
    <row r="66" ht="15.75" customHeight="1">
      <c r="J66" s="2" t="s">
        <v>5462</v>
      </c>
    </row>
    <row r="67" ht="15.75" customHeight="1">
      <c r="J67" s="2" t="s">
        <v>5463</v>
      </c>
    </row>
    <row r="68" ht="15.75" customHeight="1">
      <c r="J68" s="2" t="s">
        <v>5464</v>
      </c>
    </row>
    <row r="69" ht="15.75" customHeight="1">
      <c r="J69" s="2" t="s">
        <v>5465</v>
      </c>
    </row>
    <row r="70" ht="15.75" customHeight="1">
      <c r="J70" s="2" t="s">
        <v>5466</v>
      </c>
    </row>
    <row r="71" ht="15.75" customHeight="1">
      <c r="J71" s="2" t="s">
        <v>5467</v>
      </c>
    </row>
    <row r="72" ht="15.75" customHeight="1">
      <c r="J72" s="2" t="s">
        <v>5431</v>
      </c>
    </row>
    <row r="73" ht="15.75" customHeight="1">
      <c r="J73" s="2" t="s">
        <v>5437</v>
      </c>
    </row>
    <row r="74" ht="15.75" customHeight="1">
      <c r="J74" s="2" t="s">
        <v>5433</v>
      </c>
    </row>
    <row r="75" ht="15.75" customHeight="1">
      <c r="J75" s="2" t="s">
        <v>5468</v>
      </c>
    </row>
    <row r="76" ht="15.75" customHeight="1">
      <c r="J76" s="2" t="s">
        <v>5469</v>
      </c>
    </row>
    <row r="77" ht="15.75" customHeight="1">
      <c r="J77" s="2" t="s">
        <v>5470</v>
      </c>
    </row>
    <row r="78" ht="15.75" customHeight="1">
      <c r="J78" s="2" t="s">
        <v>5471</v>
      </c>
    </row>
    <row r="79" ht="15.75" customHeight="1">
      <c r="J79" s="2" t="s">
        <v>5472</v>
      </c>
    </row>
    <row r="80" ht="15.75" customHeight="1">
      <c r="J80" s="2" t="s">
        <v>5473</v>
      </c>
    </row>
    <row r="81" ht="15.75" customHeight="1">
      <c r="J81" s="2" t="s">
        <v>5474</v>
      </c>
    </row>
    <row r="82" ht="15.75" customHeight="1">
      <c r="J82" s="2" t="s">
        <v>5431</v>
      </c>
    </row>
    <row r="83" ht="15.75" customHeight="1">
      <c r="J83" s="2" t="s">
        <v>5437</v>
      </c>
    </row>
    <row r="84" ht="15.75" customHeight="1">
      <c r="J84" s="2" t="s">
        <v>5433</v>
      </c>
    </row>
    <row r="85" ht="15.75" customHeight="1">
      <c r="J85" s="2" t="s">
        <v>5475</v>
      </c>
    </row>
    <row r="86" ht="15.75" customHeight="1">
      <c r="J86" s="2" t="s">
        <v>5476</v>
      </c>
    </row>
    <row r="87" ht="15.75" customHeight="1">
      <c r="J87" s="2" t="s">
        <v>5431</v>
      </c>
    </row>
    <row r="88" ht="15.75" customHeight="1"/>
    <row r="89" ht="15.75" customHeight="1">
      <c r="J89" s="2" t="s">
        <v>5431</v>
      </c>
    </row>
    <row r="90" ht="15.75" customHeight="1">
      <c r="J90" s="2" t="s">
        <v>5431</v>
      </c>
    </row>
    <row r="91" ht="15.75" customHeight="1"/>
    <row r="92" ht="15.75" customHeight="1">
      <c r="J92" s="2" t="s">
        <v>5477</v>
      </c>
    </row>
    <row r="93" ht="15.75" customHeight="1"/>
    <row r="94" ht="15.75" customHeight="1">
      <c r="J94" s="2" t="s">
        <v>5478</v>
      </c>
    </row>
    <row r="95" ht="15.75" customHeight="1">
      <c r="J95" s="2" t="s">
        <v>5479</v>
      </c>
    </row>
    <row r="96" ht="15.75" customHeight="1">
      <c r="J96" s="2" t="s">
        <v>5480</v>
      </c>
    </row>
    <row r="97" ht="15.75" customHeight="1">
      <c r="J97" s="2" t="s">
        <v>5481</v>
      </c>
    </row>
    <row r="98" ht="15.75" customHeight="1">
      <c r="J98" s="2" t="s">
        <v>5482</v>
      </c>
    </row>
    <row r="99" ht="15.75" customHeight="1">
      <c r="J99" s="2" t="s">
        <v>5483</v>
      </c>
    </row>
    <row r="100" ht="15.75" customHeight="1">
      <c r="J100" s="2" t="s">
        <v>5484</v>
      </c>
    </row>
    <row r="101" ht="15.75" customHeight="1">
      <c r="J101" s="2" t="s">
        <v>5485</v>
      </c>
    </row>
    <row r="102" ht="15.75" customHeight="1">
      <c r="J102" s="2" t="s">
        <v>5486</v>
      </c>
    </row>
    <row r="103" ht="15.75" customHeight="1">
      <c r="J103" s="2" t="s">
        <v>5487</v>
      </c>
    </row>
    <row r="104" ht="15.75" customHeight="1">
      <c r="J104" s="2" t="s">
        <v>5488</v>
      </c>
    </row>
    <row r="105" ht="15.75" customHeight="1">
      <c r="J105" s="2" t="s">
        <v>5489</v>
      </c>
    </row>
    <row r="106" ht="15.75" customHeight="1">
      <c r="J106" s="2" t="s">
        <v>5490</v>
      </c>
    </row>
    <row r="107" ht="15.75" customHeight="1">
      <c r="J107" s="2" t="s">
        <v>5491</v>
      </c>
    </row>
    <row r="108" ht="15.75" customHeight="1">
      <c r="J108" s="2" t="s">
        <v>5492</v>
      </c>
    </row>
    <row r="109" ht="15.75" customHeight="1">
      <c r="J109" s="2" t="s">
        <v>5493</v>
      </c>
    </row>
    <row r="110" ht="15.75" customHeight="1">
      <c r="J110" s="2" t="s">
        <v>5494</v>
      </c>
    </row>
    <row r="111" ht="15.75" customHeight="1">
      <c r="J111" s="2" t="s">
        <v>5495</v>
      </c>
    </row>
    <row r="112" ht="15.75" customHeight="1">
      <c r="J112" s="2" t="s">
        <v>5496</v>
      </c>
    </row>
    <row r="113" ht="15.75" customHeight="1">
      <c r="J113" s="2" t="s">
        <v>5497</v>
      </c>
    </row>
    <row r="114" ht="15.75" customHeight="1">
      <c r="J114" s="2" t="s">
        <v>5498</v>
      </c>
    </row>
    <row r="115" ht="15.75" customHeight="1">
      <c r="J115" s="2" t="s">
        <v>5499</v>
      </c>
    </row>
    <row r="116" ht="15.75" customHeight="1">
      <c r="J116" s="2" t="s">
        <v>5500</v>
      </c>
    </row>
    <row r="117" ht="15.75" customHeight="1">
      <c r="J117" s="2" t="s">
        <v>5501</v>
      </c>
    </row>
    <row r="118" ht="15.75" customHeight="1">
      <c r="J118" s="2" t="s">
        <v>5502</v>
      </c>
    </row>
    <row r="119" ht="15.75" customHeight="1">
      <c r="J119" s="2" t="s">
        <v>5503</v>
      </c>
    </row>
    <row r="120" ht="15.75" customHeight="1">
      <c r="J120" s="2" t="s">
        <v>5504</v>
      </c>
    </row>
    <row r="121" ht="15.75" customHeight="1">
      <c r="J121" s="2" t="s">
        <v>5505</v>
      </c>
    </row>
    <row r="122" ht="15.75" customHeight="1">
      <c r="J122" s="2" t="s">
        <v>5506</v>
      </c>
    </row>
    <row r="123" ht="15.75" customHeight="1">
      <c r="J123" s="2" t="s">
        <v>5507</v>
      </c>
    </row>
    <row r="124" ht="15.75" customHeight="1">
      <c r="J124" s="2" t="s">
        <v>5508</v>
      </c>
    </row>
    <row r="125" ht="15.75" customHeight="1">
      <c r="J125" s="2" t="s">
        <v>5509</v>
      </c>
    </row>
    <row r="126" ht="15.75" customHeight="1">
      <c r="J126" s="2" t="s">
        <v>5510</v>
      </c>
    </row>
    <row r="127" ht="15.75" customHeight="1">
      <c r="J127" s="2" t="s">
        <v>5511</v>
      </c>
    </row>
    <row r="128" ht="15.75" customHeight="1">
      <c r="J128" s="2" t="s">
        <v>5512</v>
      </c>
    </row>
    <row r="129" ht="15.75" customHeight="1">
      <c r="J129" s="2" t="s">
        <v>5513</v>
      </c>
    </row>
    <row r="130" ht="15.75" customHeight="1">
      <c r="J130" s="2" t="s">
        <v>5514</v>
      </c>
    </row>
    <row r="131" ht="15.75" customHeight="1">
      <c r="J131" s="2" t="s">
        <v>5515</v>
      </c>
    </row>
    <row r="132" ht="15.75" customHeight="1">
      <c r="J132" s="2" t="s">
        <v>5516</v>
      </c>
    </row>
    <row r="133" ht="15.75" customHeight="1">
      <c r="J133" s="2" t="s">
        <v>5517</v>
      </c>
    </row>
    <row r="134" ht="15.75" customHeight="1">
      <c r="J134" s="2" t="s">
        <v>5518</v>
      </c>
    </row>
    <row r="135" ht="15.75" customHeight="1">
      <c r="J135" s="2" t="s">
        <v>5519</v>
      </c>
    </row>
    <row r="136" ht="15.75" customHeight="1">
      <c r="J136" s="2" t="s">
        <v>5520</v>
      </c>
    </row>
    <row r="137" ht="15.75" customHeight="1">
      <c r="J137" s="2" t="s">
        <v>5521</v>
      </c>
    </row>
    <row r="138" ht="15.75" customHeight="1">
      <c r="J138" s="2" t="s">
        <v>5522</v>
      </c>
    </row>
    <row r="139" ht="15.75" customHeight="1">
      <c r="J139" s="2" t="s">
        <v>5523</v>
      </c>
    </row>
    <row r="140" ht="15.75" customHeight="1">
      <c r="J140" s="2" t="s">
        <v>5524</v>
      </c>
    </row>
    <row r="141" ht="15.75" customHeight="1">
      <c r="J141" s="2" t="s">
        <v>5525</v>
      </c>
    </row>
    <row r="142" ht="15.75" customHeight="1">
      <c r="J142" s="2" t="s">
        <v>5526</v>
      </c>
    </row>
    <row r="143" ht="15.75" customHeight="1">
      <c r="J143" s="2" t="s">
        <v>5527</v>
      </c>
    </row>
    <row r="144" ht="15.75" customHeight="1">
      <c r="J144" s="2" t="s">
        <v>5528</v>
      </c>
    </row>
    <row r="145" ht="15.75" customHeight="1">
      <c r="J145" s="2" t="s">
        <v>5529</v>
      </c>
    </row>
    <row r="146" ht="15.75" customHeight="1">
      <c r="J146" s="2" t="s">
        <v>5530</v>
      </c>
    </row>
    <row r="147" ht="15.75" customHeight="1">
      <c r="J147" s="2" t="s">
        <v>5531</v>
      </c>
    </row>
    <row r="148" ht="15.75" customHeight="1">
      <c r="J148" s="2" t="s">
        <v>5532</v>
      </c>
    </row>
    <row r="149" ht="15.75" customHeight="1">
      <c r="J149" s="2" t="s">
        <v>5533</v>
      </c>
    </row>
    <row r="150" ht="15.75" customHeight="1">
      <c r="J150" s="2" t="s">
        <v>5534</v>
      </c>
    </row>
    <row r="151" ht="15.75" customHeight="1">
      <c r="J151" s="2" t="s">
        <v>5535</v>
      </c>
    </row>
    <row r="152" ht="15.75" customHeight="1">
      <c r="J152" s="2" t="s">
        <v>5536</v>
      </c>
    </row>
    <row r="153" ht="15.75" customHeight="1">
      <c r="J153" s="2" t="s">
        <v>5537</v>
      </c>
    </row>
    <row r="154" ht="15.75" customHeight="1">
      <c r="J154" s="2" t="s">
        <v>5538</v>
      </c>
    </row>
    <row r="155" ht="15.75" customHeight="1">
      <c r="J155" s="2" t="s">
        <v>5539</v>
      </c>
    </row>
    <row r="156" ht="15.75" customHeight="1">
      <c r="J156" s="2" t="s">
        <v>5540</v>
      </c>
    </row>
    <row r="157" ht="15.75" customHeight="1">
      <c r="J157" s="2" t="s">
        <v>5541</v>
      </c>
    </row>
    <row r="158" ht="15.75" customHeight="1">
      <c r="J158" s="2" t="s">
        <v>5542</v>
      </c>
    </row>
    <row r="159" ht="15.75" customHeight="1">
      <c r="J159" s="2" t="s">
        <v>5543</v>
      </c>
    </row>
    <row r="160" ht="15.75" customHeight="1">
      <c r="J160" s="2" t="s">
        <v>5544</v>
      </c>
    </row>
    <row r="161" ht="15.75" customHeight="1">
      <c r="J161" s="2" t="s">
        <v>5545</v>
      </c>
    </row>
    <row r="162" ht="15.75" customHeight="1">
      <c r="J162" s="2" t="s">
        <v>5546</v>
      </c>
    </row>
    <row r="163" ht="15.75" customHeight="1">
      <c r="J163" s="2" t="s">
        <v>5547</v>
      </c>
    </row>
    <row r="164" ht="15.75" customHeight="1">
      <c r="J164" s="2" t="s">
        <v>5548</v>
      </c>
    </row>
    <row r="165" ht="15.75" customHeight="1">
      <c r="J165" s="2" t="s">
        <v>5549</v>
      </c>
    </row>
    <row r="166" ht="15.75" customHeight="1">
      <c r="J166" s="2" t="s">
        <v>5550</v>
      </c>
    </row>
    <row r="167" ht="15.75" customHeight="1">
      <c r="J167" s="2" t="s">
        <v>5551</v>
      </c>
    </row>
    <row r="168" ht="15.75" customHeight="1">
      <c r="J168" s="2" t="s">
        <v>5552</v>
      </c>
    </row>
    <row r="169" ht="15.75" customHeight="1">
      <c r="J169" s="2" t="s">
        <v>5553</v>
      </c>
    </row>
    <row r="170" ht="15.75" customHeight="1">
      <c r="J170" s="2" t="s">
        <v>5554</v>
      </c>
    </row>
    <row r="171" ht="15.75" customHeight="1">
      <c r="J171" s="2" t="s">
        <v>5555</v>
      </c>
    </row>
    <row r="172" ht="15.75" customHeight="1">
      <c r="J172" s="2" t="s">
        <v>5556</v>
      </c>
    </row>
    <row r="173" ht="15.75" customHeight="1">
      <c r="J173" s="2" t="s">
        <v>5557</v>
      </c>
    </row>
    <row r="174" ht="15.75" customHeight="1">
      <c r="J174" s="2" t="s">
        <v>5558</v>
      </c>
    </row>
    <row r="175" ht="15.75" customHeight="1">
      <c r="J175" s="2" t="s">
        <v>5559</v>
      </c>
    </row>
    <row r="176" ht="15.75" customHeight="1">
      <c r="J176" s="2" t="s">
        <v>5560</v>
      </c>
    </row>
    <row r="177" ht="15.75" customHeight="1">
      <c r="J177" s="2" t="s">
        <v>5561</v>
      </c>
    </row>
    <row r="178" ht="15.75" customHeight="1">
      <c r="J178" s="2" t="s">
        <v>5562</v>
      </c>
    </row>
    <row r="179" ht="15.75" customHeight="1">
      <c r="J179" s="2" t="s">
        <v>5563</v>
      </c>
    </row>
    <row r="180" ht="15.75" customHeight="1">
      <c r="J180" s="2" t="s">
        <v>5564</v>
      </c>
    </row>
    <row r="181" ht="15.75" customHeight="1">
      <c r="J181" s="2" t="s">
        <v>5565</v>
      </c>
    </row>
    <row r="182" ht="15.75" customHeight="1">
      <c r="J182" s="2" t="s">
        <v>5566</v>
      </c>
    </row>
    <row r="183" ht="15.75" customHeight="1">
      <c r="J183" s="2" t="s">
        <v>5567</v>
      </c>
    </row>
    <row r="184" ht="15.75" customHeight="1">
      <c r="J184" s="2" t="s">
        <v>5568</v>
      </c>
    </row>
    <row r="185" ht="15.75" customHeight="1">
      <c r="J185" s="2" t="s">
        <v>5569</v>
      </c>
    </row>
    <row r="186" ht="15.75" customHeight="1">
      <c r="J186" s="2" t="s">
        <v>5570</v>
      </c>
    </row>
    <row r="187" ht="15.75" customHeight="1">
      <c r="J187" s="2" t="s">
        <v>5571</v>
      </c>
    </row>
    <row r="188" ht="15.75" customHeight="1">
      <c r="J188" s="2" t="s">
        <v>5572</v>
      </c>
    </row>
    <row r="189" ht="15.75" customHeight="1">
      <c r="J189" s="2" t="s">
        <v>5573</v>
      </c>
    </row>
    <row r="190" ht="15.75" customHeight="1">
      <c r="J190" s="2" t="s">
        <v>5574</v>
      </c>
    </row>
    <row r="191" ht="15.75" customHeight="1">
      <c r="J191" s="2" t="s">
        <v>5575</v>
      </c>
    </row>
    <row r="192" ht="15.75" customHeight="1">
      <c r="J192" s="2" t="s">
        <v>5576</v>
      </c>
    </row>
    <row r="193" ht="15.75" customHeight="1">
      <c r="J193" s="2" t="s">
        <v>5577</v>
      </c>
    </row>
    <row r="194" ht="15.75" customHeight="1">
      <c r="J194" s="2" t="s">
        <v>5578</v>
      </c>
    </row>
    <row r="195" ht="15.75" customHeight="1">
      <c r="J195" s="2" t="s">
        <v>5579</v>
      </c>
    </row>
    <row r="196" ht="15.75" customHeight="1">
      <c r="J196" s="2" t="s">
        <v>5580</v>
      </c>
    </row>
    <row r="197" ht="15.75" customHeight="1">
      <c r="J197" s="2" t="s">
        <v>5581</v>
      </c>
    </row>
    <row r="198" ht="15.75" customHeight="1">
      <c r="J198" s="2" t="s">
        <v>5582</v>
      </c>
    </row>
    <row r="199" ht="15.75" customHeight="1">
      <c r="J199" s="2" t="s">
        <v>5583</v>
      </c>
    </row>
    <row r="200" ht="15.75" customHeight="1">
      <c r="J200" s="2" t="s">
        <v>5584</v>
      </c>
    </row>
    <row r="201" ht="15.75" customHeight="1">
      <c r="J201" s="2" t="s">
        <v>5585</v>
      </c>
    </row>
    <row r="202" ht="15.75" customHeight="1">
      <c r="J202" s="2" t="s">
        <v>5586</v>
      </c>
    </row>
    <row r="203" ht="15.75" customHeight="1">
      <c r="J203" s="2" t="s">
        <v>5587</v>
      </c>
    </row>
    <row r="204" ht="15.75" customHeight="1">
      <c r="J204" s="2" t="s">
        <v>5588</v>
      </c>
    </row>
    <row r="205" ht="15.75" customHeight="1">
      <c r="J205" s="2" t="s">
        <v>5589</v>
      </c>
    </row>
    <row r="206" ht="15.75" customHeight="1">
      <c r="J206" s="2" t="s">
        <v>5590</v>
      </c>
    </row>
    <row r="207" ht="15.75" customHeight="1">
      <c r="J207" s="2" t="s">
        <v>5591</v>
      </c>
    </row>
    <row r="208" ht="15.75" customHeight="1">
      <c r="J208" s="2" t="s">
        <v>5592</v>
      </c>
    </row>
    <row r="209" ht="15.75" customHeight="1">
      <c r="J209" s="2" t="s">
        <v>5593</v>
      </c>
    </row>
    <row r="210" ht="15.75" customHeight="1">
      <c r="J210" s="2" t="s">
        <v>5594</v>
      </c>
    </row>
    <row r="211" ht="15.75" customHeight="1">
      <c r="J211" s="2" t="s">
        <v>5595</v>
      </c>
    </row>
    <row r="212" ht="15.75" customHeight="1">
      <c r="J212" s="2" t="s">
        <v>5596</v>
      </c>
    </row>
    <row r="213" ht="15.75" customHeight="1">
      <c r="J213" s="2" t="s">
        <v>5597</v>
      </c>
    </row>
    <row r="214" ht="15.75" customHeight="1">
      <c r="J214" s="2" t="s">
        <v>5598</v>
      </c>
    </row>
    <row r="215" ht="15.75" customHeight="1">
      <c r="J215" s="2" t="s">
        <v>5599</v>
      </c>
    </row>
    <row r="216" ht="15.75" customHeight="1">
      <c r="J216" s="2" t="s">
        <v>5600</v>
      </c>
    </row>
    <row r="217" ht="15.75" customHeight="1">
      <c r="J217" s="2" t="s">
        <v>5601</v>
      </c>
    </row>
    <row r="218" ht="15.75" customHeight="1">
      <c r="J218" s="2" t="s">
        <v>5602</v>
      </c>
    </row>
    <row r="219" ht="15.75" customHeight="1">
      <c r="J219" s="2" t="s">
        <v>5603</v>
      </c>
    </row>
    <row r="220" ht="15.75" customHeight="1">
      <c r="J220" s="2" t="s">
        <v>5604</v>
      </c>
    </row>
    <row r="221" ht="15.75" customHeight="1">
      <c r="J221" s="2" t="s">
        <v>5605</v>
      </c>
    </row>
    <row r="222" ht="15.75" customHeight="1">
      <c r="J222" s="2" t="s">
        <v>5606</v>
      </c>
    </row>
    <row r="223" ht="15.75" customHeight="1">
      <c r="J223" s="2" t="s">
        <v>5607</v>
      </c>
    </row>
    <row r="224" ht="15.75" customHeight="1">
      <c r="J224" s="2" t="s">
        <v>5608</v>
      </c>
    </row>
    <row r="225" ht="15.75" customHeight="1">
      <c r="J225" s="2" t="s">
        <v>5609</v>
      </c>
    </row>
    <row r="226" ht="15.75" customHeight="1">
      <c r="J226" s="2" t="s">
        <v>5610</v>
      </c>
    </row>
    <row r="227" ht="15.75" customHeight="1">
      <c r="J227" s="2" t="s">
        <v>5611</v>
      </c>
    </row>
    <row r="228" ht="15.75" customHeight="1">
      <c r="J228" s="2" t="s">
        <v>5612</v>
      </c>
    </row>
    <row r="229" ht="15.75" customHeight="1">
      <c r="J229" s="2" t="s">
        <v>5613</v>
      </c>
    </row>
    <row r="230" ht="15.75" customHeight="1">
      <c r="J230" s="2" t="s">
        <v>2262</v>
      </c>
    </row>
    <row r="231" ht="15.75" customHeight="1">
      <c r="J231" s="2" t="s">
        <v>5431</v>
      </c>
    </row>
    <row r="232" ht="15.75" customHeight="1"/>
    <row r="233" ht="15.75" customHeight="1">
      <c r="J233" s="2" t="s">
        <v>5614</v>
      </c>
    </row>
    <row r="234" ht="15.75" customHeight="1">
      <c r="J234" s="2" t="s">
        <v>5615</v>
      </c>
    </row>
    <row r="235" ht="15.75" customHeight="1">
      <c r="J235" s="2" t="s">
        <v>2266</v>
      </c>
    </row>
    <row r="236" ht="15.75" customHeight="1">
      <c r="J236" s="2" t="s">
        <v>5431</v>
      </c>
    </row>
    <row r="237" ht="15.75" customHeight="1"/>
    <row r="238" ht="15.75" customHeight="1"/>
    <row r="239" ht="15.75" customHeight="1">
      <c r="J239" s="2" t="s">
        <v>5431</v>
      </c>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