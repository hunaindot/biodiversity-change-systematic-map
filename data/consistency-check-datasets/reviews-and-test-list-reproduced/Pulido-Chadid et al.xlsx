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Raw - 1 Selected papers" sheetId="2" r:id="rId6"/>
    <sheet state="visible" name="Raw - 2 Data extraction - Metad" sheetId="3" r:id="rId7"/>
    <sheet state="visible" name="Raw - 3 Data extraction outcome" sheetId="4" r:id="rId8"/>
    <sheet state="visible" name="Curated - Data extraction outco" sheetId="5" r:id="rId9"/>
    <sheet state="visible" name="Curated - Data" sheetId="6" r:id="rId10"/>
    <sheet state="visible" name="Serving - Labels" sheetId="7" r:id="rId11"/>
    <sheet state="visible" name="Query" sheetId="8" r:id="rId12"/>
    <sheet state="visible" name="Query Export" sheetId="9" r:id="rId13"/>
  </sheets>
  <definedNames>
    <definedName hidden="1" localSheetId="1" name="_xlnm._FilterDatabase">'Raw - 1 Selected papers'!$A$1:$D$106</definedName>
    <definedName hidden="1" localSheetId="2" name="_xlnm._FilterDatabase">'Raw - 2 Data extraction - Metad'!$A$1:$JC$107</definedName>
    <definedName hidden="1" localSheetId="3" name="_xlnm._FilterDatabase">'Raw - 3 Data extraction outcome'!$B$1:$HO$107</definedName>
    <definedName hidden="1" localSheetId="4" name="_xlnm._FilterDatabase">'Curated - Data extraction outco'!$A$1:$H$107</definedName>
    <definedName hidden="1" localSheetId="5" name="_xlnm._FilterDatabase">'Curated - Data'!$A$1:$J$78</definedName>
    <definedName hidden="1" localSheetId="6" name="_xlnm._FilterDatabase">'Serving - Labels'!$A$1:$G$74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tc={2b2c9692-1592-4606-9b14-354a3319b77e}</author>
  </authors>
  <commentList>
    <comment authorId="0" xr:uid="{2b2c9692-1592-4606-9b14-354a3319b77e}" ref="D1">
      <text>
        <t xml:space="preserve">[Threaded comment]
 Your version of Excel allows you to read this threaded comment; however, any edits to it will get removed if the file is opened in a newer version of Excel. Learn more: https://go.microsoft.com/fwlink/?linkid=870924
Comment:
	changes: 
I cleaned this text a bit compared to raw data; where clear DOI links were not present, these are added after manual search
Reply:
	highlighted DOI as added as completely new after searching based on title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tc={11dcab58-37a6-43a5-8d28-c98546fa1025}</author>
    <author>tc={847c9862-56cb-4be8-bd50-642bb93cb5f6}</author>
    <author>tc={b329650a-04c7-48f2-9106-3f9dcdaca3fa}</author>
  </authors>
  <commentList>
    <comment authorId="0" xr:uid="{11dcab58-37a6-43a5-8d28-c98546fa1025}" ref="D1">
      <text>
        <t xml:space="preserve">[Threaded comment]
 Your version of Excel allows you to read this threaded comment; however, any edits to it will get removed if the file is opened in a newer version of Excel. Learn more: https://go.microsoft.com/fwlink/?linkid=870924
Comment:
	For labels here, generally authors originally coded for threats_l1 i.e. one step below the broadest group in threat classification. These labels are added here all higher labels are inferred from them.
For insteace, for 7.1 Fire coding, a broader label of threats_l0 7 Natural system modification derived from it
</t>
      </text>
    </comment>
    <comment authorId="1" xr:uid="{847c9862-56cb-4be8-bd50-642bb93cb5f6}" ref="B1">
      <text>
        <t xml:space="preserve">[Threaded comment]
 Your version of Excel allows you to read this threaded comment; however, any edits to it will get removed if the file is opened in a newer version of Excel. Learn more: https://go.microsoft.com/fwlink/?linkid=870924
Comment:
	1= Used in our systematic map
0= Excluded because the threats coded can not be traced back to some specific label in iucn threat classification
</t>
      </text>
    </comment>
    <comment authorId="2" xr:uid="{b329650a-04c7-48f2-9106-3f9dcdaca3fa}" ref="C1">
      <text>
        <t xml:space="preserve">[Threaded comment]
 Your version of Excel allows you to read this threaded comment; however, any edits to it will get removed if the file is opened in a newer version of Excel. Learn more: https://go.microsoft.com/fwlink/?linkid=870924
Comment:
	Column created by me to normalised the label values coded by authors. 
More details on what authors mean by special values like LULC provided in the original text
Reply:
	Labels marked as "Other" are skipped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tc={d9a4b165-66fc-4b3c-b12a-1afe80ad72a4}</author>
  </authors>
  <commentList>
    <comment authorId="0" xr:uid="{d9a4b165-66fc-4b3c-b12a-1afe80ad72a4}" ref="A1">
      <text>
        <t xml:space="preserve">[Threaded comment]
 Your version of Excel allows you to read this threaded comment; however, any edits to it will get removed if the file is opened in a newer version of Excel. Learn more: https://go.microsoft.com/fwlink/?linkid=870924
Comment:
	PK from original authors
</t>
      </text>
    </comment>
  </commentList>
</comments>
</file>

<file path=xl/sharedStrings.xml><?xml version="1.0" encoding="utf-8"?>
<sst xmlns="http://schemas.openxmlformats.org/spreadsheetml/2006/main" count="15111" uniqueCount="4718">
  <si>
    <t>A systematic review of the effectiveness of protected areas at reducing threats to biodiversity:
systematic review evaluates how well PAs mitigate anthropogenic threats to biodiversity by synthesizing findings from peer-reviewed and grey literature</t>
  </si>
  <si>
    <t>https://www.researchsquare.com/article/rs-7046705/v1</t>
  </si>
  <si>
    <t>Paper not published yet - Under review</t>
  </si>
  <si>
    <t>Section</t>
  </si>
  <si>
    <t>details</t>
  </si>
  <si>
    <t>n</t>
  </si>
  <si>
    <t>Raw</t>
  </si>
  <si>
    <t>Dataset available in Supplementary Files; files are added as is in sheets named like 'Raw%'</t>
  </si>
  <si>
    <t>Curated - Data extraction outcomes</t>
  </si>
  <si>
    <t>Threats, as coded by authors, are normalized into labelling scheme followed in this systematic map
i.e. all threats coded like list[str] with string being the exact name as in IUCN threat classification
Out of all, 75 records are marked valid where some iucn threat classificaiton label can be produced from given original labelling of authors</t>
  </si>
  <si>
    <t>Curated - Data</t>
  </si>
  <si>
    <t>A clean view of all records that are valid (i.e. where some data coding label as found) organized by their WOS search ID and Authors labelling ID</t>
  </si>
  <si>
    <t>Serving - Labels</t>
  </si>
  <si>
    <t xml:space="preserve">Final sheet used in coding dataset </t>
  </si>
  <si>
    <t>Title</t>
  </si>
  <si>
    <t>Authors</t>
  </si>
  <si>
    <t>Year</t>
  </si>
  <si>
    <t>DOI Link</t>
  </si>
  <si>
    <t>Spatial and temporal deforestation dynamics in protected and unprotected dry forests: a case study from Myanmar (Burma)</t>
  </si>
  <si>
    <t>Melissa Songer et al.</t>
  </si>
  <si>
    <t>https://doi.org/10.1007/s10531-008-9490-5</t>
  </si>
  <si>
    <t>Spatio-temporal analysis of the human footprint in South Ecuador: Influence of human pressure on ecosystems and effectiveness of PAs</t>
  </si>
  <si>
    <t>MarÌ?a Fernanda Tapia-Armijos et al</t>
  </si>
  <si>
    <t>http://dx.doi.org/10.1016/j.apgeog.2016.10.007</t>
  </si>
  <si>
    <t>Ecological indicators for protection impact assessment at two scales in the Bozin and Marakhil PA, Iran</t>
  </si>
  <si>
    <t>Azad Henareh Khalyani et al</t>
  </si>
  <si>
    <t>http://dx.doi.org/10.1016/j.ecolind.2012.09.011</t>
  </si>
  <si>
    <t>Influence of settings management and protection status on recreational uses and pressures in marine PAs</t>
  </si>
  <si>
    <t xml:space="preserve">G. Charles, et al </t>
  </si>
  <si>
    <t>http://dx.doi.org/10.1016/j.jenvman.2017.05.051</t>
  </si>
  <si>
    <t>Characterizing land disturbance in Atewa Range Forest Reserve and Buffer Zone</t>
  </si>
  <si>
    <t>John Manyimadin Kusimi</t>
  </si>
  <si>
    <t>http://dx.doi.org/10.1016/j.landusepol.2015.08.020</t>
  </si>
  <si>
    <t>Assessment of National Parks affected by naturbanization processes in Southern Europe</t>
  </si>
  <si>
    <t>M. Calvache, et al.</t>
  </si>
  <si>
    <t>http://dx.doi.org/10.1080/09640568.2015.1083416</t>
  </si>
  <si>
    <t>Effectiveness of the Natura 2000 network for freshwater fish conservation in a Mediterranean region</t>
  </si>
  <si>
    <t>Anna Gavioli et al</t>
  </si>
  <si>
    <t>http://dx.doi.org/10.3389/fenvs.2023.1122464</t>
  </si>
  <si>
    <t>Relating Country-Level Governance and Tree Cover Loss in Sub-Saharan African PAs: Identifying Knowledge Gaps and a More Nuanced Perspective</t>
  </si>
  <si>
    <t>Dehmel N., et al</t>
  </si>
  <si>
    <t>http://dx.doi.org/10.3389/ffgc.2022.807214</t>
  </si>
  <si>
    <t>Exploring the relationships between marine PAs and invasive fish in the world's most invaded sea</t>
  </si>
  <si>
    <t>Sylvaine Giakoumi</t>
  </si>
  <si>
    <t>https://doi.org/10.1002/eap.1809</t>
  </si>
  <si>
    <t>Protection status and national socio-economic context shape land conversion in and around a key transboundary PA complex in West Africa</t>
  </si>
  <si>
    <t>Henrike Schulte to Buhne et al</t>
  </si>
  <si>
    <t>https://doi.org/10.1002/rse2.47</t>
  </si>
  <si>
    <t>Monitoring parks through remote sensing: studies in Nepal and Honduras</t>
  </si>
  <si>
    <t>HARINI NAGENDRA, CATHERINE TUCKER, LAURA CARLSON</t>
  </si>
  <si>
    <t>https://doi.org/10.1007/s00267-004-0028-7</t>
  </si>
  <si>
    <t>Assessing naturalness in northern great lakes forests based on historical land-cover and vegetation changes</t>
  </si>
  <si>
    <t>Urs Gimmi, Volker C. Radeloff</t>
  </si>
  <si>
    <t>https://doi.org/10.1007/s00267-013-0102-0</t>
  </si>
  <si>
    <t>Land-cover changes in and around a National Park in a mountain landscape in the Pyrenees</t>
  </si>
  <si>
    <t>M.Gracia, et al.</t>
  </si>
  <si>
    <t>https://doi.org/10.1007/s10113-010-0138-0</t>
  </si>
  <si>
    <t>Land cover dynamics in the Simien Mountains (Ethiopia), half a century after establishment of the National Park</t>
  </si>
  <si>
    <t>Miro Jacob et al</t>
  </si>
  <si>
    <t>https://doi.org/10.1007/s10113-016-1070-8</t>
  </si>
  <si>
    <t>Assessment of threat status and management effectiveness in Kakamega forest, Kenya</t>
  </si>
  <si>
    <t>BÌ?rbel Bleher, Dana Uster, Thomas Bergsdorf</t>
  </si>
  <si>
    <t>https://doi.org/10.1007/s10531-004-3509-3</t>
  </si>
  <si>
    <t>Differential vulnerability to biological invasions: not all PAs (and not all invaders) are the same</t>
  </si>
  <si>
    <t>Daniel AyllÌ?n,  RocÌ?o A. Baquero, Graciela G. Nicola</t>
  </si>
  <si>
    <t>https://doi.org/10.1007/s10531-022-02407-8</t>
  </si>
  <si>
    <t>Monitoring of organochlorine pesticides in and around Keoladeo National Park, Bharatpur, Rajasthan, India</t>
  </si>
  <si>
    <t>Bhumesh Singh Bhadouria &amp; Vinod B. Mathur &amp; Rahul Kaul</t>
  </si>
  <si>
    <t>https://doi.org/10.1007/s10661-011-2340-z</t>
  </si>
  <si>
    <t>Combining historical aerial photography with machine learning to map landscape change impacts on dry grasslands in the Central Alps</t>
  </si>
  <si>
    <t>Elisabeth Kinderman et al</t>
  </si>
  <si>
    <t>https://doi.org/10.1007/s10980-023-01684-0</t>
  </si>
  <si>
    <t>The co-management approach has positive impacts on mangrove conservation: evidence from the mono transboundary biosphere reserve (Togo-Benin), West Africa</t>
  </si>
  <si>
    <t xml:space="preserve"> Gnansouno</t>
  </si>
  <si>
    <t>https://doi.org/10.1007/s11273-022-09894-0</t>
  </si>
  <si>
    <t>The role of PAs in mitigating human impact in the world's last wilderness areas</t>
  </si>
  <si>
    <t>Emily Anderson, Christos Mammides</t>
  </si>
  <si>
    <t xml:space="preserve">https://doi.org/10.1007/s13280-019-01213-x
</t>
  </si>
  <si>
    <t>Assessing national human footprint and implications for biodiversity conservation in Iran</t>
  </si>
  <si>
    <t>Azadeh Karimi, Kendall Jones</t>
  </si>
  <si>
    <t>https://doi.org/10.1007/s13280-019-01305-8</t>
  </si>
  <si>
    <t>Assessing the role of PAs in the land-use change dynamics of a biodiversity hotspot</t>
  </si>
  <si>
    <t>Marcelo Henrique Schmit et al</t>
  </si>
  <si>
    <t>https://doi.org/10.1007/s13280-023-01886-5</t>
  </si>
  <si>
    <t>Effectiveness in PAs at resisting development pressures in China</t>
  </si>
  <si>
    <t>Ziqi Meng et al</t>
  </si>
  <si>
    <t xml:space="preserve">https://doi.org/10.1016/j.apgeog.2022.102682 </t>
  </si>
  <si>
    <t>Sustainability of social-ecological systems under conservation projects: Lessons from a biodiversity hotspot in western China</t>
  </si>
  <si>
    <t>Kerong Zhang et al.</t>
  </si>
  <si>
    <t>https://doi.org/10.1016/j.biocon.2012.08.021</t>
  </si>
  <si>
    <t>Deforestation in an African biodiversity hotspot: Extent, variation and the effectiveness of PAs</t>
  </si>
  <si>
    <t>Jonathan M.H. Green et al</t>
  </si>
  <si>
    <t>https://doi.org/10.1016/j.biocon.2013.04.016</t>
  </si>
  <si>
    <t>Quantifying the effects of deforestation and fragmentation on a range-wide conservation plan for jaguars</t>
  </si>
  <si>
    <t>Peter J. Olsoy et al.</t>
  </si>
  <si>
    <t>https://doi.org/10.1016/j.biocon.2016.08.037</t>
  </si>
  <si>
    <t>How good is your marine PA at curbing threats?</t>
  </si>
  <si>
    <t>Mirta Zupan et al</t>
  </si>
  <si>
    <t>https://doi.org/10.1016/j.biocon.2018.03.013</t>
  </si>
  <si>
    <t>Worldwide increase in Artificial Light At Night around PAs and within biodiversity hotspots</t>
  </si>
  <si>
    <t>A. GuettÌ© et al</t>
  </si>
  <si>
    <t>https://doi.org/10.1016/j.biocon.2018.04.018</t>
  </si>
  <si>
    <t>Assessing biological invasions in PAs after 30 years: Revisiting nature reserves targeted by the 1980s SCOPE programme</t>
  </si>
  <si>
    <t>Ross T. Shackleton et al.</t>
  </si>
  <si>
    <t>https://doi.org/10.1016/j.biocon.2020.108424</t>
  </si>
  <si>
    <t>Are MPAs effective in removing fishing pressure from benthic species and habitats?</t>
  </si>
  <si>
    <t>Rebecca Langton et al</t>
  </si>
  <si>
    <t>https://doi.org/10.1016/j.biocon.2020.108511</t>
  </si>
  <si>
    <t>Road-effect mitigation promotes connectivity and reduces mortality at the population-level</t>
  </si>
  <si>
    <t>Sean P. Boyle et al</t>
  </si>
  <si>
    <t>https://doi.org/10.1016/j.biocon.2021.109230</t>
  </si>
  <si>
    <t>Landscape change in Southern Ecuador: An indicator-based and multi-temporal evaluation of land use and land cover in a mixed-use PA</t>
  </si>
  <si>
    <t>Santiago LÌ?pez et al</t>
  </si>
  <si>
    <t>https://doi.org/10.1016/j.ecolind.2020.106357</t>
  </si>
  <si>
    <t>Spatial-temporal pattern analysis of landscape ecological risk assessment based on land use/land cover change in Baishuijiang National nature reserve in Gansu Province, China</t>
  </si>
  <si>
    <t>Hong Wang et al</t>
  </si>
  <si>
    <t>https://doi.org/10.1016/j.ecolind.2021.107454</t>
  </si>
  <si>
    <t>Changes in habitat quality of nature reserves in depopulating areas due to anthropogenic pressure: Evidence from Northeast China, 2000-2018</t>
  </si>
  <si>
    <t>Hui Wu et al</t>
  </si>
  <si>
    <t>https://doi.org/10.1016/j.ecolind.2022.108844</t>
  </si>
  <si>
    <t>Assessing variation in the effectiveness of IUCN PA categorisation. What remotely sensed forest integrity and human modification reveals across the major tropical forest biomes</t>
  </si>
  <si>
    <t>Samuel Hirons et al.</t>
  </si>
  <si>
    <t>https://doi.org/10.1016/j.ecolind.2022.109337</t>
  </si>
  <si>
    <t>Analyzing multi-temporal satellite imagery and stakeholders' perceptions to have an insight into how forest co-management is changing the PA landscapes in Bangladesh</t>
  </si>
  <si>
    <t>Kazi Nazrul Islam et al</t>
  </si>
  <si>
    <t>https://doi.org/10.1016/j.forpol.2019.01.011</t>
  </si>
  <si>
    <t>Is the Natura 2000 network effective to prevent the biological invasions?</t>
  </si>
  <si>
    <t>Carlos Guerra et al</t>
  </si>
  <si>
    <t>https://doi.org/10.1016/j.gecco.2018.e00497</t>
  </si>
  <si>
    <t>An integrative analysis of threats affecting PAs in a biodiversity stronghold in Southeast Mexico</t>
  </si>
  <si>
    <t>O. GodÌ?nez-Gomez, et al</t>
  </si>
  <si>
    <t>https://doi.org/10.1016/j.gecco.2020.e01297</t>
  </si>
  <si>
    <t>Continuous growth of human footprint risks compromising the benefits of PAs on the Qinghai-Tibet Plateau</t>
  </si>
  <si>
    <t>Ting Hua, et al</t>
  </si>
  <si>
    <t xml:space="preserve">https://doi.org/10.1016/j.gecco.2022.e02053 </t>
  </si>
  <si>
    <t>A global assessment of the human pressure on the world's lakes</t>
  </si>
  <si>
    <t>Christos Mammides</t>
  </si>
  <si>
    <t>https://doi.org/10.1016/j.gloenvcha.2020.102084</t>
  </si>
  <si>
    <t>A twenty year GIS-based assessment of environmental sustainability of land use changes in and around PAs of a fast developing country: Spain</t>
  </si>
  <si>
    <t>David RodrÌ?guez-RodrÌ?guez et al</t>
  </si>
  <si>
    <t>https://doi.org/10.1016/j.jag.2018.08.006</t>
  </si>
  <si>
    <t>Impacts of conservation incentives in PAs: The case of Bolsa Floresta, Brazil</t>
  </si>
  <si>
    <t>ElÌ?as Cisneros et al</t>
  </si>
  <si>
    <t>https://doi.org/10.1016/j.jeem.2021.102572</t>
  </si>
  <si>
    <t>Management impacts on fire occurrence: A comparison of fire regimes of African and South American tropical savannas in different PAs</t>
  </si>
  <si>
    <t>Swanni Alvarado, Thiago  Silva, Sally Archibald</t>
  </si>
  <si>
    <t>https://doi.org/10.1016/j.jenvman.2018.04.004</t>
  </si>
  <si>
    <t>Have China's national forest reserves designated since 1990 conserved forests effectively?</t>
  </si>
  <si>
    <t>Yu Xu et al</t>
  </si>
  <si>
    <t xml:space="preserve">https://doi.org/10.1016/j.jenvman.2022.114485 </t>
  </si>
  <si>
    <t>Effectiveness of functional zones in National Nature Reserves for the protection of forest ecosystems in China</t>
  </si>
  <si>
    <t>Fangzheng Liu et al</t>
  </si>
  <si>
    <t xml:space="preserve">https://doi.org/10.1016/j.jenvman.2022.114593 </t>
  </si>
  <si>
    <t>Human-climate interactions shape fire regimes in the Cerrado of SÌ£o Paulo state, Brazil</t>
  </si>
  <si>
    <t>Dhemerson E. Conciani, Lucas Pereira dos Santos, Thiago Sanna Freire Silva, Giselda Durigan, Swanni T. Alvarado,</t>
  </si>
  <si>
    <t>https://doi.org/10.1016/j.jnc.2021.126006.</t>
  </si>
  <si>
    <t>How does the fire regime change after creating a PA in the Brazilian Cerrado?</t>
  </si>
  <si>
    <t>Izadora S. de Carvalho et al.</t>
  </si>
  <si>
    <t>https://doi.org/10.1016/j.jnc.2022.126318</t>
  </si>
  <si>
    <t>Recent land cover changes in Spain across biogeographical regions and protection levels: Implications for conservation policies</t>
  </si>
  <si>
    <t>JesÌ¼s MartÌ?nez-FernÌÁndez et al</t>
  </si>
  <si>
    <t>https://doi.org/10.1016/j.landusepol.2014.11.021</t>
  </si>
  <si>
    <t>Development stressors are stronger than PA management: A case of the Pantanos de Centla Biosphere Reserve, Mexico</t>
  </si>
  <si>
    <t>Mayra Isabel De la Rosa-VelÌÁzquez et al.</t>
  </si>
  <si>
    <t>https://doi.org/10.1016/j.landusepol.2017.06.009</t>
  </si>
  <si>
    <t>European National Parks protect their surroundings but not everywhere: A study using land use/land cover dynamics derived from CORINE Land Cover data</t>
  </si>
  <si>
    <t>Mario Mingarro, Jorge M. Lobo</t>
  </si>
  <si>
    <t>https://doi.org/10.1016/j.landusepol.2022.106434</t>
  </si>
  <si>
    <t>The sources and prevalence of anthropogenic noise in Rockfish Conservation Areas with implications for marine reserve planning</t>
  </si>
  <si>
    <t>Katrina Nikolich et al</t>
  </si>
  <si>
    <t xml:space="preserve">https://doi.org/10.1016/j.marpolbul.2021.112017 </t>
  </si>
  <si>
    <t>Human footprint in Tibet: Assessing the spatial layout and effectiveness of nature reserves</t>
  </si>
  <si>
    <t>Shicheng Li</t>
  </si>
  <si>
    <t>https://doi.org/10.1016/j.scitotenv.2017.11.216</t>
  </si>
  <si>
    <t>Correlates of long-term land-cover change and PA performance at priority conservation sites in Africa</t>
  </si>
  <si>
    <t>Alison E. Beresford et al</t>
  </si>
  <si>
    <t>https://doi.org/10.1017/S0376892917000157</t>
  </si>
  <si>
    <t>Terrestrial PAs do not fully shield their streams from exogenous stressors</t>
  </si>
  <si>
    <t>Victor Hugo dos Santos Mollmann et al</t>
  </si>
  <si>
    <t>https://doi.org/10.1017/S0376892922000261</t>
  </si>
  <si>
    <t>Southeast Asian PAs are effective in conserving forest cover and forest carbon stocks compared to unPAs</t>
  </si>
  <si>
    <t>Victoria Graham et al</t>
  </si>
  <si>
    <t>https://doi.org/10.1038/s41598-021-03188-w</t>
  </si>
  <si>
    <t>Changes in the human footprint in and around Indonesia's terrestrial national parks between 2012 and 2017</t>
  </si>
  <si>
    <t>AsriA. Dwiyahreni, et al.</t>
  </si>
  <si>
    <t>https://doi.org/10.1038/s41598-021-83586-2</t>
  </si>
  <si>
    <t>Elevated fires during COVID-19 lockdown and the vulnerability of PAs</t>
  </si>
  <si>
    <t>Eklund, J. et al</t>
  </si>
  <si>
    <t>https://doi.org/10.1038/s41893-022-00884-x</t>
  </si>
  <si>
    <t>Business as usual for the human use of Moreton Bay following marine park zoning</t>
  </si>
  <si>
    <t>R. A. Kenyon et al</t>
  </si>
  <si>
    <t>https://doi.org/10.1071/MF16400</t>
  </si>
  <si>
    <t>Evolving protected-area impacts in Panama: impact shifts show that plans require anticipation</t>
  </si>
  <si>
    <t xml:space="preserve">Akiko Haruna et al </t>
  </si>
  <si>
    <t>https://doi.org/10.1088/1748-9326/9/3/035007</t>
  </si>
  <si>
    <t>What determines the effectiveness of national PA networks?</t>
  </si>
  <si>
    <t>Payal Shah et al</t>
  </si>
  <si>
    <t>https://doi.org/10.1088/1748-9326/ac05ed</t>
  </si>
  <si>
    <t>Using nighttime lights to assess infrastructure expansion within and around PAs in South America</t>
  </si>
  <si>
    <t>MarÌ?a JosÌ© Andrade-NÌ¼Ì±ez and T Mitchell Aide</t>
  </si>
  <si>
    <t>https://doi.org/10.1088/2515-7620/ab716c</t>
  </si>
  <si>
    <t>Size-dependent resistance of PAs to land-use change</t>
  </si>
  <si>
    <t>Luigi Maiorano et al.</t>
  </si>
  <si>
    <t>https://doi.org/10.1098/rspb.2007.1756</t>
  </si>
  <si>
    <t>Global PA impacts</t>
  </si>
  <si>
    <t xml:space="preserve">Lucas N. Joppa and Alexander Pfaff </t>
  </si>
  <si>
    <t>https://doi.org/10.1098/rspb.2010.1713</t>
  </si>
  <si>
    <t>Are ranger patrols effective in reducing poaching-related threats within PAs?</t>
  </si>
  <si>
    <t>Jennifer F. Moore et al</t>
  </si>
  <si>
    <t>https://doi.org/10.1111/1365-2664.12965</t>
  </si>
  <si>
    <t>Effectiveness of Africa's tropical PAs for maintaining forest cover</t>
  </si>
  <si>
    <t>J. N. Bowker et al</t>
  </si>
  <si>
    <t>https://doi.org/10.1111/cobi.12851</t>
  </si>
  <si>
    <t>Tracking the response of industrial fishing fleets to large marine PAs in the Pacific Ocean</t>
  </si>
  <si>
    <t xml:space="preserve">Timothy D. White </t>
  </si>
  <si>
    <t>https://doi.org/10.1111/cobi.13584</t>
  </si>
  <si>
    <t>Global protected-area coverage and human pressure on tidal flats</t>
  </si>
  <si>
    <t>Narelle K. Hill et al</t>
  </si>
  <si>
    <t>https://doi.org/10.1111/cobi.13638</t>
  </si>
  <si>
    <t>Urban sprawl into Natura 2000 network over Europe</t>
  </si>
  <si>
    <t>Elena D. ConcepciÌ?n</t>
  </si>
  <si>
    <t>https://doi.org/10.1111/cobi.13687</t>
  </si>
  <si>
    <t>Improving PA effectiveness through consideration of different human-pressure baselines</t>
  </si>
  <si>
    <t>Chun-Ting Feng et al</t>
  </si>
  <si>
    <t>https://doi.org/10.1111/cobi.13887</t>
  </si>
  <si>
    <t>PA Effectiveness in Reducing Conversion in a Rapidly Vanishing Ecosystem: The Brazilian Cerrado</t>
  </si>
  <si>
    <t>Tharsila Carranza, Andrew Balmford, Valerie Kapos, &amp; Andrea Manic</t>
  </si>
  <si>
    <t>https://doi.org/10.1111/conl.12049</t>
  </si>
  <si>
    <t>Multiple anthropogenic pressures challenge the effectiveness of PAs in western United Republic of Tanzania</t>
  </si>
  <si>
    <t>Richard A. Giliba et al</t>
  </si>
  <si>
    <t>https://doi.org/10.1111/csp2.12684</t>
  </si>
  <si>
    <t>Severe human pressures in the Sundaland biodiversity hotspot</t>
  </si>
  <si>
    <t>Megha Verma et al</t>
  </si>
  <si>
    <t>https://doi.org/10.1111/csp2.169</t>
  </si>
  <si>
    <t>PAs have remarkable spillover effects on forest conservation on the Qinghai‰Û_x0090_Tibet Plateau</t>
  </si>
  <si>
    <t>Yu Shen et al.</t>
  </si>
  <si>
    <t>https://doi.org/10.1111/ddi.13466</t>
  </si>
  <si>
    <t>Rapid and large changes in coastal wetland structure in China's four major river deltas</t>
  </si>
  <si>
    <t>Xinxin Wang et al</t>
  </si>
  <si>
    <t>https://doi.org/10.1111/gcb.16583</t>
  </si>
  <si>
    <t>Compound impact of land use and extreme climate on the 2020 fire record of the Brazilian Pantanal</t>
  </si>
  <si>
    <t>Maria Lucia Ferreira Barbosa et al</t>
  </si>
  <si>
    <t>https://doi.org/10.1111/geb.13563</t>
  </si>
  <si>
    <t>Mapping change in human pressure globally on land and within PAs</t>
  </si>
  <si>
    <t xml:space="preserve">Geldmann, J., et al. </t>
  </si>
  <si>
    <t>https://doi.org/10.1111%2Fcobi.12332</t>
  </si>
  <si>
    <t>Indigenous, colonist, and government Impacts on Nicaragua's Bosawas Reserve</t>
  </si>
  <si>
    <t>ANTHONY STOCKS et al</t>
  </si>
  <si>
    <t>https://doi.org/10.1111%2Fj.1523-1739.2007.00793.x</t>
  </si>
  <si>
    <t>An invasive species erodes the performance of coastal wetland PAs</t>
  </si>
  <si>
    <t>Junlin Ren et al</t>
  </si>
  <si>
    <t>https://doi.org/10.1126/sciadv.abi8943</t>
  </si>
  <si>
    <t>Reserves protect against deforestation fires in the Amazon</t>
  </si>
  <si>
    <t xml:space="preserve">Adeney JM, Christensen NL Jr, Pimm SL </t>
  </si>
  <si>
    <t>https://doi.org/10.1371/journal.pone.0005014</t>
  </si>
  <si>
    <t>PAs: mixed success in conserving East Africa's evergreen forests</t>
  </si>
  <si>
    <t>Marion Pfeifer et al</t>
  </si>
  <si>
    <t>https://doi.org/10.1371/journal.pone.0039337</t>
  </si>
  <si>
    <t>PAs in South Asia have not prevented habitat loss: a study using historical models of land-use change</t>
  </si>
  <si>
    <t>Natalie E. Clark, Elizabeth H. Boakes, Philip J. K. McGowan, Georgina M. Mace, Richard A. Fuller</t>
  </si>
  <si>
    <t>https://doi.org/10.1371/journal.pone.0065298</t>
  </si>
  <si>
    <t>Evaluating heterogeneous conservation effects of forest protection in Indonesia</t>
  </si>
  <si>
    <t>Payal Shah, Kathy Baylis</t>
  </si>
  <si>
    <t>https://doi.org/10.1371/journal.pone.0124872</t>
  </si>
  <si>
    <t>Does the Establishment of Sustainable Use Reserves Affect Fire Management in the Humid Tropics?</t>
  </si>
  <si>
    <t>Rachel Carmenta et al</t>
  </si>
  <si>
    <t>https://doi.org/10.1371/journal.pone.0149292</t>
  </si>
  <si>
    <t>Landscape fragmentation of the Natura 2000 network and its surrounding areas</t>
  </si>
  <si>
    <t>Alexandra LawrenceI et al</t>
  </si>
  <si>
    <t>https://doi.org/10.1371/journal.pone.0258615</t>
  </si>
  <si>
    <t>Effectiveness of Federal PAs in the Preservation of Mangrove Forests on the Coast of the State of Paraiba, Brazil</t>
  </si>
  <si>
    <t>Iara S. Medeiros et al</t>
  </si>
  <si>
    <t>https://doi.org/10.1590/0001-3765202320211079</t>
  </si>
  <si>
    <t>Dynamic threats of nighttime light-represented human activities to giant pandas and their habitat</t>
  </si>
  <si>
    <t>Lingqiao Kong et al</t>
  </si>
  <si>
    <t>https://doi.org/10.3389/fenvs.2022.1094406</t>
  </si>
  <si>
    <t>Monitoring the light pollution changes of China's mangrove forests from 1992-2020 using nighttime light data</t>
  </si>
  <si>
    <t>Haihang Zeng et al</t>
  </si>
  <si>
    <r>
      <rPr>
        <color rgb="FF1155CC"/>
        <u/>
      </rPr>
      <t>https://doi.org/10.3389/fmars.2023.1187702</t>
    </r>
  </si>
  <si>
    <t>Landscape Fragmentation in Qinling-Daba Mountains Nature Reserves and Its Influencing Factors</t>
  </si>
  <si>
    <t>Yingzhuo Zhang et al.</t>
  </si>
  <si>
    <t>https://doi.org/10.3390/land10111124</t>
  </si>
  <si>
    <t>The Sanjiangyuan Nature Reserve Is Partially Effective in Mitigating Human Pressures</t>
  </si>
  <si>
    <t>Linyi Tan et al</t>
  </si>
  <si>
    <t>https://doi.org/10.3390/land11010043</t>
  </si>
  <si>
    <t>Deforestation in Continental Ecuador with a Focus on PAs</t>
  </si>
  <si>
    <t>Janina Kleemann et al</t>
  </si>
  <si>
    <t>https://doi.org/10.3390/land11020268</t>
  </si>
  <si>
    <t>Effectiveness of the Qilian Mountain Nature Reserve of China in Reducing Human Impacts</t>
  </si>
  <si>
    <t>Shicheng Li et al</t>
  </si>
  <si>
    <t>https://doi.org/10.3390/land11071071</t>
  </si>
  <si>
    <t>Natura 2000 Areas, Road, Railway, Water, and Ecological Networks May Provide Pathways for Biological Invasion: A Country Scale Analysis</t>
  </si>
  <si>
    <t>PÌ©ter Szilass et al</t>
  </si>
  <si>
    <t>https://doi.org/10.3390/plants10122670</t>
  </si>
  <si>
    <t>Indicators for Assessing Habitat Values and Pressures for PAs-An Integrated Habitat and Land Cover Change Approach for the Udzungwa Mountains National Park in United Republic of Tanzania</t>
  </si>
  <si>
    <t>Andreas B. Brink, Javier MartÌ?nez-LÌ?pez, Zoltan Szantoi, Pablo Moreno-Atencia, Andrea Lupi, Lucy Bastin and GrÌ©goire Dubois</t>
  </si>
  <si>
    <t>https://doi.org/10.3390/rs8100862</t>
  </si>
  <si>
    <t>Land Use and Land Cover Dynamics Analysis of the Togodo PA and Its Surroundings in Southeastern Togo, West Africa</t>
  </si>
  <si>
    <t>Amah AkodÌ©wou et al</t>
  </si>
  <si>
    <t>https://doi.org/10.3390/su12135439</t>
  </si>
  <si>
    <t>Landscape Changes in PAs in Poland</t>
  </si>
  <si>
    <t>Anna Zbierska</t>
  </si>
  <si>
    <t>https://doi.org/10.3390/su14020753</t>
  </si>
  <si>
    <t>Fire Response to Local Climate Variability: Huascaran National Park, Peru</t>
  </si>
  <si>
    <t>John All et al</t>
  </si>
  <si>
    <t>https://doi.org/10.4996/fireecology.130288764</t>
  </si>
  <si>
    <t>A global-level assessment of the effectiveness of PAs at resisting anthropogenic pressures</t>
  </si>
  <si>
    <t>J. Geldmann, et al.</t>
  </si>
  <si>
    <t>https://doi.org/10.5061/dryad.p8cz8w9kf</t>
  </si>
  <si>
    <t>Many a little makes a mickle: Cumulative land cover changes and traditional land use in the Kyro reindeer herding district, northern Finland</t>
  </si>
  <si>
    <t>Sonja Kivinen</t>
  </si>
  <si>
    <t>https://doi.org/10.1016/j.apgeog.2015.06.013</t>
  </si>
  <si>
    <t>Land use and landscape pattern changes on the inside and outside of PAs in urbanizing Selangor state, peninsular Malaysia</t>
  </si>
  <si>
    <t>Woon Hang Lee</t>
  </si>
  <si>
    <t>https://doi.org/10.2478/jlecol-2019-0009</t>
  </si>
  <si>
    <t>Human pressure dynamics in PAs of China based on nighttime light</t>
  </si>
  <si>
    <t>Guangyu Li</t>
  </si>
  <si>
    <t>https://doi.org/10.1016/j.gecco.2020.e01222</t>
  </si>
  <si>
    <t>Human transformation of ecosystems: Comparing protected and unPAs with natural baselines</t>
  </si>
  <si>
    <t>David VackÌÁr et al</t>
  </si>
  <si>
    <t>The last frontiers of wilderness: Tracking loss of intact forest landscapes from 2000 to 2013</t>
  </si>
  <si>
    <t>Peter Potapov et al.</t>
  </si>
  <si>
    <t>https://doi.org/10.1126/sciadv.1600821</t>
  </si>
  <si>
    <t>Illegal settlement in the Babile Elephant Sanctuary is threatening the resident elephant population</t>
  </si>
  <si>
    <t>EMILY NEIL and ELIZABETH GREENGRASS</t>
  </si>
  <si>
    <t>https://doi.org/10.1017/S0030605320001088</t>
  </si>
  <si>
    <t>Biological quality of running waters in PAs: the influence of size and land use</t>
  </si>
  <si>
    <t>Laura Mancini et al</t>
  </si>
  <si>
    <t>https://doi.org/10.1007/s10531-004-5355-8</t>
  </si>
  <si>
    <t>COVID-19 lockdown frees wildlife to roam but increases poaching threats in Nepal</t>
  </si>
  <si>
    <t>Narayan Prasad Koju et al</t>
  </si>
  <si>
    <t>https://doi.org/10.1002/ece3.7778</t>
  </si>
  <si>
    <t>Covidence #</t>
  </si>
  <si>
    <t>ID</t>
  </si>
  <si>
    <t>Reviewer Name</t>
  </si>
  <si>
    <t>DOI</t>
  </si>
  <si>
    <t>Main goal: PAs effectiveness on threats?</t>
  </si>
  <si>
    <t>Main goal</t>
  </si>
  <si>
    <t>xScale</t>
  </si>
  <si>
    <t>Continent</t>
  </si>
  <si>
    <t>Continent_Ori</t>
  </si>
  <si>
    <t>Study area</t>
  </si>
  <si>
    <t>Country</t>
  </si>
  <si>
    <t>Country_ori</t>
  </si>
  <si>
    <t>Habitat type</t>
  </si>
  <si>
    <t>Ecosystem type</t>
  </si>
  <si>
    <t>Ecosystem description</t>
  </si>
  <si>
    <t xml:space="preserve">Study design </t>
  </si>
  <si>
    <t>Study design description</t>
  </si>
  <si>
    <t>Temporal comparison within the same PA?</t>
  </si>
  <si>
    <t>Intervention year start</t>
  </si>
  <si>
    <t>Monitoring year start</t>
  </si>
  <si>
    <t>Year (End)</t>
  </si>
  <si>
    <t>Year (start)</t>
  </si>
  <si>
    <t>Study duration</t>
  </si>
  <si>
    <t>Management comparison involved?</t>
  </si>
  <si>
    <t>Management intervention</t>
  </si>
  <si>
    <t>Comparison inside-outside involved?</t>
  </si>
  <si>
    <t>Counterfactual?</t>
  </si>
  <si>
    <t>Which counterfactual?</t>
  </si>
  <si>
    <t>Results validation?</t>
  </si>
  <si>
    <t>Selected study?</t>
  </si>
  <si>
    <t>Reasons for exclusion</t>
  </si>
  <si>
    <t>Threat assessment method</t>
  </si>
  <si>
    <t>Assessment_modified</t>
  </si>
  <si>
    <t xml:space="preserve">Threat indicator </t>
  </si>
  <si>
    <t>Unit of measurement</t>
  </si>
  <si>
    <t>Method of analysis</t>
  </si>
  <si>
    <t>Additional variables</t>
  </si>
  <si>
    <t>Alvarado 2018</t>
  </si>
  <si>
    <t>Consensus</t>
  </si>
  <si>
    <t>Yes</t>
  </si>
  <si>
    <t>We evaluated changes in fire regimes caused by management interventions, using as comparative case-studies the Serra do Cipo National Park (Brazil) and the Ibity and Itremo New PAs (Madagascar).</t>
  </si>
  <si>
    <t>Local</t>
  </si>
  <si>
    <t>Multiple</t>
  </si>
  <si>
    <t>South America; Africa</t>
  </si>
  <si>
    <t>Other: Brazil;Madagascar</t>
  </si>
  <si>
    <t>Terrestrial</t>
  </si>
  <si>
    <t>Tropical grasslands</t>
  </si>
  <si>
    <t>NA</t>
  </si>
  <si>
    <t>BACI</t>
  </si>
  <si>
    <t>Compared the fire regimes of two recently PAs in Madagascar (Ibity and Itremo NPA) and one in Brazil (Serra do Cipo NP) before and after livestock exclusion and fire suppression policies</t>
  </si>
  <si>
    <t>In data extraction</t>
  </si>
  <si>
    <t>Livestock exclusion and fire suppression policies</t>
  </si>
  <si>
    <t>Other land uses</t>
  </si>
  <si>
    <t>No</t>
  </si>
  <si>
    <t>Selected</t>
  </si>
  <si>
    <t>Remote sensing</t>
  </si>
  <si>
    <t>Extent of burned areas</t>
  </si>
  <si>
    <t>Total burned area (%), Density of Ignitions (ignition/km2)</t>
  </si>
  <si>
    <t>Wilcoxon-tests to identify changes in fire regime metrics (density of ignitions, total burned area, and mean and maximum size of burn scars)</t>
  </si>
  <si>
    <t>Andrade-Nunez 2020</t>
  </si>
  <si>
    <t>we evaluate the expansion of infrastructure in and around terrestrial PAs in South America between 2001 and 2011. We specifically answer the following questions:(1) is infrastructure expanding within and around PAs?;(2) is infrastructure expansion related to the IUCN management category?;</t>
  </si>
  <si>
    <t>Continental</t>
  </si>
  <si>
    <t>South America</t>
  </si>
  <si>
    <t>Argentina;Bolivia;Brazil;Chile;Colombia;Ecuador;Guyana;Paraguay;Peru;Suriname;Uruguay;Venezuela</t>
  </si>
  <si>
    <t>Multiple: America</t>
  </si>
  <si>
    <t>CI</t>
  </si>
  <si>
    <t>Buffer</t>
  </si>
  <si>
    <t>Not mentioned</t>
  </si>
  <si>
    <t>Spatial analysis</t>
  </si>
  <si>
    <t>Nighttime light (NTL) data</t>
  </si>
  <si>
    <t>expansion area (EXP) and the area of scattered (SC-SC) and aggregated (AG-AG)infrastructure within and around each PA</t>
  </si>
  <si>
    <t>Distance allocation map</t>
  </si>
  <si>
    <t>(1) the number of both regulated and unregulated IAS differ across unPAs, N2K sites and N2K sites with an additional protection status</t>
  </si>
  <si>
    <t>National</t>
  </si>
  <si>
    <t>Europe</t>
  </si>
  <si>
    <t>Central Spain&gt; Castilla-La Mancha</t>
  </si>
  <si>
    <t>Other: Spain</t>
  </si>
  <si>
    <t>Mediterranean</t>
  </si>
  <si>
    <t>We framed our study on comparing IAS richness in core areas of PAs to their belt zones (which include peripheries of PAs and the unPAs adjacent to them)</t>
  </si>
  <si>
    <t>N2k sites with/out additional protected status</t>
  </si>
  <si>
    <t>Secondary data collection</t>
  </si>
  <si>
    <t>Others</t>
  </si>
  <si>
    <t>Species occurrence records</t>
  </si>
  <si>
    <t>Species richness</t>
  </si>
  <si>
    <t>Gap analysis</t>
  </si>
  <si>
    <t>Boyle 2021</t>
  </si>
  <si>
    <t>quantify the effectiveness of road-effect mitigation structures at reducing reptile and amphibian mortality at promoting connectivity at the population leve</t>
  </si>
  <si>
    <t>North America</t>
  </si>
  <si>
    <t>Ontario</t>
  </si>
  <si>
    <t>Canada</t>
  </si>
  <si>
    <t>Dunes, meadows and mixed wood forest) and wetland habitats (i.e., semipermanent flooded meadows, swamp, marsh)</t>
  </si>
  <si>
    <t>To evaluate the success of mitigation structures at reducing road mortality of amphibians and reptiles, we conducted a six year paired Before-After-Control-Impact (BACI) experiment. We used road surveys to estimate the effectiveness of exclusion fencing, and a combination of hoop trapping, passive integrated tranå?sponder tag scanners and camera traps to evaluate connectivity structure effectiveness</t>
  </si>
  <si>
    <t>BACI of mitigation structures in road mortality, control site 3 km away in the periphery</t>
  </si>
  <si>
    <t>Control</t>
  </si>
  <si>
    <t>Similar area</t>
  </si>
  <si>
    <t>Field sampling and population monitoring</t>
  </si>
  <si>
    <t>Field sampling/Interviews</t>
  </si>
  <si>
    <t>Road mortality of reptiles and amphibians</t>
  </si>
  <si>
    <t>Detections of live and dead herpetofauna</t>
  </si>
  <si>
    <t>Hierarchical Generalized Additive Models</t>
  </si>
  <si>
    <t xml:space="preserve">Road surveys, camera traps photos, tunnel usage, </t>
  </si>
  <si>
    <t>Cisneros 2022</t>
  </si>
  <si>
    <t>whether complementary conservation incentives can enhance the effectiveness of PAs. It examines an innovative large-scale effort to provide such incentives in multiple-use PAs: the Bolsa Floresta Program (BFP) in the Brazilian state of Amazonas. The BFP offers Payments for Environmental Services (PES) to households and communities in15 of the state‰Ûªs sustainable-use PAs to encourage the conservation and sustainable use of forests</t>
  </si>
  <si>
    <t>Regional</t>
  </si>
  <si>
    <t>Brazilian Amazon</t>
  </si>
  <si>
    <t>Brazil</t>
  </si>
  <si>
    <t>Tropical rainforest</t>
  </si>
  <si>
    <t>The BFP started in 2008, with the dual aim of protecting multiple-use PAs in Amazonas State against deforestation pressures and in order to increase welfare among local residents (BÌ¦rner et al., 2013; Viana et al., 2009). The Bolsa Floresta program is run by the Sustainable Amazonas Foundation (FundaÌ¤Ì£o Amazonas SustentÌÁvel, FAS), a non-governmental organization co-financed by the state of Amazonas and the Amazon Fund and supported by multiple other domestic and foreign private donors over the years (e.g. Bradesco Bank, Coca-Cola Brazil, Marriott, Samsung, Petrobras, Lojas Americanas). The program was rolled out between 2008 and 2010, in 15 multiple-use reserve area</t>
  </si>
  <si>
    <t>Matching</t>
  </si>
  <si>
    <t>Annual deforestation</t>
  </si>
  <si>
    <t>Deforestation rate</t>
  </si>
  <si>
    <t>Time-variant, remotely sensed data on forest loss and forest quality with administrative information on reserve area</t>
  </si>
  <si>
    <t>DOI: 10.1111/cobi.13687</t>
  </si>
  <si>
    <t>Compare urban covers and growth rates inside and outside Natura 2000</t>
  </si>
  <si>
    <t>European Union (28)</t>
  </si>
  <si>
    <t>Portugal;Spain;France;Belgium;Netherlands;Luxembourg;Germany;Ireland;United Kingdom;Denmark;Sweden;Finland;Estonia;Latvia;Lithuania;Poland;Czechia;Slovakia;Austria;Hungary;Romania;Bulgaria;Italy;Slovenia;Croatia;Greece;Switzerland;Serbia;Montenegro;Bosnia and Herzegovina;Albania</t>
  </si>
  <si>
    <t>Multiple: Europe</t>
  </si>
  <si>
    <t>urban covers and growth rates were calculated for each year from 2006 to 2015 inside and outside the Natura network</t>
  </si>
  <si>
    <t>Other: Outside</t>
  </si>
  <si>
    <t>Urbanization</t>
  </si>
  <si>
    <t>Urban cover and growth rate</t>
  </si>
  <si>
    <t>Linear mixed-effects models</t>
  </si>
  <si>
    <t>Member state, site area,  total number of habitats or
species of conservation concern</t>
  </si>
  <si>
    <t>Conciani 2021</t>
  </si>
  <si>
    <t>We reconstructed the historical fire regime of three PAs (PA) and their buffer zones in SÌ£o Paulo state to understand how current fire exclusion policies are affecting fire regimes and to measure how human-climate-fire relationships can change in areas under different land management</t>
  </si>
  <si>
    <t>Cerrado</t>
  </si>
  <si>
    <t>Tropical savanna</t>
  </si>
  <si>
    <t>33 years</t>
  </si>
  <si>
    <t>Fire exclusion policy since the 1980s</t>
  </si>
  <si>
    <t>Burned area</t>
  </si>
  <si>
    <t>Burned area, variations in fire frequency and fire size among sites</t>
  </si>
  <si>
    <t>Rainfall data from weather stations was also used to analyze the relationship between climate and fire, LU and tree cover</t>
  </si>
  <si>
    <t>deCarvalho 2023</t>
  </si>
  <si>
    <t>Reconstruct the fire history over 28 years for the park and its surroundings (20 km buffer area), endeavouring to understand the impact of the creation of this National Park on its fire regime</t>
  </si>
  <si>
    <t>The fire regime was determined between 1990 and 2017, totaling 28 years of fire records, including thus the period before (1990‰ÛÒ2005, 16  years) and after (2006‰ÛÒ2017, 12 years) the park creation.</t>
  </si>
  <si>
    <t>2007 to 2012</t>
  </si>
  <si>
    <t>BA PA creation, fire combat operation plan (2007)</t>
  </si>
  <si>
    <t>Fire</t>
  </si>
  <si>
    <t>Total annual burned area, burned area %, density ignition, mean burn scar area and fire frequency</t>
  </si>
  <si>
    <t>ANOVA</t>
  </si>
  <si>
    <t xml:space="preserve"> Land use data </t>
  </si>
  <si>
    <t>Comparative analysis of land-use changes inside and in the proximity of three PAs in France, Portugal and Spain, in order to contrast land-use dynamics in protected and unprotected territories and to identify possible threats to these areas</t>
  </si>
  <si>
    <t>Portugal;France;Spain</t>
  </si>
  <si>
    <t>Mountainous area</t>
  </si>
  <si>
    <t>Portugal, France, Spain</t>
  </si>
  <si>
    <t xml:space="preserve">Comparative case study </t>
  </si>
  <si>
    <t xml:space="preserve">Change in land cover </t>
  </si>
  <si>
    <t>(1) extensification, land converted to forest and semi-natural areas; (2) medium intensification, transformation of habitats into agriculture; 
(3) strong intensification, when artificialization of agricultural or natural lands takes place</t>
  </si>
  <si>
    <t>Transition matrix for LULCC</t>
  </si>
  <si>
    <t>1. Artificial surfaces 
2. Agricultural areas
3. Forest and seminatural areas
4. Wetlands and water bodies</t>
  </si>
  <si>
    <t>DOI: 10.1111/geb.13563</t>
  </si>
  <si>
    <t>quantify the influence of climate and land use on major fires that occurred during the 2020 drought over the Brazilian Pantanal region</t>
  </si>
  <si>
    <t>Alto Paraguay Basin, central-western flank of Brazil</t>
  </si>
  <si>
    <t>Other: Terrestrial and freshwater</t>
  </si>
  <si>
    <t>Wetlands, forests, savannas, grasslands, rivers and lakes</t>
  </si>
  <si>
    <t>Largest wetland in the world</t>
  </si>
  <si>
    <t>We assessed the burned areas within land-use classes and land tenure (2003 - 2020)</t>
  </si>
  <si>
    <t xml:space="preserve">Total area burned </t>
  </si>
  <si>
    <t>Fire recurrence maps</t>
  </si>
  <si>
    <t>Precipitation and sea surface temperature, land use and water area extent</t>
  </si>
  <si>
    <t>To gain a better understanding of the dynamics of threats affecting our focal PAs, we assessed their variation within and in the vicinity of PAs.</t>
  </si>
  <si>
    <t xml:space="preserve"> Sierra Madre de Chiapas</t>
  </si>
  <si>
    <t>Other: Mexico</t>
  </si>
  <si>
    <t>Tropical rainforests, deciduous and tropical montane cloud forests</t>
  </si>
  <si>
    <t>Threats dynamics affecting our focal PAs, we assessed their variation within and in the vicinity of PAs</t>
  </si>
  <si>
    <t>RS - Threat indices</t>
  </si>
  <si>
    <t>Human Pressure Index (HPI)</t>
  </si>
  <si>
    <t>Changes in LULCC</t>
  </si>
  <si>
    <t xml:space="preserve">Forest cover, mining activity, fire hotspots, human population </t>
  </si>
  <si>
    <t>Gonson 2017</t>
  </si>
  <si>
    <t>Influence of settings management and protection status on  recreational uses and pressures in marine PAs</t>
  </si>
  <si>
    <t>We examined the influence of protection status on these pressure estimates and investigated the relationship between motivation and practices.</t>
  </si>
  <si>
    <t>Australia</t>
  </si>
  <si>
    <t>New Caledonia</t>
  </si>
  <si>
    <t>Other: New Caledonia</t>
  </si>
  <si>
    <t>Marine</t>
  </si>
  <si>
    <t>Islets</t>
  </si>
  <si>
    <t>investigated the effects of MPAs on recreational users‰Ûª practices and motivations near the main urban center of New Caledonia using a questionnaire-based survey. Then, by combining questionnaires and boat count data, we estimated pressures for a range of activities and behaviors, as well as user site selection criteria</t>
  </si>
  <si>
    <t>Other: Non-protected</t>
  </si>
  <si>
    <t>Questionnaire-based survey</t>
  </si>
  <si>
    <t>Pressure index</t>
  </si>
  <si>
    <t xml:space="preserve">Boat counts and interview data </t>
  </si>
  <si>
    <t>Logistic binomial models</t>
  </si>
  <si>
    <t>Green 2013</t>
  </si>
  <si>
    <t>develop the first spatially explicit, high-resolution model of past evergreen forest and miombo woodland change in the Eastern Arc Mountains, based upon potential predictors of habitat loss and retention. We then use this model to predict likely future changes and to consider how habitat loss varies between protected and non-PAs</t>
  </si>
  <si>
    <t>Africa</t>
  </si>
  <si>
    <t>Eastern Arc Mountains</t>
  </si>
  <si>
    <t>Other: United Republic of Tanzania</t>
  </si>
  <si>
    <t>Tropical moist forests</t>
  </si>
  <si>
    <t>Other: In order to control for this, we fitted the models using pixels that were not protected in 2000</t>
  </si>
  <si>
    <t>Cross-validation</t>
  </si>
  <si>
    <t>LULCC</t>
  </si>
  <si>
    <t>Rates of habitat loss</t>
  </si>
  <si>
    <t>Generalised additive models</t>
  </si>
  <si>
    <t>Land use change (1975‰ÛÒ2000), Distance to edge (m), Travel time (min), distance to roads, markets and water. altitude, slope, land value, population density, etc</t>
  </si>
  <si>
    <t>compared the total IAS between protected (N2000) and unprotected sites (2) analyzed the effect of an additional protection as national park or nature reserve on the total IAS; and (3) assessed the contribution of human pressure to explain the occurrence of IAS within the network</t>
  </si>
  <si>
    <t>Castilla-La Mancha</t>
  </si>
  <si>
    <t>N2k sites and additional PAs protection</t>
  </si>
  <si>
    <t>Same PAs (Different gradients)</t>
  </si>
  <si>
    <t>Invasive species occurrence</t>
  </si>
  <si>
    <t xml:space="preserve">IAS total number </t>
  </si>
  <si>
    <t>Occurrence data</t>
  </si>
  <si>
    <t>Assess the spatial and temporal trends in the anthropization at a global scale within and around PAs and BH</t>
  </si>
  <si>
    <t>Global</t>
  </si>
  <si>
    <t>Other: Global</t>
  </si>
  <si>
    <t>We used this proxy to assess the spatial and temporal trends in the anthropization at a global scale within and around PAs and BH</t>
  </si>
  <si>
    <t>ALAN</t>
  </si>
  <si>
    <t>Mean ALAN</t>
  </si>
  <si>
    <t>Linear regression</t>
  </si>
  <si>
    <t>Artificial Light At Night (ALAN), Biodiversity hotspots (BHs), biogeographical regions</t>
  </si>
  <si>
    <t>Haruna 2014</t>
  </si>
  <si>
    <t>doi:10.1088/1748-9326/9/3/035007</t>
  </si>
  <si>
    <t>Focusing on Panama per se, improving estimates of PA impacts there by applying recent methods to estimate the baseline deforestation that would have occurred without protection</t>
  </si>
  <si>
    <t>Other: Central America</t>
  </si>
  <si>
    <t>Other: Panama</t>
  </si>
  <si>
    <t>Tropical humid and dry forest</t>
  </si>
  <si>
    <t>CI (Matching)</t>
  </si>
  <si>
    <t>to remove the influences of differences in relevant observable characteristics, ordinary least squares (OLS) regression is an option yet if control group characteristics differ greatly, the burden to control for factors
can be considerable</t>
  </si>
  <si>
    <t>Panama‰Ûªs PA system is administered by the National Environment Authority (ANAM), a government agency established in 1998. ANAM recently shifted from a ‰Û÷command-and- control‰Ûª to a more ‰Û÷community-based‰Ûª emphasis, including economic incentive. Since 2008, funding for capacity building in forest governance has come from the World Bank‰Ûªs ‰Û÷REDD readiness‰Ûª program and UN REDD progra</t>
  </si>
  <si>
    <t>Drivers of deforestation include elevation, slope, distances from roads, urban areas and rivers, provinces, lifezones/ecoregions and agricultural suitability</t>
  </si>
  <si>
    <t>Hirons 2022</t>
  </si>
  <si>
    <t>10.1016/j.ecolind.2022.109337</t>
  </si>
  <si>
    <t>Evaluate the effectiveness of IUCN PA categorization in mitigating human modification and maintaining forest integrity across major tropical forest biomes.</t>
  </si>
  <si>
    <t>Other: Multiple</t>
  </si>
  <si>
    <t>The Congo Basin, insular Indonesia, Malaysia and the Tropical Andes</t>
  </si>
  <si>
    <t>Democratic Republic of the Congo;Gabon;Indonesia;Malaysia;Colombia;Peru</t>
  </si>
  <si>
    <t>Topical forest</t>
  </si>
  <si>
    <t>Democratic Republic of Congo; Republic of Congo; Gabon, Indonesia; Malaysia; Colombia; Peru</t>
  </si>
  <si>
    <t>The study analyzed the representation of ecoregions and levels of human modification and forest integrity within PAs (PAs) using remote sensing data and a generalized linear modeling approach.</t>
  </si>
  <si>
    <t>IUCN categories</t>
  </si>
  <si>
    <t>PAs different categories</t>
  </si>
  <si>
    <t>Human modification levels and forest integrity</t>
  </si>
  <si>
    <t>Various indices derived from remote sensing data</t>
  </si>
  <si>
    <t>Generalized linear modeling</t>
  </si>
  <si>
    <t>PA size, geographic location, IUCN management category, Global Human Modification of Terrestrial Systems, Forest Landscape Integrity Index (FLII)</t>
  </si>
  <si>
    <t>Hua 2022</t>
  </si>
  <si>
    <t xml:space="preserve">Continuous growth of human footprint risks compromising the benefits of PAs on the Qinghai-Tibet Plateau </t>
  </si>
  <si>
    <t>Map the human footprint as a proxy for identifying the intensity of human activities on the Qinghai-Tibet Plateau and therein nature reserves (NRs, the primary category of PAs in China)</t>
  </si>
  <si>
    <t>Asia</t>
  </si>
  <si>
    <t>Qinghai-Tibet Plateau</t>
  </si>
  <si>
    <t>China</t>
  </si>
  <si>
    <t>Alpine meadows and alpine steppes</t>
  </si>
  <si>
    <t>Five hundred random sample points with a size of 1 km2 were employed to interpret the human footprint visually.</t>
  </si>
  <si>
    <t>Human footprint</t>
  </si>
  <si>
    <t xml:space="preserve">Linear regression </t>
  </si>
  <si>
    <t>7: Land cover, night time light, grazing intensity, population density, Annual mean temperature and annual precipitation data, DEM, carbon sequestration, soil retention, sandstorm prevention, water retention from Ouyang et al. (2016)
and habitat quality</t>
  </si>
  <si>
    <t>Islam 2019</t>
  </si>
  <si>
    <t>Satellite imageries of two randomly selected important PAs of the country-Lawachara National Park (LNP) and Teknaf Wildlife Sanctuary (TWS) - were analyzed and linked to people's perception in understanding the conservation dynamics in the co-managed PA</t>
  </si>
  <si>
    <t>Other: Bangladesh</t>
  </si>
  <si>
    <t>Tropical semi-evergreen forest</t>
  </si>
  <si>
    <t>BA</t>
  </si>
  <si>
    <t>Comanagement</t>
  </si>
  <si>
    <t>None</t>
  </si>
  <si>
    <t>hus, co-management stakeholders (local people actively participating in co-management activities and the local forest officials) and non-stakeholders or control (local people having no involvement in co-management activities) were consulted to understand their views on the type and extent of changes co-management might have brought about in the selected PAs.</t>
  </si>
  <si>
    <t xml:space="preserve">Remote sensing </t>
  </si>
  <si>
    <t>Rate of forest cover loss</t>
  </si>
  <si>
    <t xml:space="preserve">Binary logistic regression model </t>
  </si>
  <si>
    <t>Stakeholders perception about the outcome of co-management activities</t>
  </si>
  <si>
    <t>Kenyon 2018</t>
  </si>
  <si>
    <t>We measured trends in the human use of no-take areas using observed vessel position and categorisation during on-water and aerial surveys before and after rezoning.</t>
  </si>
  <si>
    <t>Southern Queensland coast</t>
  </si>
  <si>
    <t>Other: Australia</t>
  </si>
  <si>
    <t>Tidal waters, including many estuaries, and extends seawards</t>
  </si>
  <si>
    <t>We sampled the MBMP, observing fishing and non-fishing activities in the MNP, conservation park zones (CPZ) and general use control areas using both on-water and aerial surveys, before and after rezoning.</t>
  </si>
  <si>
    <t>New marine national park (MNP) zones were established in March 2009  increasing the extent of PAs from 0.5 to 16%. Four levels of zoning were implemented in the MBMP affecting the activities of both recreational and commercial fishers, and possibly other park users: (1) MNP zones were the most restrictive, with no extractive activity; (2) CPZs allow fishing and some collecting, but trawling and netting are not allowed; (3) habitat protection zones allow netting, but not trawling; and (4) general use zones, in which trawling and all other legal activities are allowed. Herein we restrict our analysis to the MNP zones and adjacent general use ‰Û÷control‰Ûª areas.</t>
  </si>
  <si>
    <t>On-water observations complemented years of operational experience on Moreton Bay in order to validate vessel categorisations made from the air</t>
  </si>
  <si>
    <t>Field survey</t>
  </si>
  <si>
    <t>Fishing pressure</t>
  </si>
  <si>
    <t>Percentage of all vessels within the footprint of the MNP and the adjacent control area of similar habitat</t>
  </si>
  <si>
    <t>Binomial GLMs</t>
  </si>
  <si>
    <t>Boat and aerial surveys</t>
  </si>
  <si>
    <t>Khalyani 2013</t>
  </si>
  <si>
    <t>Evaluate the effects of eight years of protection on forest cover and landscape structure in a semi-arid landscape</t>
  </si>
  <si>
    <t>Zagros forest</t>
  </si>
  <si>
    <t>Other: Iran</t>
  </si>
  <si>
    <t>Semi-arid oak forest</t>
  </si>
  <si>
    <t>Habitat fragmentation</t>
  </si>
  <si>
    <t>Landscape structure metrics</t>
  </si>
  <si>
    <t>Random forest</t>
  </si>
  <si>
    <t>Kivinen 2015</t>
  </si>
  <si>
    <t>Land cover changes were studied over the past 25 - 50 years in order to examine accumulation of various pressures on reindeer grazing grounds. Compare land cover disturbances within and outside existing conservation areas</t>
  </si>
  <si>
    <t>Kyro reindeer herding district</t>
  </si>
  <si>
    <t>Other: Finland</t>
  </si>
  <si>
    <t>Coniferous forests</t>
  </si>
  <si>
    <t>The accuracy of forest cover classification was assessed for the year 2013 using aerial photographs acquired in 2010 and 2013</t>
  </si>
  <si>
    <t>Forest cover changes</t>
  </si>
  <si>
    <t>Topographic maps (road network was examined in the 1960s,1980s and 2010)</t>
  </si>
  <si>
    <t>Kusimi 2015</t>
  </si>
  <si>
    <t>Spatial and temporal changes in land cover of Atewa Range Forest Reserve and it‰Ûªs buffer between 1986 and 2013 using remote sensing</t>
  </si>
  <si>
    <t>Ghana‰Ûªs Upper Guinea Forests</t>
  </si>
  <si>
    <t>Other: Ghana</t>
  </si>
  <si>
    <t>Sub-montane</t>
  </si>
  <si>
    <t>Wildlife policy</t>
  </si>
  <si>
    <t>Remote sensing - Interviews</t>
  </si>
  <si>
    <t>LULCC - RAPPAM</t>
  </si>
  <si>
    <t>Image classification</t>
  </si>
  <si>
    <t>Compares fishing pressure inside and outside areas covered by Scottish MPAs and MPA management measures</t>
  </si>
  <si>
    <t>Other: Scotland</t>
  </si>
  <si>
    <t>Benthic habitats</t>
  </si>
  <si>
    <t>Compares fishing pressure inside and outside areas covered by Scottish MPAs and MPA management measure</t>
  </si>
  <si>
    <t>1) all areas where management measures applied, 2) measures where dredging is prohibited, 3) measures where bottom trawling is prohibited, and 4) measures where both dredging and bottom trawling are prohibited</t>
  </si>
  <si>
    <t>Vessel Monitoring System</t>
  </si>
  <si>
    <t>Fishing instensity</t>
  </si>
  <si>
    <t>Swept Area Ratio (total swept area (km2 ) / area of MPA (km2))</t>
  </si>
  <si>
    <t>Total swept area</t>
  </si>
  <si>
    <t>Bottom Ruggedness Index, Records of species of conservation interest</t>
  </si>
  <si>
    <t>Land use and landscape pattern changes on the inside and outside of PAs in urbanizing selangor state, peninsular Malaysia</t>
  </si>
  <si>
    <t>How landscape patterns of PAs change in the rapidly urbanizing process, particularly in developing countries? To address the question, the level of fragmentation, naturalness, and connectedness of PAs and its 5 km zone outside were quantified, in Selangor State, Peninsular Malaysia across 24 years</t>
  </si>
  <si>
    <t>Peninsular Malaysia</t>
  </si>
  <si>
    <t>Other: Malaysia</t>
  </si>
  <si>
    <t>accuracy assessment was carried out to validate the accuracy of supervised classification through the testing of these classifications with the reference pixels or values.</t>
  </si>
  <si>
    <t>Degree of fragmentation, the intensity of human impact and structural connectedness for these wildlife reserves</t>
  </si>
  <si>
    <t>Fragmentation, connectedness, land use intensity and transformation analysis</t>
  </si>
  <si>
    <t>Built-up area, bare land, commercial agriculture, paddy and other agriculture, water body, and forest.</t>
  </si>
  <si>
    <t>Li 2020</t>
  </si>
  <si>
    <t>We assessed the extent and intensity of NTLs within and around the PAs during 1992 2012 in mainland China</t>
  </si>
  <si>
    <t>Mainland China</t>
  </si>
  <si>
    <t>Nighttime lights</t>
  </si>
  <si>
    <t>Extent and intensity of NTLs</t>
  </si>
  <si>
    <t>Lighted area index (LAI) and potential LAI (PLAI)</t>
  </si>
  <si>
    <t>DEM, geographical division and administrative division data</t>
  </si>
  <si>
    <t>Li 2018</t>
  </si>
  <si>
    <t>The human footprint map was also used to evaluate the effectiveness of national and provincial NRs for reducing the impact of human activities.</t>
  </si>
  <si>
    <t>Tibet</t>
  </si>
  <si>
    <t>Other: Tibet</t>
  </si>
  <si>
    <t>Other: Buffer analysis</t>
  </si>
  <si>
    <t>HFI</t>
  </si>
  <si>
    <t>Changes in mean HFS</t>
  </si>
  <si>
    <t>Population density, land use intensity, grazing intensity, road and railways, and the electricity infrastructure</t>
  </si>
  <si>
    <t>Liu 2022</t>
  </si>
  <si>
    <t xml:space="preserve">Effectiveness of functional zones in National Nature Reserves for the protection of forest ecosystems in China </t>
  </si>
  <si>
    <t>We examined the changes in forest cover loss through a time series test and trend analysis, using Global Forest Watch data from 2001 to 2018. We quantified the differences in forest conservation between core, buffer, and experimental zones and identified which zones better prevented forest loss</t>
  </si>
  <si>
    <t>Cool temperate, temperate, subtropical, and tropical zones</t>
  </si>
  <si>
    <t xml:space="preserve">We investigated National Nature Reserves (NNRs) in China to explore and quantify the conservation in their core, buffer, and experimental zones. </t>
  </si>
  <si>
    <t>Forest loss</t>
  </si>
  <si>
    <t>Proportion of forest loss</t>
  </si>
  <si>
    <t>Canonical correlation analysis</t>
  </si>
  <si>
    <t>What are the impacts on landscape composition and configuration associated with the stablishment of COPF in 2000 and the enactment of PADDD in 2012?</t>
  </si>
  <si>
    <t>Southern Ecuador</t>
  </si>
  <si>
    <t>Other: Ecuador</t>
  </si>
  <si>
    <t>Tropical Andes</t>
  </si>
  <si>
    <t>Downsizing of the PA (2012)</t>
  </si>
  <si>
    <t>LULCC patterns</t>
  </si>
  <si>
    <t>1) recent burned areas (BUR); 2) mixed development including residential, roads, and other infrastructure (MXD); 3) bare or exposed soils (BARE); 4) active pastures and agricultural areas (AGRP); 5) succession vegetation after human-induced disturbances (SUV) which may include areas with old pastures, native grasses, and/or bracken fern; 6) evergreen upper montane forest and humid shrub (UMV); and 7) herbaceous/shrub and dwarf bamboo pÌÁramo vegetation (PAR)</t>
  </si>
  <si>
    <t>10.1016/j.gloenvcha.2020.102084</t>
  </si>
  <si>
    <t>I use the database of the world's lakes (Messager et al., 2016), the human footprint index from 1993 and 2009 (Venter et al., 2016b), and the human modification index from 2016 (5) Are PAs successful in mitigating human pressure within the world's lakes? This is the first study to address these questions at a global level</t>
  </si>
  <si>
    <t>Freshwater</t>
  </si>
  <si>
    <t>Lakes</t>
  </si>
  <si>
    <t>Quasi-experimental matching</t>
  </si>
  <si>
    <t>Human footprint index, human modification index</t>
  </si>
  <si>
    <t>Human pressure on lakes</t>
  </si>
  <si>
    <t>Index values (0-50 for human footprint, 0-1 for human modification)</t>
  </si>
  <si>
    <t>Zonal statistics</t>
  </si>
  <si>
    <t>Human settlements (population density, built-up areas), Agriculture, Transportation, Mining and energy production, Electrical infrastructure,  Key Biodiversity Areas</t>
  </si>
  <si>
    <t>10.1016/j.landusepol.2014.11.021</t>
  </si>
  <si>
    <t>We examined the main processes of land cover change in Spain during c.20 years (1987‰ÛÒ2006), using CORINE land cover maps and five comparative spatial frameworks based on biomes (temperate and Mediterranean) and protection levels (Nationally Designated areas, European
Natura Net 2000 and unPAs)</t>
  </si>
  <si>
    <t>Spain</t>
  </si>
  <si>
    <t>Mediterranean and temperate biomes</t>
  </si>
  <si>
    <t>The study analyzes land cover changes over 20 years using CORINE land cover maps, comparing different biogeographical regions and protection levels.</t>
  </si>
  <si>
    <t>Comparison of Nationally Designated PAs, European Natura Net 2000, and unPAs.</t>
  </si>
  <si>
    <t>Area (hectares)</t>
  </si>
  <si>
    <t>Statistical analysis of land cover data</t>
  </si>
  <si>
    <t>Biogeographical region, protection level</t>
  </si>
  <si>
    <t>Meng 2022</t>
  </si>
  <si>
    <t>Evaluated the ability of 290 national-level PAs in China to reduce the impacts of economic development pressures using remote sensing-based fine resolution impervious surface area (ISA) and nighttime light (NTL) data as proxies of development pressure</t>
  </si>
  <si>
    <t>44 forest ecosystems, 3 grassland meadows, 42 inland wetlands, 10 desert ecosystems, 12 wild plants, and 79 wild animal refuges</t>
  </si>
  <si>
    <t>Development pressure</t>
  </si>
  <si>
    <t>Changes in development pressure</t>
  </si>
  <si>
    <t>impervious surface area (ISA) and nighttime light (NTL), population outside PAs</t>
  </si>
  <si>
    <t>Based on the CORINE Land Cover data, we describe the land use-land cover changes in European National Parks, both inside and at distant surrounding areas (1, 5, 20 km), and examine if the detected pattern is homogeneous across Europe. estimate if the declaration of these PAs has acted as a barrier constraining the alteration of natural habitats or as an attractor that has promoted them</t>
  </si>
  <si>
    <t>United Kingdom; Ireland; Portugal; Spain; France; Belgium; Netherlands; Luxembourg; Germany; Denmark; Sweden; Finland; Estonia; Latvia; Lithuania; Poland;Czechia; Slovakia; Austria; Hungary; Romania; Bulgaria; Italy; Slovenia; Croatia; Greece; Switzerland; Serbia; Montenegro; Bosnia and Herzegovina; Albania; Ukraine; Belarus;Norway;Russia</t>
  </si>
  <si>
    <t>25 EU countries</t>
  </si>
  <si>
    <t>1986‰ÛÒ1998 (CLC-1990), 1999‰ÛÒ2001 (CLC-2000), 2005‰ÛÒ2007 (CLC-2006), 2011‰ÛÒ2012 (CLC-2012), and 2017‰ÛÒ2018 (CLC-2018). The broad temporal spectrum (1990‰ÛÒ2018) t</t>
  </si>
  <si>
    <t xml:space="preserve">Rates of anthropization and naturalization </t>
  </si>
  <si>
    <t>Generalized Linear/Nonlinear Models (GLZ)</t>
  </si>
  <si>
    <t>Area size and the declaration year of National Parks BA 1980</t>
  </si>
  <si>
    <t>10.1017/S0376892922000261</t>
  </si>
  <si>
    <t>We compare water quality within PAs and non-PAs in southern Brazil, encompassing remnants of the Atlantic Forest biome, to assess whether PAs serve as a buffer from external pressures for aquatic ecosystems within their boundaries</t>
  </si>
  <si>
    <t>Southern Brazil - Atlantic Forest</t>
  </si>
  <si>
    <t>Rivers and streams</t>
  </si>
  <si>
    <t>water quality within PAs and non-PAs in southern Brazil, encompassing remnants of the Atlantic Forest biome</t>
  </si>
  <si>
    <t>Field sampling</t>
  </si>
  <si>
    <t>Water pollution</t>
  </si>
  <si>
    <t xml:space="preserve">Water quality </t>
  </si>
  <si>
    <t>physicochemical, biological, pesticide and pharmaceutical parameters</t>
  </si>
  <si>
    <t>DOI: 10.1111/1365-2664.12965</t>
  </si>
  <si>
    <t xml:space="preserve">We used 10 years (2006‰ÛÒ2015) of ranger-based monitoring data and dynamic multi-season occupancy models to quantify poaching-related threats, to examine factors influencing the spatio-temporal dynamics of these threats and to test the efficiency of management actions to combat poaching in Nyungwe National Park (NNP), Rwanda.  Efficacy of ranger patrols in reducing poaching-related threats in NNP </t>
  </si>
  <si>
    <t xml:space="preserve">Southwestern Rwanda </t>
  </si>
  <si>
    <t>Other: Rwanda</t>
  </si>
  <si>
    <t>Tropical, montane forest</t>
  </si>
  <si>
    <t>Effectiveness of anti-poaching patrol</t>
  </si>
  <si>
    <t>Ranger-based monitoring (RBM)</t>
  </si>
  <si>
    <t>Annual probability of occupancy of poaching-related threats</t>
  </si>
  <si>
    <t>Dynamic multi-season occupancy modelling</t>
  </si>
  <si>
    <t>Elevation, distance to the nearest ranger post, nearest road, nearest tourist trail and park boundary</t>
  </si>
  <si>
    <t>Nikolich 2021</t>
  </si>
  <si>
    <t>We compared noise levels at three RCAs with adjacent unprotected reference sites from August 2018‰ÛÒJune 2019.</t>
  </si>
  <si>
    <t xml:space="preserve"> Salish Sea</t>
  </si>
  <si>
    <t>10 months</t>
  </si>
  <si>
    <t>Filed sampling</t>
  </si>
  <si>
    <t>Underwater noise pollution</t>
  </si>
  <si>
    <t>Vessel noise</t>
  </si>
  <si>
    <t>Logistic regression</t>
  </si>
  <si>
    <t xml:space="preserve">Rockfish surveys, boat noise and the amount of shipping activity </t>
  </si>
  <si>
    <t>Olsoy 2016</t>
  </si>
  <si>
    <t>10.1016/j.biocon.2016.08.037</t>
  </si>
  <si>
    <t>Assessing deforestation and fragmentation impacts on jaguar conservation units and corridors.
determine intercountry variability in deforestation within protected and unprotected sections of JCUs and corridors.</t>
  </si>
  <si>
    <t>Other: America</t>
  </si>
  <si>
    <t>From North to South America</t>
  </si>
  <si>
    <t>Mexico; Guatemala; Belize; El Salvador; Honduras; Nicaragua; Costa Rica; Panama; Colombia; Venezuela; Ecuador; Peru; Brazil; Bolivia; Paraguay; Guyana; Suriname; French Guiana</t>
  </si>
  <si>
    <t>Forests and non-forest biomes (Savannas and drylands)</t>
  </si>
  <si>
    <t>Deforestation</t>
  </si>
  <si>
    <t>Change in forest cover</t>
  </si>
  <si>
    <t>Statistical analysis of forest change and fragmentation metrics</t>
  </si>
  <si>
    <t>Difference between countries</t>
  </si>
  <si>
    <t>A twenty-year GIS-based assessment of environmental sustainability of land use changes in and around PAs of a fast-developing country: Spain</t>
  </si>
  <si>
    <t>We used CORINE Land Cover (CLC) data between 1987 and 2006 to assess differences in LULC changes and processes of change as metrics of effectiveness in four PA networks of clear legal and managerial characteristics in Spain: Nature reserves (NRs), Nature parks (NPs), Sites of Community Importance (SCIs) and Special Protection Areas (SPAs)</t>
  </si>
  <si>
    <t>Alpine, Atlantic, Mediterranean and Macaronesia</t>
  </si>
  <si>
    <t>We also compared LULC changes and processes of change around each PA network applying a modified Before-After-Control-Impact (BACI) research design with two increasingly distant control areas and two models of increased validity</t>
  </si>
  <si>
    <t>PA categories</t>
  </si>
  <si>
    <t>LULCC %</t>
  </si>
  <si>
    <t xml:space="preserve">Spatial analysis </t>
  </si>
  <si>
    <t>Buffers</t>
  </si>
  <si>
    <t>10.1016/j.landusepol.2017.06.009</t>
  </si>
  <si>
    <t>To assess the effectiveness of a coastal PA, we estimated the land-use change (LUC) within and outside of the Pantanos de Centla Biosphere Reserve (PCBR) and interviewed key stakeholders to identify the main stressors causing LUC</t>
  </si>
  <si>
    <t>Southern coast of the Gulf of Mexico</t>
  </si>
  <si>
    <t>Other: Coastal</t>
  </si>
  <si>
    <t>Costland wetland</t>
  </si>
  <si>
    <t>Wetlands, mangrove forests, hydrophyte communities and flooded logwood forest</t>
  </si>
  <si>
    <t>Percentage of vegetation cover</t>
  </si>
  <si>
    <t>Quantitative spatial analysis and qualitative stakeholder interviews</t>
  </si>
  <si>
    <t>Interviews</t>
  </si>
  <si>
    <t>doi: 10.1002/rse2.47</t>
  </si>
  <si>
    <t>Investigate the impact of anthropogenic pressure from land cover change in and around the W-Arly-Pendjari (WAP) complex. assess the ability of the WAP complex to reduce pressures on biodiversity arising from agricultural expansion</t>
  </si>
  <si>
    <t>West Africa</t>
  </si>
  <si>
    <t>Benin;Burkina Faso;Niger</t>
  </si>
  <si>
    <t>Grassland, shrub savannah and savannah woodlands, with some gallery forests and riparian vegetation/marshlands around water bodies</t>
  </si>
  <si>
    <t>Land cover classifications in and around PAs</t>
  </si>
  <si>
    <t>2000 - 2006</t>
  </si>
  <si>
    <t>On-the-ground management started in 2006 as part of the EU-funded ECOPAS project</t>
  </si>
  <si>
    <t>Training pixels were randomly split into training and validation pixels before classification. In total, 40% of original pixels were used for validation</t>
  </si>
  <si>
    <t>Natural vegetation loss rate</t>
  </si>
  <si>
    <t>Random Forest classifier</t>
  </si>
  <si>
    <t>Shackleton 2020</t>
  </si>
  <si>
    <t>10.1016/j.biocon.2020.108424</t>
  </si>
  <si>
    <t>threat and management of invasive species has changed in 21 PAs that were analysed as part of the international SCOPE programme on biological invasions in the mid-1980</t>
  </si>
  <si>
    <t>United Republic of Tanzania; South Africa; Indonesia; Australia;United States of America; New Zealand; Scotland; Seychelles; Ecuador</t>
  </si>
  <si>
    <t>Arid and semi-arid land (desert), Mediterranean areas, tropical savannas and dry woodlands and islands</t>
  </si>
  <si>
    <t xml:space="preserve">Countries: 21 </t>
  </si>
  <si>
    <t>Collated data for the same PAs that were studied during the SCOPE programme and assess how biological invasions and their management have changed over the last ~30 years. We gave special attention to the threat that IAS impose and to assessing current and past management efforts that are in place to mitigate their impacts</t>
  </si>
  <si>
    <t>1980 (Initial study)</t>
  </si>
  <si>
    <t>2018 (Current assessment</t>
  </si>
  <si>
    <t>Long-term management programs and additional ad hoc approaches were implemented in many PAs.</t>
  </si>
  <si>
    <t>Data were validated through comparisons with historical records and expert input from park managers</t>
  </si>
  <si>
    <t>Surveys and questionnaires to park managers</t>
  </si>
  <si>
    <t>Invasive species</t>
  </si>
  <si>
    <t>Number of IAS</t>
  </si>
  <si>
    <t>Paired sample t-tests and chi-squared tests for categorical changes</t>
  </si>
  <si>
    <t>management strategies, ecological context, and socio-economic factors</t>
  </si>
  <si>
    <t>Effectiveness of national PA networks established between 2000 and 2012 globally in avoiding forest loss, taking into account underlying deforestation threats using a combination of matching methods and cross-sectional regressions</t>
  </si>
  <si>
    <t>Mali;Mozambique;Nigeria;Sierra Leone;South Sudan;United Republic of Tanzania;Uganda;Zimbabwe;Cameroon;Morocco;Democratic Republic of the Congo;Equatorial Guinea;South Africa;Japan;South Korea;Bangladesh;Cambodia;Timor-Leste;India;Mongolia;Myanmar;Nepal;Vietnam;Armenia;Bhutan;China;Indonesia;Iran;Philippines;Sri Lanka;Thailand;Russia;Austria;Czechia;Estonia;France;Germany;Greece;Ireland;Italy;Norway;Slovenia;Spain;Sweden;United Kingdom;Albania;Azerbaijan;Georgia;Bulgaria;Croatia;Hungary;Latvia;Lithuania;Poland;Romania;Serbia;Slovakia;Bahamas;Canada;United States of America;Cuba;El Salvador;Guatemala;Honduras;Belize;Costa Rica;Mexico;Panama;Australia;New Zealand;Fiji;Bolivia;Colombia;Ecuador;Guyana;Peru;Argentina;Brazil;Chile;French Guiana;Uruguay</t>
  </si>
  <si>
    <t>Forest</t>
  </si>
  <si>
    <t>81 countires</t>
  </si>
  <si>
    <t>Here we determine the success of PAs by country and by strictness of protection relative to the counterfactual, accounting for the degree to which they are placed in areas under threat</t>
  </si>
  <si>
    <t>Avoided forest loss</t>
  </si>
  <si>
    <t>Regression trees</t>
  </si>
  <si>
    <t>Demographic, agricultural, economic, and governance. 
Covariates in the matching process: forest cover in 2000, slope, spatially weighted slope of neighboring cells, elevation, spatially weighted elevation of neighboring cells, distance to the nearest city with a population larger than 750 000 within the country, distance to the nearest city with a population larger than 750 000, and length of the road network within the cell</t>
  </si>
  <si>
    <t>Tapia-Armijos 2017</t>
  </si>
  <si>
    <t>Tailored the Human Footprint index (HF) developed at global level to evaluate the spatial and temporal patterns of human pressure in South Ecuador for 1982, 1990 and 2008. Land-scape and ecosystem levels were analyzed to identify the contribution of different human proxies to theHF. We also used the HF to evaluate the effectiveness of PAs to reduce human pressure in thesurrounding landscap</t>
  </si>
  <si>
    <t>Provinces of Loja and Zamora Chinchipe - South Ecuador</t>
  </si>
  <si>
    <t xml:space="preserve">Dry forest, premontane evergreen forest, montane evergreen forest, paramo, shrubland </t>
  </si>
  <si>
    <t>Human pressure change</t>
  </si>
  <si>
    <t>Single mean change rate</t>
  </si>
  <si>
    <t>Population density, land transformation, human access, electrical power infrastructure</t>
  </si>
  <si>
    <t>we apply aggregate indicators of anthropogenic pressures on ecosystems and biodiversity in a fine-scale spatial analysis to compare the level of human influence within protected and unPAs. 
Maintaining the naturalness of ecosystems through landscape protection.</t>
  </si>
  <si>
    <t>Czech Republic</t>
  </si>
  <si>
    <t>Other: Czechia</t>
  </si>
  <si>
    <t>2005 - 2010</t>
  </si>
  <si>
    <t>Composed dataset</t>
  </si>
  <si>
    <t xml:space="preserve">Land use intensity (HANPP) human appropriation of net primary production </t>
  </si>
  <si>
    <t>Aggregate indicators of anthropogenic influence</t>
  </si>
  <si>
    <t>Creating datasets of spatial distribution of HANPP as an indicator for land use intensity, MSA as a measure of biodiversity loss, and NCS as a measure of climate regulation atthe national level in the Czech Republic</t>
  </si>
  <si>
    <t>Wang 2021</t>
  </si>
  <si>
    <t>Evaluated the landscape ecological risk based on LULC changes in 
Baishuijiang National Nature Reserve according to different management zones from 1986 to 2015.</t>
  </si>
  <si>
    <t>Southern of Gansu Province</t>
  </si>
  <si>
    <t>three management zones, which are, core zone (917.8 km2), buffer zone (278.5 km2 ), and experimental zone</t>
  </si>
  <si>
    <t>The overall accuracy of LULC classification was 86.37%, 85.50%, 85.70%, and 85.73% for 1986, 1995, 2008, and 2015, respectively, which could meet the requirements of landscape research generally.</t>
  </si>
  <si>
    <t>Area</t>
  </si>
  <si>
    <t>Landscape ecological risk assessment based on LULC changes, spatial autocorrelation analysis</t>
  </si>
  <si>
    <t>Wu 2022</t>
  </si>
  <si>
    <t xml:space="preserve">Changes in habitat quality of nature reserves in depopulating areas due to anthropogenic pressure: Evidence from Northeast China, 2000‰ÛÒ2018 </t>
  </si>
  <si>
    <t>How does anthropogenic pressure change within nature reserves in these areas experiencing decreasing human population trends. 
Map Antropogenic pressure in Northeast China in 2000 and 2018 and determine its spatial and temporal characteristics; evaluate NRs‰Ûª effectiveness using a PSM method and classify NRs in Northeast China</t>
  </si>
  <si>
    <t>Northeast China - Heilongjiang, Jilin, and Liaonå?ing provinces</t>
  </si>
  <si>
    <t>Mountains and plains</t>
  </si>
  <si>
    <t>Anthropogenic pressure</t>
  </si>
  <si>
    <t>Propensity score matching</t>
  </si>
  <si>
    <t>Land use intensity, electricity infrastructure, population density electricity infrastructure, roads and railways. Habitat quality assessment: fractional vegetation cover, net primary production, vegetation aggregation index.
PSM:  1) elevation, 2) slope, 3) precipitation, 4) temperature, 5) distance to road, 6) land use, 7) soil type, 8) GDP, 9) initial AP in 2000, 10) initial NPP in 2000, and 11) initial FVC in 2000.</t>
  </si>
  <si>
    <t>Xu 2022</t>
  </si>
  <si>
    <t>We evaluated the effectiveness of China‰Ûªs national forest reserves designated since 1990 in conserving forests</t>
  </si>
  <si>
    <t>By analyzing four forest cover and fragmentation metrics, we compared reserves to their surrounding areas and the influence of designation time and zonation.</t>
  </si>
  <si>
    <t>Other: Unmatching</t>
  </si>
  <si>
    <t>Percentage forest cover, mean forest patch size, mean forest patch radius of gyration, and forest patch cohesion index</t>
  </si>
  <si>
    <t>Unmatching /GAM</t>
  </si>
  <si>
    <t>Zhang 2013</t>
  </si>
  <si>
    <t>10.1016/j.biocon.2012.08.021</t>
  </si>
  <si>
    <t xml:space="preserve">Study the sustainability of the social‰ÛÒecological systems under conservation projects,i.e., establishment of the Foping National Nature Reserve (FNNP) in 1978 and implementation of the Natural Forest Conservation Program (NFCP) and the ‰Û÷Grain-for-Green‰Ûª Program (GGP) since 2000. We analyzed land use/land cover change using remotely sensed Landsat MSS/TM/ETM imagery obtained in the growing season of 1978, 1994, 2000, and 2007. We also collected information on the population of giant
panda </t>
  </si>
  <si>
    <t>Jinshui watershed - Qinling Mountains</t>
  </si>
  <si>
    <t>Forests</t>
  </si>
  <si>
    <t>Giant panda habitat</t>
  </si>
  <si>
    <t>The study utilized remote sensing data to analyze land use/land cover changes and collected information on giant panda populations, socio-economic conditions, and local farmers' attitudes towards conservation projects.</t>
  </si>
  <si>
    <t>Implementation of the Natural Forest Conservation Program and Grain-for-Green Program.</t>
  </si>
  <si>
    <t>Remote sensing; Questionaires</t>
  </si>
  <si>
    <t>LULCC, giant panda population</t>
  </si>
  <si>
    <t>Percentage of forest cover, population density, watershed boundary</t>
  </si>
  <si>
    <t>Land cover classification</t>
  </si>
  <si>
    <t>Socio-economic conditions, farmer attitudes</t>
  </si>
  <si>
    <t>we develop and operationalize a local threat assessment framework. We develop indices to quantify the effectiveness of MPAs (or individual zones within MPAs in the case of multiple-use MPAs) in reducing anthropogenic extractive and non-extractive threats operating at local scale, focusing specifically on threats that can be managed through MPAs</t>
  </si>
  <si>
    <t>Mediterranean Sea</t>
  </si>
  <si>
    <t>Other: Mediterranean</t>
  </si>
  <si>
    <t>Threat indices</t>
  </si>
  <si>
    <t>Extractive and non-extractive</t>
  </si>
  <si>
    <t>Mean threat intensities, threat capacity reduction</t>
  </si>
  <si>
    <t>Threat reduction index</t>
  </si>
  <si>
    <t>Feng 2022</t>
  </si>
  <si>
    <t>DOI: 10.1111/cobi.13887</t>
  </si>
  <si>
    <t>We developed a framework that considers both human-pressure baseline and change in human pressure over time and assessed the effectiveness of 338 PAs in China from 2010 to 2020.</t>
  </si>
  <si>
    <t>To verify the validity of PSM, we used the standardized differences test to check the balance between the treated sites and the control sites in each individual PA</t>
  </si>
  <si>
    <t>Human Pressure Index</t>
  </si>
  <si>
    <t>HPI</t>
  </si>
  <si>
    <t>Land-cover data, Human population density, Control variables in propensity score matching (PSM):Elevation, slope, distance to the nearest road, distance to the nearest settlement, and soil type.</t>
  </si>
  <si>
    <t>AkodÌ©wou 2020</t>
  </si>
  <si>
    <t xml:space="preserve">doi:10.3390/su12135439 </t>
  </si>
  <si>
    <t>This study analysed historical LULC changes over a temporal extent of 42 years (1974‰ÛÒ2016) in the Togodo PA and its surroundings, in Togo, by associating intensity and trajectory analyses</t>
  </si>
  <si>
    <t>Southeastern Togo (West Africa)</t>
  </si>
  <si>
    <t>Other: Togo</t>
  </si>
  <si>
    <t xml:space="preserve">Tropical forests and savannahs </t>
  </si>
  <si>
    <t>Accurate training and validation datasets for each class were obtained by digitizing training class polygons based on the interpretation of pre-existing vegetation maps</t>
  </si>
  <si>
    <t>Cover changes</t>
  </si>
  <si>
    <t>Supervised Support Vector Machines (SVM) classifier, 
contingency tables for the land use intensity analysis.</t>
  </si>
  <si>
    <t>ULC types from 1 to 5: 1‰ÛÓForest, 2‰ÛÓSavannah, 3‰ÛÓCropland, 4‰ÛÓBuilt or bare area, and 5‰ÛÓWater, climate</t>
  </si>
  <si>
    <t>Ren 2021</t>
  </si>
  <si>
    <t>DOI: 10.1126/sciadv.abi894</t>
  </si>
  <si>
    <t>We assess the large-scale, long-term impact of plant invasions on the performance of China‰Ûªs major PAs across the Yellow Sea in conserving internationally renowned coastal wetlands, including four World Natural Heritage and/or Wetlands of International Importance sites</t>
  </si>
  <si>
    <t>Yellow Sea</t>
  </si>
  <si>
    <t>Coastal wetlands</t>
  </si>
  <si>
    <t xml:space="preserve">Constructed a long-term dataset of mudflats native marshes, exotic cordgrass marshes, and reclaimed lands in seven of the largest coastal PAs (see table S1 for a summary of basic information) and matched non-PA controls in China, using Landsat images and a rigorously validated classification algorithm implemented on Google Earth Engine </t>
  </si>
  <si>
    <t>Involves BA PA creation</t>
  </si>
  <si>
    <t>Land reclamation and IAS</t>
  </si>
  <si>
    <t xml:space="preserve">Extents of cordgrass invasion and reclamation as a percentage of the total wetland area </t>
  </si>
  <si>
    <t>Common-centroid matching, statistical matching, and propensity score matching</t>
  </si>
  <si>
    <t>Human population density, road density, distance to shoreline, distance to river, percent land cover, and NDVI</t>
  </si>
  <si>
    <t>Clark 2013</t>
  </si>
  <si>
    <t>PAs in South Asia Have Not Prevented Habitat Loss: A Study Using Historical Models of Land-Use Change</t>
  </si>
  <si>
    <t>doi:10.1371/journal.pone.0065298</t>
  </si>
  <si>
    <t>Compare coverage by anthropogenic land uses inside and outside South Asia‰Ûªs PA network, and measure the rates of habitat conversion over the last century both inside and outside the network.</t>
  </si>
  <si>
    <t>South Asia</t>
  </si>
  <si>
    <t>India;Nepal;Bhutan;Bangladesh;Pakistan;Sri Lanka</t>
  </si>
  <si>
    <t>Multiple: Asia</t>
  </si>
  <si>
    <t>Countries: India;Nepal;Bhutan;Bangladesh;Pakistan;Sri Lanka</t>
  </si>
  <si>
    <t>Compare-to-everywhere approach in which we contrast (i) the extent of intact habitat inside PAs with the entire unprotected landscape</t>
  </si>
  <si>
    <t>121 years</t>
  </si>
  <si>
    <t>Before - After PA creation</t>
  </si>
  <si>
    <t>Habitat modified by humans both inside and outside the PA network</t>
  </si>
  <si>
    <t>Percentage of habitat-modified</t>
  </si>
  <si>
    <t xml:space="preserve"> Historical sequence of habitat conversion</t>
  </si>
  <si>
    <t>Bowker 2017</t>
  </si>
  <si>
    <t>DOI: 10.1111/cobi.1285</t>
  </si>
  <si>
    <t>We used matching methods to assess the effectiveness of Africa‰Ûªs parks across the entire Tropical and Subtropical Moist Broadleaf Forest biome from 2000 to 2013. To determine whether tropical African parks are effectively curbing deforestation</t>
  </si>
  <si>
    <t>23 African countries</t>
  </si>
  <si>
    <t>Burundi;Cameroon;Central African Republic;Ivory Coast;Democratic Republic of the Congo;Equatorial Guinea;Ethiopia;Gabon;Ghana;Liberia;Madagascar;Mozambique;Nigeria;Sierra Leone;South Africa;United Republic of Tanzania;Togo;Uganda</t>
  </si>
  <si>
    <t>Other: Multiple: Africa</t>
  </si>
  <si>
    <t>Tropical and Subtropical Moist Broadleaf Forest biome</t>
  </si>
  <si>
    <t>We assessed individual- and national-park effectiveness by comparing forest loss at sample points inside parks with forest loss at matched unprotected sample points outside parks with logistic regression (general linear mixed
model with logit-link function).</t>
  </si>
  <si>
    <t>13 years</t>
  </si>
  <si>
    <t>Comparison of forest loss inside parks to matched unprotected control sites</t>
  </si>
  <si>
    <t>Extent of forest loss</t>
  </si>
  <si>
    <t>Distance to major cities, distance to major roads, annual precipitation, elevation, and slope</t>
  </si>
  <si>
    <t>Giakoumi 2019</t>
  </si>
  <si>
    <t xml:space="preserve">We explored the relationships between MPAs and alien/native range-expanding fishes in the Mediterranean Sea, the world's most invaded sea. (3) examine whether protection potentially affects the populations of these fishes. </t>
  </si>
  <si>
    <t>South and Eastern Mediterranean MPAs</t>
  </si>
  <si>
    <t>Spain;France;Italy;Croatia;Greece;Turkey</t>
  </si>
  <si>
    <t>Rocky habitats</t>
  </si>
  <si>
    <t>Spain, France, Italy, Croatia, Greece, and Turkey</t>
  </si>
  <si>
    <t>4 months</t>
  </si>
  <si>
    <t>PERMANOVA</t>
  </si>
  <si>
    <t>Abundance and size of fishes, density and biomass of key herbivore invertebrates, physical habitat structural complexity, Sea surface temperature</t>
  </si>
  <si>
    <t>Beresford 2018</t>
  </si>
  <si>
    <t>doi:10.1017/S0376892917000157</t>
  </si>
  <si>
    <t>We use visual assessment of satellite images to quantify land-cover change over periods of up to 30 years in and around a matched sample of protected and unprotected Important Bird
and Biodiversity Areas (IBAs) in Africa.</t>
  </si>
  <si>
    <t>Annual survival of forests and other natural land cover</t>
  </si>
  <si>
    <t>GLMMs</t>
  </si>
  <si>
    <t>We matched sites on the basis of area, mean altitude, mean distance from roads  mean human population density and the most extensive GLC2000 land-cover class in the IBA. 
Market accessibility,  Agricultural suitability, cropland cover, biome</t>
  </si>
  <si>
    <t>Potapov 2017</t>
  </si>
  <si>
    <t>Map the global extent of intact forest landscapes (IFLs) in the years 2000 and 2013, to locate changes due to alteration and fragmentation, and to identify causes of change</t>
  </si>
  <si>
    <t>Countries: 65</t>
  </si>
  <si>
    <t>Tested accuracy of the IFL 2000‰ÛÒ2013 change map</t>
  </si>
  <si>
    <t>Reduction of IFL</t>
  </si>
  <si>
    <t>Stratified sampling</t>
  </si>
  <si>
    <t xml:space="preserve">Elevation, slope, distance to IFL boundary, tree canopy cover for the year 2000, and the human footprint index </t>
  </si>
  <si>
    <t>Mwangi 2010</t>
  </si>
  <si>
    <t>Tracking trends in key sites for biodiversity: a case study using Important Bird Areas in Kenya</t>
  </si>
  <si>
    <t>M. A. KIRAGU MWANGI et al</t>
  </si>
  <si>
    <t>doi:10.1017/S0959270910000456</t>
  </si>
  <si>
    <t>Other: Kenya</t>
  </si>
  <si>
    <t>Eastern Arc forest (six IBAs), highland forest (five), moist evergreen forest (two), highland grassland (four), savannah grassland (seven), moist grassland (one), wetland (eight), papyrus swamp (two) and montane shrubland</t>
  </si>
  <si>
    <t>Excluded</t>
  </si>
  <si>
    <t>BirdLife IBA monitoring framework</t>
  </si>
  <si>
    <t xml:space="preserve">IBA indices </t>
  </si>
  <si>
    <t>IBA indices for state, pressure and response</t>
  </si>
  <si>
    <t>Multiple regression models</t>
  </si>
  <si>
    <t>Geldmann 2014</t>
  </si>
  <si>
    <t>Mapping Change in Human Pressure Globally on Land and within PAs</t>
  </si>
  <si>
    <t>DOI: 10.1111/cobi.12332</t>
  </si>
  <si>
    <t xml:space="preserve">How the THPI within PAs was correlated to IUCN management categories and the human development index (HDI) and how the THPI was correlated to cumulative pressure on the basis of
the original human footprint index. </t>
  </si>
  <si>
    <t>Countries: 107</t>
  </si>
  <si>
    <t>Temporal human pressure index (THFI)</t>
  </si>
  <si>
    <t>Average THPI</t>
  </si>
  <si>
    <t>We used an analysis of covariance (ANCOVA) to test the effectiveness of PAs at mitigating change in pressure as a function of PA size, PA age, mean slope of the PA, mean elevation of the PA, country level HDI, and IUCN management category</t>
  </si>
  <si>
    <t>White 2020</t>
  </si>
  <si>
    <t>DOI: 10.1111/cobi.13584</t>
  </si>
  <si>
    <t>developed vessel tracking data set (produced using Automatic Identification System detections) to quantify the response of industrial fishing fleets to 5 of the largest MPAs established in the Pacific Ocean since 2013</t>
  </si>
  <si>
    <t>Other: Pacific Ocean</t>
  </si>
  <si>
    <t>Pacific Ocean</t>
  </si>
  <si>
    <t>Chile; United States of America;United Kingdom;Kiribati</t>
  </si>
  <si>
    <t>Countries: Chile, USA, UK, Kiribati</t>
  </si>
  <si>
    <t>Vessel tracking to generate views of industrial fishing before and after fishing restrictions were implemented in 5 of the largest MPAs in the Pacific Ocean</t>
  </si>
  <si>
    <t>We created maps of annual fishing effort for 1 year before and 1 year after fishing restrictions took effect</t>
  </si>
  <si>
    <t>Industrial fishing effort</t>
  </si>
  <si>
    <t>Vessel tracking</t>
  </si>
  <si>
    <t xml:space="preserve">Annual fishing effort for 1 year before and 1 year after fishing restrictions took effect </t>
  </si>
  <si>
    <t>Fshing activity in nearby EEZs that permit industrial fishing,  fishing effort near large MPAs that fit 4 criteria: no-take MPA, MPAs in national waters; and MPAs implemented from 1 January 2013 to 1 January 2017</t>
  </si>
  <si>
    <t>Maiorano 2008</t>
  </si>
  <si>
    <t>10.1098/rspb.2007.1756</t>
  </si>
  <si>
    <t>Efficacy of PAs at halting (or at least reducing) habitat degradation in a human-dominated landscape. Our study area is Italy and our hypothesis is that there is a relationship between the size of PAs and their resistance to land-use change, with smaller areas being influenced by the surrounding environment more extensively than larger areas.</t>
  </si>
  <si>
    <t>Other: Italy</t>
  </si>
  <si>
    <t>Measured land-cover/land-use change from 1990 to 2000 using CORINE land cover maps and a detailed dataset on PAs in Italy. It compared land-use/land-cover changes inside PAs and surrounding buffers, and analyzed the relationship between PA size and their efficacy in slowing down or stopping land-use/land-cover change</t>
  </si>
  <si>
    <t>Rate of change in LULCC</t>
  </si>
  <si>
    <t>Non-parametric statistics, Mann‰ÛÒWhitney U-test, Kruskal‰ÛÒWallis one-way analysis of variance, Spearman rank correlation analysis</t>
  </si>
  <si>
    <t>PA size, buffer size</t>
  </si>
  <si>
    <t>Graham 2021</t>
  </si>
  <si>
    <t xml:space="preserve"> https://doi.org/10.1038/s41598-021-03188-w</t>
  </si>
  <si>
    <t>to estimate their effectiveness in conserving forest cover and forest carbon stocks for 2000‰ÛÒ2018, we used statistical matching methods to control for the non-random location of PAs, to compare protection against a matched counterfactual.</t>
  </si>
  <si>
    <t>Southeast Asia</t>
  </si>
  <si>
    <t>Cambodia; Indonesia; Laos;Malaysia; Myanmar;Philippines; Thailand; Vietnam</t>
  </si>
  <si>
    <t>Other: Multiple: Southeast Asia</t>
  </si>
  <si>
    <t>Cambodia, Indonesia, Laos, Malaysia, Myanmar, the Philippines, Thailand, and Vietnam</t>
  </si>
  <si>
    <t xml:space="preserve">Matching </t>
  </si>
  <si>
    <t xml:space="preserve">Reported MEET </t>
  </si>
  <si>
    <t>Avoided forest cover loss</t>
  </si>
  <si>
    <t>Propensity Score Matching</t>
  </si>
  <si>
    <t>Anthropogenic drivers (human population density, presence of roads and railways, pressure to expand croplands and urban environments), suitability for 
land conversion (elevation, slope, and agricultural suitability), and biological aspects (peat characteristics and forest cover</t>
  </si>
  <si>
    <t>Stocks 2007</t>
  </si>
  <si>
    <t>Indigenous, Colonist, and Government Impacts on Nicaragua‰Ûªs Bosawas Reserve</t>
  </si>
  <si>
    <t>DOI: 10.1111/j.1523-1739.2007.00793.x</t>
  </si>
  <si>
    <t>We studied the impacts of colonists, two groups of indigenous residents (Miskitu and Mayangna), and management by the Nicaraguan Ministry of Environment and Natural Resources (MARENA) on the forest of the Bosawas International Biosphere Reserve</t>
  </si>
  <si>
    <t>North-central Nicaragua</t>
  </si>
  <si>
    <t>Other: Nicaragua</t>
  </si>
  <si>
    <t>Subtropical rainforest</t>
  </si>
  <si>
    <t>1995 - 1996</t>
  </si>
  <si>
    <t xml:space="preserve">Impact of indigenous and colonist residents </t>
  </si>
  <si>
    <t>normalized burn ratio (NBR)</t>
  </si>
  <si>
    <t>Land cover comparisons</t>
  </si>
  <si>
    <t>Zhang 2021</t>
  </si>
  <si>
    <t>Landscape Fragmentation in Qinling‰ÛÒDaba Mountains Nature Reserves and Its Influencing Factors</t>
  </si>
  <si>
    <t>10.3390/land10111124</t>
  </si>
  <si>
    <t>Investigating landscape fragmentation and its effects on habitat status based on land cover</t>
  </si>
  <si>
    <t>Qinling‰ÛÒDaba Mountains</t>
  </si>
  <si>
    <t>Warm‰ÛÒtemperate deciduous broadleaved forests, evergreen‰ÛÒdeciduous, broadleaved mixed forests</t>
  </si>
  <si>
    <t>Analyzed landscape fragmentation characteristics and the driving factors for the interior and peripheries of the Qinling‰ÛÒDaba Mountains nature reserves during 2010‰ÛÒ2017</t>
  </si>
  <si>
    <t>Landscape fragmentation</t>
  </si>
  <si>
    <t>Landscape metrics</t>
  </si>
  <si>
    <t>Spatial principal component analysis, Geodetector</t>
  </si>
  <si>
    <t>Human activity intensity, land-use degree, elevation, slope gradient, topographic relief</t>
  </si>
  <si>
    <t>Tan 2022</t>
  </si>
  <si>
    <t>We developed a HF dataset for the Sanjiangyuan region in China after localizing the global HF model. Then we used it to assess the effectiveness of Sanjiangyuan nature reserve (SNR) in mitigating human pressures</t>
  </si>
  <si>
    <t>Sanjiangyuan region</t>
  </si>
  <si>
    <t>Compares within and outside buffer areas (BACI) and considers the implementation of management BA</t>
  </si>
  <si>
    <t>Effective management since 2005</t>
  </si>
  <si>
    <t>Changes in HFI</t>
  </si>
  <si>
    <t xml:space="preserve">Population density, grazing intensity, land use intensity, roads, and nighttime lights </t>
  </si>
  <si>
    <t>Gavioli 2023</t>
  </si>
  <si>
    <t>DOI 10.3389/fenvs.2023.1122464</t>
  </si>
  <si>
    <t>We tested the hypothesis that fish community is exposed to less anthropogenic pressures within the Natura 2000 sites than outside, hosting a higher number of native species and maintain lower number of non-native species</t>
  </si>
  <si>
    <t>Freshwater watercourses</t>
  </si>
  <si>
    <t>Kruskal-Wallis test</t>
  </si>
  <si>
    <t>Species richness, geographical, climate and anthropogenic landscape factors, intensity of animal farming, total urbanized area</t>
  </si>
  <si>
    <t>Neil 2021</t>
  </si>
  <si>
    <t>Mapping was undertaken to analyse the rate of human immigration into the Sanctuary in2006, 2014, 2017 as part of an assessment of the Sanctuary‰Ûªs effectiveness in protecting its resident elephant population and in mitigating anthropogenic pressures</t>
  </si>
  <si>
    <t>Other: Ethiopia</t>
  </si>
  <si>
    <t>Number of houses</t>
  </si>
  <si>
    <t>Shah 2015</t>
  </si>
  <si>
    <t>Evaluating Heterogeneous Conservation Effects of Forest Protection in Indonesia</t>
  </si>
  <si>
    <t>doi:10.1371/journal.pone.0124872</t>
  </si>
  <si>
    <t>Effectiveness of seven Indonesian forest PAs introduced between 1999 and 2012</t>
  </si>
  <si>
    <t>Sumatra, Java, Sulawesi and Papua</t>
  </si>
  <si>
    <t>Other: Indonesia</t>
  </si>
  <si>
    <t>We use a difference-in-differences approach comparing treated observations and matched controls to estimate the effect of each PA. We then distinguish the true variation in PA effectiveness from spurious variation driven by several sources of estimation bias</t>
  </si>
  <si>
    <t>Primary forest cover</t>
  </si>
  <si>
    <t>% change in forest cover</t>
  </si>
  <si>
    <t>OLS regressions</t>
  </si>
  <si>
    <t>slope, elevation, distance to roads, distance to rivers, distance to cities, peat depth, and administrative boundaries for all treated and eligible control parcels</t>
  </si>
  <si>
    <t>Carmenta 2016</t>
  </si>
  <si>
    <t>DOI:10.1371/journal.pone.0149292</t>
  </si>
  <si>
    <t>Policy performance of SUR creation on fire use and management by evaluating fire-activity in 49 SURs in the Brazilian Amazon, compared to the wider landscape surrounding the reserve (a control buffer area of 10km) and apply a preprotection baseline</t>
  </si>
  <si>
    <t xml:space="preserve"> Brazilian Amazon</t>
  </si>
  <si>
    <t>2004 - 2006</t>
  </si>
  <si>
    <t>01.01.2001‰ÛÒ31.12.2009</t>
  </si>
  <si>
    <t>PA creation</t>
  </si>
  <si>
    <t>Hot pixels</t>
  </si>
  <si>
    <t>TRMM rainfall data, Terra-Class land cover data, socio-ecological and spatial extent of rivers
and roads</t>
  </si>
  <si>
    <t>Zbierska 2022</t>
  </si>
  <si>
    <t>Analyze the changes in land use between 2000 and 2018, in various types of nature protection areas listed in the Polish Central Register of the Forms of Nature Protection and the European Natura 2000 network within the country. The processes that have occurred inside the different types of PAs forms were compared with those that have occurred outside of them (nPA), in their surroundings</t>
  </si>
  <si>
    <t>Poland</t>
  </si>
  <si>
    <t>Other: Poland</t>
  </si>
  <si>
    <t>Various (forests, grasslands, wetlands, etc.)</t>
  </si>
  <si>
    <t>Analyzed land use/land cover changes in Polish PAs between 2000-2018 using Corine Land Cover data. Compares inside with buffer</t>
  </si>
  <si>
    <t>LULCC area</t>
  </si>
  <si>
    <t>Transition matrix analysis of land cover changes</t>
  </si>
  <si>
    <t>urbanization (LCF1), intensification of agriculture (LCF2), extensification of agriculture (LCF3), afforestation (LCF4), deforestation (LCF5), formation of water bodies (LCF6), and naturalization or land reclamation (LCF7</t>
  </si>
  <si>
    <t>Dehmel 2022</t>
  </si>
  <si>
    <t>doi: 10.3389/ffgc.2022.807214</t>
  </si>
  <si>
    <t>Exploratory analysis of the relationship between the quality of country-level governance and trends in tree cover loss within sub-Saharan African PAs</t>
  </si>
  <si>
    <t>Sub-Saharan Africa</t>
  </si>
  <si>
    <t>Angola;Benin;Burundi;Cameroon;Central African Republic;Comoros;Democratic Republic of the Congo;Ivory Coast;Equatorial Guinea;eSwatini;Ethiopia;Gabon;Ghana;Guinea;Guinea-Bissau; Kenya;Liberia; Madagascar;Malawi;Mauritius;Mozambique;Nigeria;Rwanda;São Tomé and Principe; Seychelles;Sierra Leone;South Africa;South Sudan;United Republic of Tanzania;Togo; Uganda;Zambia</t>
  </si>
  <si>
    <t>33 sub-Saharan African countries</t>
  </si>
  <si>
    <t>We correlated annual governance scores from the Ibrahim Index of African Governance (IIAG) with the annual rate of tree cover loss in the total terrestrial area of PAs in 33 forested sub-Saharan African countries</t>
  </si>
  <si>
    <t>Comparison of governance</t>
  </si>
  <si>
    <t>Tree cover loss</t>
  </si>
  <si>
    <t>Annual percentage rates of tree cover loss</t>
  </si>
  <si>
    <t>Ibrahim Index of African Governance, World Development Indicators database</t>
  </si>
  <si>
    <t>Brink 2016</t>
  </si>
  <si>
    <t>Indicators for Assessing Habitat Values and Pressures for PAs‰ÛÓAn Integrated Habitat and Land Cover Change Approach for the Udzungwa Mountains National Park in United Republic of Tanzania</t>
  </si>
  <si>
    <t>Assesses the LULCC over a 20 year (1990‰ÛÒ2000‰ÛÒ2010) using Landsat imagery for the Udzungwa Mountains National Park (UMNP) and its surroundings (20 km buffer) in United Republic of Tanzania</t>
  </si>
  <si>
    <t>Udzungwa Mountains</t>
  </si>
  <si>
    <t>Tropical and subtropical moist broadleaf forests, tropical and subtropical grassland, savanna and shrubland</t>
  </si>
  <si>
    <t>The UMNP has a size of 1990 km2 and is within the Udzungwa Mountains (&gt;12,000 km2), which are part of the Eastern Arc.</t>
  </si>
  <si>
    <t xml:space="preserve">
</t>
  </si>
  <si>
    <t>20 years</t>
  </si>
  <si>
    <t>Remote sensing, LULC assessment</t>
  </si>
  <si>
    <t>Percentage and area (km2)</t>
  </si>
  <si>
    <t>Infrastructures such as railroads, roads and settlements</t>
  </si>
  <si>
    <t>Schmitz 2023</t>
  </si>
  <si>
    <t>Evaluated whether the establishment of PAs in the Upper Paranaå« River floodplain region could reduce anthropic landscape changes and whether there is a difference in protection when using different PA restriction categories</t>
  </si>
  <si>
    <t>Upper Paranaå« River floodplain</t>
  </si>
  <si>
    <t>Floodplains and riparian forests</t>
  </si>
  <si>
    <t>Transition between Atlantic forest and the Cerrado</t>
  </si>
  <si>
    <t>The general land-use dynamics were analyzed considering the years before and after the creation of the PAs with different degrees of protection</t>
  </si>
  <si>
    <t>1999 - 2008, 2009</t>
  </si>
  <si>
    <t>BA the creation of the PAs with different degrees of protection</t>
  </si>
  <si>
    <t>Total amount of land-use transition (net gains and losses)</t>
  </si>
  <si>
    <t xml:space="preserve">Intensity analysis </t>
  </si>
  <si>
    <t>Lawrence 2021</t>
  </si>
  <si>
    <t>we investigate anthropogenic fragmentation inside and around N2k sites across the EU. We define fragmentation as a landscape-scale process that includes (a) reduction in total habitat area, (b) increase in the number of habitat patches, and (c) decrease in sizes of habitat patches</t>
  </si>
  <si>
    <t>EU</t>
  </si>
  <si>
    <t>United Kingdom;Ireland;Portugal;Spain;France;Belgium;Netherlands;Luxembourg;Germany;Denmark;Norway;Sweden;Finland;Estonia;Latvia;Lithuania;Poland;Czechia;Slovakia;Austria;Switzerland;Italy;Slovenia;Hungary;Croatia;Bosnia and Herzegovina;Serbia;Montenegro;Albania;Greece;Romania;Bulgaria;Ukraine;Moldova;Belarus;Russia;Turkey</t>
  </si>
  <si>
    <t>Other: Multiple: Europe</t>
  </si>
  <si>
    <t>EU biomes</t>
  </si>
  <si>
    <t>Effective mesh density</t>
  </si>
  <si>
    <t>Cross-boundary connections</t>
  </si>
  <si>
    <t>Major and medium anthropogenic constructions‰ÛÒsuch as roads, railways, and buildings</t>
  </si>
  <si>
    <t>Mancini 2005</t>
  </si>
  <si>
    <t>the size and land use of 19 PAs of Latium Region (central Italy) were related to the biological quality of 32 streams running inside them. Additionally, the biological quality of 18 out of the 32 streams was compared with the quality recorded on the same streams outside the boundaries of the PAs</t>
  </si>
  <si>
    <t>Latium Region</t>
  </si>
  <si>
    <t>Streams</t>
  </si>
  <si>
    <t xml:space="preserve">IBE values recorded in 18 out of the 19 study streams were compared with the IBE values obtained on the same streams outside the boundaries of the PA (control sites) </t>
  </si>
  <si>
    <t>Remote sensing and Field sampling</t>
  </si>
  <si>
    <t>Macroinvertebrate community health</t>
  </si>
  <si>
    <t>Extended Biotic Index</t>
  </si>
  <si>
    <t>Wilconox test</t>
  </si>
  <si>
    <t>Land use data</t>
  </si>
  <si>
    <t>Kindermann 2023</t>
  </si>
  <si>
    <t>assess changes in grassland vegetation and their current extent in Val Venosta (European Alps, Italy) in relation to overall landscape settings, anthropogenic drivers of change and the effectiveness of the PAs.</t>
  </si>
  <si>
    <t>Val Venosta (European Alps, Italy)</t>
  </si>
  <si>
    <t>Dry grasslands</t>
  </si>
  <si>
    <t xml:space="preserve">Other: </t>
  </si>
  <si>
    <t>Aerial photograph</t>
  </si>
  <si>
    <t>Landscape changes</t>
  </si>
  <si>
    <t>Built-up, agriculture, grasslands, shrubs, forest, water</t>
  </si>
  <si>
    <t>Medeiros 2023</t>
  </si>
  <si>
    <t>Effectiveness of Federal PAs in the Preservation of Mangrove Forests on the Coast of the State of ParaÌ?ba, Brazil</t>
  </si>
  <si>
    <t>DOI 10.1590/0001-3765202320211079</t>
  </si>
  <si>
    <t>effectiveness of Federal PAs on the coast of the state of ParaÌ?ba in northeastern Brazil with regard to the preservation of mangrove forests</t>
  </si>
  <si>
    <t>State of ParaÌ?ba</t>
  </si>
  <si>
    <t>Mangroves</t>
  </si>
  <si>
    <t>RS images taken 1 or 2 years before PA establishment and until 2016 (Table 1)</t>
  </si>
  <si>
    <t>1985, 1993, 2004, 2007</t>
  </si>
  <si>
    <t>1984, 1991, 2003, 2005</t>
  </si>
  <si>
    <t>1995 (AREI) , 2005 (AREI, EPA)</t>
  </si>
  <si>
    <t>Depends on each PA (Min 11 max 32)</t>
  </si>
  <si>
    <t>BA PA creation</t>
  </si>
  <si>
    <t>Mangrove cover</t>
  </si>
  <si>
    <t>Spatiotemporal analysis</t>
  </si>
  <si>
    <t>Socioeconomic activities</t>
  </si>
  <si>
    <t>Li 2022</t>
  </si>
  <si>
    <t>We evaluated the effectiveness of Qilian Mountain Nature Reserve (QMNR) in reducing human footprint (HF)</t>
  </si>
  <si>
    <t>Northeastern edge of the Qinghai‰ÛÒTibet plateau</t>
  </si>
  <si>
    <t>Comparisons of the HF value between inside and outside QMNR and its four functional zones were conducted.</t>
  </si>
  <si>
    <t>Four dominant human activity factors, including population density, land use, road distribution, and night light, were incorporated for HF mapping</t>
  </si>
  <si>
    <t>Adeney 2009</t>
  </si>
  <si>
    <t>Reserves Protect against Deforestation Fires in the Amazon</t>
  </si>
  <si>
    <t>doi:10.1371/journal.pone.0005014</t>
  </si>
  <si>
    <t>(1) Do reserves actually protect Amazonian forests from deforestation and fires? (2) Is protection de facto, a consequence of reserve location (in remote places, for example), or de jure, because legal protections are respected? (3) Are some reserve types more effective than others in preventing deforestation fires</t>
  </si>
  <si>
    <t>Reserves and unPAs by examining satellite-detected hot pixels regressed against road distance across the entire Brazilian Amazon and for a decade with 2 El Nino-related droughts.</t>
  </si>
  <si>
    <t>10 years</t>
  </si>
  <si>
    <t>To confirm the general pattern of our results, we also analyzed 3-year data sets released by the Large-Scale Biosphere-Atmosphere Experiment (LBA) in Amazonia</t>
  </si>
  <si>
    <t>Hot pixel frequency</t>
  </si>
  <si>
    <t>Analysis of covariance to assess patterns of hot pixel frequency in different reserve types, land designations (inside and outside reserves, high- and low-impact areas)</t>
  </si>
  <si>
    <t>Distance to roads, rainfall and droughts (ENSO)</t>
  </si>
  <si>
    <t>Giliba 2022</t>
  </si>
  <si>
    <t>To assess the ecological effectiveness of PAs in the Katavi-Rukwa Ecosystem (KRE) in western United Republic of Tanzania, we investigated temporal changes in land-use and population densities of six large mammal target species (elephant, buffalo, giraffe, zebra, topi, and hartebeest) across areas with different conservation category, ranging from unprotected to strictly protected</t>
  </si>
  <si>
    <t>Western United Republic of Tanzania</t>
  </si>
  <si>
    <t xml:space="preserve">Katavi-Rukwa Ecosystem </t>
  </si>
  <si>
    <t>Other PAs same categories</t>
  </si>
  <si>
    <t>Land cover maps validation</t>
  </si>
  <si>
    <t>Cropland cover</t>
  </si>
  <si>
    <t>Kruskal‰ÛÒWallis test, GLMMs</t>
  </si>
  <si>
    <t>Large mammal population data, Land cover and environmental variables</t>
  </si>
  <si>
    <t>Eklund 2022</t>
  </si>
  <si>
    <t>We explore whether the cessation of on-site protected-area management activities due to the pandemic were associated with increased burning inside PAs</t>
  </si>
  <si>
    <t>Madagascar</t>
  </si>
  <si>
    <t>Other: Madagascar</t>
  </si>
  <si>
    <t>Tropical and subtropical moist broadleaf forests (comprising humid and subhumid forests), tropical and subtropical dry broadleaf forests (comprising dry deciduous forest) and deserts and xeric shrublands</t>
  </si>
  <si>
    <t xml:space="preserve">Quasi experimental desing </t>
  </si>
  <si>
    <t>COVID-19 management suspension from March to July 2020</t>
  </si>
  <si>
    <t>Excess fires per km2</t>
  </si>
  <si>
    <t>Binomial model</t>
  </si>
  <si>
    <t>Precipitation</t>
  </si>
  <si>
    <t>Karimi 2020</t>
  </si>
  <si>
    <t xml:space="preserve"> Develop the national-scale human footprint map for Iran, and (2) examine the extent and intensity of human pressure within Iranian PAs, to assess the effectiveness of conservation efforts at mitigating human impacts.</t>
  </si>
  <si>
    <t>Across biomes and ecoregions</t>
  </si>
  <si>
    <t>Other: Outside; PAs different categories</t>
  </si>
  <si>
    <t>Mean human footprint score</t>
  </si>
  <si>
    <t>(1) human population density; (2) extent of built environments; (3) crop lands; (4) pasture lands; (5) roads; (6) night-time lights; (7) railways; and (8) navigable waterways.</t>
  </si>
  <si>
    <t>Geldmann 2019</t>
  </si>
  <si>
    <t>PAs ability to reduce human pressure and how this varies with socioeconomic and management circumstance</t>
  </si>
  <si>
    <t>Afrotropics, Australasia, Indomalaya, Nearctic, Neotropics, Palearctic</t>
  </si>
  <si>
    <t xml:space="preserve">To account for the nonrandom location of PAs within countries (18), we used propensity score matching (PSM) </t>
  </si>
  <si>
    <t>THPI</t>
  </si>
  <si>
    <t>Propensity score matching (PSM)</t>
  </si>
  <si>
    <t>Human population density, density of night-visible infrastructure and the percentage of area under cropland</t>
  </si>
  <si>
    <t>Koju 2021</t>
  </si>
  <si>
    <t>Impact of the COVID-19 lockdown on wildlife and forests in the PAs (PAs) of Nepal. Between July and September 2020</t>
  </si>
  <si>
    <t>Other: Nepal</t>
  </si>
  <si>
    <t>Data from the fiscal year 2019‰ÛÒ2020 were analyzed, comparing before lockdown and after</t>
  </si>
  <si>
    <t>July 2020</t>
  </si>
  <si>
    <t>COVID lockdowns</t>
  </si>
  <si>
    <t>Key informant interviews (KII) were done with the park officers and security personnel by telephone, messenger app, and video call to collect detailed information and also to verify data collected from various other sources</t>
  </si>
  <si>
    <t>Affected wildlife</t>
  </si>
  <si>
    <t>a) wildlife killed, (b) wildlife injured, (c) arrest incidents related to forest crime, and (d) arrest incidents related to wildlife crime</t>
  </si>
  <si>
    <t>T tests</t>
  </si>
  <si>
    <t>Jacob 2017</t>
  </si>
  <si>
    <t>DOI 10.1007/s10113-016-1070-8</t>
  </si>
  <si>
    <t>detect both land cover changes and treeline dynamics in the afro-alpine belt of the Simien Mountains using repeat photographs (1966‰ÛÒ2014) and to understand the biophysical and
social drivers of these changes</t>
  </si>
  <si>
    <t>Simien Mountains</t>
  </si>
  <si>
    <t>Afro-alpine steppe</t>
  </si>
  <si>
    <t>With the aim of comparing the past vegetation cover with the current situation, the photographs were repeated in November
2014</t>
  </si>
  <si>
    <t>2009 and then 2014</t>
  </si>
  <si>
    <t>Inscription on the World Heritage list in 1978</t>
  </si>
  <si>
    <t>Expert evaluation</t>
  </si>
  <si>
    <t>Historical photographs</t>
  </si>
  <si>
    <t>Average woody vegetation chang</t>
  </si>
  <si>
    <t xml:space="preserve">ANOVA test </t>
  </si>
  <si>
    <t>Elevation, Elevation and distance to scout camp, density of houses</t>
  </si>
  <si>
    <t>Songer 2009</t>
  </si>
  <si>
    <t>10.1007/s10531-008-9490-5</t>
  </si>
  <si>
    <t>To analyze spatial and temporal changes in land cover in relation to deforestation dynamics in protected and unprotected dry forests.</t>
  </si>
  <si>
    <t xml:space="preserve"> Northern edge of Myanmar‰Ûªs central dry zon</t>
  </si>
  <si>
    <t>Other: Myanmar</t>
  </si>
  <si>
    <t>Tropical dry forest</t>
  </si>
  <si>
    <t>We assessed CWS‰Ûª effectiveness at retaining original land cover by comparing inter-period and overall rates of net deforestation found inside and outside CWS</t>
  </si>
  <si>
    <t>Utilized ground-truthing points and satellite imagery to assess classification accuracy.</t>
  </si>
  <si>
    <t>Percentage of forest cover</t>
  </si>
  <si>
    <t>Unsupervised classification and GIS analysis</t>
  </si>
  <si>
    <t>Land cover change index</t>
  </si>
  <si>
    <t>Zeng 2023</t>
  </si>
  <si>
    <t>Monitoring the light pollution changes of China‰Ûªs mangrove forests from 1992-2020 using nighttime light data</t>
  </si>
  <si>
    <t>doi: 10.3389/fmars.2023.1187702</t>
  </si>
  <si>
    <t>Monitor the long-term light pollution changes of China‰Ûªs mangrove forests</t>
  </si>
  <si>
    <t>Six coastal provinces (Guangxi, Guangdong, Fujian, Zhejiang, Hainan, and Taiwan)</t>
  </si>
  <si>
    <t>Light pollution</t>
  </si>
  <si>
    <t>Light pollution intensity</t>
  </si>
  <si>
    <t xml:space="preserve">Temporal changes of light-polluted </t>
  </si>
  <si>
    <t>Mangroves distribution, nighttime light data</t>
  </si>
  <si>
    <t>Pfeifer 2012</t>
  </si>
  <si>
    <t>PAs: Mixed Success in Conserving East Africa‰Ûªs Evergreen Forests</t>
  </si>
  <si>
    <t>doi:10.1371/journal.pone.0039337</t>
  </si>
  <si>
    <t xml:space="preserve">We investigate PA effectiveness at local, landscape and national scales, comparing rates of deforestation within park boundaries with those detected in park buffer zones and in unprotected land more generally. </t>
  </si>
  <si>
    <t>East Africa</t>
  </si>
  <si>
    <t>Burundi;Democratic Republic of the Congo;Ethiopia;Kenya;Mozambique;Malawi;Rwanda;Somalia;United Republic of Tanzania;Uganda;Zambia</t>
  </si>
  <si>
    <t>Evergreen tropical forest</t>
  </si>
  <si>
    <t>Other: Buffer; PAs different categories</t>
  </si>
  <si>
    <t>Background forest loss</t>
  </si>
  <si>
    <t>Accessibility (distance to roads, distance to towns, protection status and slope), vegetation burning (annual burning probabilities and pixel-specific fire frequency at annual resolution), and human population density</t>
  </si>
  <si>
    <t>Nagendra 2004</t>
  </si>
  <si>
    <t>Monitoring Parks Through Remote Sensing: Studies in Nepal and Honduras</t>
  </si>
  <si>
    <t>10.1007/s00267-004-0028-7</t>
  </si>
  <si>
    <t>providing quantitative evaluations of the presence or absence of local participation in PA management</t>
  </si>
  <si>
    <t>Asia; Other: Central America</t>
  </si>
  <si>
    <t>Western Honduras; Southern Terai plains of Nepal</t>
  </si>
  <si>
    <t>Other: Honduras; Nepal</t>
  </si>
  <si>
    <t>We selected two PAs, Celaque National Park (CNP) in Honduras and the Royal Chitwan National Park Buffer Zone (RCNP-BZ) in Nepal, where different approaches with regard to local participation have attempted to achieve conservation. In CNP, the government had not included local populations in decision making during the period of our analyses, while in the RCNP-BZ, recent efforts had implemented participatory arrangements</t>
  </si>
  <si>
    <t>1: 1987
2: 1989</t>
  </si>
  <si>
    <t>Forest cover change</t>
  </si>
  <si>
    <t>Field data on land cover classes, roads, towns, elevation, and slope, socioeconomic and demographic household surveys, and formal and informal interviews exploring forest uses and land-cover change</t>
  </si>
  <si>
    <t>Gnansounou 2022</t>
  </si>
  <si>
    <t>The comanagement approach has positive impacts on mangrove conservation: evidence from the mono transboundary biosphere reserve (Togo‰ÛÔBenin), West Africa</t>
  </si>
  <si>
    <t xml:space="preserve"> https://doi.org/10.1007/s11273-022-09894-0</t>
  </si>
  <si>
    <t>Effectiveness of the comanagement approach for mangrove conservation in West Africa</t>
  </si>
  <si>
    <t>Other: Togo; Benin</t>
  </si>
  <si>
    <t>Degree of exposure of mangroves to the stressors</t>
  </si>
  <si>
    <t>Perceived effectiveness of the co-management in reducing threats</t>
  </si>
  <si>
    <t>Habitat Risk Assessment (HRA)</t>
  </si>
  <si>
    <t>Kong 2022</t>
  </si>
  <si>
    <t xml:space="preserve">We analyzed the spatial patterns of nighttime light intensity and their dynamic changes from 2000 to 2020 in the entire giant panda distribution area using long-term nighttime light remote sensing data, and evaluated the dynamic threats of nighttime light-represented human activities to giant panda populations by proximity of light source and its intensity. </t>
  </si>
  <si>
    <t xml:space="preserve">6 mountain regions (Qinling Mountain, Minshan Mountain, Qionglai Mountain, Daxiangling Mountain, Xiaoxiangling Mountain, and Liangshan Mountain) </t>
  </si>
  <si>
    <t xml:space="preserve">Evergreen coniferous forests and evergreen broadleaf forests </t>
  </si>
  <si>
    <t>Nighttime light intensity (Habitat fragmentation)</t>
  </si>
  <si>
    <t>Intensity and range of nighttime light</t>
  </si>
  <si>
    <t>Spatial data of vegetation, giant panda population, distances from the nighttime light sources to wild giant pandas, DEM</t>
  </si>
  <si>
    <t>All 2017</t>
  </si>
  <si>
    <t>FIRE RESPONSE TO LOCAL CLIMATE VARIABILITY: HUASCARÌ_x0081_N NATIONAL PARK, PERU</t>
  </si>
  <si>
    <t>doi: 10.4996/fireecology.130288764</t>
  </si>
  <si>
    <t>analyze the patterns in fire occurrence, seasonality, and spatial distribution from 2002 to 
2014; and 2) assess the relationships between temperature and precipitation and fire activity.</t>
  </si>
  <si>
    <t>Cordillera Blanca - Tropical Andes</t>
  </si>
  <si>
    <t>Other: Peru</t>
  </si>
  <si>
    <t>Burned Area and Active Fire</t>
  </si>
  <si>
    <t>Fire and climate data</t>
  </si>
  <si>
    <t>Shen 2021</t>
  </si>
  <si>
    <t>10.1111/ddi.13466</t>
  </si>
  <si>
    <t>whether PAs truly achieve conservation targets and whether they promote or inhibit natural habitat degradation in adjacent areas by blockage or leakage spillover</t>
  </si>
  <si>
    <t>Qinghai-Tibet Plateau (QTP)</t>
  </si>
  <si>
    <t>Matching methods to compare deforestation rates inside PAs and their 20 km buffer zones with matched control areas based on the Global Forest Change dataset from 2001 to 2019. We contrasted the effects of NRs with different management levels, ages and areas</t>
  </si>
  <si>
    <t>Deforestation rates</t>
  </si>
  <si>
    <t>Linear model</t>
  </si>
  <si>
    <t>NR age, population density of buffer zones, nnual precipitation, annual mean temperature, slope, elevation, distance to major roads and distance to settlements</t>
  </si>
  <si>
    <t>Joppa 2011</t>
  </si>
  <si>
    <t>doi:10.1098/rspb.2010.1713</t>
  </si>
  <si>
    <t>We estimate the impact of PAs on natural land cover within each of 147 countries by comparing outcomes inside PAswith outcomes outside</t>
  </si>
  <si>
    <t xml:space="preserve">We start with a random sample of 5 percent of each country‰Ûªs PA area (using 1 km2 pixel data). We compare this to a random sample,four times as large, drawn from the country‰Ûªs entire unpro-tected landscape. </t>
  </si>
  <si>
    <t>Natural land cover conversion</t>
  </si>
  <si>
    <t>Percentage of natural vegetation</t>
  </si>
  <si>
    <t>We considered GLOBCOVER300 categories 11 (irrigated croplands), 14(rainfed croplands), 20 (mosaic cropland 50‰ÛÒ70%), 30(mosaic cropland 20‰ÛÒ50%) and 190 (urban areas greaterthan 50%, elevation, ecoregions, Agricultural suitability, We use plate 28 of the dataset,which includes climate, soil type, land cover and slope ofterrain to measure agricultural suitability, ranking each gridcell from 0 (no constraints) to 9 (severe constraints)</t>
  </si>
  <si>
    <t>Szilassi 2021</t>
  </si>
  <si>
    <t xml:space="preserve">Spatial distribution map of five common invasive plant taxa of Europe. What is the role of the HEN and Natura 2000 areas in the spread of the studied invasive species? </t>
  </si>
  <si>
    <t>Other: Hungary</t>
  </si>
  <si>
    <t>Temperate forests and grassland</t>
  </si>
  <si>
    <t>Occurrence of five widespread invasive plant taxa in Hungary</t>
  </si>
  <si>
    <t>Species occurrence</t>
  </si>
  <si>
    <t>Infected and non-infected LUCAS points</t>
  </si>
  <si>
    <t xml:space="preserve">Road and railway networks </t>
  </si>
  <si>
    <t>Dwiyahreni 2021</t>
  </si>
  <si>
    <t>Changes in the human footprint in and around Indonesia‰Ûªs terrestrial national parks between 2012 and 2017</t>
  </si>
  <si>
    <t>This study measured the change in the human footprint in and around 43 terrestrial national parks over 5 years, between 2012 and 2017.</t>
  </si>
  <si>
    <t>7 bioregions: Sumatra, Kalimantan, Sulawesi, Nusa Tenggara, Maluku, Papua and Jawa Bali</t>
  </si>
  <si>
    <t>2015 changes in the management of Indonesia‰Ûªs PAs. # forest guards in each park was reduced by 32% in 2017 compared to 2012</t>
  </si>
  <si>
    <t>RMSE</t>
  </si>
  <si>
    <t xml:space="preserve">Human Influence Index (HII) </t>
  </si>
  <si>
    <t>Percent change of HF</t>
  </si>
  <si>
    <t>Human population,
Land transformation,
Road ,
Settlement,
Human access,</t>
  </si>
  <si>
    <t>Kleemann 2022</t>
  </si>
  <si>
    <t>10.3390/land11020268</t>
  </si>
  <si>
    <t>We identified hotspots of deforestation on the national level of continental Ecuador between 1990 and 2018, analyzed the most significant drivers of deforestation on national and biome level (the Coast, the Andes, The Amazon) as well as inside PAs in Ecuador by using multiple regression analysis</t>
  </si>
  <si>
    <t>Native forest</t>
  </si>
  <si>
    <t>Cloud forest, dry forest, manglar, paramo</t>
  </si>
  <si>
    <t>Percentage of forest change</t>
  </si>
  <si>
    <t xml:space="preserve">Multiple regression </t>
  </si>
  <si>
    <t>PAs, land use/land cover, and deforestation</t>
  </si>
  <si>
    <t>Wang 2023</t>
  </si>
  <si>
    <t>DOI: 10.1111/gcb.16583</t>
  </si>
  <si>
    <t>we quantified the spatial‰ÛÒtemporal dynamics of total area (TA) and patch number (PN) of coastal wetlands with different sizes in the four deltas and the PAs (PAs) and assessed the effects of major driving factors during 1984‰ÛÒ2020. We also investigated the effectiveness of PAs through the comparison of TA and PN of coastal wetlands before and after the years in which PAs were listed as 
Ramsar Sites</t>
  </si>
  <si>
    <t>China's four major river deltas (the LRD, YRD, YtRD, and PRD</t>
  </si>
  <si>
    <t>BA Ramsar declaration</t>
  </si>
  <si>
    <t>LULCC and invasive species</t>
  </si>
  <si>
    <t>Patch numbers (PNs) of coastal wetlands and Spartina saltmarshes and calculated the total areas (TAs) of coastal wetlands, Spartina saltmarshes, and reclamation zone within each delta and PA. Furthermore, we calculated the patch density (PD)</t>
  </si>
  <si>
    <t xml:space="preserve"> Geospatial and statistical analyses</t>
  </si>
  <si>
    <t xml:space="preserve">EVI, NDVI, LSWI, mNDWI remote sensing indexes, Annual areas of invasive Spartina and reclamation in four major river deltas, Sea level data, sediment load </t>
  </si>
  <si>
    <t>Carranza 2014</t>
  </si>
  <si>
    <t>doi: 10.1111/conl.12049</t>
  </si>
  <si>
    <t>We examined the effectiveness of strictly protected and multiple-use PAs as well as indigenous lands (ILs) in reducing conversion in Cerrado from 2002 to 2009 by using matching methods to sample protected and unprotected sites similarly exposed to pressures.</t>
  </si>
  <si>
    <t>Brazilian Cerrado</t>
  </si>
  <si>
    <t>Matching protected vs unprotected sites</t>
  </si>
  <si>
    <t>8 years</t>
  </si>
  <si>
    <t>Field inspections</t>
  </si>
  <si>
    <t>Land conversion</t>
  </si>
  <si>
    <t>Absolute effect (difference between conversion in a control sample and in its matched PA (so a positive value means that the PA experienced less conversion than its control sites).</t>
  </si>
  <si>
    <t>Measures of accessibility (distance to paved roads and nearest state or federal capital city, travel time to the nearest city with a population ‰ä´50,000  rainfall and agricultural suitability (based on features, such as soil fertility, slope, salinity, and risk of flooding)</t>
  </si>
  <si>
    <t>Gracia 2011</t>
  </si>
  <si>
    <t>DOI 10.1007/s10113-010-0138-0</t>
  </si>
  <si>
    <t>Degree, the conservation level of the park, determined the pattern of land-cover change in the area by comparing the results obtained within the park with those of unprotected, peripheral areas.</t>
  </si>
  <si>
    <t>Pyrenees massif</t>
  </si>
  <si>
    <t>Mountain</t>
  </si>
  <si>
    <t>Compared the results obtained within the park with those of unprotected, peripheral areas. In the two areas with different protection level</t>
  </si>
  <si>
    <t>Aerial photographs</t>
  </si>
  <si>
    <t>LULLC</t>
  </si>
  <si>
    <t>Transition from one land cover to another</t>
  </si>
  <si>
    <t>General linear model</t>
  </si>
  <si>
    <t>DEM, land-cover type, forest cover, distance to villages, topographic variables</t>
  </si>
  <si>
    <t>Bleher 2006</t>
  </si>
  <si>
    <t>Assessment of threat status and management effectiveness in Kakamega Forest, Kenya</t>
  </si>
  <si>
    <t>DOI 10.1007/s10531-004-3509-3</t>
  </si>
  <si>
    <t>Quantify human impact and evaluate management effectiveness in Kakamega Forest, western Kenya.</t>
  </si>
  <si>
    <t>Western Kenya</t>
  </si>
  <si>
    <t>In order to evaluate effectiveness of conservation measures we asked how differently managed and PAs differ in their level of human impact</t>
  </si>
  <si>
    <t>Previous study (1996) - Sampling on 2002/3</t>
  </si>
  <si>
    <t>Management institutions</t>
  </si>
  <si>
    <t>Disturbance surveys</t>
  </si>
  <si>
    <t>Logging</t>
  </si>
  <si>
    <t>Trees logged per hectare</t>
  </si>
  <si>
    <t>Anderson 2020</t>
  </si>
  <si>
    <t>The role of PAs in mitigating human impact in the world‰Ûªs last wilderness areas</t>
  </si>
  <si>
    <t>We used the human footprint index to measure the extent to which the world‰Ûªs last wilderness areas have been impacted by human activities‰ÛÓbetween 1993 and 2009‰ÛÓand whether PAs have effectively reduced human impact.</t>
  </si>
  <si>
    <t>14 terrestrial biomes</t>
  </si>
  <si>
    <t>Wilderness areas - Lowest 10% of human influence score</t>
  </si>
  <si>
    <t>16 years</t>
  </si>
  <si>
    <t>HFI change</t>
  </si>
  <si>
    <t xml:space="preserve">Human footprint </t>
  </si>
  <si>
    <t>Wilcoxon test, Kruskal‰ÛÒWallis test</t>
  </si>
  <si>
    <t>Controlling for differences in elevation and slope</t>
  </si>
  <si>
    <t>Hill 2021</t>
  </si>
  <si>
    <t>DOI: 10.1111/cobi.13638</t>
  </si>
  <si>
    <t xml:space="preserve">We conducted the first global analysis of the PA coverage of tidal flats (2014‰ÛÒ2016), human pressure on tidal flats (2014‰ÛÒ2016), and change in tidal flat extent inside and outside PAs from 1999 to 2016. </t>
  </si>
  <si>
    <t>Tidal flats</t>
  </si>
  <si>
    <t xml:space="preserve">Net tidal flat change between 1999‰ÛÒ2001 and 2014‰ÛÒ2016 was quantified and compared inside and outside of the PA network and for individual PAs. Only PAs established before 1999 (n = 5927) were considered to ensure that observed changes in tidal flat extent could not occur prior to PA implementation </t>
  </si>
  <si>
    <t>Human modification map (HMc)</t>
  </si>
  <si>
    <t>Human pressure</t>
  </si>
  <si>
    <t>Coverage of marine and terrestrial realms, country-level governance effectiveness (world governance indicators) (Kauffman et al. 2010), and jurisdiction (marine, coastal, and terrestrial PA) and designation (national, in ternational, and regional PA. HMc: population density, built-up areas, cropland, livestock, major roads, minor roads, two-tracks, railroads, oil wells, wind turbines, powerlines, and nighttime lights (Kennedy et al. 2019).</t>
  </si>
  <si>
    <t>Verma 2020</t>
  </si>
  <si>
    <t>DOI: 10.1111/csp2.169</t>
  </si>
  <si>
    <t>Here, we provide an assessment of changes in human footprint within PAs, KBAs, and bird ranges across Sundaland in Southeast Asia from 1993 to 2009.</t>
  </si>
  <si>
    <t xml:space="preserve"> Sundaland - Southeast Asia </t>
  </si>
  <si>
    <t>Indonesia;Malaysia</t>
  </si>
  <si>
    <t>Lowland forest</t>
  </si>
  <si>
    <t>Statistical analysis</t>
  </si>
  <si>
    <t>KBAs, bird species distribution maps</t>
  </si>
  <si>
    <t>Gimmi 2013</t>
  </si>
  <si>
    <t>Assessing Naturalness in Northern Great Lakes Forests Based on Historical Land-Cover and Vegetation Changes</t>
  </si>
  <si>
    <t>DOI 10.1007/s00267-013-0102-0</t>
  </si>
  <si>
    <t>Historical trajectories in land-cover and forest communities for the Pictured Rocks National Lakeshore on Michigan‰Ûªs Upper Peninsula (USA)</t>
  </si>
  <si>
    <t>Michigan‰Ûªs Upper Peninsula</t>
  </si>
  <si>
    <t>United States of America</t>
  </si>
  <si>
    <t>Naturalness of the landscape was assessed by analyzing the similarity between pre-settlement and current conditions</t>
  </si>
  <si>
    <t>Changes in land cover</t>
  </si>
  <si>
    <t>Landscape continuity</t>
  </si>
  <si>
    <t>Bhadouria 2012</t>
  </si>
  <si>
    <t>DOI 10.1007/s10661-011-2340-z</t>
  </si>
  <si>
    <t xml:space="preserve">To assess the organochlorine pesticide (OCP) residues in the sediments inside and
around KNP. </t>
  </si>
  <si>
    <t>Keoladeo National Park</t>
  </si>
  <si>
    <t>Other: India</t>
  </si>
  <si>
    <t>Wetlands</t>
  </si>
  <si>
    <t>Assess the organochlorine pesticide (OCP) residues in the sediments inside and around KNP. Samples were collected from the different blocks of the park.</t>
  </si>
  <si>
    <t>Not specified</t>
  </si>
  <si>
    <t>Analysis of sediment samples - Gas chromatography</t>
  </si>
  <si>
    <t>Concentrations of OCPs in sediment samples</t>
  </si>
  <si>
    <t>Mean concentrations of pesticide residues in
the sediment samples</t>
  </si>
  <si>
    <t>Comparator type 1</t>
  </si>
  <si>
    <t>Comparator 1 description</t>
  </si>
  <si>
    <t>Comparator type 2</t>
  </si>
  <si>
    <t>Comparator 2 description</t>
  </si>
  <si>
    <t>Comparator 3</t>
  </si>
  <si>
    <t>Comparator 3 description</t>
  </si>
  <si>
    <t>PAs involved</t>
  </si>
  <si>
    <t># PAs</t>
  </si>
  <si>
    <t>PA name</t>
  </si>
  <si>
    <t>PA type</t>
  </si>
  <si>
    <t>PA_Type_mod</t>
  </si>
  <si>
    <t>Level of protection</t>
  </si>
  <si>
    <t>PA characteristics</t>
  </si>
  <si>
    <t>Management strategies?</t>
  </si>
  <si>
    <t>Community involvement</t>
  </si>
  <si>
    <t>Declaration year</t>
  </si>
  <si>
    <t>Formal buffer zone?</t>
  </si>
  <si>
    <t>Analyzed buffer</t>
  </si>
  <si>
    <t>buffer_mod</t>
  </si>
  <si>
    <t># threats analysed</t>
  </si>
  <si>
    <t>Number of threats analyzed</t>
  </si>
  <si>
    <t>Main threats</t>
  </si>
  <si>
    <t>Main_threats_mod</t>
  </si>
  <si>
    <t>Specific threats</t>
  </si>
  <si>
    <t>Main outcomes reported</t>
  </si>
  <si>
    <t>Threat 1</t>
  </si>
  <si>
    <t xml:space="preserve"> A. Have threats changed within PA over time?</t>
  </si>
  <si>
    <t>A. Details</t>
  </si>
  <si>
    <t>B. Have threats changed outside PA?</t>
  </si>
  <si>
    <t>B. Details</t>
  </si>
  <si>
    <t>C. PA more effective than outside/control?</t>
  </si>
  <si>
    <t>C. Details</t>
  </si>
  <si>
    <t>D. Are stricter PA categories more effective?</t>
  </si>
  <si>
    <t>D. Details</t>
  </si>
  <si>
    <t>E. Threat lower in gradient?</t>
  </si>
  <si>
    <t>E. Details</t>
  </si>
  <si>
    <t>F. Were human-dominated areas more prone to threats?</t>
  </si>
  <si>
    <t>F. Details</t>
  </si>
  <si>
    <t>G. Was the outcome attributed to the effectiveness of PAs?</t>
  </si>
  <si>
    <t>G. Details</t>
  </si>
  <si>
    <t>H. Evaluates the impact of PAs but also compares the performance between groups?</t>
  </si>
  <si>
    <t>H. Details</t>
  </si>
  <si>
    <t>Multiple areas analyzed separately? (Check in data extraction form)</t>
  </si>
  <si>
    <t>Threat 2</t>
  </si>
  <si>
    <t>A. Have threats changed within PA over time?</t>
  </si>
  <si>
    <t xml:space="preserve">2A Description </t>
  </si>
  <si>
    <t xml:space="preserve">2B Description </t>
  </si>
  <si>
    <t>2C Description</t>
  </si>
  <si>
    <t>Threat 3</t>
  </si>
  <si>
    <t>3A details</t>
  </si>
  <si>
    <t>3B details</t>
  </si>
  <si>
    <t>C.	PA more effective than outside/control?</t>
  </si>
  <si>
    <t>3C details</t>
  </si>
  <si>
    <t>Threat 4</t>
  </si>
  <si>
    <t>4A details</t>
  </si>
  <si>
    <t>4B details</t>
  </si>
  <si>
    <t>4C details</t>
  </si>
  <si>
    <t>Threat 5</t>
  </si>
  <si>
    <t>5A details</t>
  </si>
  <si>
    <t>5B details</t>
  </si>
  <si>
    <t>5C details</t>
  </si>
  <si>
    <t>S1 Country</t>
  </si>
  <si>
    <t>S1 # PAs</t>
  </si>
  <si>
    <t>S1 PA name</t>
  </si>
  <si>
    <t>S1 PA type</t>
  </si>
  <si>
    <t>S1 Declaration year</t>
  </si>
  <si>
    <t>S1 Threat 1</t>
  </si>
  <si>
    <t>S1 A. Have threats changed within PA over time?</t>
  </si>
  <si>
    <t>S1 A. Details</t>
  </si>
  <si>
    <t>S1 B. Have threats changed outside PA?</t>
  </si>
  <si>
    <t>S1 B. Details</t>
  </si>
  <si>
    <t>S1 C. PA more effective than outside/control?</t>
  </si>
  <si>
    <t>S1 C. Details</t>
  </si>
  <si>
    <t>S1 E. Threat lower in gradient?</t>
  </si>
  <si>
    <t>S1 F. Were human-dominated areas more prone to threats?</t>
  </si>
  <si>
    <t>S1 G. Was the outcome attributed to the effectiveness of PAs?</t>
  </si>
  <si>
    <t>S1 Threat 2</t>
  </si>
  <si>
    <t>S1 A.	Have threats changed within PA over time?</t>
  </si>
  <si>
    <t>S1 B.	Have threats changed outside PA?</t>
  </si>
  <si>
    <t>S1 C.	PA more effective than outside/control?</t>
  </si>
  <si>
    <t>S1 Threat 3</t>
  </si>
  <si>
    <t>S1 Threat 4</t>
  </si>
  <si>
    <t>S2 Country</t>
  </si>
  <si>
    <t>S2 # PAs</t>
  </si>
  <si>
    <t>S2 PA name</t>
  </si>
  <si>
    <t>S2 PA type</t>
  </si>
  <si>
    <t>S2 Declaration year</t>
  </si>
  <si>
    <t>S2 Threat 1</t>
  </si>
  <si>
    <t>S2 A. Have threats changed within PA over time?</t>
  </si>
  <si>
    <t>S2 A. Details</t>
  </si>
  <si>
    <t>S2 B. Have threats changed outside PA?</t>
  </si>
  <si>
    <t>S2 B. Details</t>
  </si>
  <si>
    <t>S2 C. PA more effective than outside/control?</t>
  </si>
  <si>
    <t>S2 C. Details</t>
  </si>
  <si>
    <t>S2 E. Threat lower in gradient?</t>
  </si>
  <si>
    <t>S2 F. Were human-dominated areas more prone to threats?</t>
  </si>
  <si>
    <t>S2 G. Was the outcome attributed to the effectiveness of PAs?</t>
  </si>
  <si>
    <t>S2 Threat 2</t>
  </si>
  <si>
    <t>S2 A.	Have threats changed within PA over time?</t>
  </si>
  <si>
    <t>S2 B.	Have threats changed outside PA?</t>
  </si>
  <si>
    <t>S2 C.	PA more effective than outside/control?</t>
  </si>
  <si>
    <t>S2 Threat 3</t>
  </si>
  <si>
    <t>S2 Threat 4</t>
  </si>
  <si>
    <t>S3 Country</t>
  </si>
  <si>
    <t>S3 # PAs</t>
  </si>
  <si>
    <t>S3 PA name</t>
  </si>
  <si>
    <t>S3 PA type</t>
  </si>
  <si>
    <t>S3 Declaration year</t>
  </si>
  <si>
    <t>S3 Threat 1</t>
  </si>
  <si>
    <t>S3 A. Have threats changed within PA over time?</t>
  </si>
  <si>
    <t>S3 A. Details</t>
  </si>
  <si>
    <t>S3 B. Have threats changed outside PA?</t>
  </si>
  <si>
    <t>S3 B. Details</t>
  </si>
  <si>
    <t>S3 C. PA more effective than outside/control?</t>
  </si>
  <si>
    <t>S3 C. Details</t>
  </si>
  <si>
    <t>S3 E. Threat lower in gradient?</t>
  </si>
  <si>
    <t>S3 F. Were human-dominated areas more prone to threats?</t>
  </si>
  <si>
    <t>S3 G. Was the outcome attributed to the effectiveness of PAs?</t>
  </si>
  <si>
    <t>S3 Threat 2</t>
  </si>
  <si>
    <t>S3 A.	Have threats changed within PA over time?</t>
  </si>
  <si>
    <t>S3 B.	Have threats changed outside PA?</t>
  </si>
  <si>
    <t>S3 C.	PA more effective than outside/control?</t>
  </si>
  <si>
    <t>S3 Threat 3</t>
  </si>
  <si>
    <t>S3 Threat 4</t>
  </si>
  <si>
    <t>S4 Country</t>
  </si>
  <si>
    <t>S4 # PAs</t>
  </si>
  <si>
    <t>S4 PA name</t>
  </si>
  <si>
    <t>S4 PA type</t>
  </si>
  <si>
    <t>S4 Declaration year</t>
  </si>
  <si>
    <t>S4 Threat 1</t>
  </si>
  <si>
    <t>S4 A. Have threats changed within PA over time?</t>
  </si>
  <si>
    <t>S4 A. Details</t>
  </si>
  <si>
    <t>S4 B. Have threats changed outside PA?</t>
  </si>
  <si>
    <t>S4 B. Details</t>
  </si>
  <si>
    <t>S4 C. PA more effective than outside/control?</t>
  </si>
  <si>
    <t>S4 C. Details</t>
  </si>
  <si>
    <t>S4 E. Threat lower in gradient?</t>
  </si>
  <si>
    <t>S4 F. Were human-dominated areas more prone to threats?</t>
  </si>
  <si>
    <t>S4 G. Was the outcome attributed to the effectiveness of PAs?</t>
  </si>
  <si>
    <t>S4 Threat 2</t>
  </si>
  <si>
    <t>S4 A.	Have threats changed within PA over time?</t>
  </si>
  <si>
    <t>S4 B.	Have threats changed outside PA?</t>
  </si>
  <si>
    <t>S4 C.	PA more effective than outside/control?</t>
  </si>
  <si>
    <t>S4 Threat 3</t>
  </si>
  <si>
    <t>S4 Threat 4</t>
  </si>
  <si>
    <t>Ecological context</t>
  </si>
  <si>
    <t>Socioeconomic context</t>
  </si>
  <si>
    <t>Reasons leading to outcomes (Positive)</t>
  </si>
  <si>
    <t>Reasons leading to outcomes (Negative)</t>
  </si>
  <si>
    <t>Comments</t>
  </si>
  <si>
    <t>PA - Management interv.</t>
  </si>
  <si>
    <t>We compare the pre-and post-management fire history (progressive reduction of livestock and fire brigades)</t>
  </si>
  <si>
    <t>PA - PA buffer</t>
  </si>
  <si>
    <t>National park</t>
  </si>
  <si>
    <t>High</t>
  </si>
  <si>
    <t>Single</t>
  </si>
  <si>
    <t>7.1 Fire &amp; fire suppression</t>
  </si>
  <si>
    <t>No significant change in total burned area for each PA. We also observed a seasonal shift in burning, with fires happening later in the fire season after management intervention</t>
  </si>
  <si>
    <t>Neutral</t>
  </si>
  <si>
    <t>parks under higher human influence suffered less burning after management interventions, while the
opposite was observed for the remote Itremo</t>
  </si>
  <si>
    <t>Partially</t>
  </si>
  <si>
    <t xml:space="preserve">Significant reduction in the number of ignitions for Ibity NPA and Serra do Cipo NP after livestock exclusion and active fire suppression, but no significant change in total burned area for each PA. The effect was the modification of the fire regime </t>
  </si>
  <si>
    <t>Brazilian PA had better performance in reducing fire: The strongly enforced fire suppression policy in Brazil and the significant reduction in human activities on the SCNP have resulted, over 32 years, in longer fire return intervals, lower percentages of burned area, and fewer ignitions when compared with Malagasy parks.</t>
  </si>
  <si>
    <t>Enforced fire suppression policy even in areas under high human influence.</t>
  </si>
  <si>
    <t>Less enforcement. Remote and low human density around the park and vegetation fomented faster and larger fire spreads. (No control of local people)</t>
  </si>
  <si>
    <t>Results have non-significant P-value</t>
  </si>
  <si>
    <t>PA - PA categories</t>
  </si>
  <si>
    <t>Inside - Outside</t>
  </si>
  <si>
    <t>Multiple - Mixed types</t>
  </si>
  <si>
    <t>IUCN I, II, III, IV, V, VI, and others</t>
  </si>
  <si>
    <t>Mixed</t>
  </si>
  <si>
    <t>WDPA Sep 2018</t>
  </si>
  <si>
    <t>Non reported</t>
  </si>
  <si>
    <t>Combined</t>
  </si>
  <si>
    <t>Other: Urbanization</t>
  </si>
  <si>
    <t>Infrastructure expansion: deforestation, water and air pollution, illegal hunting, biota homogenization, and noise and light pollution</t>
  </si>
  <si>
    <t>In general PAs in all of the seven IUCN categories are buffering the intrusion of infrastructure within them, but this was not the case for PAs in multiple-use categories where there was a considerable increase in infrastructure within these PAs</t>
  </si>
  <si>
    <t xml:space="preserve">Strictly protected PAs had less infrastructure expansion within their borders(from 0 to 704 km2) than multiple use categories(from 0 to 1960 km2) </t>
  </si>
  <si>
    <t>At the continental scale, our results show that in general the PAs system in South America is buffering the intrusion of infrastructure within PAs. Between 2001 and 2011, while some infrastructure expansion occurred within PAs, the majority occurred around the PAs</t>
  </si>
  <si>
    <t>I, II, III, and IV</t>
  </si>
  <si>
    <t>Strict</t>
  </si>
  <si>
    <t>Increased</t>
  </si>
  <si>
    <t>IE in 67.36%</t>
  </si>
  <si>
    <t>IUCN I showed more variability and the largest extent in comparison with the other categories</t>
  </si>
  <si>
    <t>In almost all categories there was a clear increase in infrastructure expansion as soon as the border is passed</t>
  </si>
  <si>
    <t>V, VI, and Others</t>
  </si>
  <si>
    <t>Multiple use</t>
  </si>
  <si>
    <t>V also showed a large extent of infrastructure
expansion around them, with a median value of 1,597 km2</t>
  </si>
  <si>
    <t>Special Areas of Conservation, Special Protection Areas (SPAs) with NR, NP status</t>
  </si>
  <si>
    <t>We considered cells with overlapping values between 1 and 60% as ‰Û÷belt zones</t>
  </si>
  <si>
    <t>8 Invasive &amp; other problematic species, genes &amp; diseases</t>
  </si>
  <si>
    <t>APAs hosted fewer regulated IAS, N2K sites did not perform better than belt zones.
Fewer regulated IAS that spread through natural dispersal or intentional human assistance in APAs compared to N2K and belt zones</t>
  </si>
  <si>
    <t>We did not observe a better performance of N2K sites compared to their adjacent unPAs in terms of IAS richness</t>
  </si>
  <si>
    <t>areas with higher protection levels would host fewer regulated IAS‰ÛÓwas only partially corroborated, as we observed a weak pattern of APAs hosting fewer regulated IAS than N2K sites and their belt zones, but no differences between N2K sites and their surrounding belts</t>
  </si>
  <si>
    <t>There were fewer species that spread through natural dispersal or intentional human assistance in APAs than in N2K and belt zones</t>
  </si>
  <si>
    <t>N2k with NP/R</t>
  </si>
  <si>
    <t>we observed a weak pattern of APAs hosting fewer 
regulated IAS than N2K sites and their belt zones,</t>
  </si>
  <si>
    <t>N2k</t>
  </si>
  <si>
    <t>Presqu'ile Proå?vincial Park</t>
  </si>
  <si>
    <t>3 km control site</t>
  </si>
  <si>
    <t>4 Transportation &amp; service corridors</t>
  </si>
  <si>
    <t>Transportation</t>
  </si>
  <si>
    <t>Exclusion fencing reduced the number of turtles and amphibians on the road but had no effect for snakes.  Efficacy of road-effect mitigation for proå?tecting wildlife, especially for reptiles and amphibians</t>
  </si>
  <si>
    <t>Decreased</t>
  </si>
  <si>
    <t xml:space="preserve">Exclusion fencing reduced the number of turtles and amphibians on the road but had no effect for snakes. </t>
  </si>
  <si>
    <t>The exclusion fencing installed in Presqu'ile PP to mitigate herpeå?tofauna road mortality significantly reduced the number of turtles and amphibians on the road compared to our control site. This change was not only statistically significant, but also biologically meaningful‰ÛÓthe estimated reduction was approximately 70% for both taxa.</t>
  </si>
  <si>
    <t>Effects are taxon-specific</t>
  </si>
  <si>
    <t>Multiple use reserve</t>
  </si>
  <si>
    <t>5.3 Logging &amp; wood harvesting; 7.1 Fire &amp; fire suppression</t>
  </si>
  <si>
    <t>Deforestation, fire</t>
  </si>
  <si>
    <t>Forest threats were low before and after treatment, because the program prioritized low-pressure sites. Thus, we find significant but small additional conservation effects from the implementation of the program. Notwithstanding, treatment effects are relatively larger in areas with higher deforestation pressure and higher potential agricultural income</t>
  </si>
  <si>
    <t>Lower average annual deforestation rates (3 km2/yr) after the program start than non-BFP reserves (8 km2/yr), so a naÌøve comparison would have led to an overestimation of BFP impacts (cf. Figure A3). However, the BFP reserves already had lower annual average deforestation rates (2 km2/yr) before treatment than non-BFP reserves (4 km2/yr).</t>
  </si>
  <si>
    <t xml:space="preserve"> Over 850 ha of forest were saved</t>
  </si>
  <si>
    <t>Treatment effects are relatively larger in areas with higher deforestation pressure and higher potential agricultural income</t>
  </si>
  <si>
    <t>conservation effects concentrate in areas near markets and at reserve boundaries, and where ex-ante deforestation pressure is relatively high</t>
  </si>
  <si>
    <t>Forest threats were low before and after treatment, because the program prioritized low-pressure sites</t>
  </si>
  <si>
    <t>no impact on fires</t>
  </si>
  <si>
    <t>Located in low threat area</t>
  </si>
  <si>
    <t>Natura 2000</t>
  </si>
  <si>
    <t>1 Residential &amp; commercial development</t>
  </si>
  <si>
    <t>Urban cover inside Natura 2000 was 10 times lower than outside (0.4% vs. 4%) throughout the European Union. However, the rates of urban growth were slightly higher inside than outside Natura 2000 (4.8% vs. 3.9%), which indicates an incipient urban sprawl inside the network</t>
  </si>
  <si>
    <t>Both outside and inside Natura 2000, urban growth increased from 2009 to 2012 and slowed down from 2012 to 2015 (F2, 128.79 = 25.79, p = 3.794e-10)</t>
  </si>
  <si>
    <t>Urban cover inside Natura 2000 was 10 times lower than outside (0.4% vs. 4%) throughout the European Union.However, the rates of urban growth were slightly higher inside than outside Natura 2000 (4.8% vs. 3.9%), which indicates an incipient urban sprawl inside the network.</t>
  </si>
  <si>
    <t>Natura sites affected most by urbanization were those surrounded by densely populated areas (i.e., urban clusters) that had a low number of species or habitats of conservation concern, albeit some member states had high urban cover or growth rate or both in protected sites with a large number of species or habitats of high conservation value</t>
  </si>
  <si>
    <t>Natura 2000 is protected against urbanization to some extent, but there is room for improvement</t>
  </si>
  <si>
    <t>Natura sites protected by the Birds Directive tended to have greater urban covers than those protected by the Habitats Directive</t>
  </si>
  <si>
    <t>Small sites had more urban cover than large sites, but urban growth rates were highest in large Natura sites. 
proximity to densely settled territories</t>
  </si>
  <si>
    <t>Assis, 
Santa BÌÁrbara, 
Itirapina</t>
  </si>
  <si>
    <t>Strict full protection status</t>
  </si>
  <si>
    <t>Preservation and sustainable use</t>
  </si>
  <si>
    <t xml:space="preserve">7 km </t>
  </si>
  <si>
    <t>Fire regimes in PA were similar to those observed in buffer zones suggesting that fire-exclusion policies do not effectively prevent fires in PA that are surrounded by  an anthropic matrix where fire is often used.</t>
  </si>
  <si>
    <t>Neutral, Slighlty and increased for each PA</t>
  </si>
  <si>
    <t>Fire regimes in PA were similar to those observed in buffer zones suggesting that fire-exclusion policies do not effectively prevent fires in PA that are surrounded by an anthropic matrix where fire is often used</t>
  </si>
  <si>
    <t>Fire regimes in PA were similar to those observed in buffer zones suggesting that fire -exclusion policies do not effectively prevent fires in PA that are surrounded by an anthropic matrix where fire is often used.</t>
  </si>
  <si>
    <t>Figure 2</t>
  </si>
  <si>
    <t>most diverse tropical savanna in the world</t>
  </si>
  <si>
    <t xml:space="preserve"> These areas share similar environmental conditions in terms of climate and vegetation type and management policies, and they are all surrounded by a complex landscape characterized by severe land cover changes</t>
  </si>
  <si>
    <t>Chapada das Mesas National Park (CMNP)</t>
  </si>
  <si>
    <t>2006?</t>
  </si>
  <si>
    <t>20 km</t>
  </si>
  <si>
    <t xml:space="preserve">The creation of the park had significant effects on the density ignition when the periods before (1990‰ÛÒ2005) and after (2006‰ÛÒ2017) its creation were compared, and showed no significant effects on total annual area burned and average burn scar area.  </t>
  </si>
  <si>
    <t>analyzing the pattern of fire frequency over the 28 years, the size and total of burned areas, we found a larger annual burned area in the CMNP with higher fire frequencies during the studied period. In total, 38 % (611 km2) of the park had a fire frequency greater than 10 times while 15 % (246 km2) burned two to four times during the 28 year</t>
  </si>
  <si>
    <t xml:space="preserve">B : 63 % of the area, A: 53 % </t>
  </si>
  <si>
    <t xml:space="preserve">The spatial distribution of fire before and after the creation of the PA showed that 80 % and 79 % of the CMNP were burned at least once before and after its creation, respectively, while in the buffer 63 % of the area was burned before and 53 % after </t>
  </si>
  <si>
    <t>No significant change in fire occurrence inside the park after its creation</t>
  </si>
  <si>
    <t>Region of high agricultural expansion</t>
  </si>
  <si>
    <t>Plantations in the buffer zone have led to a decrease in the total annual burned area in the park surroundings (Habitat fragmentation = fire breaker)</t>
  </si>
  <si>
    <t>Geographical isolation limits fire control</t>
  </si>
  <si>
    <t>IDE</t>
  </si>
  <si>
    <t>NP and BR</t>
  </si>
  <si>
    <t>15 km</t>
  </si>
  <si>
    <t>LULC</t>
  </si>
  <si>
    <t>1. Artificial surfaces (Urban fabric, Industrial, commercial and transport, Mine, dump and construction sites, Artificial, non-agricultural vegetated areas
2. Agricultural areas
3. Forest and seminatural areas
4. Wetlands and water bodies</t>
  </si>
  <si>
    <t>Slight increase 1, increase 2</t>
  </si>
  <si>
    <t>Slightly no</t>
  </si>
  <si>
    <t>No x 2, 1 yes</t>
  </si>
  <si>
    <t>As urban and natural areas get closer, there is an intensification of land uses</t>
  </si>
  <si>
    <t>In a context of increasing intensification of land uses, PAs may not be sufficient to accomplish their role of protecting biodiversity</t>
  </si>
  <si>
    <t>agriculture in the three Parks, particularly in CEV where it occupies areas, also in its core area where protection is generally stronger.</t>
  </si>
  <si>
    <t>Complex to extract! Maybe it needs more extraction per threat but it is rather embedded</t>
  </si>
  <si>
    <t>PA - Other LU types</t>
  </si>
  <si>
    <t>Rural properties, Indigenous lands, PAs</t>
  </si>
  <si>
    <t>70% of the fires in 2020 occurred within rural properties, 5% in indigenous lands and 10% in PAs</t>
  </si>
  <si>
    <t>11.74% area burned for the 1st time in 2020</t>
  </si>
  <si>
    <t>72.81 % in rural properties; ILs 1.26%</t>
  </si>
  <si>
    <t>Slightly yes</t>
  </si>
  <si>
    <t>More fires in PAs than Indigenous lands</t>
  </si>
  <si>
    <t>ILs, PAs, rural properties</t>
  </si>
  <si>
    <t>Extreme weather events</t>
  </si>
  <si>
    <t>Cordon Pico Loro-Paxtal: CPL, 
El Triunfo Biosphere Reserve: ETBR, 
La Sepultura Biosphere Reserve: SEBR 
and La Frailescana LF</t>
  </si>
  <si>
    <t>10 km</t>
  </si>
  <si>
    <t>2 Agriculture &amp; aquaculture; 5.3 Logging &amp; wood harvesting; 7.1 Fire &amp; fire suppression; HFI</t>
  </si>
  <si>
    <t>2 Agriculture &amp; aquaculture; 5.3 Logging &amp; wood harvesting; 7.1 Fire &amp; fire suppression; Human footprint</t>
  </si>
  <si>
    <t>Deforestation, agriculture, HPI, fire. Also mentions human density, mining but not extracted</t>
  </si>
  <si>
    <t xml:space="preserve">EBR and LF were affected mainly by forest loss (13.43% and 11.67% forest area lost, respectively) and fire incidence (between 0.02-0.73 and 0 e 0.81 fire hotspots/km 2, respectively). On the other hand, the ETBR and
CPL had lower forest loss and fire incidence but higher mining presence (16.2% and 84.8% of their area involving this activity, respectively), and population density (on average 0.6 and 8.6 inhabitants/km2  respectively). </t>
  </si>
  <si>
    <t>Between 2010 and 2015, the entire study area had a forest loss</t>
  </si>
  <si>
    <t>The forest loss in the 10 km-wide buffer zone was higher than inside PAs amounting to 601.87 km2</t>
  </si>
  <si>
    <t>Agriculture</t>
  </si>
  <si>
    <t xml:space="preserve">By 2015, the extent of agriculture, livestock and forestry in the PAs increased 32.85% (256.55 km2) with an annual rate of change of 5.85%. </t>
  </si>
  <si>
    <t xml:space="preserve"> the extent of agriculture, livestock and forestry in PAs increased by 9.97% (318.04 km2 ) with an annual rate of change of 1.92%</t>
  </si>
  <si>
    <t xml:space="preserve">Between 2010 and 2015, a total of 2668 fire hotspots were detected in the entire study area, 59% occurred in agriculture,livestock and forestry land, 24% in secondary forest and 17% in old-growth forest. Of these fire hotspots, 840 fire hotspots weredetected within the four PAs of which 40% occurred in agriculture, livestock and forestry land, 25% in secondary forest and 35% in old-growth forest. The fire hotspot density within PAs range between 0 and 0.88 fire hotspots/km2 </t>
  </si>
  <si>
    <t>Fire hotspots showed that most of them occurred outside PA</t>
  </si>
  <si>
    <t>16.14% within PAs and 25.21% in the buffer zone, had high values of human pressure (HPI &gt; 0.6). The average value of the human pressure index in the buffer zone was 0.63 (SD å? 0.19), in comparison in PAs it was 0.58 (SD å? 0.21)</t>
  </si>
  <si>
    <t>MPA</t>
  </si>
  <si>
    <t>2 Natural Reserve (NR)
1 Sustainable Management of Resources Area (SMRA)</t>
  </si>
  <si>
    <t>5.1 Hunting, gathering, fishing ; 6.1 Recreational activities</t>
  </si>
  <si>
    <t>Recreation; Fishing</t>
  </si>
  <si>
    <t>Pressure indices were higher within no-take MPAs, except for fishing.</t>
  </si>
  <si>
    <t>Recreational activities</t>
  </si>
  <si>
    <t>Pressure indices pertaining to landing speed, and swimming activities appeared to be highest on MPA islets, which thus suffered from the highest level of pressure from these activities and behaviors</t>
  </si>
  <si>
    <t>Depending on the threat. Snorkeling was more practiced at NR islets.</t>
  </si>
  <si>
    <t xml:space="preserve">Accessibility </t>
  </si>
  <si>
    <t>Fishing</t>
  </si>
  <si>
    <t>Outside MPAs (OR), fishers were unsurprisingly more numerous, and fishing activity was not observed in any of the three MPAs considered,</t>
  </si>
  <si>
    <t>Accessibility was the main criterion mentioned (56% of visitors) for selecting a particular islet</t>
  </si>
  <si>
    <t>WDPA 2010</t>
  </si>
  <si>
    <t>Non-protected</t>
  </si>
  <si>
    <t>5.3 Logging &amp; wood harvesting</t>
  </si>
  <si>
    <t>There was a marked contrast between rates of loss in protected and unPAs: forest in PAs was lost at approximately one third of the rate
found outside PAs (4% and 11% respectively), while woodland in PAs was lost at approximately two thirds of the rate found in unPAs (33% and 45% respectively; Fig. 1 and Table 2). Of the remaining forest area, 74% is within PAs, compared to 32% for woodland.</t>
  </si>
  <si>
    <t>Observed 25-y loss: 3.4%, 28,3&amp; forest and woodland respectively Tabe 2</t>
  </si>
  <si>
    <t>Observed 25-y loss: 7,4%46% forest and woodland respectively</t>
  </si>
  <si>
    <t>Effectiveness at reducing woodland loss is particularly low: PAs reduce the expected conversion rate by just 16%. Our estimate of 40% effectiveness for forests; and 16% for woodland is very low compared to other estimates for this region</t>
  </si>
  <si>
    <t>exceptional endemism</t>
  </si>
  <si>
    <t>Likelihood of habitat conversion decreasing rapidly as distance to edge increases, travel time to large cities exceeds 12 h, Increased distance to water</t>
  </si>
  <si>
    <t>habitat conversion peaked around 1000‰ÛÒ1200 m.a.s.l., particularly in flatter terrain, woodlands are undergoing far greater rates of conversion than forests</t>
  </si>
  <si>
    <t>N2k: 72 SAC and 39 SPA
PAs: national parks, and natural reserves</t>
  </si>
  <si>
    <t>Low</t>
  </si>
  <si>
    <t>a stricter management of human pressure under additional regulations did not seem to prevent IAS occurrence in N2000 sites. The accessibility to protected sites seems to be a relevant factor explaining the IAS occurrence.</t>
  </si>
  <si>
    <t>There was no significant difference of the mean total IAS of fauna between protected and unprotected cells in the 100 comparisons done at P &lt; 0.005.  Likewise, the mean total IAS of flora was similar between protected and unprotected cells, except in the 2% of comparisons at p &lt; 0.005</t>
  </si>
  <si>
    <t>Within N2000 protected cells, those with an additional protection (APA, N å? 39) showed a mean total IAS similar to those with only N2000 protection (N å? 60), both in fauna (ANOVA, F1,97 å? 3,44, P å? 0.067; mean protected and additional, 2.56 å± 0.35; mean only N2000, 3.82 å± 0.50) and flora (ANOVA, F1,97 å? 0.14, P å? 0.709; mean protected and additional, 1.31 å± 0.34; mean only N2000, 1.48 å± 0.31). Therefore, it seems that a stricter management of human pressure under additional regulations does not prevent IAS occurrence in N2000 sites</t>
  </si>
  <si>
    <t>N2k sites are as vulnerable to IAS as unPAs</t>
  </si>
  <si>
    <t>Accessibility to protected sites</t>
  </si>
  <si>
    <t>WDPA 2016</t>
  </si>
  <si>
    <t>0‰ÛÒ25 km</t>
  </si>
  <si>
    <t>Artificial Light At Night (ALAN)</t>
  </si>
  <si>
    <t>We found that ALAN is low and stable over time within PAs, but is the highest in a first outer belt (&lt; 25 km) around PAs, and tends to increase in a second outer belt (25‰ÛÒ75 km). In the meantime, ALAN is higher within BHs than outside, and is even the highest and increasing over time in an inner belt, close to their periphery</t>
  </si>
  <si>
    <t>Low and stable over time within PAs</t>
  </si>
  <si>
    <t>Mean ALAN is lower within PAs, higher in their close surrounding (0‰ÛÒ25 km), tended to decrease further from the periphery of the PA borders. The mean ALAN appears lower (&lt; 50 DN value) and stable from 150 km from PA borders (Fig. 2A-i)</t>
  </si>
  <si>
    <t>Low and stable over time within PAs, but is the highest in a first outer belt (&lt; 25 km) around PAs, and tends to decrease after 25 km</t>
  </si>
  <si>
    <t>Increased in human population at the borders of PAs</t>
  </si>
  <si>
    <t>Non indigenous lands</t>
  </si>
  <si>
    <t>&lt; 1992</t>
  </si>
  <si>
    <t>Defor. rate (1992‰ÛÒ2000) 0.01 Defor. rate (2000‰ÛÒ200) 0.05</t>
  </si>
  <si>
    <t>Defor. rate (1992‰ÛÒ2000) 0.19
Defor. rate (2000‰ÛÒ2008) 0.30</t>
  </si>
  <si>
    <t>Comparing clearing during 1992‰ÛÒ2000 for those locations that were forested in 1992 but unprotected (19%) with clearing in the same time period for protected forested lands (1%) suggests that almost all clearing was blocked</t>
  </si>
  <si>
    <t>PAs located on lands likely to face lower pressure for clearing.</t>
  </si>
  <si>
    <t>PAs have lower deforestation rates than unPAs, but this difference is partially explained by factors like location and land characteristics</t>
  </si>
  <si>
    <t>Protected forests are also farther from roads in particular, as well as cities, and on lands with lower agricultural suitability</t>
  </si>
  <si>
    <t>WDPA, 2020</t>
  </si>
  <si>
    <t>Category Ia (Strict Nature Reserve) and Ib (Wilderness area) are strictly protected;
Categories II, III and IV;
Category V and VI PAs: MUS;
Not reported</t>
  </si>
  <si>
    <t>Category Ia (Strict Nature Reserve) and Ib (Wilderness area) are strictly protected;
Categories II, III and IV; Category V and VI PAs: MUS;
Not reported</t>
  </si>
  <si>
    <t xml:space="preserve">Human modification </t>
  </si>
  <si>
    <t>IUCN management category allocation played a minor role in influencing the modification and forest integrity observed within PAs. Instead, PA size was the most important determinant of these variables across the different regions under consideration.</t>
  </si>
  <si>
    <t>IUCN management category allocation played a minor role in influencing the modification and forest integrity observed within PAs.</t>
  </si>
  <si>
    <t>Biodiversity hotspots</t>
  </si>
  <si>
    <t>PA size</t>
  </si>
  <si>
    <t>National reserve</t>
  </si>
  <si>
    <t>1) built environment (0‰öÕ 10); (2) Cropland (0‰öÕ 7); (3) Pasture lands (0‰öÕ 4); (4) Nighttime  lights (0‰öÕ 10); (5) Population density (0‰öÕ 10); (6) Major roads (0‰öÕ 8); and (7) Railways (0‰öÕ 4).</t>
  </si>
  <si>
    <t>We found that the human footprint on the Qinghai-Tibet Plateau has increased by 22% since 2000, and on average, human pressure inside NRs was 60% lower than outside. However, human pressure was identified in the majority of the NRs, with only 30% of protected land free from any measurable pressure. From a total of 53 NRs, 28 showed over 10% increase in human footprint, and 6 NRs had over 70% of their extent under intense human pressure (human footprint score‰ä´4).</t>
  </si>
  <si>
    <t xml:space="preserve">From a total of 53 NRs, 28 showed over 10% increase in human footprint, and 6 NRs had over 70% of their extent under intense human pressure (human footprint  score‰ä´4). </t>
  </si>
  <si>
    <t>We found that the human footprint on the Qinghai-Tibet Plateau has increased by 22% since 2000</t>
  </si>
  <si>
    <t>On average, human pressure inside NRs was 60% lower than outside</t>
  </si>
  <si>
    <t>Human pressure was identified in the majority of the NRs, with only 30% of protected land free from any measurable pressure</t>
  </si>
  <si>
    <t>Population density had the largest proportional contribution to this increase 
(59.6%), followed by nighttime lights (22.0%). 
Agricultural areas (Fig. 3c), urban development (Fig. 3d), and habitat fragmented by major roads (Fig. 3e) are occurring within the NRs 
Smaller NRs located southeast of the study area were much more likely to have a higher coverage of areas affected by an intense human pressure than larger NRs under the different threshold.</t>
  </si>
  <si>
    <t>National park and Wildlife sanctuary</t>
  </si>
  <si>
    <t>While the overall rate of forest cover loss declined from 33.56% during 2004‰ÛÒ2011 to 11.23% during 2011‰ÛÒ2017, the net impact on individual PA was not so positive: forest cover declination rate increased in LNP but decreased in TWS.</t>
  </si>
  <si>
    <t>Higher forest loss in WS than NP</t>
  </si>
  <si>
    <t>All parties except the direct beneficiaries of co-management activities had the same perception that co-management did not significantly improve the forest cover conditions in the PAs</t>
  </si>
  <si>
    <t>Bangladesh</t>
  </si>
  <si>
    <t>Lawachara National Park</t>
  </si>
  <si>
    <t>1996 / Formal buffer</t>
  </si>
  <si>
    <t>Forest cover declination rate increased</t>
  </si>
  <si>
    <t xml:space="preserve"> Teknaf Wildlife Sanctuary</t>
  </si>
  <si>
    <t>Wildlife sanctuary</t>
  </si>
  <si>
    <t>/ No</t>
  </si>
  <si>
    <t>Forest cover declination rate decreased</t>
  </si>
  <si>
    <t>Anthropogenic pressure on forest resources is extremely high. People's increasing dependency on forests. PAs declaration heightened the conflict between PA managers</t>
  </si>
  <si>
    <t>Forest destruction to easy access into PAs for the local people ‰ÛÒ both rich and poor- under the umbrella of co-management</t>
  </si>
  <si>
    <t>Moreton Bay Marine Park</t>
  </si>
  <si>
    <t>Multiple-use</t>
  </si>
  <si>
    <t>Adjacent areas</t>
  </si>
  <si>
    <t xml:space="preserve">5.1 Hunting, gathering, fishing </t>
  </si>
  <si>
    <t xml:space="preserve">Measured changes in spatial patterns of fishing showed that the effects of rezoning on most fishing activity was minimal. After rezoning, the proportion of recreational fishing declined from 6.3 to 2.6% of the footprint in the new MNPs. The proportion of commercial fishing declined from 25 to 1%, although the amount of commercial fishing was low. There was an overall increase in fishing activity on Moreton Bay. Low recreational fisher displacement suggests that the expansion of the MNP area did not have a high social cost. However, most no-take zones were areas not previously subject to high recreational fishing pressure. </t>
  </si>
  <si>
    <t>Slightly decreased</t>
  </si>
  <si>
    <t>The proportion of recreational fishing declined from 6.3 to 2.6% of the footprint in the new MNPs. Commercial fishing declined from 25 to 1%, although the amount of commercial fishing was low</t>
  </si>
  <si>
    <t>Unlike the MNPs, the control areas had statistically significantly larger numbers of vessels fishing in summer and on the weekend</t>
  </si>
  <si>
    <t>More fishing effort occurred outside the no-take zones after rezoning</t>
  </si>
  <si>
    <t>However, most of the no-take zones were areas not previously subject to high recreational fishing pressure</t>
  </si>
  <si>
    <t>Bozin and Marakhil PAs</t>
  </si>
  <si>
    <t>LULCC: Habitat fragmentation</t>
  </si>
  <si>
    <t>The protection effect was scale dependent, with significant habitatloss and fragmentation atthe fine scale but not at the broad scale. Protection increased the number of large patches inside the park, as indicated by a shift from a truncated power law to a power law distribution of patch sizes</t>
  </si>
  <si>
    <t>The unprotected buffer zone however showed a substantial decrease in patch extension, patch isolation, contiguity and fractal dimension. Official protection maintained the contiguity and complexity of the landscape.</t>
  </si>
  <si>
    <t>Forest patches in the PA were larger with higher extension, were less isolated, and more contiguous than the ones in the buffer zone in 2009</t>
  </si>
  <si>
    <t>1.5 km</t>
  </si>
  <si>
    <t>The herding district has experienced notable land cover changes during the past decades, and most of these changes were directly related to forestry. The proportion of continuous coniferous forests of the total forest cover declined from 92% to 78% between 1987 and 2013. Approximately one third of the forests outside current conservation areas were disturbed by forest management by 2013, and remaining forests were notably more fragmented than forests within conservation areas. The extent of the road and path networks expanded considerably between 1960s and 2010 as a result of increasing logging and tourism.</t>
  </si>
  <si>
    <t>The proportion of continuous and disturbed forest of the total forest area. 1987: 97,3, 2013: 90,9</t>
  </si>
  <si>
    <t>Outside conservation areas, the proportion of continuous forests of the total forest land declined from 88% to 69%</t>
  </si>
  <si>
    <t>Approximately one third of the forests outside current conservation areas were disturbed by forest management by 2013, and remaining forests were notably more fragmented than forests within conservation areas</t>
  </si>
  <si>
    <t>NR</t>
  </si>
  <si>
    <t>Forest reserve</t>
  </si>
  <si>
    <t>Used but not defined</t>
  </si>
  <si>
    <t>Much of the peripheral closed and open vegetative covers have been converted to farms and bushes with little disturbance within the interior of the reserve. The study revealed that, the conservation management policies were yielding very little results due to a number of policy deficiencies including low staff strength, lack of logistics and low remuneration</t>
  </si>
  <si>
    <t>Coverage of close and open forest declined by 33% and 55%, respectively from 1986 to 2013</t>
  </si>
  <si>
    <t>The forest cover at the fringes of the reserve is being converted into shrubs/bushes, barelands, settlements and farms</t>
  </si>
  <si>
    <t>Results of the study suggest that, the Forest and Wildlife Policy of 1994 was incapable of curbing the degradation of the reserve</t>
  </si>
  <si>
    <t>Ghana‰Ûªs Upper Guinea Forests declared as a Globally Significant Biodiversity Area (GSBA).</t>
  </si>
  <si>
    <t>Under threat from several human disturbances which could impact on the land cover of the reserve</t>
  </si>
  <si>
    <t>Buffer is not clearly defined</t>
  </si>
  <si>
    <t>Special Areas of Conservation (SACs) or Nature Conservation MPAs (NCMPAs)</t>
  </si>
  <si>
    <t>While the measures do not reduce fishing pressure markedly, they do protect relatively pristine habitats from future fishing impacts.</t>
  </si>
  <si>
    <t>Fig 2</t>
  </si>
  <si>
    <t>current measures within the network are unlikely to significantly reduce the fishing pressure to which benthic habitats and species are expose</t>
  </si>
  <si>
    <t>Klang Gate, Sungai Dusun, and Bukit Kutu wildlife reserves</t>
  </si>
  <si>
    <t>Wildlife reserves</t>
  </si>
  <si>
    <t>1 Residential &amp; commercial development; 2 Agriculture &amp; aquaculture; 5.3 Logging &amp; wood harvesting; LULC</t>
  </si>
  <si>
    <t>Logging; Agriculture; Urbanization: Built-up area; LULCC: fragmentation</t>
  </si>
  <si>
    <t xml:space="preserve">Klang Gate which located adjacent to the highly urbanizing area experienced a very significant loss of forest while built-up area and commercial agriculture gradually encroached into the reserve. It also has a higher degree of fragmentation and human impact than the other two reserves. Human impact inside of Klang Gate was concomitant to the outside. However, Bukit Kutu almost undisturbed and Sungai Dusun was slightly intruded by commercial agriculture. </t>
  </si>
  <si>
    <t>Slightly increased</t>
  </si>
  <si>
    <t>1 I, 2 N Fig 1</t>
  </si>
  <si>
    <t>2Y 1Neu</t>
  </si>
  <si>
    <t>Location</t>
  </si>
  <si>
    <t>I Neu SI Fig 3 and 5</t>
  </si>
  <si>
    <t>Ix2 SI</t>
  </si>
  <si>
    <t>2Y</t>
  </si>
  <si>
    <t>2I 1N</t>
  </si>
  <si>
    <t>I SI N</t>
  </si>
  <si>
    <t>Fig 8</t>
  </si>
  <si>
    <t>Located in low threat area: Remote, hilly, close to town with low population density</t>
  </si>
  <si>
    <t>surrounded intensively by oil palm plantation</t>
  </si>
  <si>
    <t>5 km</t>
  </si>
  <si>
    <t>Urbanization: Nighttime light</t>
  </si>
  <si>
    <t>The LAI and LII increased by 3.22 and 3.51 times from 1992 to 2012, which showed that the area and intensity of NTL in PAs experienced simultaneous growth.
We identified a significant increase of NTL within 36% of PAs and outside 60% of PAs, indicating the persistent increase in the intensity of human disturbance in and around these PAs.</t>
  </si>
  <si>
    <t>36% of PAs and outside 60% of PAs</t>
  </si>
  <si>
    <t xml:space="preserve">PAs in areas with low population density, such as Northeast and North China, experienced significant increase in human activities </t>
  </si>
  <si>
    <t>Among the six geographical divisions, the highest total amounts of LAI and LII were in Northeast and South Central China, respectively.</t>
  </si>
  <si>
    <t>Nature reserve</t>
  </si>
  <si>
    <t>&lt; 1990</t>
  </si>
  <si>
    <t>Buffer analysis</t>
  </si>
  <si>
    <t>2 Agriculture &amp; aquaculture; 4 Transportation &amp; service corridors; HFI</t>
  </si>
  <si>
    <t>2 Agriculture &amp; aquaculture; 4 Transportation &amp; service corridors; Human footprint</t>
  </si>
  <si>
    <t>HFI; Agriculture; Transportation</t>
  </si>
  <si>
    <t>The HFS inside the NRs of Tibet increased by 0.39 during 1990‰ÛÒ2010, while the score outside the NRs increased by 1.31 (Table 5). In terms of the relative rate of change, the value inside the NRs was also lower than the value outside the NRs.</t>
  </si>
  <si>
    <t>The establishment of national and provincial NRs in Tibet has been effective in reducing the impact of human activities on the natural environment.</t>
  </si>
  <si>
    <t xml:space="preserve">Grazing intensity  0,16  </t>
  </si>
  <si>
    <t>0,71</t>
  </si>
  <si>
    <t>Road disturbance scores increased by 0,23</t>
  </si>
  <si>
    <t>and 0.56 outside the NRs.</t>
  </si>
  <si>
    <t xml:space="preserve">Important area for biodiversity </t>
  </si>
  <si>
    <t>The growth of the human footprint was uneven. The growth of the human footprint occurred mainly in the central and eastern parts of Tibet, especially the middle reaches of the Yarlung Zangbo River and the valleys of its two tributaries and the surrounding regions of major roadways and railways, including the Qinghai‰ÛÒTibet highway and railway. 
Grazing intensity and road disturbance intensity contributed significantly to the increase in the HFS</t>
  </si>
  <si>
    <t>PA - Gradient</t>
  </si>
  <si>
    <t>National Nature Reserves</t>
  </si>
  <si>
    <t>NNRs are divided into: 1) core zone under strict protection because there is a concentrated distribution area of well-preserved ecosystems, rare and endangered species, and natural relics. 2) The buffer zones are designated around the core zones to mitigate or block interference to core zones.  3) The experimental zones are designated outside the buffer zones or core zones, and multiple activities related to biodiversity conservation and sustainable development are implemented there</t>
  </si>
  <si>
    <t>The forest loss in NNRs showed a decreasing trend since 2011, indicating that NNRs reduced the forest loss. There was no significant difference of forest loss proportion (p = 0.42) between the core zones (0.60 å± 1.32%) and buffer zones (0.55 å± 0.88%), implying that their performance in forest con_x0002_servation was similar. There was a significant difference between experimental and core zones as well as between experimental and buffer zones both in forest loss area and proportion (p èâ 0.05). We confirmed that the proportion of functional zones significantly affects the conservation effectiveness, i.e., an improper proportion of core zones or buffer zones may lead to forest loss.</t>
  </si>
  <si>
    <t>Forest loss in NNRs showed a decreasing trend since 2011</t>
  </si>
  <si>
    <t>No significant difference of forest loss proportion (p = 0.42) between the core zones (0.60 å± 1.32%) and buffer zones (0.55 å± 0.88%)</t>
  </si>
  <si>
    <t>The buffer and core zones performed better than the experiment zones in forest conservation</t>
  </si>
  <si>
    <t xml:space="preserve"> CorazÌ?n de Oro Protective Forest</t>
  </si>
  <si>
    <t>Mixed-use PA</t>
  </si>
  <si>
    <t>Landscape composition remained relatively unchanged over time, the creation of the PA significantly altered landscape configuration but curbed human pressure on evergreen montane habitats. The downsizing event increased anthropogenic pressure on highland pÌÁramo vegetation.</t>
  </si>
  <si>
    <t>The creation of the PA significantly altered landscape configuration but curbed human pressure on evergreen montane habitats</t>
  </si>
  <si>
    <t>The downsizing event increased anthropogenic pressure on highland paramo vegetation</t>
  </si>
  <si>
    <t>Biodiversity hotspot</t>
  </si>
  <si>
    <t>WDPA Oct 2018</t>
  </si>
  <si>
    <t>strictly protected (IUCN categories I‰ÛÒII), (b) non-strictly protected (IUCN categories III‰ÛÒVI), and (c) areas with no IUCN category reported</t>
  </si>
  <si>
    <t>&lt; 1993</t>
  </si>
  <si>
    <t xml:space="preserve">One-third of the lakes are under considerable pressure. However, during the 16-year period examined, human pressure had increased in only 16% of the lakes, while it remained unchanged in 66%, and has even decreased in 18%. These patterns, though, were not uniform across the globe. Many lakes within tropical and subtropical regions, particularly in Africa‰ÛÓbut also in South America and Asia‰ÛÓexperienced sizeable increases in human pressure. Moreover, the percentage of lakes within Key Biodiversity Areas in which the human pressure had increased was three times larger the overall number. Although increases in human pressure were lower in lakes within PAs‰ÛÓcompared to lakes outside‰ÛÓthere were numerous exceptions, particularly in the tropics </t>
  </si>
  <si>
    <t>Increased in 21.5%, remained unchanged in 52.6%, and decreased in 25.9%.</t>
  </si>
  <si>
    <t>The human footprint had increased in 15.4% of the lakes outside PAs. outside PAs, there was either no change (68.0%) or the human footprint had decreased (16.6%).</t>
  </si>
  <si>
    <t>The matching analysis showed that in six of the fourteen (40%) biomes the change in human footprint was higher within lakes in PAs than lakes outside. the difference was statistically significant for only two of those</t>
  </si>
  <si>
    <t>The percentage of lakes within PAs in which human footprint had increased was higher in those with no IUCN category (24.4%) or a non-strict protection level (i.e., IUCN categories III‰ÛÒVI; 22.9%). Of those under strict protection (i.e., IUCN categories I‰ÛÒII), the human footprint had increased in 17.4% of them,</t>
  </si>
  <si>
    <t>the human footprint within the lakes in PAs had reduced in eight of the biomes. It is worth noting, though, that in five of those biomes the human footprint had actually decreased in most of the lakes regardless of the protection status. In fact, in boreal forests the reduction was higher outside PAs</t>
  </si>
  <si>
    <t>. Lakes within temperate regions, especially in North America, experienced less increase in human footprint and overall appear to be on average under lower human pressure‰ÛÓirrespective of the index used to measure human pressure (Fig. 1). In Europe, the human footprint had decreased in more than half of the lakes</t>
  </si>
  <si>
    <t>Lakes in tropical and subtropical regions, especially in Africa and South America, experienced considerable increases in human footprint. Additionally, the human population densities within the lakes in those regions appear to be increasing further</t>
  </si>
  <si>
    <t>1 Residential &amp; commercial development; 2 Agriculture &amp; aquaculture; 5.3 Logging &amp; wood harvesting</t>
  </si>
  <si>
    <t>Urbanization; Agriculture; Deforestation</t>
  </si>
  <si>
    <t>we observed a lower intensity of anthropization processes in PAs, increasing the persistence of natural and agrarian areas; key habitats for species conservation. The highest persistence of natural areas corresponds to Nationally Designated Protected (NDP) areas, while in Natura Net 2000 we found the highest agrarian areas persistence. Nevertheless, Natura Net 2000 areas ‰ÛÒ with the exception of those nominated as NDP ‰ÛÒ had the largest increase of artificial surfaces as well as the highest internal processes of change within natural areas due to disturbances</t>
  </si>
  <si>
    <t>NDP experienced the lowest increases in artificial surfaces (34.6%, Table 3) and anthropization and urbanization processes from other land cover categories</t>
  </si>
  <si>
    <t>Nationally Designated Protected (NDP)</t>
  </si>
  <si>
    <t>-1,1</t>
  </si>
  <si>
    <t>‰öÕ0.4</t>
  </si>
  <si>
    <t>-0,6</t>
  </si>
  <si>
    <t>-1,6</t>
  </si>
  <si>
    <t>Legally binding PAs</t>
  </si>
  <si>
    <t>Differences between biomes: emperate biome experienced a greater presence of natural over, lower land change rates, and a smaller decrease of natural areas than the Mediterranean</t>
  </si>
  <si>
    <t>We measured and compared the development pressure in PAs and within buffers the same size in the area of the PAs (namely outside of the PAs). We also investigated whether the performance of PAs will be threatened by outside development pressure.</t>
  </si>
  <si>
    <t>National level</t>
  </si>
  <si>
    <t>Equal area method, according to each PA size</t>
  </si>
  <si>
    <t>Prop. PA size</t>
  </si>
  <si>
    <t xml:space="preserve">176 of the PAs had more development pressure outside their boundaries than inside PAs in 2018. For 175 PAs, we found a higher increasing rate of impervious areas outside of the PAs from 2000 to 2018, which suggested that increased human activities outside of the PAs were placing increased development pressure on the PAs. The PAs with higher development pressure outside their boundaries were more common in populous regions, especially in eastern China. Consistent with our findings from the ISA data, the NTL data also indicated that national PAs in China have faced increasing development pressures from outside PAs from 2000 to 2018. </t>
  </si>
  <si>
    <t>The average proportion of ISA outside of the PAs was 0.29% in 2018, which was higher than ISA inside the PAs of 0.06% (Fig. 2). Of the 290 PAs, 176 had a larger ISA outside of the PAs than inside the PAs.</t>
  </si>
  <si>
    <t xml:space="preserve">The development pressure inside the PAs was lower than outside, as shown by the lower proportion of impervious surface areas (ISA, Fig. 2) and total nighttime light intensities (NTL, Fig. 3) inside the PAs. </t>
  </si>
  <si>
    <t>it was more common for there to be higher pressures outside of the 
PAs than inside of the PAs in the more populated regions</t>
  </si>
  <si>
    <t>we found higher increasing rates of development pressure for the PAs of western China, which could be related to increasing economic activity, including transportation development</t>
  </si>
  <si>
    <t>WDPA 2019</t>
  </si>
  <si>
    <t>BA 1980</t>
  </si>
  <si>
    <t>1,  5 and 20 km</t>
  </si>
  <si>
    <t>The designation of a PA is a process that can increase it‰Ûªs the area‰Ûªs natural condition in a few years, thus providing a beneficial effect on its surrounding environment. However, this effect depends on the distance and when the PA was declared. The naturalization effect is more visible at the nearest buffer distances in reserves that have been protected for the longest time.</t>
  </si>
  <si>
    <t>Anthropization percentages do not vary between PAs declared before and after 1980 (0.04% vs. 0.06%)</t>
  </si>
  <si>
    <t>Both anthropization and naturalization processes are higher and similar in each NP boundary annular buffer from 1 to 5 km (1‰öÕ 5), while at the nearest (0‰öÕ 1) and farthest (5‰öÕ 20) distances naturalization is higher than anthropization (Fig. 5A)</t>
  </si>
  <si>
    <t>According to our results, establishing PAs exerts a beneficial effect on their surrounding environment, which is in</t>
  </si>
  <si>
    <t>Naturalization effect is only visible at the nearest buffer distance considered (‰äö1 km) in those reserves that have been protected for the longest time. However, in the
most recent PAs this naturalization effect is evident at all the distances, but mainly in the unPAs located within the 1‰ÛÒ5 km annular buffer</t>
  </si>
  <si>
    <t>anthropization within PAs seems to be comparatively higher in Southern and Eastern Europe, while naturalization would be higher in Central and Northern Europe</t>
  </si>
  <si>
    <t xml:space="preserve">We selected 33 sampling sites in rivers and streams, 10 within and 23 outside PAs, with the latter being 1.3‰ÛÒ49.5 km distant from the nearest PA </t>
  </si>
  <si>
    <t>SÌ£o Joaquim National Park, Aparados da Serra National Park, Serra Geral National Park, SÌ£o Francisco de Paula National Forest, Private Natural Heritage Reserve</t>
  </si>
  <si>
    <t>Between 1.3‰ÛÒ49.5 km</t>
  </si>
  <si>
    <t>9 Pollution</t>
  </si>
  <si>
    <t>We found that the water quality of streams inside the PAs mirrored the exogenous anthropogenic inputs and represented the condition of the streams in the region as a whole.</t>
  </si>
  <si>
    <t xml:space="preserve">Pollution </t>
  </si>
  <si>
    <t>Biological parameters (E. coli and total coliforms) showed no differences between PAs and non-PAs (U = 98.0, t = ‰ÛÒ1.235, respectively). Total coliform counts showed no significant differences (t = ‰ÛÒ1.143; Fig. 2f). 
We did not record statistically significant differences in the mean concentrations of the three classes of pesticides between streams inside and outside PAs (U = 111.0, 109.5 and 105.5 for herbicides, insecticides and fungicides, respectively; Fig. S4).</t>
  </si>
  <si>
    <t>Nyungwe National Park</t>
  </si>
  <si>
    <t>Hunting</t>
  </si>
  <si>
    <t>The probability of occurrence of poaching-related threats was highest at lower elevations (1,801‰ÛÒ2,200 m), especially in areas that were close to roads and tourist trails; conversely, occurrence probability was lowest at high elevation sites (2,601‰ÛÒ3,000 m), and near the park boundary and ranger posts. The number of ranger patrols
substantially increased the probability that poaching-related threats disappear at a site if threats were originally present (i.e. probability of extinction of threats). Without ranger visits, the annual probability of extinction of poaching-related threats was an estimated 7%; this probability would increase to 20% and 57% with 20 and 50 ranger visits per year, respectively.</t>
  </si>
  <si>
    <t>the raw count of poaching-related activities and the naÌøve threat occupancy increased over the study period (2,759 threats or c. 20% naÌøve å?occupancy in 2006 to 9,473 threats or c. 51% naÌøve occupancy in 2015). Even though the raw count and naÌøve occupancy of threats were higher in the later years, the overall probability of occurrence of poaching-related threats was lower because detection probability increased over time (Figure 3d). Without accounting for imperfect detection, we would have erroneously concluded that poaching-related threats increased in NNP during our study</t>
  </si>
  <si>
    <t>These threats were distributed throughout the national park, but occurred in high numbers in the west and northwest portion of the park (Figure 1). Fewer threats were detected in the southern and central east portions of the park. This low encounter with threats was because of inaccessibility of these areas and potential violence due to unrest in neighbouring Burundi.</t>
  </si>
  <si>
    <t>Increasing ranger patrols reduced the probability of poaching-related threats given that they were present in the previous year (ìµi ) within the park</t>
  </si>
  <si>
    <t>Nyungwe is a biodiversity hotspot because it harbours several endemic and globally threatened species such as the endangered eastern chimpanzee</t>
  </si>
  <si>
    <t>Inaccessibility, ranger patrols, high elevation sites, near the park boundary and ranger posts</t>
  </si>
  <si>
    <t>Lower elevations, especially in areas that were close to roads and tourist trails</t>
  </si>
  <si>
    <t>Rockfish Conservation Areas</t>
  </si>
  <si>
    <t>Conservation Areas</t>
  </si>
  <si>
    <t>Transportation: Underwater noise pollution</t>
  </si>
  <si>
    <t>While RCAs had lower levels of noise overall than reference sites, this trend was inconsistent; some RCA sites had higher levels of noise during certain time periods than non-RCA sites.</t>
  </si>
  <si>
    <t>anthropogenic noise, both inside and near RCAs, is elevating sound pressure levels (SPL; dB re 1 ë?Pa)</t>
  </si>
  <si>
    <t>RCA locations having fewer exceedances than unprotected sites, our findings nevertheless represent a potential for disturbance at all sites,  especially in busier seasons</t>
  </si>
  <si>
    <t>We have not found evidence that Rockfish Conservation Areas (RCAs) in the Salish Sea provide consistent protection against potentially disruptive anthropogenic noise levels compared to nearby unPAs. The RCA sites had approximately equal (20‰ÛÒ100 Hz bandwidth) or lower noise levels (100 Hz‰ÛÒ10 kHz bandwidths) 
compared to unprotected reference sites</t>
  </si>
  <si>
    <t>Approx. 34% of the total area of JCUs is protected under various IUCN categories (I-VI), while only 11% of the corridors' total area is protected</t>
  </si>
  <si>
    <t>Jaguar Conservation Units (JCUs)</t>
  </si>
  <si>
    <t>Mixed protection levels (IUCN categories I-VI)</t>
  </si>
  <si>
    <t>Collectively, protected sections of JCUs and corridors experienced lower rates of deforestation than unprotected sections</t>
  </si>
  <si>
    <t>Protected sections of JCUs and corridors experienced lower rates of deforestation than unprotected sections</t>
  </si>
  <si>
    <t>We performed individual analyses for each PA IUCN designation, but no range-wide pattern emerged (Appendix C).</t>
  </si>
  <si>
    <t>We performed individual analyses for each PA IUCN designation, but no range-wide pattern emerged</t>
  </si>
  <si>
    <t>Compared to JCUs, forest loss was higher in corridors for both protected and unprotected sites, suggesting that human pressure on remaining forest in corridors is high regardless of protection status</t>
  </si>
  <si>
    <t>NRs (Nature Reserves), NPs (Nature Parks), SCIs (Sites of Community Importance), SPAs (Special Protection Areas)</t>
  </si>
  <si>
    <t>1 and 5 km</t>
  </si>
  <si>
    <t xml:space="preserve">LULCC: Land development, reservoir construction, expansion and intensification of arable land, crop conversion, newly irrigated areas, forest regression, colonization of vegetation on wetlands, forest succession. </t>
  </si>
  <si>
    <t>The four PA networks were more environmentally sustainable than their surrounding areas although an effectiveness gradient was shown: NRs &gt; SCIs &gt; SPAs &gt; NPs, suggesting little influence of PA management on LULC changes overall. Another gradient of environmental sustainability of control areas was evident: SCIs &gt; SPAs &gt; NPs &gt; NRs.</t>
  </si>
  <si>
    <t>NRs &gt; SCIs &gt; SPAs &gt; NPs</t>
  </si>
  <si>
    <t>The effectiveness differs, the regulation stringency and limited influence of management on LULC change</t>
  </si>
  <si>
    <t>Ia and Ib</t>
  </si>
  <si>
    <t>Overall negative change processes: 0.74% and positive: 6:20% (From forest succession) TABLE 5
Balance= 5.46</t>
  </si>
  <si>
    <t xml:space="preserve">Overall negative change processes in 5km buf: 16% and positive: 1.58%
Balance = -15 </t>
  </si>
  <si>
    <t>Nature park</t>
  </si>
  <si>
    <t>V</t>
  </si>
  <si>
    <t>-: 2.11, +: 1.39
Balance = - 0.72</t>
  </si>
  <si>
    <t>- 6.8, +: 1.69
Balance = -5.15</t>
  </si>
  <si>
    <t>Sites of Community
Importance</t>
  </si>
  <si>
    <t>IV</t>
  </si>
  <si>
    <t>Balance = -2.29</t>
  </si>
  <si>
    <t>Special Protection Areas)</t>
  </si>
  <si>
    <t>Balance = -3.10</t>
  </si>
  <si>
    <t xml:space="preserve">Strictness </t>
  </si>
  <si>
    <t>Pantanos de Centla Biosphere Reserve</t>
  </si>
  <si>
    <t>Biosphere Reserve</t>
  </si>
  <si>
    <t>Medium</t>
  </si>
  <si>
    <t>Protects coastal wetlands, includes core and buffer zones for sustainable resource use.</t>
  </si>
  <si>
    <t>2 Agriculture &amp; aquaculture</t>
  </si>
  <si>
    <t>Agriculture and livestock lands doubled, even within the core conservation areas of the PCBR. The greatest loss was in the flooded forest (48%), where the reduction was similar in and around the reserve.</t>
  </si>
  <si>
    <t>Management practices were insufficient to counteract external development pressures.</t>
  </si>
  <si>
    <t>Government-run agricultural and livestock enterprises are driving land use change. Poor management, limited resources, and inadequate zoning.</t>
  </si>
  <si>
    <t>W-Arly-Pendjari PA complex</t>
  </si>
  <si>
    <t>Transboundary PA (TBPA):  IUCN category II, IV, VI, no category</t>
  </si>
  <si>
    <t>Widespread agricultural expansion outside PAs over the past 13 years. PAs with high protection status appear considerably more effective at preventing land conversion than other PAs</t>
  </si>
  <si>
    <t>Between 2000 and 2013, PAs collectively lost 6.4% of their natural vegetation (c. 2280 km2)</t>
  </si>
  <si>
    <t>Whereas buffer zones lost 24.4%</t>
  </si>
  <si>
    <t>PAs were more effective than surrounding buffer zones at protecting natural vegetation (Fig. 3)</t>
  </si>
  <si>
    <t>PAs with high protection status appear considerably more effective at preventing land conversion than other PAs. PAs with higher levels of protection were better at preventing agricultural encroachment (Fig. 4).  PAs of IUCN category II lost less natural vegetation than PAs with lower or no reported status</t>
  </si>
  <si>
    <t>Differences in rural population growth</t>
  </si>
  <si>
    <t>Successful at protecting natural vegetation from agricultural expansion</t>
  </si>
  <si>
    <t>Increasing pressure from agriculture</t>
  </si>
  <si>
    <t>International support, better enforced or funded strictness of PA</t>
  </si>
  <si>
    <t>loss of natural vegetation occurred at markedly different rates in different countries</t>
  </si>
  <si>
    <t>Nature reserves and national parks</t>
  </si>
  <si>
    <t>Invasive alien species (plants, mammals, birds, amphibians, reptiles, freshwater fish)</t>
  </si>
  <si>
    <t>Of all the taxa analysed, invasive plants pose the greatest continued threat, and their numbers have increased in 31% of the PAs. Conversely, mammal invasions now represent less of a threat due to effective management in many PAs; 43% of PAs show a decrease in listed invasive alien mammal taxa. Invasions of amphibians, reptiles, and fish have remained stable over the three decades; around half of the PAs show no change for these taxa. Managers of most PAs consider the threat of invasions to be increasing, despite many (55%) PAs having sustained long-term management programs and 45% having implemented additional ad hoc approaches</t>
  </si>
  <si>
    <t>increased in 31% of the PAs</t>
  </si>
  <si>
    <t>43% of PAs show a decrease in listed invasive alien mammal taxa</t>
  </si>
  <si>
    <t>have remained stable over the three decades; around half of the PAs show no change for these taxa</t>
  </si>
  <si>
    <t>Increasing threat levels may be due to be due to limited and/or ineffective management intervention in many PAs.</t>
  </si>
  <si>
    <t>WDPA</t>
  </si>
  <si>
    <t xml:space="preserve">Strict protection (IUCN category I and II) and less strict protection (IUCN categories III‰ÛÒVI). </t>
  </si>
  <si>
    <t>We estimate that national PAs established between 2000 and 2012 reduced deforestation in those areas by 72%, avoiding 86 062 km2 of forest loss. The effectiveness of national PAs varied by strictness of protection based on IUCN category. Strictly PAs reduced forest loss by 81% compared to what would have occurred without protection, while less strictly PAs reduced forest loss by 67%. Thus, the 26% of new PAs that were strictly protected contributed 39% of the total forest loss avoided within PAs between 2000 and 2012.</t>
  </si>
  <si>
    <t>We estimate that national PAs established between 2000 and 2012 reduced deforestation in those areas by 72%, avoiding 86 062 km2 of forest loss that would have occurred without protection.</t>
  </si>
  <si>
    <t>Strictly PAs reduced forest loss by 81% compared to what would have occurred without protection, while less strictly PAs reduced forest loss by 67%.</t>
  </si>
  <si>
    <t>Strictness of protection (were heterogenous across countries), lower agricultural activity, higher economic growth rates and better governance, larger PA size, higher economic growth rates, governance quality</t>
  </si>
  <si>
    <t>Super study!</t>
  </si>
  <si>
    <t>Podocarpus National Park</t>
  </si>
  <si>
    <t xml:space="preserve"> We found that levels of human pressure increased and the wildest areas decreased since 1982. odocarpus NP, the most important PA in our study region,seems to be partially effective in reducing human pressure inside and in the buffer zones where only alow increase in HF was detected. However, the HF values observed in the surrounding landscape werehigher than those observed in the buffer zone and inside the PA. </t>
  </si>
  <si>
    <t>For 1982 the mean HF inside the PNP was 1, indicating that there was almost no human pressure. For 1990 a slight increase in the mean HF value was recorded in the innermost areas of the PNP that decreased again until 2008.</t>
  </si>
  <si>
    <t>In the buffer areas, there was an increase in the mean HF.</t>
  </si>
  <si>
    <t>NP seems to have been largely successful in avoiding human pressure inside its boundaries since the observed increase in the levels of human pressure during the study period was less than that observed in the unprotected surrounding area</t>
  </si>
  <si>
    <t>High biodiversity and endemism</t>
  </si>
  <si>
    <t xml:space="preserve">High human pressure background </t>
  </si>
  <si>
    <t>National large-scale specially PAs</t>
  </si>
  <si>
    <t>Protected Landscape Areas, National parks</t>
  </si>
  <si>
    <t>The mean HANPP (indicating the intensity of ecosystem exploitation) in large-scale PAs (MHANPP = 42.92%, SEHANPP = 2.031%, N = 29) was significantly lower than the country average of non-PAs of 63.75%, suggesting that the level of anthropogenic pressure on ecosystems was significantly lower than on the overall country level (p &lt; 0.001)</t>
  </si>
  <si>
    <t>we provide evidence that PAs in a Central European country, the Czech Republic, preserve ecosystems and biodiversity better than the surrounding landscape with regard to the outcomes of human induced transformation of landscape.</t>
  </si>
  <si>
    <t>Baishuijiang National Nature Reserve</t>
  </si>
  <si>
    <t>Core, buffer and experimental zone</t>
  </si>
  <si>
    <t>2 Agriculture &amp; aquaculture; 5.3 Logging &amp; wood harvesting; LULC</t>
  </si>
  <si>
    <t>Agriculture; Deforestation; LULCC</t>
  </si>
  <si>
    <t>The area of forest accounted for more than 83% and represented an increasing trend from 1986 to 2015 (from 83.12% in 1986 to 88.54% in 2015). The area 
of cultivated land showed a decreasing trend, and the ratio of it to the total area decreased from 10.42% in 1986 to 5.84% in 2015. The area ratios of the other LULC types were relatively stable from 1986 to 2015.</t>
  </si>
  <si>
    <t xml:space="preserve">The area of forest accounted for more than 83% and represented an increasing trend from 1986 to 2015 (from 83.12% in 1986 to 88.54% in 2015). </t>
  </si>
  <si>
    <t>In the experimental zone, Forest increased significantly from 1986 to 2015, the ratio of it increased from 65.80% to 81.23% with an increasing area of 102.61 km2</t>
  </si>
  <si>
    <t>Human activities are most frequently conducted in the experimental zone, including the implementation of the Grain for Green Project.</t>
  </si>
  <si>
    <t>The study evaluated the effectiveness of environmental protection programs in Baishuijiang National Nature Reserve by assessing the landscape ecological risk based on land use/land cover changes from 1986 to 2015. The results showed that the ecological risk level was generally low within the nature reserve during the study period, suggesting the positive impact of the protection measures.</t>
  </si>
  <si>
    <t>The area of cultivated land showed a decreasing trend, and the ratio of it to the total area decreased from 10.42% in 1986 to 5.84% in 2015.</t>
  </si>
  <si>
    <t xml:space="preserve">Decreased from 28.32% to 15.75% </t>
  </si>
  <si>
    <t>LULC change in the core and buffer zones are unobvious because there is little anthropogenic disturbance.</t>
  </si>
  <si>
    <t>Little pressure background</t>
  </si>
  <si>
    <t xml:space="preserve">26 NR at the national level and 67 at the local level </t>
  </si>
  <si>
    <t>&lt; 2000</t>
  </si>
  <si>
    <t>HFI: growth rates of population density, electricity infrastructure, roads, and railways</t>
  </si>
  <si>
    <t xml:space="preserve">anthropogenic pressure within nature reserves has been greatly eased and the habitat quality has improved. Along with depopulation, the anthropogenic pressure in more than half of the PA in Northeast China declined between 2000 and 2018. Net primary production increased in almost all nature reserves, and fractional vegetation cover improved in three quarters of nature reserves. </t>
  </si>
  <si>
    <t>The average AP score for the 93 NRs increased from 2.658 in 2000 to 2.840 in 2018 with a rate of increase of 6.84% (Table 3), which was lower than the overall rate of increase of 9.30% for Northeast China (Table 2).
the AP in more than half of the PA in Northeast China declined beå?tween 2000 and 2018.</t>
  </si>
  <si>
    <t>39 had mitigated human disturbance (average area of 448.98 km2), and 54 had failed to mitigate human pressure (average area of 300.87 km2). This shows that NRs with smaller areas were more susceptible to AP.</t>
  </si>
  <si>
    <t>national-level NRs performed better than local-level NRs in mitigating AP.</t>
  </si>
  <si>
    <t>Between 2000 and 2018, the population of the northeastern region of China decreased by 8 million people, and we observed a decrease in AP in half of the NRs in this area.</t>
  </si>
  <si>
    <t>National designation</t>
  </si>
  <si>
    <t xml:space="preserve"> 1) reserves and their surå?rounding areas, </t>
  </si>
  <si>
    <t xml:space="preserve"> 3) core, buffer, and transition zones.</t>
  </si>
  <si>
    <t>2) reserve designation categories (i.e., 1990‰ÛÒ1999, 2000‰ÛÒ2009, and 2010‰ÛÒ2019), and</t>
  </si>
  <si>
    <t>84 forest reserves, 74 have available explicit management zoning designations (i.e., core, buffer, and transition)</t>
  </si>
  <si>
    <t>Forest reserves</t>
  </si>
  <si>
    <t>6 km</t>
  </si>
  <si>
    <t>We found that overall forest cover increased and fragmentation decreased from baseline years, when reserves were designated, to 2019 in both reserves and their surrounding areas, and only the increase in forest cover relative to baseline was significantly greater in reserves than in surrounding areas. The designation time of reserves under national protection had no considerable effect on changes in the four metrics, but for zonation, the core zone showed a significantly higher increase in forest patch cohesion index relative to baseline than the buffer and transition zones. Nevertheless, forest cover declined and fragmentation increased in highly forested reserves, suggesting destructive human activities and ineffective management</t>
  </si>
  <si>
    <t>Forest cover increased and fragmentation decreased from baseline years, when reserves were designate</t>
  </si>
  <si>
    <t xml:space="preserve"> to 2019 in both reserves and their surrounding areas</t>
  </si>
  <si>
    <t>The increase in forest cover relative to baseline was significantly greater in reserves than in surrounding areas</t>
  </si>
  <si>
    <t>forest protection and regeneration programs were moderately successful. Forest cover declined and fragmentation increased in highly forested reserves, suggesting that forest protection and regeneration programs were moderately successå?ful</t>
  </si>
  <si>
    <t>Foping National Nature Reserve</t>
  </si>
  <si>
    <t>Established to protect giant panda habitat; includes various disturbance zones.</t>
  </si>
  <si>
    <t xml:space="preserve">The three zones represent social‰ÛÒecological systems with different disturbance intensities (i.e., slight, moderate and intense). </t>
  </si>
  <si>
    <t>2 Agriculture &amp; aquaculture; 5.3 Logging &amp; wood harvesting</t>
  </si>
  <si>
    <t>Deforestation; Agriculture</t>
  </si>
  <si>
    <t xml:space="preserve">Conservation projects had effectively protected the existing forests, facilitated vegetation recovery and economic development, and meanwhile the giant panda population in the FNNP had considerably increased. </t>
  </si>
  <si>
    <t>The forest areas continually increased from 1978 to 2007 with 69.9%, 82.0%, 84.4%, and 87.1% of the total study area in 1978, 1994, 2000, and 2007, respectively</t>
  </si>
  <si>
    <t>The forest areas in the FNNR had been preserved at a high percentage, and forest cover along the edge of the nature reserve (i.e., in the moderately-disturbed zone) had been gradually expanded as
well (Table 5). Thus, it seems that conservation projects (i.e., FNNR, GGP, and NFCP) have effectively protected the existing forest, increased forested area, and facilitated vegetation recovery in our study region.</t>
  </si>
  <si>
    <t>have effectively protected the existing forest, increased forested area, and facilitated vegetation recovery in our study region.</t>
  </si>
  <si>
    <t>From 2000 to 2007, croplands decreased from 12.6% to 3.7%, meanwhile, 46.6% and 31.9% of croplands had been respectively converted to broad-leaved forest and shrub/grassland during the same time period.</t>
  </si>
  <si>
    <t>Poverty,  historically agricultural practices have been intensive</t>
  </si>
  <si>
    <t>Consideration of ecological conservation and poverty elimination from authorities, economic benefits to local community</t>
  </si>
  <si>
    <t>The increases in forest areas (Fig. 2), giant panda population (Fig. 3b), and farmer‰Ûªs income (Tables 1 and 2 and Fig. 3a), together with local farmer‰Ûªs active participation (Tables 2‰ÛÒ4), indicated that
establishment of nature reserve and implementation of GGP and NFCP had attained both ecological and economic benefits, especially in the slightly-disturbed zone.</t>
  </si>
  <si>
    <t xml:space="preserve">MPAs
Fully protected, 
Partially protected, </t>
  </si>
  <si>
    <t>Fishing; Recreational activities</t>
  </si>
  <si>
    <t>Fully PAs effectively eliminate extractive activities, whereas
the intensity of artisanal and recreational fishing within partially PAs, paradoxically, is higher than that found outside MPAs, questioning their ability at reaching conservation targets. In addition, both fully and partially PAs attract non-extractive activities that are potential threats. Overall, only three of the 15 MPAs had lower intensities for the entire set of eight threats considered, in respect to adjacent control unPA</t>
  </si>
  <si>
    <t>In the area outside MPAs, the intensity of extractive threats was up to 18 times
greater than the intensity of non-extractive threats</t>
  </si>
  <si>
    <t>Fully PAs effectively eliminate extractive activities, whereas
the intensity of artisanal and recreational fishing within partially PAs, paradoxically, is higher than that found outside MPAs</t>
  </si>
  <si>
    <t xml:space="preserve">Fully PAs reduce fishing but increase non-extractive threats </t>
  </si>
  <si>
    <t>Fully and partially PAs attract non-extractive activities that are potential threats</t>
  </si>
  <si>
    <t>The intensity of non-extractive threats was also higher within MPAs than in the areas outside, and at least 4 times higher in fully protected zones compared to partially protected zones</t>
  </si>
  <si>
    <t>Our framework for assessing the effectiveness of PAs is based on a baseline-plus-change concept (Figure 1). The initial state of human pressure on PAs was taken as the baseline</t>
  </si>
  <si>
    <t>&lt; 2010</t>
  </si>
  <si>
    <t>10 to 50 km region outside</t>
  </si>
  <si>
    <t>From 2010 to 2020, most PAs underwent no significant change in human pressure</t>
  </si>
  <si>
    <t>From 2010 to 2020, most PAs underwent no significant change in human pressure: 47.69% (n =93) of low HPI baselines, 78.70% (n =85) of medium HPI baselines, and 60.00% (n =21) of high HPI baseline</t>
  </si>
  <si>
    <t>50.3% had significant positive effect. But baseline makes a big difference.</t>
  </si>
  <si>
    <t>PAs with low HPI baselines, 76.92% (n =150) showed positive effects in resisting human pressure and 23.08% (n =45) showed negative effects. For PAs with medium HPI baselines, 11.11% (n =12) showed positive effects in resisting human pressure and 10.19% (n =11) showed negative effects. For PAs with high HPI baselines, 22.86% (n =8) showed positive effects in resisting human pressure and 77.14% (n =27) showed negative effects"</t>
  </si>
  <si>
    <t>PAs with different baselines should adopt different management measures to improve effectiveness. If differing baselines of PAs are ignored, the results may lead to misdirected management measures in resisting human pressure.</t>
  </si>
  <si>
    <t>For low-HPI PAs, increasing staff numbers and providing independent management were the most effective measures to resist human pressure, according to the random forest model.
For medium-HPI PAs in 2010, improved patrol and surveillance systems were key to resisting human pressure.
For high-HPI PAs in 2010, effective measures to combat illegal threats were most important.</t>
  </si>
  <si>
    <t>Togodo PA</t>
  </si>
  <si>
    <t>Over the last 42 years, the TPA and surrounding areas have undergone notable LULC change (Figures 3 and 4). Natural vegetation (Savannah and Forest) dominated the landscape at the early time intervals and decreased from 67% in 1974 to 64%, 42%, and 22%, respectively, in 1986, 2003, and 2016 (Appendix A). Savannah and Cropland were the most dominant LULC categories. Savannah decreased from 71,554.06 ha (60%) in 1974 to 19,696.13 ha (17%) in 2016, while Cropland increased from 39,371.74 ha (33%) in 1974 to 91,498.8 ha (77%) in 2016. The smallest categories were Water and Built area. For each time point, their area was less than 1%.</t>
  </si>
  <si>
    <t>Over the last 42 years, the TPA and surrounding areas have undergone notable LULC change. Cropland experienced more gain than loss during all time intervals</t>
  </si>
  <si>
    <t>Vegetation cover (forests and savannahs) experienced a decrease from 67% to 22%</t>
  </si>
  <si>
    <t>High human impact</t>
  </si>
  <si>
    <t>1983 - 2000</t>
  </si>
  <si>
    <t>8 Invasive &amp; other problematic species, genes &amp; diseases; LULC</t>
  </si>
  <si>
    <t>Invasive species; LULCC: Land reclamation</t>
  </si>
  <si>
    <t>Plant invasions were not only more extensive in PAs than non-PA controls but also undermined PA performance by, without human intervention, irreversibly replacing expansive native wetlands (primarily mudflats) and precluding successional formation of new native marshes. Exotic species are invading PAs globally.</t>
  </si>
  <si>
    <t>After PA designation, wetland reclamation decreased in PA sites more than in statistically matched non-PA control sites</t>
  </si>
  <si>
    <t xml:space="preserve">After PA designation, wetland reclamation decreased in PA sites more than in statistically matched non-PA control sites. Over time, reclamation became significantly lower in PA than non-PA control sites for all seven PAs </t>
  </si>
  <si>
    <t>Fig S1</t>
  </si>
  <si>
    <t>In contrast, cordgrass invasion increased more in PA than non-PA control sites (Fig. 1E and fig. S1). Over time, the extent of exotic cordgrass marshes became significantly greater in PA than non-PA control sites (Fig. 1C and table S2)</t>
  </si>
  <si>
    <t>Protection from reclamation left more native habitats (primarily mudflats) open to direct replacement by cordgrass but also because cordgrass invasions generated indirect, long-lasting impacts by precluding the formation of new native marshes on mudflats via primary succession.</t>
  </si>
  <si>
    <t>Super study</t>
  </si>
  <si>
    <t>IUCN I‰ÛÒIV</t>
  </si>
  <si>
    <t>&lt; 2005</t>
  </si>
  <si>
    <t>Habitat conversion rates inside PAs are indistinguishable from those on unprotected lands, and habitat conversion rates do not decline following the gazettement of a PA.</t>
  </si>
  <si>
    <t>The mean amount of human modified land inside individual PAs varied from 39.4% to 43.1% among the three data sets</t>
  </si>
  <si>
    <t>30% modified in 1889 and 50% in 2000, the pattern of increase in habitat conversion inside and outside PAs over time was similar</t>
  </si>
  <si>
    <t>We compared habitat clearance rates before and after gazettement in South Asian PAs using a paired t-test, finding no significant difference despite sufficient power (t = 0.46, df = 560, p = 0.645), suggesting PAs are not effectively reducing habitat loss compared to unprotected lands</t>
  </si>
  <si>
    <t>Similar patterns of habitat conversion inside vs outside</t>
  </si>
  <si>
    <t>Lower levels of habitat conversion may well be attributable to the location of the PA rather than its protected status per see, PA size</t>
  </si>
  <si>
    <t>Severe habitat degradation as a result of insufficient management</t>
  </si>
  <si>
    <t>Outside a 10-km buffer</t>
  </si>
  <si>
    <t>All</t>
  </si>
  <si>
    <t>IUCN I - VI</t>
  </si>
  <si>
    <t>&lt;2013</t>
  </si>
  <si>
    <t>Significant geographical variation existed among parks; the majority of parks had significantly less forest loss within their boundaries than control sites. 
Accessibility was a significant driver of forest loss. Relatively inaccessible areas had a higher probability (odds ratio &gt;1, p &lt; 0.001) of forest loss but only in ineffective parks, and relatively accessible areas had a higher probability of forest loss but only in effective parks. Smaller parks less effectively prevented forest loss inside park boundaries than larger parks (T = ‰öÕ2.32, p &lt; 0.05), and older parks less effectively prevented forest loss inside park boundaries than younger parks (F2,154 = ‰öÕ4.11, p &lt; 0.001).</t>
  </si>
  <si>
    <t>From 2000 to 2013, the majority of parks (69%) had significantly less forest loss than their respective matched unPAs.</t>
  </si>
  <si>
    <t>Majority of the parks yes (69%)</t>
  </si>
  <si>
    <t>The complexity of factors (such as geographical variation, accessibility, and park size and age) influencing the ability of a park to curb forest loss within its boundaries</t>
  </si>
  <si>
    <t>Accessibility, park size, and age influence effectiveness</t>
  </si>
  <si>
    <t>Ineffective management, human pressures, and lack of resources</t>
  </si>
  <si>
    <t>No fishing is allowed</t>
  </si>
  <si>
    <t>Currently, invasive fish populations do better in Mediterranean MPAs than in unprotected sites. More specifically, we found that the biomass of the alien rabittfish (S. luridus) and the native range-expanding parrotfish (S. cretense) is significantly higher in two well-enforced MPAs (Zakynthos and Lampedusa) than in unPAs.</t>
  </si>
  <si>
    <t xml:space="preserve">Average and minimum sea surface temperature (SST) over six consecutive years were positively correlated with the total biomass of alien species. 
Negative relationship between alien fishes‰Ûª biomass and the distance from the Suez Canal, which is the main pathway for the introduction of alien fish in the Mediterranean Sea.
Fishing pressure </t>
  </si>
  <si>
    <t>Important Bird and Biodiversity Areas (IBAs)</t>
  </si>
  <si>
    <t xml:space="preserve">Categories I to VI </t>
  </si>
  <si>
    <t>&lt; 1985</t>
  </si>
  <si>
    <t>Survival rates of natural land cover in PAs were, on average, around twice those in unPAs, but the differences between them varied along different environmental gradients.</t>
  </si>
  <si>
    <t>This revealed that PAs had lower rates of loss than unPAs, but the interactions in the model indicated that this pattern varied across the range of values of other parameters</t>
  </si>
  <si>
    <t>Interaction terms indicated that as slope and altitude increased, the natural protection offered by topography increasingly nullified the additional benefits of legislative protection</t>
  </si>
  <si>
    <t>Furthermore, PA designation offered reduced additional benefits to the survival of natural land cover in areas where rates of conversion were higher at the start of the observation period</t>
  </si>
  <si>
    <t>Natural land cover survived best in steeper, higher-altitude areas with fewer human population density and more existing natural habitat.</t>
  </si>
  <si>
    <t>Survival declined with increasing
human population density and with the amount of adjacent
land that had already been converted by the start of the
observation period</t>
  </si>
  <si>
    <t>IUCN I - III</t>
  </si>
  <si>
    <t>PAs (IUCN I to III) were found to have a positive effect in slowing the reduction of IFL area from timber harvesting but were less effective in limiting agricultural expansion</t>
  </si>
  <si>
    <t>Table 4</t>
  </si>
  <si>
    <t>Using matching sampling analysis, we found that the reduction of IFL area for reasons other than fire was 3.4 times higher outside PAs (6.2%) than within PAs (1.8%). 
Reduction of IFL area was more than 4 times higher outside PAs than inside PAs, whereas it was 2.6 times higher in Southeast Asia and almost double in tropical South America</t>
  </si>
  <si>
    <t>The results confirmed that legal protection has been effective at lessening the reduction of IFL area in all regions except Australia (where roads have been constructed near PA boundaries) and temperate South America (where new tourist infrastructure has been developed in a national park)</t>
  </si>
  <si>
    <t>Industrial timber extraction, agricultural expansion, fire</t>
  </si>
  <si>
    <t>PAs, including National Parks (six), National Game Reserves (one), Forest Reserves (five), National Monuments (one), and a combination of these plus game ranches and ungazetted forests (seven)</t>
  </si>
  <si>
    <t>Important Birds Areas</t>
  </si>
  <si>
    <t>Multiple threats</t>
  </si>
  <si>
    <t>Condition scores for protected IBAs improved slightly during 1999‰ÛÒ2005, compared to a negative trend in the state of unprotected IBAs (Fig. 4). By 2005, protected IBAs (n 5 20) were in better condition than those that were unprotected (n 5 16), though this difference was not statistically significant (Mann-Whitney test: U 5 0.111, P 5 0.11; Fig. 4).</t>
  </si>
  <si>
    <t>By 2005, protected IBAs (n 5 20) were in better condition than those that were unprotected (n 5 16), though this difference was not statistically significant (Mann-Whitney test: U 5 0.111, P 5 0.11; Fig. 4)</t>
  </si>
  <si>
    <t>Protected IBAs had significantly higher scores for response than unprotected IBAs (U 5 24, P 5 0.001; Fig. 4).</t>
  </si>
  <si>
    <t>1995 - 2013</t>
  </si>
  <si>
    <t>THFI: Based on human population density, land transformation, and electrical power infrastructure</t>
  </si>
  <si>
    <t>Since 1990s, human pressure increased 64% of the terrestrial areas; the largest increases were in Southeast Asia. PAs also exhibited overall increases in human pressure, the degree of which varied with location and IUCN management category. Only wilderness areas and natural monuments (management categories Ib and III) exhibited decreases in pressure. PAs not assigned any category exhibited the greatest increase</t>
  </si>
  <si>
    <t>Increased in human pressure over the 15 year, considerable variation among regions</t>
  </si>
  <si>
    <t>PAs that lacked an IUCN category had the highest increases in pressure</t>
  </si>
  <si>
    <t>Habitat loss inside PAs is lower in reserves
that are more strictly managed. But depends on regional patterns</t>
  </si>
  <si>
    <t>PAs with no IUCN cat faced the highest threats</t>
  </si>
  <si>
    <t xml:space="preserve">PAs in more developed countries experienced smaller increases in human pressure compared to those in less developed countries. </t>
  </si>
  <si>
    <t>Older PAs located in mountainous regions faced greater pressure</t>
  </si>
  <si>
    <t>Large MPAs</t>
  </si>
  <si>
    <t>Marine PA</t>
  </si>
  <si>
    <t>2013 - 2017</t>
  </si>
  <si>
    <t>Other: Not  mentioned</t>
  </si>
  <si>
    <t>After their implementation, all 5 MPAs successfully kept industrial fishing effort exceptionally low. Detected fishing effort was already low in 4 of the 5 large MPAs prior to MPA implementation, particularly relative to nearby regions that did not receive formal protection. Our results suggest that these large MPAs may present major conservation opportunities in relatively intact ecosystems with low immediate impact to industrial fisheries, but the large MPAs we considered often did not significantly reduce fishing effort because baseline fishing was typically low.</t>
  </si>
  <si>
    <t>virtually no fishing was detected inside all 5 of our focal large MPAs after they were implemented, whereas up to 30,000 monthly fishing hours were observed in nearby EEZs that permit fishing</t>
  </si>
  <si>
    <t>Large MPAs can effectively maintain fishing effort at remarkably low levels. Our results suggest that most large industrial fishing vessels (because approximately 50-75% of vessels &gt;24 m transmit AIS [Kroodsma et al. 2018]) do respect the boundaries of large MPAs</t>
  </si>
  <si>
    <t>Low fishing effort background</t>
  </si>
  <si>
    <t>National parks, national reserves, regional parks, regional reserves and other PAs</t>
  </si>
  <si>
    <t>2.5 and 5 km</t>
  </si>
  <si>
    <t>the capacity of PAs to slow down habitat degradation and to favour habitat restoration is clearly related to their size, with smaller areas that on average follow the dominant land-use change pattern into which they are embedded</t>
  </si>
  <si>
    <t>PAs changed significantly less than the surrounding buffers</t>
  </si>
  <si>
    <t>National reserves experienced a rate of change that was significantly lower than that of all
the other types of reserve</t>
  </si>
  <si>
    <t>PAs to slow down habitat degradation and promote habitat restoration was closely linked to their size</t>
  </si>
  <si>
    <t>National reserves experienced a rate of land-use change that was significantly lower than all other types of reserves</t>
  </si>
  <si>
    <t xml:space="preserve">PA size </t>
  </si>
  <si>
    <t>WDPA - 2018</t>
  </si>
  <si>
    <t>Excluded buffers of 10 km</t>
  </si>
  <si>
    <t>&gt;=10</t>
  </si>
  <si>
    <t>PAs had three times less forest cover loss than similar landscapes without protection.</t>
  </si>
  <si>
    <t>PAs significantly reduced the loss of forest cover with the overall rate of forest cover loss across the region being three times lower inside PAs (n=692) over the period 2000 to 2018 than in the matched unprotected landscape</t>
  </si>
  <si>
    <t>PAs that had completed management reporting using the Management Effectiveness Tracking Tool (METT) conserved significantly more forest cover and forest carbon stocks than those that had not.</t>
  </si>
  <si>
    <t>Differences between countries</t>
  </si>
  <si>
    <t>Management implementation (MEET)</t>
  </si>
  <si>
    <t>Bosawas International Biosphere Reserve</t>
  </si>
  <si>
    <t>2 km</t>
  </si>
  <si>
    <t>Indigenous farmers deforested significantly less per capita than colonists, and the two indigenous groups in Bosawas did not differ significantly in their effects on the forest. Our results show that Indigenous common property institutions and Indigenous defense of homeland have been powerful factors in protecting the forests of Bosawa</t>
  </si>
  <si>
    <t>Indigenous were most effective</t>
  </si>
  <si>
    <t>Nicaragua</t>
  </si>
  <si>
    <t xml:space="preserve">Indigenous </t>
  </si>
  <si>
    <t>24 km2 deforested</t>
  </si>
  <si>
    <t>2-km buffer‰ÛÓindigenous 3.62</t>
  </si>
  <si>
    <t>Colonists</t>
  </si>
  <si>
    <t>Mestizo area Bosawas 381.17 km2 deforested</t>
  </si>
  <si>
    <t>External mestizo 10-km buffer region = 357 km2</t>
  </si>
  <si>
    <t>Internal conflict background</t>
  </si>
  <si>
    <t>National nature reserves</t>
  </si>
  <si>
    <t>Most national nature reserves in the Qinling‰ÛÒDaba Mountains were moderately or highly fragmented during 2010‰ÛÒ2017, and the fragmentation degree of a few reserves exhibited a decreasing trend. (2) The fragmentation degree of landscape patches from the core areas to the experimental areas of the inner nature reserves showed a trend of being low in the middle and high in the surrounding area; the level of landscape fragmentation gradually decreased from the edge of 1 km (M-1) to 5 km (M-5). (3) There was spatial differentiation in the intensity of landscape fragmentation among the nature reserves; human activity intensity, land-use degree, elevation, slope gradient, and topographic relief were the factors influencing the spatial differentiation of landscape fragmentation, and the contribution of anthropogenic factors was significantly greater than that of natural factors.</t>
  </si>
  <si>
    <t>The degree of landscape fragmentation declined in seven nature reserves and increased in the remaining three reserves</t>
  </si>
  <si>
    <t>The level of landscape fragmentation gradually decreased from the edge of 1 km (M-1) to 5 km (M-5). Human activities were relatively intense around the edges at 1 km (M-1), and the degree of landscape fragmentation in these areas was found to be high.</t>
  </si>
  <si>
    <t>The high-value areas appeared in the regions with intense human activities, and the low-value areas were located in the regions with mild topographic relief</t>
  </si>
  <si>
    <t>The land-use degree, human activity intensity, elevation, slope gradient, and topographic relief significantly affected the spatial differentiation of landscape fragmentation in the Qinling‰ÛÒDaba Mountains nature reserves, and anthropogenic activities play a leading role</t>
  </si>
  <si>
    <t>The region is economically underdeveloped, impacting conservation efforts.</t>
  </si>
  <si>
    <t xml:space="preserve">Construction of network infrastructures, irrational partition management, and expansion of agricultural and industrial production activities </t>
  </si>
  <si>
    <t>PA core, buffer, experimental zones</t>
  </si>
  <si>
    <t xml:space="preserve">Sanjiangyuan National Nature Reserve </t>
  </si>
  <si>
    <t>Divided into three functional zones: the core, buffer, and experimental areas,</t>
  </si>
  <si>
    <t>Formal buffer but I extracted data from outside (Which is not so different from the buffer)</t>
  </si>
  <si>
    <t>2 Agriculture &amp; aquaculture; 3 Energy production &amp; mining; 4 Transportation &amp; service corridors; LULC; HFI</t>
  </si>
  <si>
    <t>2 Agriculture &amp; aquaculture; 3 Energy production &amp; mining; 4 Transportation &amp; service corridors; LULC; Human footprint</t>
  </si>
  <si>
    <t>HFI; Urbanization: Population density; Agriculture: grazing intensity; Transportation: roads; LULCC</t>
  </si>
  <si>
    <t>HF value for the Sanjiangyuan region was generally low from 1995 to 2015, with a fluctuating increasing trend. The SNR is partially effective in mitigating human pressures. For 2005‰ÛÒ2010, the HF values decreased both within and outside the reserve with more decreases for the outside. For the three functional zones of the SNR, our results show that the HF values decreased during 2005‰ÛÒ2010 for all of them, with the largest decrease in the experimental area, and increased during 2010‰ÛÒ2015, with the lowest increase in the core area</t>
  </si>
  <si>
    <t xml:space="preserve">For 2005‰ÛÒ2010, both the inside and outside of the SNR experienced a reduction in HF value, </t>
  </si>
  <si>
    <t>Collectively, the spatial pattern of HF remained stable for the whole study period TABLE 4</t>
  </si>
  <si>
    <t>When analysing the whole time and not breaking by periods TABLE 4</t>
  </si>
  <si>
    <t xml:space="preserve">Conservation measures of the SNR succeeded partially in mitigating human pressures. The measures for 2005‰ÛÒ2010 were effective, with the HF values decreasing both within and outside the reserve, although the HF values decreased more outside the reserve than inside. The measures during 2010‰ÛÒ2015 were still partially effective considering the different conservation requirements of functional zones. </t>
  </si>
  <si>
    <t>From 2010 to 2015, the changes in population density within the SNR were lower than those outside the SNR</t>
  </si>
  <si>
    <t>Grazing was mitigated most obviously in 2005‰ÛÒ2010</t>
  </si>
  <si>
    <t>Population and road construction were effectively  regulated in the SNR from 2010 to 2015, but their pressures on the ecosystem didn't reduce to the original level</t>
  </si>
  <si>
    <t>High biodiversity</t>
  </si>
  <si>
    <t>Low HFI baseline</t>
  </si>
  <si>
    <t xml:space="preserve">Threats: Included roads expressways, railways, national-level highways, provincial-level roads, and county-level roads).
This one is complex because we can start breaking the data into periods or the full assessed time, the overall HFI result or by threat component. </t>
  </si>
  <si>
    <t>2,636</t>
  </si>
  <si>
    <t>Other: The first buffer zone included sampling sites closest to a Natura 2000 (i.e. site in the buffer zone of 1 km from the Natura 2000 site) which were classified as Contiguous sites (n = 832 sampling sites). 
The second buffer zone included sampling sites from 2 to 3 km away the Natura 2000 areas which were classifies as Nearby sites (n = 946 sampling sites) &gt;3 km unprotected</t>
  </si>
  <si>
    <t>1 and 2-3 km, &gt;3 km unprotected</t>
  </si>
  <si>
    <t>8 Invasive &amp; other problematic species, genes &amp; diseases; 9 Pollution; HFI; Other: Fragmentation</t>
  </si>
  <si>
    <t>8 Invasive &amp; other problematic species, genes &amp; diseases; 9 Pollution; Human footprint; LULC</t>
  </si>
  <si>
    <t>HFI, Fragmentation, Pollution, Invasive species</t>
  </si>
  <si>
    <t>Among geographical, climate and anthropogenic landscape factors, Protected, Contiguous, Nearby, and Unprotected sites showed no significant differences of human footprint levels (p &gt; 0.05; Figure 2A)</t>
  </si>
  <si>
    <t>Our results showed that the anthropogenic impacts (i.e., human footprint, animal farming and water eutrophication) within the PAs were not significantly lesser than outside areas where protection measures are not applied.</t>
  </si>
  <si>
    <t>Results showed that PAs did not guarantee less anthropogenic impacts and higher fish species richness than outside PAs, suggesting that PAs are not a panacea for anthropogenic pressures and safeguarding fish diversity</t>
  </si>
  <si>
    <t>Protected sites showed the lower values of river fragmentation index</t>
  </si>
  <si>
    <t>Pollution</t>
  </si>
  <si>
    <t>Water eutrophication showed lower values in PAs and in the near buffer zones, suggesting that PAs showed better water quality conditions than unprotected sites</t>
  </si>
  <si>
    <t>"Unprotected sites showed higher levels of invasion degree, but the abundance of some of the top 10 invasive species did not differ between Protected and Unprotected sites or, contrariwise, showed the higher abundance in Protected sites (e.g., the wels catfish S. glanis), suggesting that protection measures are not adequate to prevent non-native species presence in protected sites."</t>
  </si>
  <si>
    <t>Protected and unprotected sites did not differ in terms of fish species richness both considering all fish communities and separating native and non-native species. Not an effect on species diversity</t>
  </si>
  <si>
    <t>Babile Elephant Sanctuary</t>
  </si>
  <si>
    <t>Urbanization: Residential development</t>
  </si>
  <si>
    <t>From 2006 to 2017 the number of illegal houses in the Sanctuary increased from 18k to 50k, of which 32k were in the area in which elephants range. This settlement, coupled with high demand for natural resources, has resulted in significant habitat destruction and could also have exacerbated human‰ÛÒelephant conflict</t>
  </si>
  <si>
    <t>Table 1</t>
  </si>
  <si>
    <t>Uncontrolled settlement inside the Babile Elephant Sanctuary has been ongoing since the 1970</t>
  </si>
  <si>
    <t>Significant habitat destruction and could also have exacerbated human‰ÛÒelephant conflict</t>
  </si>
  <si>
    <t>They were once part of a larger population that ranged in eastern Ethiopia and northern Somalia but that was largely extirpated during the 20th century. Since its establishment, the Sanctuary has experienced severe anthropogenic pressure, inadequate government support, and civil conflict.</t>
  </si>
  <si>
    <t>Human conflicts</t>
  </si>
  <si>
    <t>Insecurity and poverty</t>
  </si>
  <si>
    <t>1999 - 2004</t>
  </si>
  <si>
    <t>National average effect of protection preserves an additional 1.1% of forest cover; however the effect of individual parks range from a decrease of 3.4% to an increase of 5.3% and the effect of most parks differ from the national average</t>
  </si>
  <si>
    <t>The national average effect of protection preserves an additional 1.1% of forest cover;</t>
  </si>
  <si>
    <t>ATT estimates for Indonesia mask a great deal of variation in the effective-
ness of individual PAs in different parts of the country</t>
  </si>
  <si>
    <t>Distance from city, roads, elevation and slope have a significant positive effect</t>
  </si>
  <si>
    <t>extent of forest cover in 2000 and peat depth has a significant negative effect on forest cover change</t>
  </si>
  <si>
    <t>Difference in fire density before and after reserve creation</t>
  </si>
  <si>
    <t>Control buffer area of 10km</t>
  </si>
  <si>
    <t>Shift in fire management practices occurred following reserve creation</t>
  </si>
  <si>
    <t>Sustainable use reserves</t>
  </si>
  <si>
    <t>2004 / 2006</t>
  </si>
  <si>
    <t>Reserve creation had no discernible impact on fire density, and that fires were less prevalent in SURs due to their characteristics of sparser human settlement and remoteness, timing of fires in relation to rainfall, indicative of local fire management and adherence to environmental law, did not improve following SUR creation</t>
  </si>
  <si>
    <t>Reserve creation did not induce any shift towards improved fire management</t>
  </si>
  <si>
    <t>The regression model indicated a significantly higher incidence of fires outside the reserve</t>
  </si>
  <si>
    <t>Although hotspot data indicated that SURs experienced a lower spatial density of fires than the surrounding landscape, our analysis using both spatial density measures and an area offset measure, suggests that these differences were not related to reserve creation or institutional design (i.e. RESEXs or PAE), but instead to the very different landscape contexts (settlement and accessibility) in which the SURs were created PAEs and their buffer zones had somewhat higher population densities</t>
  </si>
  <si>
    <t>PAEs higher threat than RESEX</t>
  </si>
  <si>
    <t>Established in regions that tend to be remote and sparsely inhabited. Reserve creation itself had no impact on spatial fire density</t>
  </si>
  <si>
    <t>Fires are prevalent in the densely populated buffer areas, which tend to be more integrated
with river and road networks.</t>
  </si>
  <si>
    <t>National parks, nature reserves, landscape parks, Natura 2000 sites</t>
  </si>
  <si>
    <t>1 km</t>
  </si>
  <si>
    <t>The changes in PAs were usually smaller than in the surrounding buffer zones, which may indicate their effectiveness. The exception was the areas of the European Natura 2000 network. The scale of land-cover flows (LCFs) changed within particular forms of PAs, though afforestation and deforestation predominating in all area types. National reserves and parks were the most stable in terms of land cover structures. However, human settlements increased around the PAs, potentially increasing threats to their ecological integrity.</t>
  </si>
  <si>
    <t>Forest +145</t>
  </si>
  <si>
    <t>PAs more effective than n2k sites</t>
  </si>
  <si>
    <t>generally effective at limiting land use changes compared to surrounding areas, though threats like urban sprawl are increasing around PA boundaries</t>
  </si>
  <si>
    <t>188 Table 4</t>
  </si>
  <si>
    <t>Governance types</t>
  </si>
  <si>
    <t>By 2008</t>
  </si>
  <si>
    <t>While tree cover loss was correlated with overall governance across countries after considering environmental governance, the lack of a strong wider correlation could mean that country-level governance in the conventional terms measured by the IIAG is not overall a strong determinant of tree cover loss in PAs</t>
  </si>
  <si>
    <t>Although tree cover was lost in close to all countries‰Ûª PAs, the distribution of the annual loss rate is highly skewed: with a mean of 0.56%, 20 of the 33 the countries had a tree cover loss rate below 0.5%, 8 between 0.5 and 1%, 4 between 1 and 2% and only Benin above 2%</t>
  </si>
  <si>
    <t>HDI score was significantly negatively correlated with the rate of tree cover loss in PAs, with tree cover loss in PAs decreasing with an increase in welfare, education, and health. There was also a significant positive correlation between GDP and tree cover loss rates in countries‰Ûª PA</t>
  </si>
  <si>
    <t>Better environmental governance can partially, though not completely, reduce the negative association between overall governance and tree cover loss in PAs</t>
  </si>
  <si>
    <t>Higher indices of development</t>
  </si>
  <si>
    <t>Smaller countries had the highest rates of tree cover loss</t>
  </si>
  <si>
    <t>UMNP vs surrounding 20 km buffer</t>
  </si>
  <si>
    <t>Udzungwa Mountains National Park</t>
  </si>
  <si>
    <t>LULCC, urbanization, agriculture, deforestation (Logging, fire)</t>
  </si>
  <si>
    <t>UMNP has not suffered from relevant human activities during the study period. The natural vegetation area has remained stable around 1780 km2. In the surrounding 20 km buffer area and the connecting corridors, however, the anthropogenic impact has been strong. Artificially built up areas increased by 14.24% over the last 20 years and the agriculture area increased from 11% in 1990 to 30% in the year 2010</t>
  </si>
  <si>
    <t>The LULCC analysis demonstrates that the natural areas inside the park did not suffer reduction in the two decades up to 2010</t>
  </si>
  <si>
    <t>Artificial land in the 20 km buffer surrounding the PA has increased from 33.7 km2
to 38.5 km2 (14.24%) in 20 years</t>
  </si>
  <si>
    <t>The mountainous topography makes this region less accessible for agriculture development</t>
  </si>
  <si>
    <t>agricultural land represented 11% of the total buffer area in 1990, which increased to 30% by 2010.</t>
  </si>
  <si>
    <t>ee cover mosaics have lost 173.5 km2 in the first period (93% of which was caused by agricultural changes) and 56.4 km2 in the second period, mostly in the closest surroundings to forest reserves.</t>
  </si>
  <si>
    <t xml:space="preserve">The UMNP harbors over 500 bird species, 159 mammals, and 2500 plant species, 25% of which are endemic. </t>
  </si>
  <si>
    <t>The surrounding 20 km buffer area and connecting corridors have experienced strong anthropogenic impacts, with artificially built-up areas increasing by 14.24% and agricultural area increasing from 11% to 30% between 1990 and 2010</t>
  </si>
  <si>
    <t>Area de ProtecåüaèÏo Ambiental das Ilhas e Vaå«rzeas do Rio Paranaå« (IVRP hereafter); 
Parque Nacional de Ilha Grande (PNIG); 
Parque Estadual das Vaå«rzeas do Rio Ivinhema (PEVRI)</t>
  </si>
  <si>
    <t>IPA (IUCN II)
SUA ( IUCN V - VI)</t>
  </si>
  <si>
    <t>50 km</t>
  </si>
  <si>
    <t>Deforestation, Agriculture, (mentions losses in wetland and grasslands but not extracted)</t>
  </si>
  <si>
    <t>Despite the increasing landscape anthropization, the PAs seemed to relieve the general change process, protecting natural areas mainly from agricultural expansion. Also more restricted protection led to less human-induced changes</t>
  </si>
  <si>
    <t>more restricted protection led to less human-induced change</t>
  </si>
  <si>
    <t>More restricted protection led to less human-induced change</t>
  </si>
  <si>
    <t xml:space="preserve">IVRP </t>
  </si>
  <si>
    <t>Sustainable Use</t>
  </si>
  <si>
    <t>Natural Forest also changed from losing to gaining area after 1998</t>
  </si>
  <si>
    <t>Natural Forest changing the net losses of 1989‰ÛÒ1998 to net gains in the other two intervals</t>
  </si>
  <si>
    <t>Agriculture showed a large increase in area, especially during the 1999‰ÛÒ2008 and 2009‰ÛÒ2018 periods</t>
  </si>
  <si>
    <t>Agriculture presented high values of net gain in the two last intervals, while Pasture changed from gaining area to losing area after 1998</t>
  </si>
  <si>
    <t>PNIG and PEVRI</t>
  </si>
  <si>
    <t>Integral Protection Area (IPA)</t>
  </si>
  <si>
    <t>PA presented a pattern change from a net loss to a net gain of the Natural Forest category from 1989‰ÛÒ1998 to 1999‰ÛÒ2008 and 2009‰ÛÒ2018, while Pasture and Wetland lost area from the first to the other time intervals</t>
  </si>
  <si>
    <t>Fig 5.</t>
  </si>
  <si>
    <t>Fig. 5</t>
  </si>
  <si>
    <t>The PAs share a history of degradation and disorderly occupation of their landscape</t>
  </si>
  <si>
    <t>&lt; 2019</t>
  </si>
  <si>
    <t>Our results show a strong correlation (R2 = 0.78) between fragmentation (seff) within and around N2k sites. This result applies to all biogeographical regions in Europe. Only a narrow majority (58.5%) of N2k sites are less fragmented than their surroundings</t>
  </si>
  <si>
    <t>Most N2k sites and their surroundings show a medium level of fragmentation</t>
  </si>
  <si>
    <t xml:space="preserve"> 58.5% of all N2k sites are less fragmented than their surrounding.  Surroundings of N2k sites are mostly within the same fragmentation category as N2k sites themselve</t>
  </si>
  <si>
    <t xml:space="preserve">Despite their protected status, our results show that N2k sites are very fragmented. Moreover, fragmentation within N2k sites strongly correlates with the fragmentation of their surroundings. </t>
  </si>
  <si>
    <t xml:space="preserve">Remote and mountainous regions show the lowest levels of fragmentation within and around N2k sites. remote and mountainous regions also tend to hold the largest N2k sites by area. </t>
  </si>
  <si>
    <t>Regional differences, N2k sites are not significantly less fragmented compared to their surroundings the longer their protected status has been in place</t>
  </si>
  <si>
    <t>Control sites outside the PAs were randomly selected either upstream or downstream of the area, 1.0‰ÛÒ2.0 km from its boundaries</t>
  </si>
  <si>
    <t>On average, the 18 study sites inside PAs had biological quality similar to external control sites. In the PAs, the biological quality of streams was higher than for the same streams in the surrounding territory provided that anthropogenic changes were fewer.</t>
  </si>
  <si>
    <t>Biological quality of streams within the PAs was not better than in the control sites of the same streams, regardless of their upstream or downstream
position</t>
  </si>
  <si>
    <t>degree of landscape anthropisation at both local and regional scales appears to be the main factor related to stream water quality</t>
  </si>
  <si>
    <t>Three main processes related to a changing extent in grassland habitat prevail: (i) agricultural intensification, (ii) settlement expansion at the valley bottom and (iii) forest expansion (afforestation and encroachment due to decreasing pasture activities) on the valley slopes. The remaining grassland habitat is increasingly isolated and fragmented, leaving only few core areas of dry grassland, which tended to be better conserved within PAs</t>
  </si>
  <si>
    <t xml:space="preserve">Furthermore, the magnitude of change showed that grassland extent was tendentially better preserved under protection. Especially protected sites with grazing management appeared 
better preserved. </t>
  </si>
  <si>
    <t>1) Area of Relevant Ecological Interest (AREI) of Mangroves of the Mamanguape River, 
2) Environmental Protection Area (EPA) of the Mamanguape River, 3) Restinga de Cabedelo National Forest (NATFOR), 
4) AcaÌ¼-Goiana Extractive Reserve (EXTRE</t>
  </si>
  <si>
    <t>Federal PAs - Sustainable Use</t>
  </si>
  <si>
    <t>1 Increased, 2 neutral, 1 S decreased</t>
  </si>
  <si>
    <t>Urban expansion, sugarcane monoculture, and shrimp farming</t>
  </si>
  <si>
    <t>Qilian Mountain Nature Reserve</t>
  </si>
  <si>
    <t>1988 (2014)</t>
  </si>
  <si>
    <t xml:space="preserve">A peripheral buffer zone equal to the area of the nature reserve was made outward around the boundary of the nature reserve </t>
  </si>
  <si>
    <t>The HF value outside the QMNR have always been greater than those inside the reserve, and both of them show an increasing trend for 1980‰ÛÒ2020 (Figure 2). Additionally, the increasing tendency of HF value inside and outside the reserve did not change around the time of its establishment in 1990. After 1990, the HF value still increased inside the reserve and even faster for 2010‰ÛÒ2020 than in the previous period. Specifically, after the establishment of the reserve, the HF value inside the QMNR increased by 0.8687 and the value outside the QMNR increased by 1.4488 for 1990‰ÛÒ2020. These results indicated that the establishment of the nature reserve did not effectively reduce human impacts inside of it and even showed an increasing trend, and the percentage of increase was even greater than that outside the reserve.</t>
  </si>
  <si>
    <t>Additionally, the increasing tendency of HF value inside and outside the reserve did not change around the time of its establishment in 1990. After 1990, the HF value still increased inside the reserve and even faster for 2010‰ÛÒ2020 than in the previous period</t>
  </si>
  <si>
    <t>Outside the QMNR increased by 1.4488 for 1990‰ÛÒ2020</t>
  </si>
  <si>
    <t>QMNR is partially effective in reducing human impacts. The comparison between internal and external shows that the establishment of the nature reserve is effective in the north part of the middle of the nature reserve, and not effective at both ends of it, especially the northwest end</t>
  </si>
  <si>
    <t>Poverty, economic development is urgent</t>
  </si>
  <si>
    <t>Current management has effectively controlled the increase of population and land use activities in each functional zone of the reserve, but road construction, mining activities, and the construction of hydropower facilities characterized by night light are still increasing.</t>
  </si>
  <si>
    <t>Reserves and unPAs</t>
  </si>
  <si>
    <t>53 parks, 109 limited use reserves, and 238 indigenous reserves</t>
  </si>
  <si>
    <t>Fully protected parks (reserves, state and national parks), limited-use areas (e.g., national forests, extractive reserves, sustainable development reserves, state forests, and state environmental protection areas), and Indigenous lands</t>
  </si>
  <si>
    <t>Fully protected parks (reserves, state and national parks), limited-use areas (national forests, extractive reserves, sustainable development reserves, state forests, and state environmental protection areas) Indigenous lands</t>
  </si>
  <si>
    <t>Fewer deforestation fires occurred within PAs than outside and the difference between protected and unPAs was greatest near roads. Even within reserves, at a given distance from roads, there were more deforestation fires in regions with high human impact than in low-impact regions. Indigenous reserves, limited-use reserves, and fully protected reserves all had fewer fires than outside areas and did not appear to differ in their effectiveness</t>
  </si>
  <si>
    <t>There was a slight increasing trend in average hot pixels/100 km2 in all reserves over the ten-year period</t>
  </si>
  <si>
    <t>There were far fewer fires inside reserves than outside for both low- and high-impact forests</t>
  </si>
  <si>
    <t>Reserve type had no significant effect</t>
  </si>
  <si>
    <t>More deforestation fires in regions with high human impact than in those with low impact</t>
  </si>
  <si>
    <t>Within reserves, at a given distance from roads, there were more deforestation fires in regions with high human impact than in those with low impact</t>
  </si>
  <si>
    <t>Protected parks here also suffered few fires, likely because indigenous reserves surrounded them. In the north, there were many fires within a limited-use area. This suggests that limited-use reserves are less effective than indigenous land.</t>
  </si>
  <si>
    <t>There were generally more hot pixels in years with high ENSO indices than in years with lower ones</t>
  </si>
  <si>
    <t>Parks surrounded by Indigenous reserves, Local factors and the geographical arrangement of reserves: Most limited-use reserves are in remote regions with few fires.</t>
  </si>
  <si>
    <t>Closer distance to roads, 
Climate phenomenon, 
Regional factors</t>
  </si>
  <si>
    <t>Katavi National Park,managed by United Republic of Tanzania National Park; Rukwa and LwafiGame Reserves, Mlele and Rungwa-River Game Con-trolled Areas, managed by the United Republic of Tanzania Wildlife Man-agement Authority; Nkamba and Msaginia ForestReserves, managed by the Tanganyika District Counciland United Republic of Tanzania Forest Service Agency, respectively; as wellas Usevia, and Sitalike UnPAs</t>
  </si>
  <si>
    <t>Forest reserves, Game controlled area, Game reserve, National park</t>
  </si>
  <si>
    <t>During the surveyed period, cropland increased from 3.4 % to 9.6 % on unprotected land and from ‰ä?0.05 % to &lt;1 % on protected land. Wildlife densities of most, but not all target species declined across the entire landscape, yet the onset of the observed wildlife declines occurred several years before the onset of cropland expansion. Logistic regression models indicated that target species preferred the national park over less strictly PAs and areas distant to cropland</t>
  </si>
  <si>
    <t>Cropland cover increased significantly in three (UA, FR, GCA) out of five protection categories (Figure 2a,b) of the KRE. Our results clearly show that the highest rates of encroachment occurred in areas subject to fewer restrictions to human resource utilization, particularly in UA.</t>
  </si>
  <si>
    <t>Dunn's post hoc test showed that the extent of cropland cover within UA was greatest and differed significantly from other protection categories (NP,GR, FR, GCA)</t>
  </si>
  <si>
    <t>The temporal trend of this expansion differed between protection categories, evidenced by different average annual rates of crop expansion: NP = 0.02 % increase year_x0003_1;GCA = 0.02 % increase year_x0003_1; GR = 0.03 % increase year 1; FR = 0.10 % increase year_x0003_1; and UA = 1.29 %increase year_x0003_1.</t>
  </si>
  <si>
    <t>While multiple-use areas such as GCAs and FRs in theKatavi-Ruwka Ecosystem were relatively effective in protecting against land-use change, they were ineffective in conserving populations of large mammal species</t>
  </si>
  <si>
    <t>populations of large mammals are declining across the KRE, possibly not only in relation to recent cropland expansion but also because of other anthropogenic factors with illegal hunting being a plausible candidate.</t>
  </si>
  <si>
    <t>&lt; 2020</t>
  </si>
  <si>
    <t>Monthly excess fire anomalies by comparing observed fires with those predicted based on historical and contemporary fire and weather data for all of Madagascar‰Ûªs PAs for every month 2012‰ÛÒ2020</t>
  </si>
  <si>
    <t>Unprecedented increase in fires in Madagascar‰Ûªs PAs between March and July 2020</t>
  </si>
  <si>
    <t>Absence of management lead to a steep increase in fires</t>
  </si>
  <si>
    <t>Absence of management</t>
  </si>
  <si>
    <t>31 National parks (category II), 46 Wildlife refuge (category IV), 169 (VI)</t>
  </si>
  <si>
    <t>(22%) of officially protected land was under intense human pressure, mostly located in north-west and west of the country</t>
  </si>
  <si>
    <t>Almost the entire extent of the country ([99%) is affected by at least one human pressure, and about 35% is subject to intense human pressure (HFP C 4)</t>
  </si>
  <si>
    <t>On average, human pressure is lower inside Iran‰Ûªs PAs (mean score = 5.8) compared to unprotected land (mean score = 13.3)</t>
  </si>
  <si>
    <t>Mean human pressure is fairly similar between category II and category VI PAs, though a greater area is under intense pressure in category VI,  Category VI PAs have by far the most area under intense human pressure</t>
  </si>
  <si>
    <t>Areas of high human pressure are concentrated in the North and North-West of the country, where the major cities and agricultural activities occur.</t>
  </si>
  <si>
    <t>Closer distance to cities and agricultural activities poses higher threat. Failing to halt the human activities that drive biodiversity decline</t>
  </si>
  <si>
    <t>Human pressure is generally much lower in the East and South-East of the country, where it is more arid and less suitable for cropping</t>
  </si>
  <si>
    <t>Outcomes depending on location and biomes. Higher threat close to  major cities and agricultural activities occur</t>
  </si>
  <si>
    <t>1995 - 2017</t>
  </si>
  <si>
    <t>Other: Temporal Human Pressure Index (THPI)</t>
  </si>
  <si>
    <t>Human population density, night light intensity, cropland cover</t>
  </si>
  <si>
    <t>While many PAs show positive outcomes, strikingly we find that compared with matched unPAs, PAs have on average not reduced a compound index of pressure change over the past 15 y. Moreover, in tropical regions average pressure change from cropland conversion has increased inside PAs even more than in matched unPAs</t>
  </si>
  <si>
    <t>6 realms: PAs experienced increased human pressure. Largest in Indomalaya (mean = 5.53, SE = 0.12), Afrotropics (mean = 2.95, SE = 0.05), and the smallest in Australasia (mean = 0.27, SE = 0.02) and the Nearctic (mean = 0.14, SE = 0.03)</t>
  </si>
  <si>
    <t>Fig 2A</t>
  </si>
  <si>
    <t>Compared with matched unPAs, PAs have on average not reduced a compound index of pressure change over the past 15 y</t>
  </si>
  <si>
    <t>Geographical variation. Countries with high national-level development = lower pressure increase.
PAs with reduction in pressure were associated with higher initial human pressure and found in countries with greater human development score</t>
  </si>
  <si>
    <t>Higher country development score</t>
  </si>
  <si>
    <t>Low HDI and low initial pressure and access</t>
  </si>
  <si>
    <t>Pre-lockdown and during the lockdown</t>
  </si>
  <si>
    <t>Among 20 PAs investigated during the lockdown, the study found substantial increases in wildlife death in two PAs, Banke National Park, and Bardia National Park. Similarly, Chitwan National Park (CNP) and Shivapuri Nagarjun National Park (SNNP) witnessed a rise in wildlife poaching. CNP and SNNP are located close to densely populated cities and also have human settlements in their peripheries</t>
  </si>
  <si>
    <t>All forests in Nepal including community forests were under tremendous pressure from poaching and smuggling during the lockdown</t>
  </si>
  <si>
    <t>Close to cities and illegal settlements inside PAs</t>
  </si>
  <si>
    <t>We conclude that PAs near human settlements in Nepal have experienced a negative impact from lockdown since forest and wildlife-related crimes were significantly increased.  
The reduction in law enforcement and patrolling caused a surge of illegal killing of wildlife and activities disturbing wildlife</t>
  </si>
  <si>
    <t>Reduction in law enforcement and patrolling caused a surge of illegal killing of wildlife and activities disturbing wildlife. 
Closeness to heavily populated cities and have some human habitation inside the PAs</t>
  </si>
  <si>
    <t>Simien Mountain National Park</t>
  </si>
  <si>
    <t xml:space="preserve">The SMNP was created in 1969, a period when 80% of the park was subjected to human use through livestock grazing, cultivation and settlements </t>
  </si>
  <si>
    <t>increase in forest was observed in the eastern and western edge of the SMNP at Sankaber and Imet Gogo (20‰ÛÒ40%). In contrast, centrally in the SMNP (around Gich), the area covered with dense forest decreased with an estimated rate of -1.4% per decade</t>
  </si>
  <si>
    <t>The average woody vegetation change is negative (-1.8%) outside the SMNP and positive (1.4%) inside the PA. But an ANOVA test shows that this difference is not significant for all time periods (p[ 0.05). The boundary of the National Park is not significantly explaining for changes to woody vegetation
in the Simien Mountains</t>
  </si>
  <si>
    <t>The establishment of the National Park did not induce a significant increase in woody vegetation. This can be partly explained by early colonization of marginal lands in the Kona-Sona lowlands outside the NP</t>
  </si>
  <si>
    <t>Habitat for several endangered endemic species</t>
  </si>
  <si>
    <t>Growing population</t>
  </si>
  <si>
    <t>Chatthin Wildlife Sanctuary</t>
  </si>
  <si>
    <t>Wildlife Sanctuary</t>
  </si>
  <si>
    <t>Supports endangered species and has a history of human habitation.</t>
  </si>
  <si>
    <t>Between 1973 and 2005, 62% of forest was lost at an annual rate of 1.86% in the area, while forest loss inside CWS was only 16% (0.45% annually). Based on trends found during our study period, dry forests outside CWS would not persist beyond 2019, while forests inside CWS would persist for at least
another 100 years</t>
  </si>
  <si>
    <t>forest loss inside CWS was 16%</t>
  </si>
  <si>
    <t>Based on trends found during our study period, dry forests outside CWS would not persist beyond 2019, while forests inside CWS would persist for at least another 100 year</t>
  </si>
  <si>
    <t>CWS protection efforts were effective in reducing deforestation rates, although deforestation effects extended up to 2 km into the sanctuary</t>
  </si>
  <si>
    <t>CWS is one of the largest protected patches of tropical dry forest in Southeast Asia and supports over half the remaining wild population of the endangered Eld‰Ûªs deer</t>
  </si>
  <si>
    <t>Deforestation patterns show that forest declines primarily resulted from agricultural conversion and subsistence uses rather than large-scale logging, Shifting cultivation , Hydroelectric development</t>
  </si>
  <si>
    <t>Mangrove reserves</t>
  </si>
  <si>
    <t>NNRs, five of which are Ramsar sites), eleven provincial nature reserves (two of which are Ramsar sites), and twenty-nine local nature reserves</t>
  </si>
  <si>
    <t>1980 - 1997</t>
  </si>
  <si>
    <t>Comparing the light pollution of mangrove forests in seven nature reserves and their corresponding provinces, we found that the polluted proportion in four nature reserves (DNNR, SMNR, BNNR, and ZMNR) was lower than the provincial average, with the remaining nature reserves seriously affected by light pollution because they were too close to cities, such as FMNR, MMNR, and FZNNR. However, from the perspective of the net increase of pollution proportions, the net increase of six nature reserves in addition to FZNNR was less than the provincial average. This indicates that the establishment of mangrove nature reserves not only protected the mangrove forest areas, but also reduced the risk of light pollution, which could effectively protect the mangrove ecosystem.</t>
  </si>
  <si>
    <t>The net increase of pollution proportions, the net increase of six nature reserves in addition to FZNNR was less than the provincial average</t>
  </si>
  <si>
    <t>Comparing the light pollution of mangrove forests in seven nature reserves and their corresponding provinces, we found that the polluted proportion in four nature reserves (DNNR, SMNR, BNNR, and ZMNR) was lower than the provincial average</t>
  </si>
  <si>
    <t>Proximity to cities</t>
  </si>
  <si>
    <t>the establishment of nature reserves is effective in preventing the light pollution of mangroves</t>
  </si>
  <si>
    <t>National parks, 
Nature reserves,
Game parks,
Forest reserve</t>
  </si>
  <si>
    <t>3 buffer zones (B01:0‰ÛÒ1 km from park edge, B15:1‰ÛÒ5 km from park edge, B510:5‰ÛÒ10 km from park edge) and in the unprotected surrounding matrix</t>
  </si>
  <si>
    <t>We document high variability in PA effectiveness within and between PA categories. The most successful PAs were National Parks, although only 26 out of 48 parks increased or maintained their forest area (i.e. Effective parks). Forest Reserves (Ineffective parks, i.e. parks that lose forest from within boundaries: 204 out of 337), Nature Reserves (six out of 12) and Game Parks (24 out of 26) were more likely to lose forest cover. Forest loss in buffer zones around PAs exceeded background forest loss, in some areas indicating leakage driven by Effective National Park</t>
  </si>
  <si>
    <t>Between 2001 and 2009, forest cover in East Africa decreased in all countries, except the Southern Sudan region (Figure 1), and most severely in the (previously) forest-rich countries of Uganda and Rwanda.</t>
  </si>
  <si>
    <t>Forest decrease was strongest outside PAs  with a decrease of 17,167 km2 (29.3%) over the eight year period.</t>
  </si>
  <si>
    <t>Forest conservation success differed considerably within protection categories: nearly 50% of National Parks, 50% of Nature Reserves, 61% of Forest Reserves and 92% of Game Parks were Ineffective. 
The most successful PAs were National Parks, although only 26 out of 48 parks increased or maintained their forest area (i.e. Effective parks). Forest Reserves (Ineffective parks, i.e. parks that lose forest from within boundaries: 204 out of 337), Nature Reserves (six out of 12) and Game Parks (24 out of 26) were more likely to lose forest cover</t>
  </si>
  <si>
    <t>NP the most effective.  Indicates significantly higher areal forest loss from Game Parks compared to Forest Reserves and National Parks (Pbonf ,0.01), and significantly higher relative forest loss compared to National Parks, Nature Reserves and Forest Reserves (Pbonf ,0.01)</t>
  </si>
  <si>
    <t>Forest conservation success differed considerably within protection categories: nearly 50% of National Parks, 50% of Nature Reserves, 61% of Forest Reserves and 92% of Game Parks were Ineffective (Table 2),</t>
  </si>
  <si>
    <t>Human pressure, forest accessibility, protection status, distance to fires and long-term annual rainfall were highly significant drivers of forest loss in East Africa. Parks encompassing smaller forest patches experienced stronger relative forest loss</t>
  </si>
  <si>
    <t xml:space="preserve">1:  established above 1800 m elevation with an area of approximately 165 km2 within which agriculture and industry was prohibited.
2: </t>
  </si>
  <si>
    <t>Other: 1: No
2: Yes</t>
  </si>
  <si>
    <t>Honduras</t>
  </si>
  <si>
    <t>Celaque National Park</t>
  </si>
  <si>
    <t>Successful in maintaining forest cover.
Area within the park core and buffer appeared relatively stable, with less than 10‰ÛÒ12% of the total area undergoing change at any point in time</t>
  </si>
  <si>
    <t>Changes in land use patterns have led to increasing pressure on the park boundaries, exacerbated by the lack of involvement of local residents.</t>
  </si>
  <si>
    <t>Surrounding landscape was much less stable. In the most recent time period, 1996‰ÛÒ2000, as much as 25% of the area had experienced change (regrowth or  deforestation)</t>
  </si>
  <si>
    <t>Nepal</t>
  </si>
  <si>
    <t>Royal Chitwan National Park buffer zone</t>
  </si>
  <si>
    <t>National park. 
Co-management implemented</t>
  </si>
  <si>
    <t>The % of area deforested  average of 19.85% (Table 2). 
Significant regrowth of tree cover (27%).</t>
  </si>
  <si>
    <t xml:space="preserve">1: highest mountain peak in Honduras, and its cloud forests are rich in biodiversity and endemic species.
2: </t>
  </si>
  <si>
    <t>Co-management have been implemented over the past decade in the park buffer zone. With significant incomes derived from ecotourism.
International investment. 
Topographic inaccessibility</t>
  </si>
  <si>
    <t>Mono transboundary biosphere reserve (MTBR)</t>
  </si>
  <si>
    <t>Transboundary biosphere reserve</t>
  </si>
  <si>
    <t>5.1 Hunting, gathering, fishing ; 5.3 Logging &amp; wood harvesting; 7.1 Fire &amp; fire suppression; 9 Pollution</t>
  </si>
  <si>
    <t>Fishing, pollution, mangrove over-harvesting, bushfire, mangrove clearing and change in salinity</t>
  </si>
  <si>
    <t>Comanagement approach has lowered anthropogenic stressors to mangroves in the reserve. Under the co-management approach, all the mangroves located in the Benin side of the reserve are identified as under low risk whereas 42% of the mangrove cover are considered under low risk and 58% under medium risk in Togo. Local perception also portrayed the reduction of mangrove degradation in the study sites following the adoption of the co-management approach in the two countries.</t>
  </si>
  <si>
    <t>The majority (78,2% in Benin and 85,8% in Togo) reported a drastic and somewhat reduction of human-led  pressures on mangroves after comanagement</t>
  </si>
  <si>
    <t>Positive perceived impact of the comanagement on mangrove protection</t>
  </si>
  <si>
    <t>Peoples‰Ûª perception in Benin varied signifcantly across ethnical groups</t>
  </si>
  <si>
    <t>Natural reserve</t>
  </si>
  <si>
    <t>Nighttime light</t>
  </si>
  <si>
    <t>Intensity and range of the nighttime light around panda habitat had increased significantly from 2000 to 2020. The nighttime light intensity inside the natural reserves is significantly lower than outside, and it becomes more obvious over time. The intensity and range of nighttime light inside the natural reserves first increased and then decreased during the two decades, indicating that the protection inside the natural reserves effectively reversed the rapid increase in human activities in the previous decade</t>
  </si>
  <si>
    <t>The growth rate of nighttime light intensity inside natural reserves was 120% of the average level in the study area from 2000 to 2010, but the effective protection made it fall to 17.9% from 2000 to 2020</t>
  </si>
  <si>
    <t>From 2000 to 2020, the growth rate of the nighttime light area inside natural reserves was only 5.7% of the growth rate over the whole study area</t>
  </si>
  <si>
    <t>The intensity of nighttime light inside the giant panda natural reserves was much lower than outside, and we found it became more obvious over time: the average intensity of nighttime light inside the natural reserves was 11.0% (2000), 6.5% (2010) and 1.1% (2020) of the average level in the whole study area, respectively</t>
  </si>
  <si>
    <t>The intensity and range of nighttime light inside the natural reserves first increased and then decreased during the two decades, indicating that the protection inside the natural reserves effectively reversed the rapid increase in human activities in the previous decade</t>
  </si>
  <si>
    <t>The region‰Ûªs great biodiversity. Home to wild panda</t>
  </si>
  <si>
    <t>increase in nighttime light intensity and range were also significantly positively correlated with the increase in habitat fragmentation</t>
  </si>
  <si>
    <t>HuascarÌÁn National Park</t>
  </si>
  <si>
    <t>The proportion of the total area burned between 2002 and 2014 for both the HNP and the BZ (total CB) was 0.81% and 2.03%, respectively.</t>
  </si>
  <si>
    <t>Cyclical</t>
  </si>
  <si>
    <t>Most years, the BZ experiences more area burned than the HNP</t>
  </si>
  <si>
    <t>Pattern in fire occurrence and seasonality with peak fire activity during the Peruvian winter (dry season</t>
  </si>
  <si>
    <t>Marked seasonal cyclicity, with higher fire activity during the dry season</t>
  </si>
  <si>
    <t>Control area (CA, in a 20‰ÛÒ120-km buffer around the NR)</t>
  </si>
  <si>
    <t xml:space="preserve"> a buffer zone (in a 20-km buffer around the NR</t>
  </si>
  <si>
    <t>&lt; 2021</t>
  </si>
  <si>
    <t xml:space="preserve"> 75.9% of the NRs were effective in preventing deforestation within their boundaries. NRs with different properties showed similar performance on forest conservation. Spillover effects were heterogeneous around NRs. One hundred and twenty-two buffer zones had positive spillover ranging from 0.1% to 5.3%. One 
hundred and nineteen buffer zones had leakages from ‰öÕ8.84% to ‰öÕ0.1%. </t>
  </si>
  <si>
    <t xml:space="preserve"> 75.9% of the NRs were effective in preventing deforestation. Positive E value ranging from 0.1% to 5%, indicating successful forest conservation</t>
  </si>
  <si>
    <t>NRs showed better performance in forest conservation compared to control areas</t>
  </si>
  <si>
    <t xml:space="preserve"> Most PAs performed well in forest conservation</t>
  </si>
  <si>
    <t>Ineffective NRs near the Longmen Shan mountain range, where the 2008 Wenchuan earthquake occurred, have a higher rate of forest loss than matched control areas</t>
  </si>
  <si>
    <t>Post-match estimates usually indicate positive PA land-cover impacts (i.e. most countries fall in the upper-rightquadrants in •Â_x0081_gure 2a‰ÛÒ c). That is consistent with reducedforest clearing: 75 per cent of countries showed positiveland-cover PA impacts for 2000; 76 per cent did for2005; and 67 per cent showed gains using the noisierestimate of 2000‰ÛÒ 2005 land-cover change</t>
  </si>
  <si>
    <t>Specifically, 75% of countries showed positive land-cover impacts for the year 2000, 76% for 2005, and 67% for the change between 2000 and 2005, suggesting a reduction in forest clearing within PAs over time</t>
  </si>
  <si>
    <t>Reduced forest clearance</t>
  </si>
  <si>
    <t>Reduction in estimated PA impacts from pre- to post-match is greater for category I and II parks than forcategory III ‰ÛÒVI parks matches the expectations fromrecent results that category I and II PAs are most biasedin terms of land characteristics</t>
  </si>
  <si>
    <t>PAs do have a significant role in reducing land cover conversion, but this effectiveness is nuanced by various factors.  impacts vary considerably within a country (i.e. across a landscape): protection achieves less on lands far from roads, far from cities and on steeper slope</t>
  </si>
  <si>
    <t>Impacts vary considerably within a country (i.e. across a landscape): protection achieves less on lands far from roads, far from cities and on steeper slopes</t>
  </si>
  <si>
    <t>HEN and N2k</t>
  </si>
  <si>
    <t>Hungarian Ecological Network, and N2k sites</t>
  </si>
  <si>
    <t>Biosphere reserve, Natura 2000</t>
  </si>
  <si>
    <t>HEN includes core (Biosphere reseve), buffer and ecological corridor.</t>
  </si>
  <si>
    <t>Occurrence of some investigated invasive plants was over-represented in the HEN and within Natura 2000 areas of Hungary compared to non-infected points</t>
  </si>
  <si>
    <t>Within the core area of the HEN, only A. syriaca (1/5) has a lower infection rate than non-infected points. This suggests that highly protected nature onservation areas (e.g., national parks) are more infected with A. altissima, Solidago spp., and R. pseudoacacia than areas outside PAs (Table 2)</t>
  </si>
  <si>
    <t xml:space="preserve">Both PAs types were ineffective </t>
  </si>
  <si>
    <t>Not effective PAs</t>
  </si>
  <si>
    <t>Roads, railways, water and ecological networks</t>
  </si>
  <si>
    <t>&lt; 2012</t>
  </si>
  <si>
    <t>Road and access, human population, Land transformation (agriculture, industrial plantations, built-up environment and other land uses)</t>
  </si>
  <si>
    <t xml:space="preserve"> the HF has changed in and around NPs in Indonesia, even in a period of only 5 years. Between 2012 and 2017, all bioregions experienced average increases in their HFs, both inside parks as well as in the 10-km buffer areas outside the parks. </t>
  </si>
  <si>
    <t>37 out of 43 NPs experienced an increase in the HF, ranging from 0.4 to 77.3%</t>
  </si>
  <si>
    <t>2012 and 2017, all bioregions experienced average increases in their HFs, both inside parks as well as in the 10-km buffer areas outside the parks</t>
  </si>
  <si>
    <t xml:space="preserve">On average, more bioregions in Indonesia experienced higher 
increases of HFs inside NP compared to HFs in the 10-km buffer areas </t>
  </si>
  <si>
    <t>Strongly impacted by infrastructure development, especially roads.</t>
  </si>
  <si>
    <t>increased HFs inside NPs follow what is happening in the 10 km buffer areas.</t>
  </si>
  <si>
    <t>Human population density and improved access to parks from roads, rivers and coastlines</t>
  </si>
  <si>
    <t>IUCN (High, Low and Mixed)</t>
  </si>
  <si>
    <t>1968 - 2018</t>
  </si>
  <si>
    <t>5 - 10 km</t>
  </si>
  <si>
    <t>5.3 Logging &amp; wood harvesting; LULCC</t>
  </si>
  <si>
    <t>5.3 Logging &amp; wood harvesting; LULC</t>
  </si>
  <si>
    <t>Deforestation, Fragmentation</t>
  </si>
  <si>
    <t>Between 1990 and 2018, approximately 4% of the accumulated deforestation occurred within the boundaries of SNAP, and up to 25.5% in buffer zones</t>
  </si>
  <si>
    <t># of deforestation patches were higher in buffer zones, meaning higher deforestation outside PAs</t>
  </si>
  <si>
    <t>PAs and their buffer zones with higher protection status were identified as the most deforested areas among SNAP.</t>
  </si>
  <si>
    <t>Among the PAs of SNAP, those with the highest protection level (IUCN eq. cat. Ia/b and II, including buffer zones) had the highest share of national deforestation between 1990 and 2018</t>
  </si>
  <si>
    <t>PAs of SNAP are generally effective at preventing deforestation within their boundaries. However, forest fragmentation is higher inside PAs with higher protection status than areas of lower protection status.</t>
  </si>
  <si>
    <t>Ecuador</t>
  </si>
  <si>
    <t>IUCN Ia/Ib, II, III, IV</t>
  </si>
  <si>
    <t>Table 3</t>
  </si>
  <si>
    <t>Fig 3</t>
  </si>
  <si>
    <t>IUCN V, VI</t>
  </si>
  <si>
    <t>BR, RAMSAR</t>
  </si>
  <si>
    <t xml:space="preserve">Main driver: agriculture. Distance to agricultural area has the highest correlation to deforestation on national level </t>
  </si>
  <si>
    <t>Liaoning Liaohe Estuary NNR - 1988 - Ramsar site (2005)
YRD NNR (YRPA) - 1992 - Ramsar 2013
Shanghai Chongming Dongtan Bird NNR (CMPA) - 2005 - Ramsar 2002
Shanghai Jiuduansha Wetland National Nature Reserve of the YtRD - 2005</t>
  </si>
  <si>
    <t>1992 - 2005</t>
  </si>
  <si>
    <t>LULCC: Land reclamation; invasive species</t>
  </si>
  <si>
    <t>PAs were effective in halting the decreasing trends in coastal wetland areas and slowing the expansion of reclamation, but the success of PAs is being counteracted by soaring exotic plant invasions</t>
  </si>
  <si>
    <t>Our findings also supported that the tidal vegetation and tidal flat areas in these PAs had stable or increasing trends after the establishment.
Reclaimed areas have recently experienced significant decreases in these PAs</t>
  </si>
  <si>
    <t>More effective with the intervention</t>
  </si>
  <si>
    <t xml:space="preserve">Strong effectiveness of PAs in controlling the expansion of reclaimed areas. Spartina-invaded areas in four PAs were much larger after Ramsar sites were designated </t>
  </si>
  <si>
    <t xml:space="preserve">The areas invaded by Spartina increased substantially in the four PAs. Furthermore, the Spartina-invaded areas in four PAs were much larger after Ramsar sites were designated </t>
  </si>
  <si>
    <t xml:space="preserve">The Spartina-invaded areas in four PAs were much larger after Ramsar sites were designated </t>
  </si>
  <si>
    <t>PAs vs matched unprotected sites</t>
  </si>
  <si>
    <t>Other: PA - PA categories;PA - Other LU types</t>
  </si>
  <si>
    <t>SPs: IUCN I - IV
MUs: IUCN V - VI
Indigenous lands</t>
  </si>
  <si>
    <t>SPs: 62
MUs: 44
Indigenous lands: 62</t>
  </si>
  <si>
    <t>All levels of protection</t>
  </si>
  <si>
    <t>Both PAs types and ILs experienced lower habitat conversion during this period than matched unprotected sites. Judging from their matched unprotected sites, strictly PAs had similar levels of baseline conversion to multiple-use PAs but were more effective at reducing it</t>
  </si>
  <si>
    <t xml:space="preserve">From 2002 to 2009 SNUC PAs in Cerrado had a positive absolute effect overall (Figure 2a, Wilcoxon test, V = 3844, N = 106, P &lt; 0.001), and so did each of their two major subsets‰ÛÓSPs (V = 1431, N = 62, P &lt; 0.001) and MUs (V = 607, N = 44, P &lt; 0.001). </t>
  </si>
  <si>
    <t>The 10 km buffers surrounding PAs did not appear to experience higher conversion than did their matched unprotected site</t>
  </si>
  <si>
    <t xml:space="preserve">PAs in Cerrado had a positive absolute effect overall (Wilcoxon test, V = 3844, N = 106, P &lt; 0.001), and so did each of their two major subsets‰ÛÓSPs (V = 1431, N = 62, P &lt; 0.001) and MUs (V = 607, N = 44, P &lt; 0.001). This effect was generally larger for SPs than for MUs </t>
  </si>
  <si>
    <t>Judging from their matched unprotected sites, strictly PAs had similar levels of baseline conversion to multiple-use PAs, but were more effective at reducing it.</t>
  </si>
  <si>
    <t>Similar baselines but strict reserves were more effective than MU</t>
  </si>
  <si>
    <t>Indigenous land, SP, MU</t>
  </si>
  <si>
    <t>Level of strictness, SPs in Cerrado were located in areas with baseline levels of threat similar to those for MUs, but were generally more effective</t>
  </si>
  <si>
    <t>Conversion avoided by Cerrado PAs was not offset by increased conversion in their immediate surroundings</t>
  </si>
  <si>
    <t>Peripheral area</t>
  </si>
  <si>
    <t>Aiguestortes i Estany de Sant Maurici NP</t>
  </si>
  <si>
    <t>Located in the high mountain domain of the Pyrenees massif</t>
  </si>
  <si>
    <t>In the two areas with different protection level, dense forests increased throughout the period because of the reduction in forestry activities. The peripheral area showed a higher rate of
forest-cover change from 1957 to 2005 compared to the national Park. This higher increase in forest cover in the peripheral area could be related to a higher proportion in the National Park of screes and rocky areas and to the decline and transformation of forest activities in these peripheral, lower elevation areas.</t>
  </si>
  <si>
    <t>The percentage of forest cover in the whole area increased from 28.8 å± 0.4% (mean å± SE) in 1957 to 33.5 å± 0.4% in 2005</t>
  </si>
  <si>
    <t>More quadrats in the peripheral area than in the National Park that still had the same land-cover type as 50 years ago in 1957</t>
  </si>
  <si>
    <t>More quadrats in the peripheral area than in the National Park that, 48 years later, had the same land-cover type as in å?1957</t>
  </si>
  <si>
    <t>Forest-cover change decreased with both elevation and distance to villages</t>
  </si>
  <si>
    <t>Forest cover was already higher in the peripheral area than in the National Park in the two areas in 1957, and this difference had increased 48 years later, with a higher rate of change in the peripheral area than in the National Park in the two areas considered</t>
  </si>
  <si>
    <t>Forest-cover change Decreased with both elevation and distance to villages</t>
  </si>
  <si>
    <t>Comparison between different management regimes (Forest Department vs. Kenya Wildlife Service)</t>
  </si>
  <si>
    <t>For protection status, we distinguished between sites with high protection priority i.e., National or Nature Reserves (n = 10) and sites with low protection priority i.e., Forest Reserves (n = 12)</t>
  </si>
  <si>
    <t>22 sites - Sites being managed by different institutions KWS (n = 6) and the FD (n = 16)</t>
  </si>
  <si>
    <t>Forest reserve / Nature reserve</t>
  </si>
  <si>
    <t>Illegal logging was significantly lower in Kenya Wildlife Service managed sites and within highly protected National and Nature Reserves compared to less protected Forest Reserves, indicating management effectiveness and protection status influence on Kakamega Forest.</t>
  </si>
  <si>
    <t>We could not find differences in the number of logged trees for past logging (i.e. more than 20 years ago) between different sites indicating that logging levels in the past might have been similar throughout Kakamega Fores</t>
  </si>
  <si>
    <t>Logging was lower within highly protected National and Nature Reserves as compared to high logging within the less protected Forest Reserves</t>
  </si>
  <si>
    <t>The number of trees logged illegally in the last 20 years was significantly lower at sites managed by the Kenya Wildlife Service</t>
  </si>
  <si>
    <t>fewer trees logged at sites managed by the KWS and with high protection priority</t>
  </si>
  <si>
    <t>Kakamega Forest is a highly fragmented and disturbed forest and has been continually exploited for many years due to the high surrounding population pressure</t>
  </si>
  <si>
    <t>One of the last remaining indigenous forests of Kenya
situated in an agricultural area with a high human density.
The overall aim of the KWS is ‰Û÷to conserve, protect and sustainably manage the wildlife resources‰Ûª and its areas are set aside for conservation and tourism only (Wass 1995). People are not allowed to collect any forest products and these policies are strictly enforced through regular patrols by up to five game rangers</t>
  </si>
  <si>
    <t xml:space="preserve">The transition of management to the Kenya Wildlife Service (KWS) in 1986 resulted in significantly lower levels of illegal logging compared to areas managed by the Forest Department. 
The establishment of National and Nature Reserves within Kakamega Forest provided a higher level of protection, leading to reduced logging activities. The study notes that logging levels were lower in these highly PAs compared to less protected Forest Reserves.
A presidential decree in the early 1980s banned the exploitation of indigenous tree species, which contributed to a reduction in commercial logging activities, positively impacting forest conservation efforts. 
Strong enforcement: </t>
  </si>
  <si>
    <t>Lack of sufficient resources to implement conservation measures
The high population density and land-use pressures from surrounding communities</t>
  </si>
  <si>
    <t>A quasi-experimental approach (matching) ‰Ûªto compare the change within PAs vs. the change outside, within each of earth‰Ûªs terrestrial biomes.</t>
  </si>
  <si>
    <t>We assess whether or not the effectiveness of PAs depends on their IUCN category; in other words, we examine whether areas with more strict protection status (i.e., IUCN categories I to II) are more successful in reducing impact when compared to areas with a less strict status (III to VI) or no status at all</t>
  </si>
  <si>
    <t xml:space="preserve">All IUCN categories </t>
  </si>
  <si>
    <t>WDPA - Grouped by: (a) I‰ÛÒII; (b) III‰ÛÒVI; and (c) no assigned IUCN category</t>
  </si>
  <si>
    <t>Overall increase in human footprint higher in tropical than temperate regions. 
The increase was lower inside PAs than outside, in half of the fourteen biomes examined the differences were insignificant. 
Although reasons varied, PAs alone are unlikely to be successful in protecting wilderness areas</t>
  </si>
  <si>
    <t>The average increase in human footprint inside PAs was 0.20</t>
  </si>
  <si>
    <t>The average increase of human footprint outside PAs was 0.32 (sd = 0.30).</t>
  </si>
  <si>
    <t>There was no statistical difference between the increases in human footprint within the three types of PAs, i.e., (a) strict; (b) non-strict; and (c) no IUCN category (Kruskal‰ÛÒWallis Chi squared = 1.65, df = 2, p value = 0.4;</t>
  </si>
  <si>
    <t>PAs generally mitigate human impact within wild areas, but the degree of effectiveness varies across different biomes. While PAs typically have lower human footprints compared to unPAs, this trend is not universal. In some biomes, such as boreal forests and tundra, the difference in human impact between protected and unPAs is minimal. This is likely due to factors other than the effectiveness of the PAs themselves, such as the overall low human footprint in these biomes.</t>
  </si>
  <si>
    <t>Wild areas in temperate biomes (e.g., boreal forests and tundra) remain relatively free of substantial increases in intense human pressure (Table 1), while wild areas in tropical and subtropical biomes are increasingly impacted by human activities</t>
  </si>
  <si>
    <t>The degree by which PAs are able to mitigate human impact within wild areas varies across biomes</t>
  </si>
  <si>
    <t>Tropical and subtropical dry broadleaf forests, in which the increases in human footprint were considerable, both inside and outside PAs</t>
  </si>
  <si>
    <t>In boreal forests, as well as in tundra, the differences in human impact within areas inside and outside PAs were minimal. This pattern, though, was likely not because PAs there were ineffective, but rather because the increase in mean human footprint in those two biomes was in general low. Therefore, additional PAs within the wild areas in those biomes may not result in substantial benefits</t>
  </si>
  <si>
    <t xml:space="preserve">Increaseds in HFI  in developing countries, many of which are located in biodiverse biomes experiencing the most change in human footprint. </t>
  </si>
  <si>
    <t>&lt; 1999</t>
  </si>
  <si>
    <t>Other: Human pressure</t>
  </si>
  <si>
    <t>Human modification</t>
  </si>
  <si>
    <t>Net change of tidal flat extent inside PAs was similar to tidal flat net change outside PAs from 1999 to 2016. Substantial shortfalls in protection of tidal flats occurred across Asia, where large intertidal extents coincided with high to very high human pressure (HMc &gt; 0.4‰ÛÒ1.0) and net tidal flat losses up to 86.4 km2 (95% CI 83.9‰ÛÒ89.0) occurred inside individual PAs in the study period.</t>
  </si>
  <si>
    <t xml:space="preserve">Our analysis of individual PAs showed that the percentage of PAs that experienced net loss (e.g., Figs. 1b, 1f, &amp; 1g) and net gain (e.g., Figs. 1c‰ÛÒe) were similar (51.6% and 48.4% respectively), but that average gains of 1.8 km2 (1.78‰öÕ1.89 km2, 95% CI &lt;0.01‰ÛÒ240.6 km2) were greater than average losses of 0.9 km2 (0.85‰ÛÒ0.91 km2, 95% CI &lt; 0.01‰ÛÒ89.0) </t>
  </si>
  <si>
    <t>From 1999 to 2016, tidal flat extent did not significantly differ within the PA network (3.2%, 95% CI ‰öÕ2.7% to 9.5%) compared with outside the PA network (‰öÕ1.3%,95% CI ‰öÕ7.0% to 4.7%)</t>
  </si>
  <si>
    <t>Tidal flat coverage in areas with moderate to very high human pressure is below the global average, particularly in East and Southeast Asia, where rapid loss has been noted</t>
  </si>
  <si>
    <t xml:space="preserve">Country governance </t>
  </si>
  <si>
    <t>Countries with strong governance may be more likely to progress toward
coverage target</t>
  </si>
  <si>
    <t>Countries with low governance scores</t>
  </si>
  <si>
    <t>WDPA 2018</t>
  </si>
  <si>
    <t>National - IUCN I to VI</t>
  </si>
  <si>
    <t>&lt;= 1993</t>
  </si>
  <si>
    <t>we find that 70% of Sundaland has been heavily modified by humans. This represents a 55% increase in areas under intense human pressure since 1993. The results imply that the actual level of protection by PAs is only one-third to half of that on paper once human footprint is accounted for. While all PAs were impacted by human pressures, those managed strictly for biodiversity conservation presented the largest increase</t>
  </si>
  <si>
    <t>In 1993, on average, 70.5% å± 38.6 SD of each PA extent in Sundaland was categorized as having human footprint ‰ä´4, and this average increased to 77.9% å±34.3 SD by 2009</t>
  </si>
  <si>
    <t>Overall, the Sundaland biodiversity hotspot has been subjected to intense human pressure that compromises key conservation values in the region. On average, over 70% of protected land is under intense human pressures. This far exceeds the global average of approximately 30% due to the high concentration of human activities in Sundaland (Jones et al., 2018</t>
  </si>
  <si>
    <t>The change in human pressures across PAs differed significantly (p = .005). The PA Category Ia showed the highest and a statistically significant increase (26.1%) in mean human pressure (p = .0001).
The PA Categories Ib (p = .49) and VI (p = .54) experienced an increase in human pressure that was not statistically significant, whereas Categories II, III, IV and V remained stable (Figure 2a).</t>
  </si>
  <si>
    <t>Increasing human pressure</t>
  </si>
  <si>
    <t>Approximately half (55.2%) of the Sundaland biodiversity hotspot showed an increase in the extent of areas under intense human pressure from 1993 to 2009, while only 10.6% of the biodiversity hotspot exhibited a decrease in the extent of areas under intense human pressure</t>
  </si>
  <si>
    <t xml:space="preserve">Pictured Rocks National Lakeshore </t>
  </si>
  <si>
    <t>IUCN III - Natural monument</t>
  </si>
  <si>
    <t>15300 ha inland buffer zone</t>
  </si>
  <si>
    <t>Gradient in land-cover continuity from the core zone (81 % continuity) to the inland buffer zone (74 %) and the area outside the park (66 %).</t>
  </si>
  <si>
    <t>Landscape continuity is by far the dominant trajectory over the whole study period. 73 % of the total study area remained in the same land-cover class in all three time points</t>
  </si>
  <si>
    <t>However, there was a clear gradient in landscape continuity from the park core zone (81 %) to the inland buffer zone (74 %) and the area outside the park (66 %).</t>
  </si>
  <si>
    <t>Gradient in land-cover continuity from the core zone (81 % continuity) to the inland buffer zone (74 %) and the area outside the park (66 %)</t>
  </si>
  <si>
    <t>ore than half of the study area was considered as ‰Û÷‰Û÷natural virgin‰Ûª‰Ûª (no changes in land-cover and forest community type) with a higher portion within the park than in the adjacent area. he core zone showed the largest degree of similarity between pre-settlement and current times</t>
  </si>
  <si>
    <t>Soil samples inside and outside the park</t>
  </si>
  <si>
    <t>17 agriculture pollutants OCPs</t>
  </si>
  <si>
    <t>The present study indicates that the soil inside the park and outside is uniformly contaminated.</t>
  </si>
  <si>
    <t>Because of the water coming from areas which are extensively used for agricultural purposes and farmers using different kinds of pesticides to protect their crops from termites and other pests.</t>
  </si>
  <si>
    <t>The water received by the reservoir has been contaminated with a variety of pesticides from the catchment area of the Gambhiri River as it is under extensive agricultural production.</t>
  </si>
  <si>
    <t>The results indicate that the soil of the park is uniformly contaminated with these OCPs. This is because of the water
coming from areas which are extensively used for agricultural purposes and farmers using different kinds of pesticides to protect their crops from termites and other pests. 
Use of DDT despite it is banned</t>
  </si>
  <si>
    <t>validity</t>
  </si>
  <si>
    <t>threats_l0</t>
  </si>
  <si>
    <t>threats_l1</t>
  </si>
  <si>
    <t>["Biological resource use"]</t>
  </si>
  <si>
    <t>["Logging &amp; wood harvesting"]</t>
  </si>
  <si>
    <t>["Biological resource use", "Residential &amp; Commercial Development"]</t>
  </si>
  <si>
    <t>["Invasive &amp; other problematic species, genes &amp; diseases"]</t>
  </si>
  <si>
    <t>["Natural system modifications"]</t>
  </si>
  <si>
    <t>["Fire &amp; fire suppression"]</t>
  </si>
  <si>
    <t>["Biological resource use", "Pollution", "Natural system modifications"]</t>
  </si>
  <si>
    <t>["Hunting &amp; collecting terrestrial animals", "Logging &amp; wood harvesting", "Fire &amp; fire suppression"]</t>
  </si>
  <si>
    <t>["Pollution"]</t>
  </si>
  <si>
    <t>["Agriculture &amp; aquaculture", "Biological resource use"]</t>
  </si>
  <si>
    <t>["Hunting &amp; collecting terrestrial animals"]</t>
  </si>
  <si>
    <t>["Agriculture &amp; aquaculture"]</t>
  </si>
  <si>
    <t>["Residential &amp; commercial development", "Agriculture &amp; aquaculture", "Biological resource use"]</t>
  </si>
  <si>
    <t>["Residential &amp; commercial development"]</t>
  </si>
  <si>
    <t>["Pollution", "Invasive &amp; other problematic species, genes &amp; diseases"]</t>
  </si>
  <si>
    <t>["Agriculture &amp; aquaculture", "Energy production &amp; mining", "Transportation &amp; service corridors"]</t>
  </si>
  <si>
    <t>["Transportation &amp; service corridors"]</t>
  </si>
  <si>
    <t>["Agriculture &amp; aquaculture", "Transportation &amp; service corridors"]</t>
  </si>
  <si>
    <t>["Biological resource use", "Human intrusions &amp; disturbance"]</t>
  </si>
  <si>
    <t>["Hunting &amp; collecting terrestrial animals", "Recreational activities"]</t>
  </si>
  <si>
    <t>["Agriculture &amp; aquaculture", "Biological resource use", "Natural system modifications", "Residential &amp; commercial development"]</t>
  </si>
  <si>
    <t>["Logging &amp; wood harvesting", "Fire &amp; fire suppression"]</t>
  </si>
  <si>
    <t>wos-id</t>
  </si>
  <si>
    <t>10.1007/s10531-004-3509-3</t>
  </si>
  <si>
    <t>10.1098/rspb.2010.1713</t>
  </si>
  <si>
    <t>10.1371/journal.pone.0039337</t>
  </si>
  <si>
    <t>10.1007/s10661-011-2340-z</t>
  </si>
  <si>
    <t>10.1007/s00267-013-0102-0</t>
  </si>
  <si>
    <t>10.1016/j.biocon.2013.04.016</t>
  </si>
  <si>
    <t>10.1088/1748-9326/9/3/035007</t>
  </si>
  <si>
    <t>10.1111/conl.12049</t>
  </si>
  <si>
    <t>10.1371/journal.pone.0124872</t>
  </si>
  <si>
    <t>10.1016/j.apgeog.2015.06.013</t>
  </si>
  <si>
    <t>10.1016/j.landusepol.2015.08.020</t>
  </si>
  <si>
    <t>10.1371/journal.pone.0149292</t>
  </si>
  <si>
    <t>10.3390/rs8100862</t>
  </si>
  <si>
    <t>10.1007/s10113-016-1070-8</t>
  </si>
  <si>
    <t>10.1111/cobi.12851</t>
  </si>
  <si>
    <t>10.1016/j.jenvman.2017.05.051</t>
  </si>
  <si>
    <t>10.1002/rse2.47</t>
  </si>
  <si>
    <t>10.1111/1365-2664.12965</t>
  </si>
  <si>
    <t>10.1071/MF16400</t>
  </si>
  <si>
    <t>10.1016/j.scitotenv.2017.11.216</t>
  </si>
  <si>
    <t>10.1016/j.biocon.2018.03.013</t>
  </si>
  <si>
    <t>10.1016/j.jenvman.2018.04.004</t>
  </si>
  <si>
    <t>10.1002/eap.1809</t>
  </si>
  <si>
    <t>10.1016/j.gecco.2018.e00497</t>
  </si>
  <si>
    <t>10.1016/j.forpol.2019.01.011</t>
  </si>
  <si>
    <t>10.1016/j.biocon.2020.108511</t>
  </si>
  <si>
    <t>10.1007/s13280-019-01305-8</t>
  </si>
  <si>
    <t>10.3390/su12135439</t>
  </si>
  <si>
    <t>10.1016/j.gecco.2020.e01222</t>
  </si>
  <si>
    <t>10.1016/j.gecco.2020.e01297</t>
  </si>
  <si>
    <t>10.1016/j.ecolind.2021.107454</t>
  </si>
  <si>
    <t>10.1111/cobi.13687</t>
  </si>
  <si>
    <t>10.1038/s41598-021-83586-2</t>
  </si>
  <si>
    <t>10.1088/1748-9326/ac05ed</t>
  </si>
  <si>
    <t>10.1016/j.biocon.2021.109230</t>
  </si>
  <si>
    <t>10.1126/sciadv.abi8943</t>
  </si>
  <si>
    <t>10.3390/plants10122670</t>
  </si>
  <si>
    <t>10.3390/su14020753</t>
  </si>
  <si>
    <t>10.1371/journal.pone.0258615</t>
  </si>
  <si>
    <t>10.3389/ffgc.2022.807214</t>
  </si>
  <si>
    <t>10.1111/csp2.12684</t>
  </si>
  <si>
    <t>10.1038/s41893-022-00884-x</t>
  </si>
  <si>
    <t>10.1007/s10531-022-02407-8</t>
  </si>
  <si>
    <t>10.1016/j.jeem.2021.102572</t>
  </si>
  <si>
    <t>10.1111/geb.13563</t>
  </si>
  <si>
    <t>10.3390/land11071071</t>
  </si>
  <si>
    <t>10.1007/s11273-022-09894-0</t>
  </si>
  <si>
    <t>10.3389/fenvs.2022.1094406</t>
  </si>
  <si>
    <t>10.1016/j.jnc.2022.126318</t>
  </si>
  <si>
    <t>10.1111/gcb.16583</t>
  </si>
  <si>
    <t>10.3389/fenvs.2023.1122464</t>
  </si>
  <si>
    <t>10.1007/s13280-023-01886-5</t>
  </si>
  <si>
    <r>
      <rPr>
        <color rgb="FF1155CC"/>
        <u/>
      </rPr>
      <t>https://doi.org/10.3389/fmars.2023.1187702</t>
    </r>
  </si>
  <si>
    <t>10.3389/fmars.2023.1187702</t>
  </si>
  <si>
    <t>10.1007/s10980-023-01684-0</t>
  </si>
  <si>
    <t>WOS:000512058200005</t>
  </si>
  <si>
    <t xml:space="preserve">10.1007/s13280-019-01213-x
</t>
  </si>
  <si>
    <t>WOS:000783627100005</t>
  </si>
  <si>
    <t xml:space="preserve">10.1016/j.jenvman.2022.114485 </t>
  </si>
  <si>
    <t>WOS:000782122800006</t>
  </si>
  <si>
    <t xml:space="preserve">10.1016/j.jenvman.2022.114593 </t>
  </si>
  <si>
    <t>WOS:000649653800008</t>
  </si>
  <si>
    <t>10.1016/j.jnc.2021.126006.</t>
  </si>
  <si>
    <t>WOS:000632264200016</t>
  </si>
  <si>
    <t xml:space="preserve">10.1016/j.marpolbul.2021.112017 </t>
  </si>
  <si>
    <t>WOS:000251764200019</t>
  </si>
  <si>
    <t>10.1111%2Fj.1523-1739.2007.00793.x</t>
  </si>
  <si>
    <t>10.2478/jlecol-2019-0009</t>
  </si>
  <si>
    <t>Not available in Query export</t>
  </si>
  <si>
    <t>WOS:000393789900007</t>
  </si>
  <si>
    <t>10.1126/sciadv.1600821</t>
  </si>
  <si>
    <t>WOS:000780960100001</t>
  </si>
  <si>
    <t>10.1017/S0030605320001088</t>
  </si>
  <si>
    <t>Article Title</t>
  </si>
  <si>
    <t>Abstract</t>
  </si>
  <si>
    <t>source</t>
  </si>
  <si>
    <t>UT (Unique WOS ID)</t>
  </si>
  <si>
    <t>An integrative analysis of threats affecting protected areas in a biodiversity stronghold in Southeast Mexico</t>
  </si>
  <si>
    <t>Protected areas (PAs) are one of the main strategies to preserve tropical biodiversity. However, their viability is compromised by the impacts of a variety of threats. To gain a more integrated view of how different threats affect them, individually and in combination, we analyzed the spatial distribution of forest loss (2010-2015), human density, incidence of fires, and mining activities in four PAs (Cordon Pico Loro-Paxtal: CPL, El Triunfo Biosphere Reserve: ETBR, La Sepultura Biosphere Reserve: SEBR and La Frailescana: LF) located in the biodiversity stronghold of the Sierra Madre de Chiapas (SMC), Mexico. We integrated these threats in a Human Pressure Index (HPI, ranging from 0 to 1, where 1 is the highest human pressure). We found that the SEBR and LF were affected mainly by forest loss (13.43% and 11.67% forest area lost, respectively) and fire incidence (between 0.02-0.73 and 0-0.81 fire hotspots/km(2), respectively). On the other hand, the ETBR and CPL had lower forest loss and fire incidence but higher mining presence (16.2% and 84.8% of their area involving this activity, respectively), and population density (on average 0.6 and 8.6 inhabitants/km(2), respectively). The highest HPI values (&gt;0.6) occurred in the northern and the southern extremes of the study area encompassing 42.6%, 54.5% and 54.1% of the extent of the SEBR, LF, and CPL, respectively, putting in high risk important areas to maintain landscape connectivity. Despite occurring in the same region (SMC) focal PAs are affected differently by the assessed threats. A nonintegrated analysis of threats affecting PAs in biodiversity strongholds such as the SMC risks producing a biased view of their intensity, reducing the possibility to planning more effective conservation strategies. (C) 2020 The Authors. Published by Elsevier B.V.</t>
  </si>
  <si>
    <t>Pulido-Chadid et al</t>
  </si>
  <si>
    <t>WOS:000608479800021</t>
  </si>
  <si>
    <t>Mangrove forests are one of the most biologically diverse and productive ecosystems on Earth. They are important breeding and nursing grounds for amphibians, invertebrates, birds, fish, etc. Light pollution may cause serious degradation of biodiversity in the ecosystem. A report of the long-term holistic views of light pollution changes is essential for sustainable management of mangrove ecosystems. However, to date, such studies have rarely been carried out. This study aimed to monitor the long-term light pollution changes of China's mangrove forests. To achieve this goal, we used time-series nighttime light (NTL) data to build continuous light pollution data. NTL maps made with DMSP-OLS (DNL) or NPP-VIIRS (VNL) are widely utilized in research on human activity. However, DMSP and VIIRS images are different in spatial resolution, radiation resolution, and data saturation. Thus, this study innovatively set an optimal threshold for generating consistent light pollution data in mangrove areas from 1992-2020. The results showed that: (1) the proportion of light-polluted mangrove forests in China increased from 12% in 1992 to 52% in 2020; (2) the largest net increase occurred in Guangxi with an area of 4,086 ha, followed by Guangdong (3,365 ha) and Hainan (2,944 ha); (3) Zhejiang had the largest proportion of net growth (from 0% in 1992 to 99% in 2020), followed by Hainan (66%) and Fujian (59%). Mangrove forests have been protected and restored for decades in China; this study indicates that the establishment of nature reserves is effective in preventing the light pollution of mangroves and provides the first long-term multi-temporal dataset of light pollution in China's mangrove forests. This comprehensive information could support related studies and facilitate the development of applicable coastal management strategies in China.</t>
  </si>
  <si>
    <t>WOS:001000632800001</t>
  </si>
  <si>
    <t>Habitat loss from anthropogenic development has led to an unprecedented decline in global biodiversity. Protected areas (PAs) exist to counteract this degradation of ecosystems. In the European Union, the Natura 2000 (N2k) network is the basis for continent-wide conservation efforts. N2k is the world's largest coordinated network of protected areas. However, threats to ecosystems do not stop at the borders of PAs. As measured by a landscape fragmentation metric, anthropogenic development can affect the interiors of PAs. To ensure the long-term viability of the N2k network of PAs, this paper attempts to quantify the degree to which N2k sites are insulated from development pressures. We use a comprehensive dataset of effective mesh density (seff) to measure aggregate fragmentation inside and within a 5 km buffer surrounding N2k sites. Our results show a strong correlation (R-2 = 0.78) between fragmentation (seff) within and around N2k sites. This result applies to all biogeographical regions in Europe. Only a narrow majority (58.5%) of N2k sites are less fragmented than their surroundings. Remote and mountainous regions in northern Europe, the Alps, parts of Spain, and parts of eastern Europe show the lowest levels of fragmentation. These regions tend to hold the largest N2k sites as measured by area. In contrast, central and western Europe show the highest fragmentation levels within and around N2k sites. 24.5% of all N2k sites are classified as highly to very-highly fragmented. N2k PA age since initial protection does not correlate with the difference in exterior and interior fragmentation of N2k PAs. These results indicate that PAs in Europe are not sheltered from anthropogenic pressures leading to fragmentation. Hence, we argue that there is a high potential for improving PA efficacy by taking pre-emptive action against encroaching anthropogenic fragmentation and by targeting scarce financial resources where fragmentation pressures can be mitigated through enforced construction bans inside PAs.</t>
  </si>
  <si>
    <t>WOS:000755680200022</t>
  </si>
  <si>
    <t>It is necessary to improve the ecological environment and keep ecological balance of nature reserves that have particularly important function on precious and endangered wildlife species conservation. Human activities give rise to the remarkable changes in land use/land cover (LULC) and further have an effect on the landscape and eco-environment in nature reserves. This study evaluated the landscape ecological risk based on LULC changes in Baishuijiang National Nature Reserve according to different management zones from 1986 to 2015. Results showed that the significant change characteristics of LULC were the increase of forest and the decrease of cultivated land from 1986 to 2015. The major LULC changes took place in the experimental zone, and there was 85.61 km(2) cultivated land transferred to the forest. Generally, the ecological risk level was low, and the area percentages of the lowest and lower risk regions to the total area were all higher than 97% from 1986 to 2015. Moreover, the values of ecological risk were discrepant in different time, the order of that being 1986 &lt; 2015 &lt; 1995 &lt; 2008. Combining the components of different ecological risk levels in every management zone, the ecological risk from low to high was the core zone, buffer zone, and experimental zone. The ecological risk tended to be aggregated in space during 1986-2008, and it was enhanced slightly from 2008 to 2015. This study focuses on Baishuijiang National Nature Reserve to provide assessment for environmental protection and ecological management in hope that the method can be applied to other national nature reserves in China.</t>
  </si>
  <si>
    <t>WOS:000621585800001</t>
  </si>
  <si>
    <t>Land Use and Land Cover Dynamics Analysis of the Togodo Protected Area and Its Surroundings in Southeastern Togo, West Africa</t>
  </si>
  <si>
    <t>Assessing land use and land cover (LULC) change is essential for the sustainable management of natural resources, biodiversity conservation, monitoring food security, and research related to climate change and ecology. With increasingly rapid changes in LULC in response to human population growth, a better assessment of land use changes is more necessary than ever. Although a multitude of LULC assessment methods exists, none alone provides a clear understanding of changes and their underlying factors. This study analysed historical LULC changes over a temporal extent of 42 years (1974-2016) in the Togodo Protected Area and its surroundings, in Togo, by associating intensity and trajectory analyses, that are complementary but rarely associated in the literature. Our results show that LULC change in our study site is linked to the combined effects of human activities, climate, and invasive plants, particularlyChromolaena odorata. While each type of analysis provides useful insights, neither intensity nor trajectory analysis alone provides a full picture of changes and their causes. This study highlights the usefulness of associating intensity and trajectory analyses when implementing any management policy.</t>
  </si>
  <si>
    <t>WOS:000550230500001</t>
  </si>
  <si>
    <t>The conflicts between ecological sustainability and economic development are difficult to resolve, especially in poverty-stricken rural areas. Unfortunately, extreme poverty and biodiversity hotspots are often geographically coincident. Here, we selected the Jinshui watershed, a biodiversity hotspot in China's Qinling Mountains, to study the sustainability of the social-ecological systems under conservation projects, i.e., establishment of the Foping National Nature Reserve (FNNP) in 1978 and implementation of the Natural Forest Conservation Program (NFCP) and the 'Grain-for-Green' Program (GGP) since 2000. We analyzed land use/land cover change using remotely sensed Landsat MSS/TM/ETM imagery obtained in the growing season of 1978, 1994, 2000, and 2007. We also collected information on the population of giant panda (Ailuropoda melanoleuca, one of the world's most recognized flagship species for conservation) in the FNNP, socio-economic circumstances, and local farmers' attitudes and perceptions. The results showed that the conservation projects had effectively protected the existing forests, facilitated vegetation recovery and economic development, and meanwhile the giant panda population in the FNNP had considerably increased. Farmers living in zones with varying human disturbance intensities generally showed similarly positive attitudes towards the GGP. In the slightly- and moderately-disturbed zones, most farmers showed positive perceptions to environmental changes after the GGP, but the perceptions of most farmers in the intensely-disturbed zone were negative. Our findings have important implications for restoration/conservation projects, especially in poverty-stricken rural areas in developing countries. (C) 2012 Elsevier Ltd. All rights reserved.</t>
  </si>
  <si>
    <t>WOS:000318128300022</t>
  </si>
  <si>
    <t>Protected areas (PAs) are the cornerstones of global biodiversity conservation efforts, but to fulfil this role they must be effective at conserving both habitat and species. Among protected taxa, freshwater fish are exposed to multiple disturbances and are considered one of the most endangered. The Natura 2000 reserves network was established with the aim of preserving biodiversity across Europe, but few assessments have been made on its effectiveness on the conservation of freshwater fish species. We tested the hypothesis that fish community is exposed to less anthropogenic pressures within the Natura 2000 sites than outside, hosting a higher number of native species and maintain lower number of non-native species. We tested these hypotheses considering 3,777 sampling sites, found across the entire Italian territory. Results showed that PAs did not guarantee less anthropogenic impacts and higher fish species richness than outside PAs, suggesting that PAs are not a panacea for anthropogenic pressures and safeguarding fish diversity. Nevertheless, more caution should be applied to the management measures and the design of new PAs due to the limitations of the protection of a single stretch within a whole river ecosystem. Moreover, the impossibility to operate any management of invasive fish species on the broad scale of a whole river basin is likely the most limiting factor to fish biodiversity conservation in Italy. Finally, it is also necessary to extend the analysis to other basins and Natura 2000 sites in Europe.</t>
  </si>
  <si>
    <t>WOS:000948482300001</t>
  </si>
  <si>
    <t>Humanity is causing dramatic changes to the Earth, and we may be entering a human-dominated era referred to as the Anthropocene. Mapping the human footprint and assessing the spatial layout and effectiveness of protected areas facilitate sustainable development. As the core region of the third pole, Tibet is an important area for biodiversity and the provision of ecosystem services. In this study, five categories of human pressure were summed cumulatively to map the human footprint in Tibet for 1990 and 2010, and the spatial relationship between the human footprint and national and provincial nature reserves (NRs) in Tibet was analyzed. In addition, the human footprint map was also used to evaluate the effectiveness of national and provincial NRs for reducing the impact of human activities. A comprehensive assessment was undertaken for the Yarlung Zangbo Grand Canyon (YZGC) NR. There were several key findings from this study. First, the human footprint scores (HFS) in Tibet for 1990 and 2010 were low, and increased by 32.35% during 1990-2010, which was greater than the global value of 9% for 1993-2009, indicating that Tibet is seriously threatened by human pressure. Grazing intensity and road disturbance intensity contributed significantly to the increase in the HFS. Second, the average HFS for 1990 in NRs was lower than that for the entire Tibet, but the spatial layout and extent of some reserves (e.g., the Qomolangma NR) needs to be optimized further. Third, the establishment of NRs in Tibet was effective in reducing human activities. No leakage phenomena were identified in the regions surrounding the YZGC reserve. However, the management of NRs in Tibet is still challenging in terms of reducing human activities. (C) 2017 Elsevier B.V. All rights reserved.</t>
  </si>
  <si>
    <t>WOS:000424196800003</t>
  </si>
  <si>
    <t>Elevated fires during COVID-19 lockdown and the vulnerability of protected areas</t>
  </si>
  <si>
    <t>There is little robust, quantitative information on the impacts of the COVID-19 pandemic on the extinction crisis. Focusing on Madagascar, one of the world's most threatened biodiversity hotspots, we explore whether the cessation of on-site protected-area management activities due to the pandemic were associated with increased burning inside protected areas. We identify monthly excess fire anomalies by comparing observed fires with those predicted on the basis of historical and contemporary fire and weather data for all of Madagascar's protected areas for every month 2012-2020. Through to 2019, excess fire anomalies in protected areas were few, short in duration and, in some years, coincident with social disruption linked to national elections. By contrast, in 2020, COVID-19 meant on-site management of Madagascar's protected areas was suspended from March to July. This period was associated with 76-248% more fires than predicted, after which burning returned to normal. At a time when international biodiversity conservation faces unprecedented challenges, our results highlight the importance of on-site management for maintaining protected-area integrity. The COVID-19 pandemic has affected a range of human activities, but its effect on land management is less clear. This study finds an increase in fires inside Madagascar's protected areas during periods when management stopped due to COVID-19 lockdowns.</t>
  </si>
  <si>
    <t>WOS:000791083000003</t>
  </si>
  <si>
    <t>Protection status and national socio-economic context shape land conversion in and around a key transboundary protected area complex in West Africa</t>
  </si>
  <si>
    <t>Transboundary cooperation is being promoted as an effective way to conserve biodiversity that straddles national borders. However, monitoring the ecological outcomes of these large-scale endeavours is challenging, and as a result, the factors and processes likely to shape their effectiveness remain poorly identified and understood. To address this knowledge gap, we tested three hypotheses pertaining to natural vegetation loss across the W-Arly-Pendjari protected area complex, a key biodiversity hotspot in West Africa. Using a new methodology to compare land cover change across large remote areas where independent validation data is unevenly distributed across time, we demonstrate widespread agricultural expansion outside protected areas over the past 13years. Protected areas with high protection status appear considerably more effective at preventing land conversion than other protected areas. We moreover report marked differences in cropland expansion rates between countries, which we suggest may be linked to differences in rural population growth. Altogether, our results suggest that there can be considerable spatial heterogeneity in anthropogenic pressure across transboundary protected area complexes and call for more comprehensive assessments that capitalize on the current availability of remote sensing information.</t>
  </si>
  <si>
    <t>WOS:000417252400002</t>
  </si>
  <si>
    <t>Development stressors are stronger than protected area management: A case of the Pantanos de Centla Biosphere Reserve, Mexico</t>
  </si>
  <si>
    <t>Evaluation of the management effectiveness of protected areas has become a global priority, especially in coastal zones, where essential services are threatened by land use pressures. To assess the effectiveness of a coastal protected area, we estimated the land-use change (LUC) within and outside of the Pantanos de Centla Biosphere Reserve (PCBR) and interviewed key stakeholders to identify the main stressors causing LUC. The native vegetation cover under the PCBR protection decreased by 65% over 24 years; whereas agriculture and livestock lands doubled, even within the core conservation areas of the PCBR. The greatest loss was in the flooded forest (48%), where the reduction was similar in and around the reserve. The effectiveness of reserve management was affected by drivers of land use change, which include agricultural and livestock enterprises that are run by government programs. Effective management of the PCBR has been undermined by poor management practices, limited capacity and resources, and inadequate zoning design. Protected areas and its surrounding landscapes could be considered to be natural experiments for future research, where high value land uses and conservation objectives coincide within coastal areas that will face a predicted sea level rise, more intense floods and higher temperatures.</t>
  </si>
  <si>
    <t>WOS:000413280200029</t>
  </si>
  <si>
    <t>Influence of settings management and protection status on recreational uses and pressures in marine protected areas</t>
  </si>
  <si>
    <t>Coastal populations and tourism are growing worldwide. Consequently outdoor recreational activity is increasing and diversifying. While Marine Protected Areas (MPAs) are valuable for mitigating anthropogenic impacts, recreational uses are rarely monitored and studied, resulting in a lack of knowledge on users' practices, motivation and impacts. Based on boat counts and interview data collected in New Caledonia, we i) explored factors affecting user practices and motivations, ii) constructed fine-scale pressure indices covering activities and associated behaviors, and iii) assessed the relationships between user practices and site selection. User practices were found to depend on protection status, boat type and user characteristics. Pressure indices were higher within no-take MPAs, except for fishing. We found significant relationships between user practices and settings characteristics. In the context of increasing recreational uses, these results highlight options for managing such uses through settings management without jeopardizing the social acceptance of MPAs or the attainment of conservation goals. (C) 2017 Elsevier Ltd. All rights reserved.</t>
  </si>
  <si>
    <t>WOS:000406564400018</t>
  </si>
  <si>
    <t>Human activities are one of the main factors threatening the long-term survival of wild giant pandas. Long-term and large-scale human activities can be quickly assessed by night light remote sensing data, which has been more and more widely used. In this paper, we analyzed the spatial patterns of nighttime light intensity and their dynamic changes from 2000 to 2020 in the entire giant panda distribution area using long-term nighttime light remote sensing data, and evaluated the dynamic threats of nighttime light-represented human activities to giant panda populations by proximity of light source and its intensity. We also assessed the relationships between the nighttime light dynamics and the trends of habitat fragmentation. Results showed that the intensity and range of the nighttime light around panda habitat had increased significantly from 2000 to 2020. The nighttime light intensity inside the natural reserves is significantly lower than outside, and it becomes more obvious over time. The intensity and range of nighttime light inside the natural reserves first increased and then decreased during the two decades, indicating that the protection inside the natural reserves effectively reversed the rapid increase in human activities in the previous decade. From 2000 to 2020, nighttime light sources became closer to local panda populations. In particular, they approached the pandas in the first decade, and stayed away in the second decade. This is mainly reflected in the weakened threats of nighttime light-represented human activities on the core large populations of the Qinling, Minshan and Qionglai Mountains from 2010 to 2020, but the threats on the peripheral populations continued to strengthen, where nighttime light became not only closer but also more intensified. The increase in nighttime light intensity and range were also significantly positively correlated with the increase in habitat fragmentation, especially during 2000-2010. Our study reveals the dynamic changes of nighttime light-represented human activities' threats to wild giant panda and its habitat, gives advices for effectively protecting giant pandas and their habitats from human activities, and has implications for the assessment of human activities' threats to other species in the world.</t>
  </si>
  <si>
    <t>WOS:000905345300001</t>
  </si>
  <si>
    <t>Coastal wetlands provide essential ecosystem goods and services but are extremely vulnerable to sea-level rise, extreme climate, and human activities, especially the coastal wetlands in large river deltas, which are regarded as natural recorders of changes in estuarine environments. In addition to the area (loss or gain) and quality (degradation or improvement) of coastal wetlands, the information on coastal wetland structure (e.g., patch size and number) are also major metrics for coastal restoration and biodiversity protection, but remain very limited in China's four major river deltas. In this study, we quantified the spatial-temporal dynamics of total area (TA) and patch number (PN) of coastal wetlands with different sizes in the four deltas and the protected areas (PAs) and assessed the effects of major driving factors during 1984-2020. We also investigated the effectiveness of PAs through the comparison of TA and PN of coastal wetlands before and after the years in which PAs were listed as Ramsar Sites. We found both TA and PN experienced substantial losses in the Liaohe River Delta and Yellow River Delta but recent recoveries in the Yangtze River Delta. The coastal wetlands had a relatively stable and variable trend in TA but had a continually increasing trend in PN in the Pearl River Delta. Furthermore, reduced coastal reclamation, ecological restoration projects, and rapid expansion of invasive plants had great impacts on the coastal wetland structure in various ways. We also found that PAs were effective in halting the decreasing trends in coastal wetland areas and slowing the expansion of reclamation, but the success of PAs is being counteracted by soaring exotic plant invasions. Our findings provide vital information for the government and the public to address increasing challenges of coastal restoration, management, and sustainability in large river deltas.</t>
  </si>
  <si>
    <t>WOS:000913869100001</t>
  </si>
  <si>
    <t>The role of protected areas in mitigating human impact in the world's last wilderness areas</t>
  </si>
  <si>
    <t>Human impact on the environment is evident across the planet, including its most biodiverse areas. Of particular interest is the impact on the world's last wilderness areas, in which the largest patches of land relatively free from human influence remain. Here, we use the human footprint index to measure the extent to which the world's last wilderness areas have been impacted by human activities-between the years 1993 and 2009-and whether protected areas have been effective in reducing human impact. We found that overall the increase in human footprint was higher in tropical than temperate regions. Moreover, although on average the increase was lower inside protected areas than outside, in half of the fourteen biomes examined the differences were insignificant. Although reasons varied, protected areas alone are unlikely to be ubiquitously successful in protecting wilderness areas. To achieve protection, it is important to address loss and improve environmental governance.</t>
  </si>
  <si>
    <t>10.1007/s13280-019-01213-x</t>
  </si>
  <si>
    <t>The concept of naturalness was developed to assess to what degree landscapes represent a natural state. Protected areas are often regarded as the remnants of untouched landscapes although many landscapes commonly perceived as pristine have a long history of human impact. Here, we introduced a historical perspective into the concept of naturalness and the analysis of the effectiveness of protected areas by analyzing historical trajectories in land-cover and forest communities for the Pictured Rocks National Lakeshore on Michigan's Upper Peninsula (USA). Distribution of land-cover and forest community types was reconstructed for pre-settlement time (around 1850), the height of agricultural expansion (1928), and modern conditions (2000). Naturalness of the landscape was assessed by analyzing similarity between pre-settlement and current conditions and by assessing landscape continuity (1850-1928-2000). We compared changes in the strictly protected park core zone with those in the inland buffer zone with ongoing sustainable logging, and a not protected area adjacent to the park. Forest was the dominant land-cover type over the entire study period. We detected a gradient in land-cover continuity from the core zone (81 % continuity) to the inland buffer zone (74 %) and the area outside the park (66 %). Northern hardwood was the dominating forest type in all time points with high continuity (76 %). In contrast, pine forests show a more dynamic pattern with more than 50 % of the initial forests switching to non-forest or early succession forest types by 1928. More than half of the study area was considered as natural virgin (no changes in land-cover and forest community type) with a higher portion within the park than in the adjacent area. In contrast, areas with low naturalness are more abundant outside the park. Our study demonstrates the value of integrating historical information into naturalness assessments and the results provide useful information for future park management. More broadly speaking, our study advances research on the effectiveness of protected areas, by going beyond simple measures of averted deforestation, and introducing approaches to directly measure naturalness.</t>
  </si>
  <si>
    <t>WOS:000321917200014</t>
  </si>
  <si>
    <t>To counteract an increasing biodiversity decline, parks and protected areas have been established worldwide. However, many parks lack adequate management to address environmental degradation. To improve management strategies simple tools are needed for an assessment of human impact and management effectiveness of protected areas. This study quantifies the current threats in the heavily fragmented and degraded tropical rainforest of Kakamega, western Kenya. We recorded seven disturbance parameters at 22 sites in differently managed and protected areas of Kakamega Forest. Our data indicate a high level of human impact throughout the forest with illegal logging being most widespread. Furthermore, logging levels appear to reflect management history and effectiveness. From 1933 to 1986, Kakamega Forest was under management by the Forest Department and the number of trees logged more than 20 years ago was equally high at all sites. Since 1986, management of Kakamega Forest has been under two different organizations, i.e. Forest Department and Kenya Wildlife Service. The number of trees logged illegally in the last 20 years was significantly lower at sites managed by the Kenya Wildlife Service. Finally, logging was lower within highly protected National and Nature Reserves as compared to high logging within the less protected Forest Reserves. Reflecting management effectiveness as well as protection status in Kakamega Forest, logging might therefore provide a valuable quantitative indicator for human disturbance and thus an important tool for conservation managers. Logging might be a valuable indicator for other protected areas, too, however, other human impact such as e.g. hunting might also prove to be a potential indicator.</t>
  </si>
  <si>
    <t>WOS:000238453600007</t>
  </si>
  <si>
    <t>Traditional land use systems are threatened by land use intensification and resulting land cover transitions in northern areas. This article examines cumulative land cover changes and their impacts on reindeer grazing grounds in the Kyro reindeer herding district in northern Finland. Land cover transitions were studied using Landsat TM and OLI images and topographic maps. The results showed that the herding district has experienced notable land cover changes during the past decades, and most of these changes were directly related to forestry. The proportion of continuous coniferous forests of the total forest cover declined from 92% to 78% between 1987 and 2013. Approximately one third of the forests outside current conservation areas were disturbed by forest management by 2013, and remaining forests were notably more fragmented than forests within conservation areas. The extent of the road and path networks expanded considerably between 1960s and 2010 as a result of increasing logging and tourism. Accumulation of disturbances gradually results in loss of key resources and declined quality of the landscape mosaic from the reindeer herding perspective, which can pose a serious threat to long-term sustainability of the livelihood. Rapid land cover changes in non-protected areas highlight an increasingly important role of conservation areas in maintaining resources for reindeer husbandry in the face of intensifying land use. Sustainable management of resources outside conservation areas requires careful participatory planning and efficient cumulative impact assessment of different land use activities. (C) 2015 Elsevier Ltd. All rights reserved.</t>
  </si>
  <si>
    <t>WOS:000362059700019</t>
  </si>
  <si>
    <t>Literature on conservation science has documented the increasing use of the co-management approach to effectively conserve natural resources. Although some studies found the co-management approach as highly effective, others also reported some uncertainties associated with the use of this conservation approach. Using the mono transboundary biosphere reserve (MTBR) as a case study, this work assessed the effectiveness of the co-management approach for mangrove conservation in West Africa. Data was collected in two protected sites of the reserve (one in Togo and the other in Benin). Exploratory sequential mixed method via in-depth interviews (n = 17), focus group discussions (n = 14), household surveys (n = 274) and expert-based surveys (n = 10) were carried out, and data was analyzed using the InVEST-based Habitat Risk Assessment (HRA) model, chi-square tests and simple probability of likelihood. Findings showed that the co-management approach has lowered anthropogenic stressors to mangroves in the reserve. Under the co-management approach, all the mangroves located in the Benin side of the reserve are identified as under low risk whereas 42% of the mangrove cover are considered under low risk and 58% under medium risk in Togo. Local perception also portrayed the reduction of mangrove degradation in the study sites following the adoption of the co-management approach in the two countries. However, there are some challenges such as the financial support provision and regular community engagement which need to be thoroughly researched and addressed to achieve the sustainability of the positive impacts of the co-management in the MTBR.</t>
  </si>
  <si>
    <t>WOS:000851347000001</t>
  </si>
  <si>
    <t>The management effectiveness of protected areas plays a key role in biodiversity and ecosystem services conservation. We evaluated the effectiveness of Qilian Mountain Nature Reserve (QMNR) in reducing human footprint (HF). Four dominant human activity factors, including population density, land use, road distribution, and night light, were incorporated for HF mapping. Comparisons of the HF value between inside and outside QMNR and its four functional zones were conducted. The results show that both the HF inside and outside of QMNR were increasing, but the difference between them was increasing, indicating partial management effectiveness. The north part of the central reserve has a good effect in reducing human impacts, while the effectiveness was poor at both ends of the reserve. The HF value of the most strictly managed core and buffer zones increased by 10.50 and 6.68%, respectively, for 2010-2020. The QMNR was effective in controlling population density and land use, but ineffective in reducing road construction, mining, and construction of hydropower facilities.</t>
  </si>
  <si>
    <t>WOS:000834425400001</t>
  </si>
  <si>
    <t>Protected areas (PAs) have been established worldwide to conserve biodiversity. However, the conservation effectiveness of different PA functional zones remains poorly understood. Here, we investigated National Nature Reserves (NNRs) in China to explore and quantify the conservation in their core, buffer, and experimental zones. We compared the area and proportion of forest loss for these functional zones during the period from 2001 to 2018. The results showed that the forest loss in NNRs showed a decreasing trend since 2011, indicating that NNRs reduced the forest loss. There was no significant difference of forest loss proportion (p = 0.42) between the core zones (0.60 +/- 1.32%) and buffer zones (0.55 +/- 0.88%), implying that their performance in forest conservation was similar. There was a significant difference between experimental and core zones as well as between experimental and buffer zones both in forest loss area and proportion (p &lt; 0.05). We confirmed that the proportion of functional zones significantly affects the conservation effectiveness, i.e., an improper proportion of core zones or buffer zones may lead to forest loss. Therefore, we suggest an optimal proportion of core and buffer zones at 30%-50% and 10%-40%, respectively. Overall, the effectiveness of functional zones in forest nature reserves was assessed on a national scale. The results of this study support the recent adjustment in the PA functional zoning system in China.</t>
  </si>
  <si>
    <t>10.1016/j.jenvman.2022.114593</t>
  </si>
  <si>
    <t>China's forests were severely degraded by human activities during the latter half of the 20th century. Therefore, China enacted ambitious programs of natural forest protection and afforestation to protect and expand forests. Yet it is unclear how the programs, especially the designation of forest reserves, have affected forest cover and fragmentation. We evaluated the effectiveness of China's national forest reserves designated since 1990 in conserving forests, by analyzing four forest metrics (i.e., percentage forest cover, mean forest patch size, mean forest patch radius of gyration, and forest patch cohesion index) derived from a newly produced 30 m annual China land cover dataset from 1990 to 2019. We found that overall forest cover increased and fragmentation decreased from baseline years, when reserves were designated, to 2019 in both reserves and their surrounding areas, and only the increase in forest cover relative to baseline was significantly greater in reserves than in surrounding areas. The designation time of reserves under national protection had no considerable effect on changes in the four metrics, but for zonation, the core zone showed a significantly higher increase in forest patch cohesion index relative to baseline than the buffer and transition zones. Nevertheless, forest cover declined and fragmentation increased in highly forested reserves, suggesting destructive human activities and ineffective management. Thus, forest protection and regeneration programs were moderately successful. We recommend that there is significant improvement needed to ensure greater protection of existing forests and reduction of threats to promote effective management.</t>
  </si>
  <si>
    <t>10.1016/j.jenvman.2022.114485</t>
  </si>
  <si>
    <t>Impacts of conservation incentives in protected areas: The case of Bolsa Floresta, Brazil</t>
  </si>
  <si>
    <t>Conditional incentives are a promising complementary approach to conserve tropical forests, for example, in multiple-use protected areas. In this paper we analyze the environmental impacts of Bolsa Floresta, a forest conservation program that combines direct conditional payments with livelihood-focused investments in 15 multiple-use reserves in the Brazilian state of Amazonas. We use grid-based data, nearest-neighbor matching, and panel data econometrics to compare three forest-related program outcomes - deforestation, degradation, and fires - of participating and non-participating reserve areas. Forest threats were low before and after treatment, because the program prioritized low-pressure sites. Thus, we find significant but small additional conservation effects from the implementation of the program. Notwithstanding, treatment effects are relatively larger in areas with higher deforestation pressure and higher potential agricultural income. Our findings add to the growing body of evidence showing that adverse spatial targeting of conservation incentives, i.e. disproportionally enrolling low-pressure sites, is a prime cause for the low additionality found in rigorous impact evaluations of many existing initiatives.</t>
  </si>
  <si>
    <t>WOS:000819659600002</t>
  </si>
  <si>
    <t>Invasive species are a major threat to biodiversity worldwide. Controlling their rapid spread can only be effective if we consider the geographical factors that influence their occurrence. For instance, roads, railway networks, green and blue infrastructure, and elements of ecological networks (e.g., ecological corridors) can facilitate the spread of invasive species. In our study, we mapped the occurrence of five invasive plant taxa (tree of heaven, common milkweed, Russian olive, black locust, and goldenrods) in Hungary, using field photos from the EUROSTAT Land Use and Coverage Area Frame Survey (LUCAS) database from the year 2015. Species point occurrence data were compared with the spatial characteristics of linear transport infrastructure and with the green and blue infrastructure. We found that the occurrence of tree of heaven and Russian olive was strongly related to the road and railway network. The average Euclidean distance of LUCAS points infected with these species from railway embankments and roads was much smaller than that of uninfected points. However, black locust and goldenrods were more common only along the road network. According to our results, the occurrence of some investigated invasive plants was over-represented in the HEN and within Natura 2000 areas of Hungary compared to non-infected points. Our results may provide important information for predicting the rate of invasion and for applying targeted management within the HEN, and Natura 2000 protected areas.</t>
  </si>
  <si>
    <t>WOS:000737848000001</t>
  </si>
  <si>
    <t>Climate change and intensified human activity have altered the landscape pattern of nature reserves and are expected to induce persistent changes in habitat quality. Using GIS technology and landscape ecological theories, we quantitatively analyzed landscape fragmentation characteristics and the driving factors for the interior and peripheries of the Qinling-Daba Mountains nature reserves during 2010-2017. Using spatial principal component analysis, landscape pattern indices, and Geodetector, we evaluated the habitat quality status of different nature reserve types in different regions and the impacts of human disturbance on these areas. The results are as follows: (1) Most national nature reserves in the Qinling-Daba Mountains were moderately or highly fragmented during 2010-2017, and the fragmentation degree of a few reserves exhibited a decreasing trend. (2) The fragmentation degree of landscape patches from the core areas to the experimental areas of the inner nature reserves showed a trend of being low in the middle and high in the surrounding area; the level of landscape fragmentation gradually decreased from the edge of 1 km (M-1) to 5 km (M-5). (3) There was spatial differentiation in the intensity of landscape fragmentation among the nature reserves; human activity intensity, land-use degree, elevation, slope gradient, and topographic relief were the factors influencing the spatial differentiation of landscape fragmentation, and the contribution of anthropogenic factors was significantly greater than that of natural factors. Human activities, such as the construction of network infrastructures, irrational partition management, expansion of agricultural and industrial production activities, were the main reasons for the spatial differentiation of landscape fragmentation in the nature reserves. These results can provide significant scientific support for ecological restoration in the nature reserves and contribute to the coordinated development between socio-economic system and ecological environment in the exceedingly impoverished areas.</t>
  </si>
  <si>
    <t>WOS:000724501100001</t>
  </si>
  <si>
    <t>What determines the effectiveness of national protected area networks?</t>
  </si>
  <si>
    <t>More than 15% of global terrestrial area is under some form of protection and there is a growing impetus to increase this coverage to 30% by 2030. But not all protection is effective and the reasons some countries' protected areas (PAs) are more effective than others' are poorly understood. We evaluate the effectiveness of national PA networks established between 2000 and 2012 globally in avoiding forest loss, taking into account underlying deforestation threats using a combination of matching methods and cross-sectional regressions. We then assess which demographic, agricultural, economic, and governance factors are most strongly associated with national PA effectiveness using machine learning methods. We estimate that national PAs established between 2000 and 2012 reduced deforestation in those areas by 72%, avoiding 86 062 km(2) of forest loss. The effectiveness of national PAs varied by strictness of protection based on International Union for Conservation of Nature category. Strictly PAs reduced forest loss by 81% compared to what would have occurred without protection, while less strictly PAs reduced forest loss by 67%. Thus, the 26% of new PAs that were strictly protected contributed 39% of the total forest loss avoided within PAs between 2000 and 2012. If every country's PAs were as effective as the country with the most effective PAs within the same region, they would have increased the area of deforestation avoided by 38%, saving a further 119 082 km(2) of forest. Part of the variation in PA effectiveness across countries is explained by the placement of PA in areas facing higher deforestation threat. Countries with lower agricultural activity, higher economic growth and better governance are most strongly associated with greater country-level PA effectiveness.</t>
  </si>
  <si>
    <t>WOS:000667941300001</t>
  </si>
  <si>
    <t>MPAs are expected to improve the conservation status of rare and important habitats and species. However, the reduction in anthropogenic pressure due to such management measures is rarely estimated. Although MPA networks may cover a large proportion of the seabed, designated areas that prohibit damaging fishing activity are often much smaller. This case study compares fishing pressure inside and outside areas covered by Scottish MPAs and MPA management measures, further relating its distribution to bottom ruggedness, which influences benthic communities and their exposure to mobile bottom fishing. While 7% of the study region was found to be within MPA boundaries, only 2.5% of the region was subject to management measures that restrict mobile bottom fishing. Taking historical levels of fishing as a benchmark, management measures have been applied to &lt; 0.6% of the swept area of existing mobile bottom fishing activity. This may be explained by the higher average seabed ruggedness within MPA management measures, which was also where some key species of conservation interest were found. These findings suggest that protection has been focussed in areas that already act as natural refugia for sensitive benthic species and lie away from the majority of fishing activity. While the measures do not reduce fishing pressure markedly, they do protect relatively pristine habitats from future fishing impacts. MPA management measures had higher average seabed ruggedness, suggesting a bias in protection for species and habitats within such areas.</t>
  </si>
  <si>
    <t>WOS:000540247600002</t>
  </si>
  <si>
    <t>Analyzing multi-temporal satellite imagery and stakeholders' perceptions to have an insight into how forest co-management is changing the protected area landscapes in Bangladesh</t>
  </si>
  <si>
    <t>Forest protected area co-management, which is viewed as an effective forest conservation strategy in many parts of the world, got rooted in Bangladesh in 2004. Nevertheless, its success in maintaining healthy status of forest landscapes is subject to strong challenges in Bangladesh where anthropogenic pressure on forest resources is extremely high. In his study, satellite imageries of two randomly selected important PAs of the country - Lawachara National Park (LNP) and Teknaf Wildlife Sanctuary (TWS) - were analyzed and linked to people's perception in understanding the conservation dynamics in the co-managed PAs. While the overall rate of forest cover loss declined from 33.56% during 2004-2011 to 11.23% during 2011-2017, the net impact on individual PA was not so positive: forest cover declination rate increased in LNP but decreased in TWS. However, even though bushy area is on significant rise in LNP (4.72% during 2004-2011, 40.12% during 2011-2017), it showed a little falling trend in TWS (7.44% during 2004-2011, 6.61% during 2011-2017). While people engaged in co-management were more inclined to highlight the success of co-management activities (Odds ratio = 1.721), the forest officials were less likely to say so (Odds ratio = 0.758). All parties except the direct beneficiaries of co-management activities had the same perception that co-management did not significantly improve the forest cover conditions in the PAs. The study, a combination of science and the society, has come up with a succinct conclusion that common people have strong insights into the extent of impact of forest management policy, and thus, their opinion should be accounted for while formulating or implementing such policy.</t>
  </si>
  <si>
    <t>WOS:000458806600007</t>
  </si>
  <si>
    <t>How good is your marine protected area at curbing threats?</t>
  </si>
  <si>
    <t>Marine protected areas (MPAs) are key tools to mitigate human impacts in coastal environments, promoting sustainable activities to conserve biodiversity. The designation of MPAs alone may not result in the lessening of some human threats, which is highly dependent on management goals and the related specific regulations that are adopted. Here, we develop and operationalize a local threat assessment framework. We develop indices to quantify the effectiveness of MPAs (or individual zones within MPAs in the case of multiple-use MPAs) in reducing anthropogenic extractive and non-extractive threats operating at local scale, focusing specifically on threats that can be managed through MPAs. We apply this framework in 15 Mediterranean MPAs to assess their threat reduction capacity. We show that fully protected areas effectively eliminate extractive activities, whereas the intensity of artisanal and recreational fishing within partially protected areas, paradoxically, is higher than that found outside MPAs, questioning their ability at reaching conservation targets. In addition, both fully and partially protected areas attract non-extractive activities that are potential threats. Overall, only three of the 15 MPAs had lower intensities for the entire set of eight threats considered, in respect to adjacent control unprotected areas. Understanding the intensity and occurrence of human threats operating at the local scale inside and around MPAs is important for assessing MPAs effectiveness in achieving the goals they have been designed for, informing management strategies, and prioritizing specific actions.</t>
  </si>
  <si>
    <t>WOS:000431837800026</t>
  </si>
  <si>
    <t>The multiple-use Moreton Bay Marine Park in eastern Australia was rezoned in 2009, increasing the total no-take marine national park (MNP) from 0.5 to 16%. In the present study we measured trends in the human use of no-take areas using observed vessel position and categorisation during on-water and aerial surveys before and after rezoning. Measured changes in spatial patterns of fishing showed that the effects of rezoning on most fishing activity was minimal. After rezoning, the proportion of recreational fishing declined from 6.3 to 2.6% of the footprint in the new MNPs. The proportion of commercial fishing declined from 25 to 1%, although the amount of commercial fishing was low. There was an overall increase in fishing activity on Moreton Bay. Low recreational fisher displacement suggests that the expansion of the MNP area did not have a high social cost. However, most of the no-take zones were areas not previously subject to high recreational fishing pressure. If a significant proportion of the no-take zones were placed in areas of low ecological production, the biodiversity conservation impact achieved by the rezoning of Moreton Bay may have been less than the 16% increase in no-take areas would imply.</t>
  </si>
  <si>
    <t>WOS:000423508500007</t>
  </si>
  <si>
    <t>Are ranger patrols effective in reducing poaching-related threats within protected areas?</t>
  </si>
  <si>
    <t>1. Poaching is one of the greatest threats to wildlife conservation world-wide. However, the spatial and temporal patterns of poaching activities within protected areas, and the effectiveness of ranger patrols and ranger posts in mitigating these threats, are relatively unknown. 2. We used 10 years (2006-2015) of ranger-based monitoring data and dynamic multi-season occupancy models to quantify poaching-related threats, to examine factors influencing the spatio-temporal dynamics of these threats and to test the efficiency of management actions to combat poaching in Nyungwe National Park (NNP), Rwanda. 3. The probability of occurrence of poaching-related threats was highest at lower elevations (1,801-2,200 m), especially in areas that were close to roads and tourist trails; conversely, occurrence probability was lowest at high elevation sites (2,6013,000 m), and near the park boundary and ranger posts. The number of ranger patrols substantially increased the probability that poaching-related threats disappear at a site if threats were originally present (i.e. probability of extinction of threats). Without ranger visits, the annual probability of extinction of poaching-related threats was an estimated 7%; this probability would increase to 20% and 57% with 20 and 50 ranger visits per year, respectively. 4. Our results suggest that poaching-related threats can be effectively reduced in NNP by adding ranger posts in areas where they do not currently exist, and by increasing the number of patrols to sites where the probability of poaching activities is high. 5. Synthesis and applications. Our application of dynamic occupancy models to predict the probability of presence of poaching-related threats is novel, and explicitly considers imperfect detection of illegal activities. Based on the modelled relationships, we identify areas that are most vulnerable to poaching, and offer insights regarding how ranger patrols can be optimally deployed to reduce poaching-related threats and other illegal activites, while taking into account potential sampling biases. We show that poaching can be effectively reduced by increasing ranger patrols to areas under high risk of poaching activities, and by adding ranger patrols near these sites. These findings are broadly applicable to national parks and protected areas experiencing a high degree of poaching and other illegal activities.</t>
  </si>
  <si>
    <t>WOS:000417764600011</t>
  </si>
  <si>
    <t>Effectiveness of Africa's tropical protected areas for maintaining forest cover</t>
  </si>
  <si>
    <t>The effectiveness of parks for forest conservation is widely debated in Africa, where increasing human pressure, insufficient funding, and lack of management capacity frequently place significant demands on forests. Tropical forests house a substantial portion of the world's remaining biodiversity and are heavily affected by anthropogenic activity. We analyzed park effectiveness at the individual (224 parks) and national (23 countries) level across Africa by comparing the extent of forest loss (as a proxy for deforestation) inside parks to matched unprotected control sites. Although significant geographical variation existed among parks, the majority of African parks had significantly less forest loss within their boundaries (e.g., Mahale Park had 34 times less forest loss within its boundary) than control sites. Accessibility was a significant driver of forest loss. Relatively inaccessible areas had a higher probability (odds ratio &gt;1, p&lt;0.001) of forest loss but only in ineffective parks, and relatively accessible areas had a higher probability of forest loss but only in effective parks. Smaller parks less effectively prevented forest loss inside park boundaries than larger parks (T = -2.32, p&lt;0.05), and older parks less effectively prevented forest loss inside park boundaries than younger parks (F-2,F-154 = -4.11, p&lt;0.001). Our analyses, the first individual and national assessment of park effectiveness across Africa, demonstrated the complexity of factors (such as geographical variation, accessibility, and park size and age) influencing the ability of a park to curb forest loss within its boundaries.</t>
  </si>
  <si>
    <t>WOS:000400962000008</t>
  </si>
  <si>
    <t>The Simien Mountains house several endangered and endemic wildlife species and provide important ecosystem services. Despite its regional environmental importance, the Simien Mountains are listed as World Heritage in Danger since 1997. This raised the need for an evaluation of landscape changes from before the establishment of the Simien Mountain National Park (SMNP) in 1969. For this purpose, historical terrestrial photographs (1966-2009) were re-analyzed from 2014 repeats, using an expert rating system with eight correspondents. An increase in forest was observed in the eastern and western edge of the SMNP at Sankaber and Imet Gogo (20-40%). In contrast, centrally in the SMNP (around Gich), the area covered with dense forest decreased with an estimated rate of -1.4% per decade. There is no significant effect (p &gt; 0.05) of the boundary of the SMNP on woody vegetation change, because of continued anthropogenic pressure (especially wood cutting and livestock grazing) inside the SMNP. Also elevation and distance to scout camps do not affect rates of change, and however, the density of houses within 2.2 km (a proxy of population pressure) is able to explain 32% of the spatial distribution of woody vegetation decrease (p &lt; 0.05). A subset of six repeated photographs, indicated an uplift of the treeline by more than 1 m year(-1), in areas with low anthropogenic pressure. This is potentially related to increasing (average annual) temperature warming of up to 1.5 degrees C over the past 50 years. Overall, further reduction in anthropogenic pressure is urgent and crucial for recovery of the afro-alpine vegetation and the interrelated endangered wildlife in the Simien Mountains.</t>
  </si>
  <si>
    <t>WOS:000394991000013</t>
  </si>
  <si>
    <t>An intact forest landscape (IFL) is a seamless mosaic of forest and naturally treeless ecosystems with no remotely detected signs of human activity and a minimum area of 500 km(2). IFLs are critical for stabilizing terrestrial carbon storage, harboring biodiversity, regulating hydrological regimes, and providing other ecosystem functions. Although the remaining IFLs comprise only 20% of tropical forest area, they account for 40% of the total aboveground tropical forest carbon. We show that global IFL extent has been reduced by 7.2% since the year 2000. An increasing rate of global IFL area reduction was found, largely driven by the tripling of IFL tropical forest loss in 2011-2013 compared to that in 2001-2003. Industrial logging, agricultural expansion, fire, and mining/resource extraction were the primary causes of IFL area reduction. Protected areas (International Union for Conservation of Nature categories I to III) were found to have a positive effect in slowing the reduction of IFL area from timber harvesting but were less effective in limiting agricultural expansion. The certification of logging concessions under responsible management had a negligible impact on slowing IFL fragmentation in the Congo Basin. Fragmentation of IFLs by logging and establishment of roads and other infrastructure initiates a cascade of changes that lead to landscape transformation and loss of conservation values. Given that only 12% of the global IFL area is protected, our results illustrate the need for planning and investment in carbon sequestration and biodiversity conservation efforts that target the most valuable remaining forests, as identified using the IFL approach.</t>
  </si>
  <si>
    <t>The impact of extensive changes in land use and climate on species has led to an increasing focus on large-scale conservation planning. However, these plans are often static conservation prescriptions set against a backdrop of rapidly changing environments, which suggests that large-scale information on threats can improve the functionality of planning efforts. Jaguars (Panthera onca) are the focus of a range-wide conservation strategy extending from Mexico to Argentina that consists of jaguar conservation units (JCUs) and modeled corridors. Recent deforestation is a major threat to jaguar populations, but forest loss has not been systematically assessed across the entire jaguar network. In this study, we quantified the amount and rate of deforestation in JCUs and corridors between 2000 and 2012. JCUs lost 37,780 km(2) forest (0.93%) at an increasing rate of 149.2 km(2) yr(-2), corridors lost 45,979 km(2) (4.43%) at a decreasing rate of 40.1 km(2) yr(-2), and levels of forest fragmentation increased in corridors. Protected sections of JCUs and corridors lost less forest than unprotected sections, suggesting efforts to increase protected status of jaguar conservation areas are warranted. Higher deforestation in corridors indicates difficulties in maintaining connectivity of jaguar populations, and suggests the need for increased engagement with communities within corridor landscapes. Assessment of spatial variability of anthropogenic threats within the jaguar network may improve jaguar conservation by informing network prioritization and function. (C) 2016 Elsevier Ltd. All rights reserved.</t>
  </si>
  <si>
    <t>WOS:000388156100002</t>
  </si>
  <si>
    <t>Indicators for Assessing Habitat Values and Pressures for Protected Areas-An Integrated Habitat and Land Cover Change Approach for the Udzungwa Mountains National Park in Tanzania</t>
  </si>
  <si>
    <t>Assessing the status and monitoring the trends of land cover dynamics in and around protected areas is of utmost importance for park managers and decision makers. Moreover, to support the Convention on Biological Diversity (CBD)'s Strategic Action Plan including the Aichi Biodiversity Targets, such efforts are necessary to set a framework to reach the agreed national, regional or global targets. The integration of land use/cover change (LULCC) data with information on habitats and population density provides the means to assess potential degradation and disturbance resulting from anthropogenic activities such as agriculture and urban area expansion. This study assesses the LULCC over a 20 year (1990-2000-2010) period using freely available Landsat imagery and a dedicated method and toolbox for the Udzungwa Mountains National Park (UMNP) and its surroundings (20 km buffer) in Tanzania. Habitat data gathered from the Digital Observatory for Protected Areas (DOPA)'s eHabitat+ Web service were used to perform ecological stratification of the study area and to develop similarity maps of the potential presence of comparable habitat types outside the protected area. Finally, integration of the habitat similarity maps with the LULCC data was applied in order to evaluate potential pressures on the different habitats within the national park and on the linking corridors between UMNP and other protected areas in the context of wildlife movement and migration. The results show that the UMNP has not suffered from relevant human activities during the study period. The natural vegetation area has remained stable around 1780 km(2). In the surrounding 20 km buffer area and the connecting corridors, however, the anthropogenic impact has been strong. Artificially built up areas increased by 14.24% over the last 20 years and the agriculture area increased from 11% in 1990 to 30% in the year 2010. The habitat functional types and the similarity maps confirmed the importance of the buffer zone and the connecting corridors for wildlife movements, while the similarity maps detected other potential corridors for wildlife.</t>
  </si>
  <si>
    <t>WOS:000387357300076</t>
  </si>
  <si>
    <t>Tropical forests are experiencing a growing fire problem driven by climatic change, agricultural expansion and forest degradation. Protected areas are an important feature of forest protection strategies, and sustainable use reserves (SURs) may be reducing fire prevalence since they promote sustainable livelihoods and resource management. However, the use of fire in swidden agriculture, and other forms of land management, may be undermining the effectiveness of SURs in meeting their conservation and sustainable development goals. We analyse MODIS derived hot pixels, TRMM rainfall data, Terra-Class land cover data, socio-ecological data from the Brazilian agro-census and the spatial extent of rivers and roads to evaluate whether the designation of SURs reduces fire occurrence in the Brazilian Amazon. Specifically, we ask (1) a. Is SUR location (i.e., de facto) or (1) b. designation (i.e. de jure) the driving factor affecting performance in terms of the spatial density of fires?, and (2), Does SUR creation affect fire management (i.e., the timing of fires in relation to previous rainfall)? We demonstrate that pre-protection baselines are crucial for understanding reserve performance. We show that reserve creation had no discernible impact on fire density, and that fires were less prevalent in SURs due to their characteristics of sparser human settlement and remoteness, rather than their status de jure. In addition, the timing of fires in relation to rainfall, indicative of local fire management and adherence to environmental law, did not improve following SUR creation. These results challenge the notion that SURs promote environmentally sensitive fire-management, and suggest that SURs in Amazonia will require special attention if they are to curtail future accidental wildfires, particularly as plans to expand the road infrastructure throughout the region are realised. Greater investment to support improved fire management by farmers living in reserves, in addition to other fire users, will be necessary to help ameliorate these threats.</t>
  </si>
  <si>
    <t>WOS:000371218400074</t>
  </si>
  <si>
    <t>Changes in land cover of protected areas and their buffers have serious implications on the conservation of biodiversity within such biomes because land use has been recognized as one of the major drivers of biodiversity change. Atewa Range Forest Reserve is one of Ghana's Upper Guinea Forests declared as a Globally Significant Biodiversity Area (GSBA). But the reserve is under threat from several human disturbances which could impact on the land cover of the reserve.This study examined the spatial and temporal changes in land cover of Atewa Range Forest Reserve and it's buffer between 1986 and 2013 using remote sensing. Land use and land cover (LULC) classification and change detections were undertaken using one Landsat Multispectral Scanner (MSS) image of 1986 and Landsat ETM+ images of 2003 and 2013.The study also investigated the driving forces of LULC and the effectiveness of the Forest and Wildlife Policy of 1994 in the management of the reserve. Results of image classification showed that much of the peripheral closed and open vegetative covers have been converted to farms and bushes with little disturbance within the interior of the reserve. The study revealed that, the conservation management policies were yielding very little results due to a number of policy deficiencies including low staff strength, lack of logistics and low remuneration. Enforcement of legal instruments against illegal logging, small scale mining and farming activities within the reserve, improvement in the staff strength and their condition of service, intensification of public education on the value of forest and the need to protect it are some of the major recommendations that could curb encroachment on the reserve. (C) 2015 Elsevier Ltd. All rights reserved.</t>
  </si>
  <si>
    <t>WOS:000367105800043</t>
  </si>
  <si>
    <t>Protected areas (PAs) are the leading forest conservation policy, so accurate evaluation of future PA impact is critical in conservation planning. Yet by necessity impact evaluations use past data. Here we argue that forward-looking plans should blend such evaluations with anticipation of shifts in threats. Applying improved methods to evaluate past impact, we provide rigorous support for that conceptual approach by showing that PAs' impacts on deforestation shifted with land use. We study the Republic of Panama, where species-dense tropical forest faces real pressure. Facing variation in deforestation pressure, the PAs' impacts varied across space and time. Thus, if shifts in pressure levels and patterns could be anticipated, that could raise impact.</t>
  </si>
  <si>
    <t>WOS:000334068000028</t>
  </si>
  <si>
    <t>Deforestation in an African biodiversity hotspot: Extent, variation and the effectiveness of protected areas</t>
  </si>
  <si>
    <t>The Eastern Arc Mountains of Tanzania show exceptional endemism that is threatened by high anthropogenic pressure leading to the loss of natural habitat. Using a novel habitat conversion model, we present a spatially explicit analysis of the predictors of forest and woodland conversion in the Eastern Arc over 25 years. Our results show that 5% (210 km(2)) of evergreen forest and 43% (2060 km(2)) of miombo woodland was lost in the Eastern Arc Mountains between 1975 and 2000. Important predictors of habitat conversion included distance to natural habitat edge, topography and measures of remoteness. The main conservation strategy in these mountains for the past 100 years has been to develop a network of protected areas. These appear to have reduced rates of habitat loss and most remaining evergreen forest is now within protected areas. However, the majority of miombo woodland, an important source of ecosystem services, lies outside formal protected areas, where additional conservation strategies may be needed. (C) 2013 Elsevier Ltd. All rights reserved.</t>
  </si>
  <si>
    <t>WOS:000323086800007</t>
  </si>
  <si>
    <t>Keoladeo National Park (KNP) is an important wintering ground for thousands of birds that undertake a perilous journey over the Himalaya to make a seasonal home in a wetland ecosystem. However, this wetland is now getting polluted by various types of contaminants such as pesticides because of the agricultural practices in the catchment area from where the park receives water. Keeping this in mind, the present study has been undertaken to assess the organochlorine pesticide (OCP) residues in the sediments inside and around KNP. Samples were collected from the different blocks of the park. The concentrations of alpha-HCH, beta-HCH, gamma-HCH, delta-HCH, S-HCH, aldrin, dieldrin, heptachlor, hept.epoxide, endosulfan-I, endosulfan-II, endo.sulfate, S-endosulfan, endrin, 4,4'-DDE, 4,4'-DDD, and DDT were quantified using gas chromatography with electron capture detection. Analysis showed that the samples were contaminated with the above mentioned pesticides and that the concentration of total OCPs in the sediments varied from 0.1173 (dieldrin) to 5.558 ppm (gamma HCH) in the samples collected from inside the park, whereas a range of pesticides varying in concentration from 0.1245 (4,4'-DDD) to 7.54 ppm (gamma HCH) was found in samples from outside the park. Residues of S-HCH and S-endosulfan were not detected in any of the sediment samples. The occurrence of pesticides inside the park is a major threat to the park's biodiversity. Eco-friendly agriculture practices with minimal use of inorganic chemicals are suggested to minimize the pesticide residue levels in the park.</t>
  </si>
  <si>
    <t>WOS:000307332300006</t>
  </si>
  <si>
    <t>Global protected area impacts</t>
  </si>
  <si>
    <t>Protected areas (PAs) dominate conservation efforts. They will probably play a role in future climate policies too, as global payments may reward local reductions of loss of natural land cover. We estimate the impact of PAs on natural land cover within each of 147 countries by comparing outcomes inside PAs with outcomes outside. We use 'matching' (or 'apples to apples') for land characteristics to control for the fact that PAs very often are non-randomly distributed across their national landscapes. Protection tends towards land that, if unprotected, is less likely than average to be cleared. For 75 per cent of countries, we find protection does reduce conversion of natural land cover. However, for approximately 80 per cent of countries, our global results also confirm (following smaller-scale studies) that controlling for land characteristics reduces estimated impact by half or more. This shows the importance of controlling for at least a few key land characteristics. Further, we show that impacts vary considerably within a country (i.e. across a landscape): protection achieves less on lands far from roads, far from cities and on steeper slopes. Thus, while planners are, of course, constrained by other conservation priorities and costs, they could target higher impacts to earn more global payments for reduced deforestation.</t>
  </si>
  <si>
    <t>WOS:000289719900005</t>
  </si>
  <si>
    <t>Tropical dry forests are more threatened, less protected and especially susceptible to deforestation. However, most deforestation research focuses on tropical rain forests. We analyzed spatial and temporal changes in land cover from 1972 through 2005 at Chatthin Wildlife Sanctuary (CWS), a tropical dry forest in Myanmar (Burma). CWS is one of the largest protected patches of tropical dry forest in Southeast Asia and supports over half the remaining wild population of the endangered Eld's deer. Between 1973 and 2005, 62% of forest was lost at an annual rate of 1.86% in the area, while forest loss inside CWS was only 16% (0.45% annually). Based on trends found during our study period, dry forests outside CWS would not persist beyond 2019, while forests inside CWS would persist for at least another 100 years. Analysis of temporal deforestation patterns indicates the highest rate of loss occurred between 1992 and 2001. Conversion to agriculture, shifting agriculture, and flooding from a hydro-electric development were the main deforestation drivers. Fragmentation was also severe, halving the area of suitable Eld's deer habitat between 1973 and 2001, and increasing its isolation. CWS protection efforts were effective in reducing deforestation rates, although deforestation effects extended up to 2 km into the sanctuary. Establishing new protected areas for dry forests and finding ways to mitigate human impacts on existing forests are both needed to protect remaining dry forests and the species they support.</t>
  </si>
  <si>
    <t>WOS:000264546400015</t>
  </si>
  <si>
    <t>Size-dependent resistance of protected areas to land-use change</t>
  </si>
  <si>
    <t>One of the major threats facing protected areas (PAs) is land-use change and habitat loss. We assessed the impact of land-use change on PAs. The majority of parks have been effective at protecting the ecosystems within their borders, even in areas with significant land-use pressures. More in particular, the capacity of PAs to slow down habitat degradation and to favour habitat restoration is clearly related to their size, with smaller areas that on average follow the dominant land-use change pattern into which they are embedded. Our results suggest that small parks are not going to be viable in the long term if they are considered as islands surrounded by a 'human-dominated ocean'. However, small PAs are, in many cases, the only option available, implying that we need to devote much more attention to the non-protected matrix in which PAs must survive.</t>
  </si>
  <si>
    <t>WOS:000255056600009</t>
  </si>
  <si>
    <t>Indigenous, colonist, and government impacts on Nicaragua's Bosawas reserve</t>
  </si>
  <si>
    <t>We studied the impacts of colonists, two groups of indigenous residents (Miskitu and Mayangna), and management by the Nicaraguan Ministry of Environment and Natural Resources (MARENA) on the forest of the Bosawas International Biosphere Reserve. Indigenous people and colonists subsist on the natural resources of the reserve, and MARENA is responsible for protecting the area from colonization and illicit exploitation. Using geostatistical procedures and Landsat images at three different time periods, we compared per capita deforestation and boundary stabilization in areas with colonists and areas with indigenous peoples. We also examined whether the Mayangna deforested less than the Miskitu and whether the Nicaraguan government has effectively defended the Bosawas boundary against the advance of the agricultural frontier. In addition, we analyzed the current distribution of land uses within the reserve and its contiguous indigenous areas with a supervised classification of current land cover. Indigenous demarcations protected the forest successfully, whereas the Bosawas boundary itself did not inhibit colonization and consequent deforestation. Indigenous farmers deforested significantly less per capita than colonists, and the two indigenous groups in Bosawas did not differ significantly in their effects on the forest. Our results show that indigenous common-property institutions and indigenous defense of homeland have been powerful factors in protecting the forests of Bosawas and that the difficult evolution of a nested cross-scale governance system in Bosawas-under pressure from indigenous peoples-is probably the key to the forest's survival thus far.</t>
  </si>
  <si>
    <t>10.1111/j.1523-1739.2007.00793.x</t>
  </si>
  <si>
    <t>The effectiveness of parks as management regimes is hotly contested. Much of the current discussion centered around comparisons of management regimes can be traced to a dearth of cross-site quantitative evaluations, Remote sensing provides a particularly effective tool for this purpose, yet analysis of remotely sensed data requires fieldwork to interpret human activities and the socioeconomic and political contexts that relate to land cover change. This paper examines the effect of establishment of the Celaque National Park, Honduras, and the Royal Chitwan National Park buffer zone, Nepal, on limiting deforestation. In Celaque, the park itself has been largely successful in maintaining forest cover. However, recent changes in land use patterns have led to increasing pressure on the park boundaries, exacerbated by the lack of involvement of local residents. In the Royal Chitwan National Park, in contrast, participatory approaches towards co-management have been implemented over the past decade in the park buffer zone. With significant incomes derived from ecotourism, complete protection of the buffer zone forest has been adopted, leading to significant regrowth of tree cover. However, local decision-making power is limited, and buffer zone management has largely proven successful due to the investment and support provided by international donor agencies. These two case studies demonstrate the utility of remote sensing and Geographical Information Systems analysis in providing a spatiotemporal perspective for assessing management policies. They also demonstrate the importance of fieldwork to provide a nuanced understanding of the socioeconomic and institutional conditions affecting the outcomes of forest management regimes.</t>
  </si>
  <si>
    <t>WOS:000226582800013</t>
  </si>
  <si>
    <t>Differential vulnerability to biological invasions: not all protected areas (and not all invaders) are the same</t>
  </si>
  <si>
    <t>Protected areas (PAs) are fundamental for global biodiversity conservation but many are not delivering their conservation potential. In particular, the European Natura 2000 (N2K)-the largest coordinated network of PAs in the world-has insofar proved insufficient to achieve the EU's biodiversity conservation targets. Despite the adoption of innovative legislation on the prevention and management of biological invasions, invasive alien species (IAS) remain a main threat to N2K. We explored whether the regulatory status of N2K has been efficient to prevent the establishment of regulated IAS (those under the scope of EU or national regulations) by conducting a case study in a highly biodiverse Mediterranean region of Spain. We: (1) analyzed whether the number of both regulated and unregulated IAS differ across adjacent unprotected areas (belt zones), N2K sites and N2K sites with additional protection as national park or nature reserve (APAs); (2) compared the spread pathways of regulated IAS present in areas with different protection status. While APAs hosted fewer regulated IAS, N2K sites did not perform better than belt zones. Specifically, there were fewer regulated IAS that spread through natural dispersal or intentional human assistance in APAs compared to N2K and belt zones, but those dispersing with unintentional human assistance were similarly distributed in PAs and belt zones. Further, protection level did not reduce the number of unregulated IAS. Thus, observed patterns indicate that the conservation obligations bound to the designation of an area as an N2K site are not sufficient to prevent or slow down biological invasions.</t>
  </si>
  <si>
    <t>WOS:000791663700001</t>
  </si>
  <si>
    <t>An invasive species erodes the performance of coastal wetland protected areas</t>
  </si>
  <si>
    <t>The world has increasingly relied on protected areas (PAs) to rescue highly valued ecosystems from human activities, but whether PAs will fare well with bioinvasions remains unknown. By analyzing three decades of seven of the largest coastal PAs in China, including World Natural Heritage and/or Wetlands of International Importance sites, we show that, although PAs are achieving success in rescuing iconic wetlands and critical shorebird habitats from once widespread reclamation, this success is counteracted by escalating plant invasions. Plant invasions were not only more extensive in PAs than non-PA controls but also undermined PA performance by, without human intervention, irreversibly replacing expansive native wetlands (primarily mudflats) and precluding successional formation of new native marshes. Exotic species are invading PAs globally. This study across large spatiotemporal scales highlights that the consequences of bioinvasions for humanity's major conservation tool may be more profound, far reaching, and critical for management than currently recognized.</t>
  </si>
  <si>
    <t>WOS:000707571700025</t>
  </si>
  <si>
    <t>The human footprint (HF) was developed to measure of the impact of human activities on the environment. The human footprint has been found to be closely related to the vulnerability of protected areas around the world. In Indonesia, as nature conservation is still seen as hindering economic development, it is especially important to assess the human footprint in order to comprehend the overall pressures resulting from the various human activities on Indonesia's national parks. This study measured the change in the human footprint in and around 43 terrestrial national parks over 5 years, between 2012 and 2017. As many as 37 out of 43 NPs experienced an increase in the HF, ranging from 0.4 to 77.3%. Tanjung Puting in Kalimantan experienced the greatest increase (77.3%), while Ujung Kulon in Jawa Bali bioregion had the greatest decrease (10.5%). An increase in human population density and improved access to parks from roads, rivers and coastlines are the main drivers of increasing impacts on national parks.</t>
  </si>
  <si>
    <t>WOS:000626812400027</t>
  </si>
  <si>
    <t>Assessing biological invasions in protected areas after 30 years: Revisiting nature reserves targeted by the 1980s SCOPE programme</t>
  </si>
  <si>
    <t>Invasive alien species pose a major threat to biodiversity and natural ecosystems globally and negatively affect conservation efforts in protected areas. They can negatively alter biodiversity and ecological regimes and are a financial burden. Because of their negative impacts, it is important to better understand the threat and management of invasive alien species in protected areas (PAs) globally, and to know how these factors have changed over time. We give an update and compare how the threat and management of invasive species has changed in 21 PAs that were analysed as part of the international SCOPE programme on biological invasions in the mid-1980s. Of all the taxa analysed, invasive plants pose the greatest continued threat, and their numbers have increased in 31% of the PAs. Conversely, mammal invasions now represent less of a threat due to effective management in many PAs; 43% of PAs show a decrease in listed invasive alien mammal taxa. Invasions of amphibians, reptiles, and fish have remained stable over the three decades; around half of the PAs show no change for these taxa. Managers of most PAs consider the threat of invasions to be increasing, despite many (55%) PAs having sustained long-term management programmes and 45% having implemented additional ad hoc approaches. We draw on lessons from this analysis to support the future management of biological invasions in conservation areas. In particular, better monitoring and collation of data is needed, followed by increased preventative measures and the promotion of biological control for widespread species.</t>
  </si>
  <si>
    <t>WOS:000526787100002</t>
  </si>
  <si>
    <t>Exploring the relationships between marine protected areas and invasive fish in the world's most invaded sea</t>
  </si>
  <si>
    <t>Marine Protected Areas (MPAs) are an essential tool for marine biodiversity conservation. Yet, their effectiveness in protecting marine ecosystems from global stressors is debated. Biological invasions are a major driver of global change, causing biodiversity loss and altering ecosystem functioning. Here, we explored the relationships between MPAs and alien/native range-expanding fishes in the Mediterranean Sea, the world's most invaded sea. We surveyed fish and benthic communities in nine MPAs and adjacent unprotected areas across six countries. In the South and Eastern Mediterranean MPAs, the biomass of alien and native range-expanding fishes often exceeded 50% of the total fish biomass. Conversely, in the North and Western Mediterranean, alien fishes were absent. A negative relationship was found between native and alien species richness. Average and minimum sea surface temperature (SST) over six consecutive years were positively correlated with the total biomass of alien species; no alien fishes were recorded below 20.5 degrees C average SST and 13.8 degrees C minimum SST. We also found a negative relationship between alien fishes' biomass and the distance from the Suez Canal, which is the main pathway for the introduction of alien fish in the Mediterranean Sea. The biomass of alien and native range-expanding fishes was found to be higher in the South and Eastern Mediterranean MPAs than in adjacent unprotected areas. The association of barrens (rocky reefs deprived of vegetation) and invasive herbivores was observed at all eastern sites, regardless of protection status. Currently, the level of fishing pressure exerted on alien and native range-expanding fishes seems to be the most influential factor determining the lower biomass of invasive fishes at unprotected sites compared to MPAs. Our findings suggest that complementary management actions, such as species-targeted removals, should be taken in MPAs to effectively control invasive fish populations.</t>
  </si>
  <si>
    <t>WOS:000454685500019</t>
  </si>
  <si>
    <t>Protected areas are considered effective tools to protect biodiversity from global change; however, their success against invasive alien species (IAS) is still quite unknown. The European Natura 2000 network (N2000) appears vulnerable to invasions as human activities are not prohibited, despite being the main drivers of biological invasions. This study was carried out in the region of Castilla-La Mancha (Spain), which represents a 2.3% of the European N2000, being higher than the network surface in 52% of the European countries. We specifically (1) compared the total IAS between protected (N2000) and unprotected sites (2) analyzed the effect of an additional protection as national park or nature reserve on the total IAS; and (3) assessed the contribution of human pressure to explain the occurrence of IAS within the network. This is the first time that the approach of gap analysis was used to assess the efficacy of N2000 against IAS. We compiled 3664 georeferenced records for 95 fauna and flora species. Mean total IAS of fauna and flora were similar between protected and unprotected UTM 10 x 10 km grid cells; therefore, as expected, N2000 sites are vulnerable to IAS despite protection. Furthermore, a stricter management of human pressure under additional regulations did not seem to prevent IAS occurrence in N2000 sites. The accessibility to protected sites seems to be a relevant factor explaining the IAS occurrence. It is imperative to improve the monitoring, quality, and updating of IAS data within the network and the surrounding areas to prevent new invasions and the worsening of current negative IAS impacts. (C) 2018 Published by Elsevier B.V.</t>
  </si>
  <si>
    <t>WOS:000454994500055</t>
  </si>
  <si>
    <t>Protected Area Effectiveness in Reducing Conversion in a Rapidly Vanishing Ecosystem: The Brazilian Cerrado</t>
  </si>
  <si>
    <t>Measuring how far protected areas (PAs) reduce threats to nature is essential for effective conservation. This is especially important where a high degree of threat is coupled with opportunities for increasing conservation investments, such as in the Brazilian Cerrado. We examined the effectiveness of strictly protected and multiple-use PAs as well as indigenous lands (ILs) in reducing conversion in Cerrado from 2002 to 2009 by using matching methods to sample protected and unprotected sites similarly exposed to pressures. We found that both types of PAs and ILs experienced lower habitat conversion during this period than did matched unprotected sites, whether results were analysed for individual PAs or for PA networks as a whole. Judging from their matched unprotected sites, strictly PAs had similar levels of baseline conversion to multiple-use PAs, but were more effective at reducing it. This may be expected as multiple-use PAs are under less restrictive land-use rules. ILs had a strong effect in reducing conversion, though baseline rates in matched areas were also high. Our results highlight the usefulness of PAs in the Cerrado and the value of research that differentiates among PA categories.</t>
  </si>
  <si>
    <t>WOS:000337590000009</t>
  </si>
  <si>
    <t>How does the fire regime change after creating a protected area in the Brazilian Cerrado?</t>
  </si>
  <si>
    <t>Fire is a natural factor maintaining biodiversity and several ecological processes. The Brazilian Cerrado, considered the savanna with the highest biodiversity, is characterized by climatic seasonality, vegetation mosaics and topographic variations that together with fire determine its different plant physiognomies. The Chapada das Mesas National Park (CMNP), located in the south of the state of Maranha similar to o (Brazil), has different savanna plant physiognomies with high ecological potential and archaeological and water wealth. The aim of the present study was to reconstruct the fire history over 28 years for the park and its surroundings (20 km buffer area), endeavouring to understand the impact of the creation of this National Park on its fire regime. Landsat satellite images were used from the TM, ETM + and OLI sensors to map the fire scars, which were identified and vec-torized manually. The database created was used to analyze the total annual burned area, burned area per-centage, density ignition, mean burn scar area and fire frequency during the mapped period. In total, 86 % of the CMNP was burn at least once between 1990 and 2017, while 72 % of the buffer area was burn. The creation of the park had significant effects on the density ignition when the periods before (1990-2005) and after (2006-2017) its creation were compared, and showed no significant effects on total annual area burned and average burn scar area. Despite the amount of burned area over time did not change significantly between the years before and after, the main change was observed in the fire seasonality after the creation of the park. In the park, 38 % of the area had a frequency of burn areas higher than ten times in the 28-year interval while 13 % of the buffer area was burn more than 10 times. In contrast, 23 % and 15 % had a fire frequency of 2 to 4 times on the buffer and the park respectively. Although the park was created to mitigate the human impacts of fire, the geographic isolation, the current occupation of the park by local populations and the pressure from agricultural expansion in the surroundings are influencing these conservation measures. Understanding the spatial-temporal distribution of fire in protected areas of the Cerrado contributes to improving management, preservation and conservation actions, so that in future studies other factors can be included to better understand the dynamic of fire occurrence in the region of the CMNP and in other protected areas of the Cerrado.</t>
  </si>
  <si>
    <t>WOS:000907994500001</t>
  </si>
  <si>
    <t>Aim Our aim was to quantify the influence of climate and land use on major fires that occurred during the 2020 drought over the Brazilian Pantanal region. Location Alto Paraguay Basin, central-western flank of Brazil. Time period 2003-2020. Methods We calculated climatic and burned area anomalies and Spearman's correlation between precipitation and sea surface temperature (SST). We assessed water coverage to identify the impact of the 2020 drought. We produced fire recurrence maps, identified the areas that burned for the first time in 2020, and estimated the carbon loss. Lastly, we assessed the burned areas within land-use classes and land tenure. Results The anomalies showed that climatic variables in 2020 had an atypical behaviour, being hotter and drier than the historical average. The water surface area in the Pantanal has been decreasing annually from 2003, and in 2020 the reduction was 34% greater than the annual average. Burned areas in 2020 were 200% greater than the long-term average, and 35% of the burned areas occurred for the first time in this year. We showed that 84% of these new fires occurred within natural vegetation, with 39% of the burned areas occurring in forests, an increase of 514%. Forest fires were responsible for 47% of the carbon loss in 2020. Finally, 70% of the fires in 2020 occurred within rural properties, 5% in indigenous lands and 10% in protected areas. Main conclusions The unprecedented fires in 2020 were not only a result of atypical climate, but also a consequence of the intensification of fire-related human activities. Rural properties play a major role in Pantanal fires, requiring law enforcement and a consistent plan for increasing the protection of the conservation areas. We argue that ineffective fire prevention and the lack of suppression strategies were also key in enhancing the magnitude of these fires.</t>
  </si>
  <si>
    <t>WOS:000821583800001</t>
  </si>
  <si>
    <t>Multiple anthropogenic pressures challenge the effectiveness of protected areas in western Tanzania</t>
  </si>
  <si>
    <t>Despite being key conservation instruments, the ecological effectiveness of protected areas (PAs) is contested. To assess the ecological effectiveness of PAs in the Katavi-Rukwa Ecosystem (KRE) in western Tanzania, we investigated temporal changes in land-use and population densities of six large mammal target species (elephant, buffalo, giraffe, zebra, topi, and hartebeest) across areas with different conservation category, ranging from unprotected to strictly protected. During six survey periods between 1991 and 2018, we analyzed data from remote sensing and aerial wildlife surveys to derive (i) spatiotemporal patterns of cropland cover in relation to protection category; (ii) population densities of the six-target species; and (iii) distribution of these species across protection category, land-use and environmental variables. During the surveyed period, cropland increased from 3.4 % to 9.6 % on unprotected land and from &lt;= 0.05 % to &lt;1 % on protected land. Wildlife densities of most, but not all target species declined across the entire landscape, yet the onset of the observed wildlife declines occurred several years before the onset of cropland expansion. Logistic regression models indicated that target species preferred the national park over less strictly PAs and areas distant to cropland. As our data do not support a direct link between land-use change and wildlife densities, additional factors may explain the apparent ecosystem-wide decline in wildlife. To bolster wildlife conservation in the KRE, we recommended proactive strategies to reduce direct threats to wildlife and cropland expansion toward wildlife dispersal areas and migratory corridors.</t>
  </si>
  <si>
    <t>WOS:000774061900001</t>
  </si>
  <si>
    <t>Landscape Changes in Protected Areas in Poland</t>
  </si>
  <si>
    <t>Land-Use Cover Changes (LUCCs) are one of the main problems for the preservation of landscapes and natural biodiversity. Protected Areas (PAs) do not escape this threat. Poland is among the European leaders in terms of the variety of landscapes and the share of an area designated as a protected area. However, as many as 78% of the habitats have poor or bad conservation status based on EEA reports. This article analyzes the LUCCs between 2000 and 2018 in various types of the Polish legal forms of nature protection areas and the European Natura 2000 network within the country. The research material was: the data of Corine Land Cover (CLC), the Central Register of Nature Protection Forms, and high-resolution layers, such as HRL and orthophotos. The results were compiled according to the CLC class and forms of protection. The matrix of transformations showed that the most frequently transformed CLC class was 312 (coniferous forest). It was transformed into class 324 (transitional woodland shrubs). The changes in PAs were usually smaller than in the surrounding buffer zones, which may indicate their effectiveness. The exception was the areas of the European Natura 2000 network. The scale of land-cover flows (LCFs) changed within particular forms of protected areas, though afforestation and deforestation predominating in all area types. National reserves and parks were the most stable in terms of land cover structures. However, human settlements increased around the protected areas, potentially increasing threats to their ecological integrity.</t>
  </si>
  <si>
    <t>WOS:000748146300001</t>
  </si>
  <si>
    <t>Protected areas have remarkable spillover effects on forest conservation on the Qinghai-Tibet Plateau</t>
  </si>
  <si>
    <t>Aim Although protected areas (PAs) are assumed to reduce natural threats within boundaries, their spillover effects remain equivocal. It is necessary to determine whether PAs truly achieve conservation targets and whether they promote or inhibit natural habitat degradation in adjacent areas by blockage or leakage spillover. This study aims to choose 54 nature reserves (NRs) focusing on forest protection as a case study to assess PA conservation effectiveness and spillover prevalence. Location PAs on the Qinghai-Tibet Plateau (QTP). Methods We used matching methods to compare deforestation rates inside PAs and their 20 km buffer zones with matched control areas based on the Global Forest Change dataset from 2001 to 2019. We contrasted the effects of NRs with different management levels, ages and areas. We designed five concentric buffer zones to assess spillover change with distance and estimated potential drivers of the spillover effect to explain its directions and magnitudes. Results 75.9% of the NRs were effective in preventing deforestation within their boundaries. NRs with different properties showed similar performance on forest conservation. Spillover effects were heterogeneous around NRs. One hundred and twenty-two buffer zones had positive spillover ranging from 0.1% to 5.3%. One hundred and nineteen buffer zones had leakages from -8.84% to -0.1%. Blockages slightly outnumbered leakages at different distances, while leakages happened more frequently when we treated buffer zones as a whole spillover area. The linear model indicated NR age and population density of buffer zones were the most relevant predictors to spillover value. Main conclusions Most PAs performed well in forest conservation. Leakages could undermine or offset PA conservation efforts and were related to multiple natural or socio-economic factors. We recommend considering the plurality of PAs as well as spillover effect and incorporating a social-ecological framework in further PA establishment and management.</t>
  </si>
  <si>
    <t>WOS:000736699700001</t>
  </si>
  <si>
    <t>Human-climate interactions shape fire regimes in the Cerrado of Sa∼o Paulo state, Brazil</t>
  </si>
  <si>
    <t>The Cerrado is the most diverse tropical savanna in the world. As a fire-prone ecosystem, natural fire in the Cerrado shapes plant communities and drives evolutionary processes. Human activities and landscape management can alter natural fire regimes and reshape Cerrado dynamics, making biodiversity conservation a challenge, particularly in densely populated areas. We reconstructed the historical fire regime of three protected areas (PA) and their buffer zones in Sa similar to o Paulo state to understand how current fire exclusion policies are affecting fire regimes and to measure how human-climate-fire relationships can change in areas under different land management. We used Landsat satellite imagery, from 1984 to 2017, with 30 m of spatial resolution and 16 days of temporal resolution. In total, we mapped 49,471 ha of burned area, and we detected variations in fire frequency and fire size among sites. PA dominated by open savanna in Itirapina concentrated 93 % of all observed fires, while PA dominated by forest-like formations in Assis represented only 2% of the fires. Annual rainfall showed a very weak relationship (R2 = 0.04) with annual total burned area, while the rainfall split between dry and wet seasons showed a tendency to have a fuel moisture effect which determined the vegetation available to burn in the dry season (R2 = 0.09). Fire regimes in PA were similar to those observed in buffer zones suggesting that fire-exclusion policies do not effectively prevent fires in PA that are surrounded by an anthropic matrix where fire is often used. When we included human factors in addition to rainfall, our models explained 44 % of variation of burned areas. We conclude that fire regimes in Sa similar to o Paulo Cerrado have been modified by humans and that fire exclusion is not a suitable policy for protected areas in this fire-prone ecosystem.</t>
  </si>
  <si>
    <t>10.1016/j.jnc.2021.126006</t>
  </si>
  <si>
    <t>Recent global-scale studies have revealed intense levels of human activities within many protected areas worldwide. However, these analyses rely on coarse global-scale data, making their utility for informing local-scale conservation action limited. We developed a spatially explicit national human footprint index for Iran, a biologically diverse country in west Asia, based on the latest high-resolution datasets available for human pressures. We assessed the extent and intensity of human pressure within Iranian protected areas, and across the biomes and ecoregions of Iran. We found that almost one-quarter (22%) of officially protected land was under intense human pressure, mostly located in north-west and west of the country. Protected areas within temperate grasslands, savannas, and shrublands are most impacted, with two-third of their area under intense pressure. The findings provide valuable information for targeting management strategies to alleviate human pressures within protected areas, and also act as a comprehensive database to track the state of protected areas through time.</t>
  </si>
  <si>
    <t>WOS:000543444600005</t>
  </si>
  <si>
    <t>Management impacts on fire occurrence: A comparison of fire regimes of African and South American tropical savannas in different protected areas</t>
  </si>
  <si>
    <t>Humans can alter fire dynamics in grassland systems by changing fire frequency, fire seasonality and fuel conditions. These changes have effects on vegetation structure and recovery, species composition, and ecosystem function. Understanding how human management can affect fire regimes is vital to detect potential changes in the resilience of plant communities, and to predict vegetation responses to human interventions. We evaluated the fire regimes of two recently protected areas in Madagascar (Ibity and Itremo NPA) and one in Brazil (Serra do Cipo NP) before and after livestock exclusion and fire suppression policies. We compare the pre- and post-management fire history in these areas and analyze differences in terms of total annual burned area, density of ignitions, burn scar size distribution, fire return period and seasonal fire distribution. More than 90% of total park areas were burned at least once during the studied period, for all parks. We observed a significant reduction in the number of ignitions for Ibity NPA and Serra do Cipo NP after livestock exclusion and active fire suppression, but no significant change in total burned area for each protected area. We also observed a seasonal shift in burning, with fires happening later in the fire season (October November) after management intervention. However, the protected areas in Madagascar had shorter fire return intervals (3.23 and 1.82 years) than those in Brazil (7.91 years). Our results demonstrate that fire exclusion is unattainable, and probably unwarranted in tropical grassland conservation areas, but show how human intervention in fire and vegetation patterns can alter various aspects of the fire regimes. This information can help with formulating realistic and effective fire management policies in these valuable conservation areas. (C) 2018 Elsevier Ltd. All rights reserved.</t>
  </si>
  <si>
    <t>WOS:000433649800008</t>
  </si>
  <si>
    <t>The Babile Elephant Sanctuary in Ethiopia was established in 1970 specifically to protect its elephants Loxodonta africana. They were once part of a larger population that ranged in eastern Ethiopia and northern Somalia but that was largely extirpated during the 20th century. Since its establishment, the Sanctuary has experienced severe anthropogenic pressure, inadequate government support, and civil conflict. Mapping was undertaken to analyse the rate of human immigration into the Sanctuary in 2006, 2014 and 2017, as part of an assessment of the Sanctuary's effectiveness in protecting its resident elephant population and in mitigating anthropogenic pressures. From 2006 to 2017 the number of illegal houses in the Sanctuary increased from 18,000 to &gt; 50,000, of which &gt; 32,000 were in the area in which elephants range. This settlement, coupled with high demand for natural resources, has resulted in significant habitat destruction and could also have exacerbated human-elephant conflict. Elephant conservation and monitoring by the Born Free Foundation were challenging because of ethnic conflict; rural and political stability is required if efforts to protect wildlife are to be successful. Unless these issues are resolved and the integrity of the Sanctuary is restored, this elephant population will be extirpated in the near future.</t>
  </si>
  <si>
    <t>ContextStriking land-use changes after WW II characterize the past century in the European Alps with impact on ecosystems and biodiversity. Documenting land-use changes is often difficult due to limited information from the past. Mapping landscape history with aerial photography can foster the understanding of human-induced changes in vulnerable ecosystems, such as the remnants of dry grasslands in the Central Alps.ObjectivesWe aimed to assess changes in grassland vegetation and their current extent in Val Venosta (European Alps, Italy) in relation to overall landscape settings, anthropogenic drivers of change and the effectiveness of the protected areas.MethodsWe performed a land-cover classification based on a mixed machine learning approach including several auxiliary classifiers in a random forest model to characterise the extent and state of (dry) grasslands. We calculated landscape metrics between 1945 and 2015 to assess shape-related changes, especially regarding their landscape embedding and the protection status of sites.ResultsThree main processes related to a changing extent in grassland habitat prevail: (i) agricultural intensification, (ii) settlement expansion at the valley bottom and (iii) forest expansion (afforestation and encroachment due to decreasing pasture activities) on the valley slopes. The remaining grassland habitat is increasingly isolated and fragmented, leaving only few core areas of dry grassland, which tended to be better conserved within protected areas.ConclusionThe changes in extent of dry grasslands revealed marked changes. Transformations are assumed to be predominantly caused by human impact and successional changes. Our results confirm the importance of protected area networks. The pronounced landscape changes underline the urgent need for future research with explicit focus on the changes at community level and the underlying causes. Identifying all relevant drivers of change should be a key element in targeted conservation efforts.</t>
  </si>
  <si>
    <t>WOS:001003692300001</t>
  </si>
  <si>
    <t>Terrestrial protected areas do not fully shield their streams from exogenous stressors</t>
  </si>
  <si>
    <t>Protected areas (PAs) represent a powerful refuge for maintaining and safeguarding biodiversity. Generally, PAs are delineated to protect terrestrial taxa, providing incidental protection to the aquatic ecosystems within their borders. Here, we compare water quality within PAs and non-PAs in southern Brazil, encompassing remnants of the Atlantic Forest biome, to assess whether PAs serve as a buffer from external pressures for aquatic ecosystems within their boundaries. In addition to physicochemical and microbiological water parameters, we analysed 147 pesticide and 31 pharmaceutical compounds in water samples from 33 sites within and outside PAs. The water quality did not differ between PAs and non-PAs but indicated clear pollution from sewage discharges. We found 19 pesticides and five pharmaceuticals in streams within the study area. We detected pesticides in all sampling sites, with the herbicide 2,4-dichlorophenoxyacetic acid present in 91% of them. Our data show that PAs are insufficient means to mitigate the impacts stemming from their catchments, and the running water that reaches their domains already shows signs of anthropogenic interference, which may affect aquatic biodiversity. Protection and management measures require consideration of the whole watershed to protect freshwater habitats and biota.</t>
  </si>
  <si>
    <t>WOS:000828889500001</t>
  </si>
  <si>
    <t>Protected Areas: Mixed Success in Conserving East Africa's Evergreen Forests</t>
  </si>
  <si>
    <t>In East Africa, human population growth and demands for natural resources cause forest loss contributing to increased carbon emissions and reduced biodiversity. Protected Areas (PAs) are intended to conserve habitats and species. Variability in PA effectiveness and 'leakage' (here defined as displacement of deforestation) may lead to different trends in forest loss within, and adjacent to, existing PAs. Here, we quantify spatial variation in trends of evergreen forest coverage in East Africa between 2001 and 2009, and test for correlations with forest accessibility and environmental drivers. We investigate PA effectiveness at local, landscape and national scales, comparing rates of deforestation within park boundaries with those detected in park buffer zones and in unprotected land more generally. Background forest loss (BFL) was estimated at -9.3% (17,167 km(2)), but varied between countries (range: -0.9% to -85.7%; note: no BFL in South Sudan). We document high variability in PA effectiveness within and between PA categories. The most successful PAs were National Parks, although only 26 out of 48 parks increased or maintained their forest area (i.e. Effective parks). Forest Reserves (Ineffective parks, i.e. parks that lose forest from within boundaries: 204 out of 337), Nature Reserves (six out of 12) and Game Parks (24 out of 26) were more likely to lose forest cover. Forest loss in buffer zones around PAs exceeded background forest loss, in some areas indicating leakage driven by Effective National Parks. Human pressure, forest accessibility, protection status, distance to fires and long-term annual rainfall were highly significant drivers of forest loss in East Africa. Some of these factors can be addressed by adjusting park management. However, addressing close links between livelihoods, natural capital and poverty remains a fundamental challenge in East Africa's forest conservation efforts.</t>
  </si>
  <si>
    <t>WOS:000305892100045</t>
  </si>
  <si>
    <t>Assessing the role of protected areas in the land-use change dynamics of a biodiversity hotspot</t>
  </si>
  <si>
    <t>Although protected areas (PAs) are designed to safeguard natural ecosystems from anthropic modifications, many PAs worldwide are subjected to numerous human-induced impacts. We evaluated whether the establishment of PAs in the Upper Parana River floodplain region could reduce anthropic landscape changes and whether there is a difference in protection when using different PA restriction categories. We analyzed the overall landscape dynamics using 30 years of land-use time series data and evaluated the change intensity via a partial land-use intensity analysis. Despite the increasing landscape anthropization, the PAs seemed to relieve the general change process, protecting natural areas mainly from agricultural expansion. Concerning the degree of use restriction, more restricted protection led to less human-induced changes. Finally, accessing PA effectiveness is a multidisciplinary challenge for researchers; however, this knowledge is crucial to avoid misunderstandings or poorly crafted public policies or decisions that may harm the environment.</t>
  </si>
  <si>
    <t>WOS:000999538100001</t>
  </si>
  <si>
    <t>Relating Country-Level Governance and Tree Cover Loss in Sub-Saharan African Protected Areas: Identifying Knowledge Gaps and a More Nuanced Perspective</t>
  </si>
  <si>
    <t>'Good governance' is highlighted by many as being essential for improving protected area (PA) management and conservation outcomes, with a growing body of evidence based on site-level governance data. Yet how exactly governance at other levels supports or hinders successful PA implementation, and how this should be considered in conservation planning and practice, remains insufficiently understood. We conducted an exploratory analysis of the relationship between the quality of country-level governance and trends in tree cover loss within sub-Saharan African PAs. For the period 2008-2017, we correlated annual governance scores from the Ibrahim Index of African Governance (IIAG) with the annual rate of tree cover loss in the total terrestrial area of PAs in 33 forested sub-Saharan African countries. Overall governance was not correlated with tree cover loss in a simple model, but there was evidence that overall governance was positively correlated with tree cover loss in PAs when the interaction with environmental governance was included. The interaction indicated that the rate of tree cover loss decreased for a given level of overall governance as environmental governance increased. Human development was negatively correlated with forest loss. Thus, the relationship between country-level 'good governance' and conservation success is more complex than a direct and positive cause and effect. Yet, uncertainty remains about the many possible and likely confounding pathways: whilst the quality of overall governance may be mirrored at the site-level, it may also contribute to increased anthropogenic pressures on natural resources. Through this research we found significant limitations in data quality and availability both to evaluate the effectiveness of protection beyond tree cover, as well as less conventional governance aspects, such as environmental policy and regulation or site-level governance. With an expected increase in area-based protection and conservation financing in the coming decades, such data will be vital to monitor the effectiveness of our efforts and ensure financial accountability.</t>
  </si>
  <si>
    <t>WOS:000765705600001</t>
  </si>
  <si>
    <t>Land use and land cover change is a major component of global change, which directly alters habitat composition, biodiversity and ecosystem functioning. The regional analysis of land cover changes in heterogeneous landscapes can be masked by spatial variations caused by both bioclimatic and socioeconomic factors. Recognizing these influences, however, can be critical for designing conservation policies suited for each region. In this study, we examined the main processes of land cover change in Spain during c. 20 years (1987-2006), using CORINE land cover maps and five comparative spatial frameworks based on biomes (temperate and Mediterranean) and protection levels (Nationally Designated areas, European Natura Net 2000 and unprotected areas). We observed high land cover persistence (ca. 93%) throughout Spain, but with important anthropization processes and internal changes in natural areas which experienced a slight decrease while, agrarian areas remained almost stable. However, there were significant differences in the occupation, intensity and direction of change depending on the biome and protection level. The Mediterranean region had lower persistence and higher anthropization processes than the temperate region, suggesting a high vulnerability to land cover changes for natural habitat and related species. Overall, we observed a lower intensity of anthropization processes in protected areas, increasing the persistence of natural and agrarian areas; key habitats for species conservation. The highest persistence of natural areas corresponds to Nationally Designated Protected (NDP) areas, while in Natura Net 2000 we found the highest agrarian areas persistence. Nevertheless, Natura Net 2000 areas with the exception of those nominated as NDP had the largest increase of artificial surfaces as well as the highest internal processes of change within natural areas due to disturbances. The trends reported in this study suggest the importance of effective management plans and conservation measures that ensure both habitat and species conservation, especially in the Mediterranean region. In the case of Natura Net 2000, where traditional agricultural and livestock activities had a larger importance, it would be advisable to definitively implement the pending management plans, which are feasible and compatible with local human activities. (C) 2014 Elsevier Ltd. All rights reserved.</t>
  </si>
  <si>
    <t>WOS:000351803300007</t>
  </si>
  <si>
    <t>Urban growth is a major threat to biodiversity conservation at the global scale. Its impacts are expected to be especially detrimental when it sprawls into the landscape and reaches sites of high conservation value due to the species and ecosystems they host, such as protected areas. I analyzed the degree of urbanization (i.e., urban cover and growth rate) from 2006 to 2015 in protected sites in the Natura 2000 network, which, according to the Habitats and Birds Directives, harbor species and habitats of high conservation concern in Europe. I used data on the degree of land imperviousness from COPERNICUS to calculate and compare urban covers and growth rates inside and outside Natura 2000. I also analyzed the relationships of urban cover and growth rates with a set of characteristics of Natura sites. Urban cover inside Natura 2000 was 10 times lower than outside (0.4% vs. 4%) throughout the European Union. However, the rates of urban growth were slightly higher inside than outside Natura 2000 (4.8% vs. 3.9%), which indicates an incipient urban sprawl inside the network. In general, Natura sites affected most by urbanization were those surrounded by densely populated areas (i.e., urban clusters) that had a low number of species or habitats of conservation concern, albeit some member states had high urban cover or growth rate or both in protected sites with a large number of species or habitats of high conservation value. Small Natura sites had more urban cover than large sites, but urban growth rates were highest in large Natura sites. Natura 2000 is protected against urbanization to some extent, but there is room for improvement. Member states must enact stricter legal protection and control law enforcement to halt urban sprawl into protected areas under the greatest pressure from urban sprawl (i.e., close to urban clusters). Such actions are particularly needed in Natura sites with high urban cover and growth rates and areas where urbanization is affecting small Natura sites of high conservation value, which are especially vulnerable and concentrated in the Mediterranean region.</t>
  </si>
  <si>
    <t>WOS:000626061900001</t>
  </si>
  <si>
    <t>Human pressure dynamics in protected areas of China based on nighttime light</t>
  </si>
  <si>
    <t>Increasing light is widely recognised to be harmful to the wilderness of protected areas (PAs). However, minimal studies revealed the spatiotemporal distribution and variation of nighttime lights (NTLs) at the regional and single protected area levels on a continuous time. We assessed the extent and intensity of NTLs within and around the PAs during 1992-2012 in mainland China. Lighted area index (LAI), lighted intensity index (LII), potential LAI (PLAI) and potential LII (PLII) were developed as indicators to represent the total quantity and the intensity in a PA and in a 5-km buffer zone around the PA on the basis of the Defense Meteorological Program Operational Line-Scan System NTL data. NTL in PAs covered 7192 km(2) in 2012, accounting for 0.73% of the total area of PAs. The highest values of LAI and LII were observed in Northeast and South Central China among the six geographical divisions. The LAI and LII increased by 3.22 and 3.51 times from 1992 to 2012, which showed that the area and intensity of NTL in PAs experienced simultaneous growth. We identified a significant increase of NTL within 36% of PAs and outside 60% of PAs, indicating the persistent increase in the intensity of human disturbance in and around these PAs. The NTL growth rates in marine and coastal and wild plant PAs were the greatest and lowest among different types of PAs, with values of 76.47% and 15.79%, respectively. We suggested that development of targeted countermeasures for each PA should comprehensively consider the conservation objectives, the type of PA, and the lighting conditions inside and outside the PA. The findings can provide useful information for targeting management strategies to alleviate light pollution and human disturbance. (C) 2020 The Author(s). Published by Elsevier B.V.</t>
  </si>
  <si>
    <t>WOS:000608478800006</t>
  </si>
  <si>
    <t>Establishing legal protection for forest areas is the most common policy used to limit forest loss. This article evaluates the effectiveness of seven Indonesian forest protected areas introduced between 1999 and 2012. Specifically, we explore how the effectiveness of these parks varies over space. Protected areas have mixed success in preserving forest, and it is important for conservationists to understand where they work and where they do not. Observed differences in the estimated treatment effect of protection may be driven by several factors. Indonesia is particularly diverse, with the landscape, forest and forest threats varying greatly from region to region, and this diversity may drive differences in the effectiveness of protected areas in conserving forest. However, the observed variation may also be spurious and arise from differing degrees of bias in the estimated treatment effect over space. In this paper, we use a difference-in-differences approach comparing treated observations and matched controls to estimate the effect of each protected area. We then distinguish the true variation in protected area effectiveness from spurious variation driven by several sources of estimation bias. Based on our most flexible method that allows the data generating process to vary across space, we find that the national average effect of protection preserves an additional 1.1% of forest cover; however the effect of individual parks range from a decrease of 3.4% to an increase of 5.3% and the effect of most parks differ from the national average. Potential biases may affect estimates in two parks, but results consistently show Sebangau National Park is more effective while two parks are substantially less able to protect forest cover than the national average.</t>
  </si>
  <si>
    <t>WOS:000355700700005</t>
  </si>
  <si>
    <t>Roads are one of the most prevalent threats to wildlife because they fragment landscapes and increase mortality. In response to the threat of roads to population persistence, road-effect mitigation strategies are increasingly common, typically as a combination of exclusion fencing to reduce mortality and crossing structures to enhance connectivity. To evaluate the success of mitigation structures at reducing road mortality of amphibians and reptiles, we conducted a six year paired Before-After-Control-Impact (BACI) experiment. We used road surveys to estimate the effectiveness of exclusion fencing, and a combination of hoop trapping, passive integrated transponder tag scanners and camera traps to evaluate connectivity structure effectiveness. Exclusion fencing reduced the number of turtles and amphibians on the mad but had no effect for snakes. Cameras recorded 54 turtles, 72 snakes, 615 frogs, and 271 salamanders using tunnels. PIT tag scanners detected similar usage by turtles (55 uses; 24 unique individuals) and snakes (69 uses; 15 unique individuals). Tunnel usage was neither spatially nor demographically biased, indicating that the tunnels were likely to be broadly used by the local species assemblage. Crossing rates of tagged individuals suggest similar to 5-15% of turtles and 44% of snakes are using crossing structures. We contextualized crossing rates with population size estimates for painted and snapping turtles in the surrounding habitats. Our study is one of the first of its kind to incorporate both a robust BACI design and the context of population-level effects to demonstrate the efficacy of road-effect mitigation for protecting wildlife, especially for reptiles and amphibians.</t>
  </si>
  <si>
    <t>WOS:000691802300015</t>
  </si>
  <si>
    <t>Underwater noise pollution is a recognized threat to marine life. In British Columbia, Canada, Pacific rockfish (Sebastes spp.) were historically overfished, prompting the establishment of Rockfish Conservation Areas (RCAs). However, there are no restrictions prohibiting vessel transits in RCAs. We hypothesized that RCAs do not protect rockfish from sub-lethal harm from noise. We compared noise levels at three RCAs with adjacent unprotected reference sites from August 2018-June 2019. While RCAs had lower levels of noise overall than reference sites, this trend was inconsistent; some RCA sites had higher levels of noise during certain time periods than non-RCA sites. A vessel noise detector was the best predictor of noise level over three frequency bands (20-100 Hz, 100-1000 Hz, 1-10 kHz), and predicted sound levels which could mask rockfish communication. We conclude that RCAs do not reliably protect rockfish from noise pollution, and recommend further study into potential impacts on stock recovery.</t>
  </si>
  <si>
    <t>10.1016/j.marpolbul.2021.112017</t>
  </si>
  <si>
    <t>WOS Query (N= 101)
Based on raw articles provided by authors, following is WOS query that retrieves 101 / 105 records from WOS; these WOS recrods are then made part of later datasets in this systematic map
A copy of results is in query export</t>
  </si>
  <si>
    <t>DO=(10.1007/s10531-008-9490-5 OR 10.1016/j.apgeog.2016.10.007 OR 10.1016/j.ecolind.2012.09.011 OR 10.1016/j.jenvman.2017.05.051 OR 10.1016/j.landusepol.2015.08.020 OR 10.1080/09640568.2015.1083416 OR 10.3389/fenvs.2023.1122464 OR 10.3389/ffgc.2022.807214 OR 10.1002/eap.1809 OR 10.1002/rse2.47 OR 10.1007/s00267-004-0028-7 OR 10.1007/s00267-013-0102-0 OR 10.1007/s10113-010-0138-0 OR 10.1007/s10113-016-1070-8 OR 10.1007/s10531-004-3509-3 OR 10.1007/s10531-022-02407-8 OR 10.1007/s10661-011-2340-z OR 10.1007/s10980-023-01684-0 OR 10.1007/s11273-022-09894-0 OR 10.1007/s13280-019-01213-x OR 10.1007/s13280-019-01305-8 OR 10.1007/s13280-023-01886-5 OR 10.1016/j.apgeog.2022.102682 OR 10.1016/j.biocon.2012.08.021 OR 10.1016/j.biocon.2013.04.016 OR 10.1016/j.biocon.2016.08.037 OR 10.1016/j.biocon.2018.03.013 OR 10.1016/j.biocon.2018.04.018 OR 10.1016/j.biocon.2020.108424 OR 10.1016/j.biocon.2020.108511)</t>
  </si>
  <si>
    <t>OR</t>
  </si>
  <si>
    <t>DO=(10.1016/j.biocon.2021.109230 OR 10.1016/j.ecolind.2020.106357 OR 10.1016/j.ecolind.2021.107454 OR 10.1016/j.ecolind.2022.108844 OR 10.1016/j.ecolind.2022.109337 OR 10.1016/j.forpol.2019.01.011 OR 10.1016/j.gecco.2018.e00497 OR 10.1016/j.gecco.2020.e01297 OR 10.1016/j.gecco.2022.e02053 OR 10.1016/j.gloenvcha.2020.102084 OR 10.1016/j.jag.2018.08.006 OR 10.1016/j.jeem.2021.102572 OR 10.1016/j.jenvman.2018.04.004 OR 10.1016/j.jenvman.2022.114485 OR 10.1016/j.jenvman.2022.114593 OR 10.1016/j.jnc.2021.126006 OR 10.1016/j.jnc.2022.126318 OR 10.1016/j.landusepol.2014.11.021 OR 10.1016/j.landusepol.2017.06.009 OR 10.1016/j.landusepol.2022.106434 OR 10.1016/j.marpolbul.2021.112017 OR 10.1016/j.scitotenv.2017.11.216 OR 10.1017/S0376892917000157 OR 10.1017/S0376892922000261 OR 10.1038/s41598-021-03188-w OR 10.1038/s41598-021-83586-2 OR 10.1038/s41893-022-00884-x OR 10.1071/MF16400 OR 10.1088/1748-9326/9/3/035007 OR 10.1088/1748-9326/ac05ed)</t>
  </si>
  <si>
    <t>DO=(10.1088/2515-7620/ab716c OR 10.1098/rspb.2007.1756 OR 10.1098/rspb.2010.1713 OR 10.1111/1365-2664.12965 OR 10.1111/cobi.12851 OR 10.1111/cobi.13584 OR 10.1111/cobi.13638 OR 10.1111/cobi.13687 OR 10.1111/cobi.13887 OR 10.1111/conl.12049 OR 10.1111/csp2.12684 OR 10.1111/csp2.169 OR 10.1111/ddi.13466 OR 10.1111/gcb.16583 OR 10.1111/geb.13563 OR 10.1111/cobi.12332 OR 10.1111/j.1523-1739.2007.00793.x OR 10.1126/sciadv.abi8943 OR 10.1371/journal.pone.0005014 OR 10.1371/journal.pone.0039337 OR 10.1371/journal.pone.0065298 OR 10.1371/journal.pone.0124872 OR 10.1371/journal.pone.0149292 OR 10.1371/journal.pone.0258615 OR 10.1590/0001-3765202320211079 OR 10.3389/fenvs.2022.1094406 OR 10.3389/fmars.2023.1187702 OR 10.3390/land10111124 OR 10.3390/land11010043 OR 10.3390/land11020268)</t>
  </si>
  <si>
    <t>DO=(10.3390/land11071071 OR 10.3390/plants10122670 OR 10.3390/rs8100862 OR 10.3390/su12135439 OR 10.3390/su14020753 OR 10.4996/fireecology.130288764)</t>
  </si>
  <si>
    <t>DO=(10.1016/j.apgeog.2015.06.013 OR 10.2478/jlecol-2019-0009 OR 10.1016/j.gecco.2020.e01222 OR 10.1126/sciadv.1600821 OR 10.1017/S0030605320001088 OR 10.1007/s10531-004-5355-8 OR 10.1002/ece3.7778)</t>
  </si>
  <si>
    <t>TI = ("Many a little makes a mickle: Cumulative land cover changes and traditional land use in the Kyro reindeer herding district, northern Finland")</t>
  </si>
  <si>
    <t>Publication Type</t>
  </si>
  <si>
    <t>Book Authors</t>
  </si>
  <si>
    <t>Book Editors</t>
  </si>
  <si>
    <t>Book Group Authors</t>
  </si>
  <si>
    <t>Author Full Names</t>
  </si>
  <si>
    <t>Book Author Full Names</t>
  </si>
  <si>
    <t>Group Authors</t>
  </si>
  <si>
    <t>Source Title</t>
  </si>
  <si>
    <t>Book Series Title</t>
  </si>
  <si>
    <t>Book Series Subtitle</t>
  </si>
  <si>
    <t>Language</t>
  </si>
  <si>
    <t>Document Type</t>
  </si>
  <si>
    <t>Conference Title</t>
  </si>
  <si>
    <t>Conference Date</t>
  </si>
  <si>
    <t>Conference Location</t>
  </si>
  <si>
    <t>Conference Sponsor</t>
  </si>
  <si>
    <t>Conference Host</t>
  </si>
  <si>
    <t>Author Keywords</t>
  </si>
  <si>
    <t>Keywords Plus</t>
  </si>
  <si>
    <t>Addresses</t>
  </si>
  <si>
    <t>Affiliations</t>
  </si>
  <si>
    <t>Reprint Addresses</t>
  </si>
  <si>
    <t>Email Addresses</t>
  </si>
  <si>
    <t>Researcher Ids</t>
  </si>
  <si>
    <t>ORCIDs</t>
  </si>
  <si>
    <t>Funding Orgs</t>
  </si>
  <si>
    <t>Funding Name Preferred</t>
  </si>
  <si>
    <t>Funding Text</t>
  </si>
  <si>
    <t>Cited References</t>
  </si>
  <si>
    <t>Cited Reference Count</t>
  </si>
  <si>
    <t>Times Cited, WoS Core</t>
  </si>
  <si>
    <t>Times Cited, All Databases</t>
  </si>
  <si>
    <t>180 Day Usage Count</t>
  </si>
  <si>
    <t>Since 2013 Usage Count</t>
  </si>
  <si>
    <t>Publisher</t>
  </si>
  <si>
    <t>Publisher City</t>
  </si>
  <si>
    <t>Publisher Address</t>
  </si>
  <si>
    <t>ISSN</t>
  </si>
  <si>
    <t>eISSN</t>
  </si>
  <si>
    <t>ISBN</t>
  </si>
  <si>
    <t>Journal Abbreviation</t>
  </si>
  <si>
    <t>Journal ISO Abbreviation</t>
  </si>
  <si>
    <t>Publication Date</t>
  </si>
  <si>
    <t>Publication Year</t>
  </si>
  <si>
    <t>Volume</t>
  </si>
  <si>
    <t>Issue</t>
  </si>
  <si>
    <t>Part Number</t>
  </si>
  <si>
    <t>Supplement</t>
  </si>
  <si>
    <t>Special Issue</t>
  </si>
  <si>
    <t>Meeting Abstract</t>
  </si>
  <si>
    <t>Start Page</t>
  </si>
  <si>
    <t>End Page</t>
  </si>
  <si>
    <t>Article Number</t>
  </si>
  <si>
    <t>Book DOI</t>
  </si>
  <si>
    <t>Early Access Date</t>
  </si>
  <si>
    <t>Number of Pages</t>
  </si>
  <si>
    <t>WoS Categories</t>
  </si>
  <si>
    <t>Web of Science Index</t>
  </si>
  <si>
    <t>Research Areas</t>
  </si>
  <si>
    <t>IDS Number</t>
  </si>
  <si>
    <t>Pubmed Id</t>
  </si>
  <si>
    <t>Open Access Designations</t>
  </si>
  <si>
    <t>Highly Cited Status</t>
  </si>
  <si>
    <t>Hot Paper Status</t>
  </si>
  <si>
    <t>Date of Export</t>
  </si>
  <si>
    <t>Web of Science Record</t>
  </si>
  <si>
    <t>J</t>
  </si>
  <si>
    <t>Kivinen, S</t>
  </si>
  <si>
    <t/>
  </si>
  <si>
    <t>Kivinen, Sonja</t>
  </si>
  <si>
    <t>APPLIED GEOGRAPHY</t>
  </si>
  <si>
    <t>English</t>
  </si>
  <si>
    <t>Article</t>
  </si>
  <si>
    <t>Cumulative impacts; Forestry; Grazing grounds; Land cover; Landsat; Multiple-use landscape; Reindeer herding; Traditional land use</t>
  </si>
  <si>
    <t>DOMESTICATED REINDEER; RANGIFER-TARANDUS; FOREST FRAGMENTATION; BOREAL FORESTS; INFRASTRUCTURE; MANAGEMENT; AREAS; VULNERABILITY; BIODIVERSITY; ENVIRONMENT</t>
  </si>
  <si>
    <t>[Kivinen, Sonja] Univ Turku, Dept Geog &amp; Geol, FI-20014 Turku, Finland; [Kivinen, Sonja] Univ Oulu, Dept Geog, FI-90014 Oulu, Finland</t>
  </si>
  <si>
    <t>University of Turku; University of Oulu</t>
  </si>
  <si>
    <t>Kivinen, S (corresponding author), Univ Turku, Dept Geog &amp; Geol, FI-20014 Turku, Finland.</t>
  </si>
  <si>
    <t>sonja.kivinen@utu.fi</t>
  </si>
  <si>
    <t>Kivinen, Sonja/0000-0002-8637-2328</t>
  </si>
  <si>
    <t>Academy of Finland (CLADINA) [128615]; Nordic Council of Ministers (Nordic Centre of Excellence Tundra); Academy of Finland (AKA) [128615] Funding Source: Academy of Finland (AKA)</t>
  </si>
  <si>
    <t>Academy of Finland (CLADINA)(Research Council of Finland); Nordic Council of Ministers (Nordic Centre of Excellence Tundra); Academy of Finland (AKA)(Research Council of Finland)</t>
  </si>
  <si>
    <t>This study was funded by the Academy of Finland (CLADINA-Project No. 128615) and the Nordic Council of Ministers (Nordic Centre of Excellence Tundra). I thank three anonymous reviewers for their constructive comments on the manuscript.</t>
  </si>
  <si>
    <t>ELSEVIER SCI LTD</t>
  </si>
  <si>
    <t>OXFORD</t>
  </si>
  <si>
    <t>THE BOULEVARD, LANGFORD LANE, KIDLINGTON, OXFORD OX5 1GB, OXON, ENGLAND</t>
  </si>
  <si>
    <t>0143-6228</t>
  </si>
  <si>
    <t>1873-7730</t>
  </si>
  <si>
    <t>APPL GEOGR</t>
  </si>
  <si>
    <t>Appl. Geogr.</t>
  </si>
  <si>
    <t>SEP</t>
  </si>
  <si>
    <t>Geography</t>
  </si>
  <si>
    <t>Social Science Citation Index (SSCI)</t>
  </si>
  <si>
    <t>CS4PZ</t>
  </si>
  <si>
    <t>2026-04-10</t>
  </si>
  <si>
    <t>Kindermann, E; Hölzel, N; Wellstein, C</t>
  </si>
  <si>
    <t>Kindermann, Elisabeth; Hoelzel, Norbert; Wellstein, Camilla</t>
  </si>
  <si>
    <t>LANDSCAPE ECOLOGY</t>
  </si>
  <si>
    <t>Classification; Conservation; Historic aerial photography; Land cover change; Random forest; Dry grassland</t>
  </si>
  <si>
    <t>TOPOGRAPHIC CORRECTION METHODS; SPECIES RICHNESS; SOUTH TYROL; VEGETATION; CLASSIFICATION; METRICS; BIODIVERSITY; INDICATORS; PATTERNS; INTENSIFICATION</t>
  </si>
  <si>
    <t>[Kindermann, Elisabeth; Wellstein, Camilla] Free Univ Bozen Bolzano, Fac Agr Environm &amp; Food Sci, Bolzano, Italy; [Hoelzel, Norbert] Univ Munster, Inst Landscape Ecol, Munster, Germany</t>
  </si>
  <si>
    <t>Free University of Bozen-Bolzano; University of Munster</t>
  </si>
  <si>
    <t>Kindermann, E (corresponding author), Free Univ Bozen Bolzano, Fac Agr Environm &amp; Food Sci, Bolzano, Italy.</t>
  </si>
  <si>
    <t>kindermann.e@aol.de</t>
  </si>
  <si>
    <t>Kindermann, Elisabeth/KOD-3819-2024; Wellstein, Camilla/C-5042-2012; Hölzel, Norbert/H-8753-2013</t>
  </si>
  <si>
    <t>Kindermann, Elisabeth/0000-0003-4390-1303; Wellstein, Camilla/0000-0001-6994-274X;</t>
  </si>
  <si>
    <t>SPRINGER</t>
  </si>
  <si>
    <t>DORDRECHT</t>
  </si>
  <si>
    <t>VAN GODEWIJCKSTRAAT 30, 3311 GZ DORDRECHT, NETHERLANDS</t>
  </si>
  <si>
    <t>0921-2973</t>
  </si>
  <si>
    <t>1572-9761</t>
  </si>
  <si>
    <t>LANDSCAPE ECOL</t>
  </si>
  <si>
    <t>Landsc. Ecol.</t>
  </si>
  <si>
    <t>AUG</t>
  </si>
  <si>
    <t>JUN 2023</t>
  </si>
  <si>
    <t>Ecology; Geography, Physical; Geosciences, Multidisciplinary</t>
  </si>
  <si>
    <t>Science Citation Index Expanded (SCI-EXPANDED)</t>
  </si>
  <si>
    <t>Environmental Sciences &amp; Ecology; Physical Geography; Geology</t>
  </si>
  <si>
    <t>L1IO5</t>
  </si>
  <si>
    <t>Green Submitted, hybrid</t>
  </si>
  <si>
    <t>Schmitz, MH; do Couto, EV; Xavier, EC; Tomadon, LD; Leal, RP; Agostinho, AA</t>
  </si>
  <si>
    <t>Schmitz, Marcelo Henrique; do Couto, Edivando Vitor; Xavier, Erick Caldas; Tomadon, Leonardo da Silva; Leal, Rodrigo Pedro; Agostinho, Angelo Antonio</t>
  </si>
  <si>
    <t>AMBIO</t>
  </si>
  <si>
    <t>Article; Early Access</t>
  </si>
  <si>
    <t>Conservation; Effectiveness; Geoprocessing; Human impacts; Land-use policy; Wetlands</t>
  </si>
  <si>
    <t>ECOSYSTEM SERVICES; CONSERVATION; FISH; LANDSCAPE; IMPACT</t>
  </si>
  <si>
    <t>[Schmitz, Marcelo Henrique; Xavier, Erick Caldas; Tomadon, Leonardo da Silva; Leal, Rodrigo Pedro; Agostinho, Angelo Antonio] Univ Estadual Maringa, Dept Biol, Programa Posgrad Ecol Ambientes Aquat Continentais, BR-87020900 Maringa, Parana, Brazil; [do Couto, Edivando Vitor] Tech Univ Munich, Arcisstr 21, D-80333 Munich, Germany</t>
  </si>
  <si>
    <t>Universidade Estadual de Maringa; Technical University of Munich</t>
  </si>
  <si>
    <t>do Couto, EV (corresponding author), Tech Univ Munich, Arcisstr 21, D-80333 Munich, Germany.</t>
  </si>
  <si>
    <t>marceloschmitzengpesca@gmail.com; edivando.couto@tum.de; erickcaldasxavier@gmail.com; leonardotomadon@hotmail.com; rpedroleal@gmail.com; agostinhoaa@gmail.com</t>
  </si>
  <si>
    <t>Leal, Rodrigo/HGA-9296-2022; Agostinho, Angelo Antonio/S-1538-2019; Tomadon, Leonardo/KQU-7044-2024; do Couto, Edivando Vitor/L-2089-2015</t>
  </si>
  <si>
    <t>Schmitz, Marcelo Henrique/0000-0001-9734-5184; Agostinho, Angelo Antonio/0000-0002-4707-9444; Leal, Roigo/0000-0003-2092-5214; do Couto, Edivando Vitor/0000-0003-4264-8449</t>
  </si>
  <si>
    <t>Coordenacao de Aperfeicoamento de Pessoal de Nivel Superior (CAPES); National Conselho Nacional de Desenvolvimento Cientifico e Tecnologico (CNPq); Federal Technological University of Parana (UTFPR-Campo Mourao/PR) [ACT 021/2019, ACT 018/2012, 23064.019487/2020-15]</t>
  </si>
  <si>
    <t>Coordenacao de Aperfeicoamento de Pessoal de Nivel Superior (CAPES)(Coordenacao de Aperfeicoamento de Pessoal de Nivel Superior (CAPES)); National Conselho Nacional de Desenvolvimento Cientifico e Tecnologico (CNPq)(Conselho Nacional de Desenvolvimento Cientifico e Tecnologico (CNPQ)Fundacao de Apoio a Pesquisa do Distrito Federal (FAPDF)); Federal Technological University of Parana (UTFPR-Campo Mourao/PR)</t>
  </si>
  <si>
    <t>We thank the group for developing the MapBiomas collections. We also thank the Coordenacao de Aperfeicoamento de Pessoal de Nivel Superior (CAPES) and the National Conselho Nacional de Desenvolvimento Cientifico e Tecnologico (CNPq) for the scholarships granted and also for the financial support and infrastructure for carrying out this study. We also thank the Federal Technological University of Parana (UTFPR-Campo Mourao/PR) for the technical cooperation agreements with UEM/PEA/Nupelia (ACT 021/2019; ACT 018/2012; and SEI process 23064.019487/2020-15). We also thank the anonymous reviewers of the study for their valuable comments and suggestions.</t>
  </si>
  <si>
    <t>0044-7447</t>
  </si>
  <si>
    <t>1654-7209</t>
  </si>
  <si>
    <t>Ambio</t>
  </si>
  <si>
    <t>2023 JUN 1</t>
  </si>
  <si>
    <t>Engineering, Environmental; Environmental Sciences</t>
  </si>
  <si>
    <t>Engineering; Environmental Sciences &amp; Ecology</t>
  </si>
  <si>
    <t>I0CK0</t>
  </si>
  <si>
    <t>Zeng, HH; Jia, MM; Zhang, R; Wang, ZM; Mao, DH; Ren, CY; Zhao, CP</t>
  </si>
  <si>
    <t>Zeng, Haihang; Jia, Mingming; Zhang, Rong; Wang, Zongming; Mao, Dehua; Ren, Chunying; Zhao, Chuanpeng</t>
  </si>
  <si>
    <t>FRONTIERS IN MARINE SCIENCE</t>
  </si>
  <si>
    <t>nighttime light; light pollution; mangrove forests; nature reserves; China</t>
  </si>
  <si>
    <t>ARTIFICIAL-LIGHT; TIME-SERIES; DMSP-OLS; CONSERVATION; IMAGERY</t>
  </si>
  <si>
    <t>[Zeng, Haihang; Jia, Mingming; Zhang, Rong; Wang, Zongming; Mao, Dehua; Ren, Chunying; Zhao, Chuanpeng] Chinese Acad Sci, Northeast Inst Geog &amp; Agroecol, Key Lab Wetland Ecol &amp; Environm, Changchun, Peoples R China; [Zeng, Haihang] Univ Chinese Acad Sci, Coll Resources &amp; Environm, Beijing, Peoples R China; [Jia, Mingming] Int Res Ctr Big Data Sustainable Dev Goals, Beijing, Peoples R China</t>
  </si>
  <si>
    <t>Chinese Academy of Sciences; Northeast Institute of Geography &amp; Agroecology, CAS; Chinese Academy of Sciences; University of Chinese Academy of Sciences, CAS; Chinese Academy of Sciences; International Research Center of Big Data for Sustainable Development Goals</t>
  </si>
  <si>
    <t>Jia, MM (corresponding author), Chinese Acad Sci, Northeast Inst Geog &amp; Agroecol, Key Lab Wetland Ecol &amp; Environm, Changchun, Peoples R China.;Jia, MM (corresponding author), Int Res Ctr Big Data Sustainable Dev Goals, Beijing, Peoples R China.</t>
  </si>
  <si>
    <t>Jiamingming@neigae.ac.cn</t>
  </si>
  <si>
    <t>Mao, Dehua/AAE-8715-2021; jia, ming/KPA-6867-2024; Zeng, Haihang/JRY-0458-2023</t>
  </si>
  <si>
    <t>Zeng, Haihang/0009-0003-7473-0436</t>
  </si>
  <si>
    <t>National Natural Science Foundation of China [42171372, 42171379, 42101399, 42001383]; Youth Innovation Promotion Association of the Chinese Academy of Sciences [2021227]; National Earth System Science Data Center</t>
  </si>
  <si>
    <t>National Natural Science Foundation of China(National Natural Science Foundation of China (NSFC)); Youth Innovation Promotion Association of the Chinese Academy of Sciences; National Earth System Science Data Center</t>
  </si>
  <si>
    <t>This work is jointly supported by the National Natural Science Foundation of China (42171372, 42171379, 42101399 and 42001383), the Youth Innovation Promotion Association of the Chinese Academy of Sciences (2021227), and the National Earth System Science Data Center (www.geodata.cn).</t>
  </si>
  <si>
    <t>FRONTIERS MEDIA SA</t>
  </si>
  <si>
    <t>LAUSANNE</t>
  </si>
  <si>
    <t>AVENUE DU TRIBUNAL FEDERAL 34, LAUSANNE, CH-1015, SWITZERLAND</t>
  </si>
  <si>
    <t>2296-7745</t>
  </si>
  <si>
    <t>FRONT MAR SCI</t>
  </si>
  <si>
    <t>Front. Mar. Sci.</t>
  </si>
  <si>
    <t>MAY 23</t>
  </si>
  <si>
    <t>Environmental Sciences; Marine &amp; Freshwater Biology; Oceanography</t>
  </si>
  <si>
    <t>Environmental Sciences &amp; Ecology; Marine &amp; Freshwater Biology; Oceanography</t>
  </si>
  <si>
    <t>I1RT9</t>
  </si>
  <si>
    <t>Green Submitted, gold</t>
  </si>
  <si>
    <t>Gavioli, A; Filipe, AF; Patonai, K; Milardi, M; Castaldelli, G</t>
  </si>
  <si>
    <t>Gavioli, Anna; Filipe, Ana Filipa; Patonai, Katalin; Milardi, Marco; Castaldelli, Giuseppe</t>
  </si>
  <si>
    <t>FRONTIERS IN ENVIRONMENTAL SCIENCE</t>
  </si>
  <si>
    <t>non-native species; protected areas; river connectivity; human footprint; eutrophication; invasive species; biodiversity</t>
  </si>
  <si>
    <t>BIODIVERSITY; DIVERSITY; RIVER; THREAT; BASIN</t>
  </si>
  <si>
    <t>[Gavioli, Anna; Patonai, Katalin; Castaldelli, Giuseppe] Univ Ferrara, Dept Environm &amp; Prevent Sci, Ferrara, Italy; [Filipe, Ana Filipa] Univ Lisbon, Sch Agr, Forest Res Ctr CEF, Lisbon, Portugal; [Milardi, Marco] Southern Indian Ocean Fisheries Agreement SIOFA, DAAF, Batiment B,Parc Providence, St Denis, France</t>
  </si>
  <si>
    <t>University of Ferrara; Universidade de Lisboa; Centro de Estudos Florestais</t>
  </si>
  <si>
    <t>Gavioli, A (corresponding author), Univ Ferrara, Dept Environm &amp; Prevent Sci, Ferrara, Italy.</t>
  </si>
  <si>
    <t>gvlnna@unife.it</t>
  </si>
  <si>
    <t>Castaldelli, Giuseppe/Q-8301-2016; Milardi, Marco/ACZ-4214-2022; Gavioli, Anna/AAN-4160-2021; Filipe, Ana Filipa/B-5573-2008</t>
  </si>
  <si>
    <t>Milardi, Marco/0000-0001-6104-294X; Patonai, Katalin/0000-0002-7248-7394</t>
  </si>
  <si>
    <t>Portuguese Foundation for Science and Technology (FCT, Portugal) [2020.03872.CEECIND]</t>
  </si>
  <si>
    <t>Portuguese Foundation for Science and Technology (FCT, Portugal)(Fundacao para a Ciencia e a Tecnologia (FCT))</t>
  </si>
  <si>
    <t>AF was supported by Portuguese Foundation for Science and Technology (FCT, Portugal) under the third edition of Individual Stimulus of Scientific Employment (2020.03872.CEECIND).</t>
  </si>
  <si>
    <t>2296-665X</t>
  </si>
  <si>
    <t>FRONT ENV SCI-SWITZ</t>
  </si>
  <si>
    <t>Front. Environ. Sci.</t>
  </si>
  <si>
    <t>FEB 27</t>
  </si>
  <si>
    <t>Environmental Sciences</t>
  </si>
  <si>
    <t>Environmental Sciences &amp; Ecology</t>
  </si>
  <si>
    <t>9V6DY</t>
  </si>
  <si>
    <t>Wang, XX; Xiao, XM; Zhang, X; Wu, JH; Li, B</t>
  </si>
  <si>
    <t>Wang, Xinxin; Xiao, Xiangming; Zhang, Xi; Wu, Jihua; Li, Bo</t>
  </si>
  <si>
    <t>GLOBAL CHANGE BIOLOGY</t>
  </si>
  <si>
    <t>China's major river deltas; coastal wetland structure; patch number; patch size; plant invasion; protected area; Spartina alterniflora</t>
  </si>
  <si>
    <t>LAND-USE; DEFORESTATION; ECOSYSTEMS; LANDSCAPE; DYNAMICS</t>
  </si>
  <si>
    <t>[Wang, Xinxin; Zhang, Xi] Fudan Univ, Inst Biodivers Sci, Key Lab Biodivers Sci &amp; Ecol Engn, Natl Observat &amp; Res Stn Wetland Ecosyst Yangtze Es, Shanghai, Peoples R China; [Wang, Xinxin; Zhang, Xi] Fudan Univ, Inst Ecochongming, Sch Life Sci, Shanghai, Peoples R China; [Xiao, Xiangming] Univ Oklahoma, Ctr Earth Observat &amp; Modeling, Dept Microbiol &amp; Plant Biol, Norman, OK USA; [Wu, Jihua] Lanzhou Univ, Coll Ecol, State Key Lab Grassland Agroecosyst, Lanzhou, Peoples R China; [Li, Bo] Yunnan Univ, Yunnan Key Lab Plant Reprod Adaptat &amp; Evolutionary, Kunming, Peoples R China; [Li, Bo] Yunnan Univ, Inst Biodivers, Ctr Invas Biol, Sch Ecol &amp; Environm Sci, Kunming, Peoples R China; [Xiao, Xiangming] Univ Oklahoma, Ctr Earth Observat &amp; Modeling, Dept Microbiol &amp; Plant Biol, Norman, OK 73019 USA; [Li, Bo] Yunnan Univ, Yunnan Key Lab Plant Reprod Adaptat &amp; Evolutionary, Kunming 650504, Yunnan, Peoples R China; [Li, Bo] Yunnan Univ, Inst Biodivers, Ctr Invas Biol, Sch Ecol &amp; Environm Sci, Kunming 650504, Yunnan, Peoples R China</t>
  </si>
  <si>
    <t>Fudan University; Fudan University; University of Oklahoma System; University of Oklahoma - Norman; Lanzhou University; Yunnan University; Yunnan University; University of Oklahoma System; University of Oklahoma - Norman; Yunnan University; Yunnan University</t>
  </si>
  <si>
    <t>Xiao, XM (corresponding author), Univ Oklahoma, Ctr Earth Observat &amp; Modeling, Dept Microbiol &amp; Plant Biol, Norman, OK 73019 USA.;Li, B (corresponding author), Yunnan Univ, Yunnan Key Lab Plant Reprod Adaptat &amp; Evolutionary, Kunming 650504, Yunnan, Peoples R China.;Li, B (corresponding author), Yunnan Univ, Inst Biodivers, Ctr Invas Biol, Sch Ecol &amp; Environm Sci, Kunming 650504, Yunnan, Peoples R China.</t>
  </si>
  <si>
    <t>xiangming.xiao@ou.edu; bool@ynu.edu.cn</t>
  </si>
  <si>
    <t>; Xiao, Xiangming/ABS-9360-2022; Wang, Xinxin/ABD-5736-2020; Zhang, Xi/JOZ-5275-2023; Li, Bo/B-8016-2010</t>
  </si>
  <si>
    <t>Wu, Jihua/0000-0001-8623-8519; Wang, Xinxin/0000-0001-8013-3660; Zhang, Xi/0000-0001-8515-6941; Li, Bo/0000-0002-0439-5666</t>
  </si>
  <si>
    <t>National Key Research and Development Program of China [2022YFC2601100]; Natural Science Foundation of China [32030067, 42201341, 41630528]; China Postdoctoral Science Foundation [2021TQ0072, 2021M700835]; US National Science Foundation [1911955, 2200310]; Direct For Biological Sciences; Division Of Environmental Biology [1911955] Funding Source: National Science Foundation</t>
  </si>
  <si>
    <t>National Key Research and Development Program of China(National Key Research &amp; Development Program of China); Natural Science Foundation of China(National Natural Science Foundation of China (NSFC)); China Postdoctoral Science Foundation(China Postdoctoral Science Foundation); US National Science Foundation(National Science Foundation (NSF)); Direct For Biological Sciences; Division Of Environmental Biology(National Science Foundation (NSF)NSF - Directorate for Biological Sciences (BIO))</t>
  </si>
  <si>
    <t>ACKNOWLEDGMENTS This study was supported by the National Key Research and Development Program of China (2022YFC2601100), the Natural Science Foundation of China (32030067, 42201341, and 41630528), the China Postdoctoral Science Foundation (2021TQ0072 and 2021M700835), and the US National Science Foundation (1911955 and 2200310).</t>
  </si>
  <si>
    <t>WILEY</t>
  </si>
  <si>
    <t>HOBOKEN</t>
  </si>
  <si>
    <t>111 RIVER ST, HOBOKEN 07030-5774, NJ USA</t>
  </si>
  <si>
    <t>1354-1013</t>
  </si>
  <si>
    <t>1365-2486</t>
  </si>
  <si>
    <t>GLOBAL CHANGE BIOL</t>
  </si>
  <si>
    <t>Glob. Change Biol.</t>
  </si>
  <si>
    <t>APR</t>
  </si>
  <si>
    <t>JAN 2023</t>
  </si>
  <si>
    <t>Biodiversity Conservation; Ecology; Environmental Sciences</t>
  </si>
  <si>
    <t>Biodiversity &amp; Conservation; Environmental Sciences &amp; Ecology</t>
  </si>
  <si>
    <t>9T1CA</t>
  </si>
  <si>
    <t>Medeiros, IS; Santos, SS; Rebelo, VA; Almeida, IC; Veloso, TMG; Almeida, NV; Borges, JCG</t>
  </si>
  <si>
    <t>Medeiros, Iara S.; Santos, Sebastiao S.; Rebelo, Vanessa A.; Almeida, Isis C.; Veloso, Thalma Maria G.; Almeida, Nadjacleia V.; Borges, Joao C. G.</t>
  </si>
  <si>
    <t>Effectiveness of Federal Protected Areas in the Preservation of Mangrove Forests on the Coast of the State of Paraiba, Brazil</t>
  </si>
  <si>
    <t>ANAIS DA ACADEMIA BRASILEIRA DE CIENCIAS</t>
  </si>
  <si>
    <t>Conservation; estuaries; mangrove; geotechnologies; negative impacts; pro-tected marine areas</t>
  </si>
  <si>
    <t>This study evaluated the effectiveness of Federal Protected Areas on the coast of the state of Paraiba in northeastern Brazil with regard to the preservation of mangrove forests. The study area encompassed remaining mangrove forests distributed in four federal protected areas (PAs) located in Paraiba: Area of Relevant Ecological Interest (AREI) of Mangroves of the Mamanguape River, Environmental Protection Area (EPA) of the Mamanguape River, the Restinga de Cabedelo National Forest (NATFOR), and the Acau-Goiana Extractive Reserve (EXTRES). The methods consisted of a spatiotemporal analysis considering the year of creation of each PA, with mapping and quantification as well as the assessment of impacts and effectiveness. NATFOR and EXTRES had the most conserved mangrove areas on the temporal scale, whereas AREI and EPA had the largest reductions in areas of mangrove forest. Urban expansion, sugarcane monoculture, and shrimp farming represented the main negative impacts spatially identified in these PAs. Based on the results of this study, the mangrove forests analyzed have continually suffered anthropogenic pressures since their creation as protected areas. The greatest effectiveness in the preservation of mangrove forests was found in Acau-Goiana EXTRES and the least effectiveness was found in the AREI of Mangroves of the Mamanguape River.</t>
  </si>
  <si>
    <t>[Medeiros, Iara S.; Santos, Sebastiao S.; Rebelo, Vanessa A.; Almeida, Isis C.; Borges, Joao C. G.] Univ Fed Paraiba UFPB, Programa Posgrad Ecol &amp; Monitoramento Ambiental PP, Ave St Elisabete 160, BR-58297000 Rio Tinto, PB, Brazil; [Medeiros, Iara S.; Santos, Sebastiao S.; Rebelo, Vanessa A.; Almeida, Isis C.; Borges, Joao C. G.] Fundacao Mamiferos Aquat FMA, Estr Matapua 411, BR-49100000 Sao Cristovao, SE, Brazil; [Veloso, Thalma Maria G.] Inst Chico Mendes Conservacao Biodiversidade ICMBI, Area Protecao Ambiental Barra Rio Mamanguape, Rua Patricio S-N, BR-58297000 Rio Tinto, PB, Brazil; [Almeida, Nadjacleia V.] Univ Fed Paraiba UFPB, Lab Cartog &amp; Geoproc LCG, Ave St Elisabete 160, BR-58297000 Rio Tinto, PB, Brazil</t>
  </si>
  <si>
    <t>Borges, JCG (corresponding author), Univ Fed Paraiba UFPB, Programa Posgrad Ecol &amp; Monitoramento Ambiental PP, Ave St Elisabete 160, BR-58297000 Rio Tinto, PB, Brazil.;Borges, JCG (corresponding author), Fundacao Mamiferos Aquat FMA, Estr Matapua 411, BR-49100000 Sao Cristovao, SE, Brazil.</t>
  </si>
  <si>
    <t>jcgborges@hotmail.com</t>
  </si>
  <si>
    <t>Santos, Sebastiao/MBI-1724-2025; dos Santos Medeiros, Iara/IUO-2330-2023</t>
  </si>
  <si>
    <t>Borges, João Carlos Gomes/0000-0002-0033-6781; Vilar Almeida, Nadjacleia/0000-0003-3949-1313; Chagas de Almeida, Isis/0000-0002-3120-6568; Rebelo, Vanessa Araujo/0000-0001-7139-7189; dos Santos Medeiros, Iara/0000-0002-7467-5970</t>
  </si>
  <si>
    <t>Petrobras through the Petrobras Socioenvironmental Program; Manatee Conservation Program of the Fundacao Mamiferos Aquaticos; Fundacao Grupo Boticario de Conservacao a Natureza [Boticario Group Foundation for the Conservation of Nature])</t>
  </si>
  <si>
    <t>The authors are grateful to the Programa de Pos-Graduacao em Ecologia e Monitoramento Ambiental (PPGEMA [Graduate Program in Ecology and Environmental Monitoring]), Fundacao Mamiferos Aquaticos (FMA [Aquatic Mammal Foundation]), Laboratorio de Cartografia e Geoprocessamento (LCG/UFPB [Cartography and Geoprocessing Lab]),Environmental Protection Area of the Mamanguape River (ICMBio), Long Live the Manatee project of the Fundacao Mamiferos Aquaticos and sponsored by Petrobras through the Petrobras Socioenvironmental Program and the Manatee Conservation Program of the Fundacao Mamiferos Aquaticos in partnership with the Fundacao Grupo Boticario de Conservacao a Natureza [Boticario Group Foundation for the Conservation of Nature]).</t>
  </si>
  <si>
    <t>ACAD BRASILEIRA DE CIENCIAS</t>
  </si>
  <si>
    <t>RIO JANEIRO</t>
  </si>
  <si>
    <t>RUA ANFILOFIO DE CARVALHO, 29, 3 ANDAR, 20030-060 RIO JANEIRO, BRAZIL</t>
  </si>
  <si>
    <t>0001-3765</t>
  </si>
  <si>
    <t>1678-2690</t>
  </si>
  <si>
    <t>AN ACAD BRAS CIENC</t>
  </si>
  <si>
    <t>An. Acad. Bras. Cienc.</t>
  </si>
  <si>
    <t>e20211079</t>
  </si>
  <si>
    <t>10.1590/0001-3765202320211079</t>
  </si>
  <si>
    <t>Multidisciplinary Sciences</t>
  </si>
  <si>
    <t>Science &amp; Technology - Other Topics</t>
  </si>
  <si>
    <t>H5NY8</t>
  </si>
  <si>
    <t>WOS:000996440000001</t>
  </si>
  <si>
    <t>de Carvalho, IS; Alvarado, ST; Silva, TSF; Cordeiro, CLD; Fidelis, A; Saraiva, RVC; Figueiredo, FAMMA; de Sousa, JRP; Ferraz, TM</t>
  </si>
  <si>
    <t>de Carvalho, Izadora S.; Alvarado, Swanni T.; Silva, Thiago Sanna Freire; Cordeiro, Carlos Leandro de Oliveira; Fidelis, Alessandra; Saraiva, Raysa Valeria Carvalho; Figueiredo, Fabio A. M. M. A.; de Sousa, Jose Roberto P.; Ferraz, Tiago Massi</t>
  </si>
  <si>
    <t>JOURNAL FOR NATURE CONSERVATION</t>
  </si>
  <si>
    <t>Burned area; Fire frequency; Fire season; Protected areas management; Land use change</t>
  </si>
  <si>
    <t>MANAGEMENT; SAVANNAS; VEGETATION; DIVERSITY; DRIVERS; IMPACTS; POLICY</t>
  </si>
  <si>
    <t>[de Carvalho, Izadora S.; Alvarado, Swanni T.; Figueiredo, Fabio A. M. M. A.; de Sousa, Jose Roberto P.; Ferraz, Tiago Massi] Univ Estadual Maranhao UEMA, Ctr Estudos Super Balsas, Programa Posgrad Agr &amp; Ambiente, Balsas, Maranhao, Brazil; [Silva, Thiago Sanna Freire] Univ Stirling, Fac Nat Sci, Div Biol &amp; Environm Sci, Stirling FK7 9DG, Scotland; [Figueiredo, Fabio A. M. M. A.; de Sousa, Jose Roberto P.; Ferraz, Tiago Massi] Univ Estadual Maranhao UEMA, Dept Zootecnia, Sao Luis, Maranhao, Brazil; [Cordeiro, Carlos Leandro de Oliveira] Inst Int Sustentabilidade IIS, Rio De Janeiro, RJ, Brazil; [Fidelis, Alessandra] Univ Estadual Paulista UNESP, Lab Vegetat Ecol, Inst Biociencias, Rio Claro, SP, Brazil; [Saraiva, Raysa Valeria Carvalho] Univ Estadual Maranhao UEMA, Programa Posgrad Agroecol, Sao Luis, Maranhao, Brazil; [Alvarado, Swanni T.] Univ Estadual Maranhao UEMA, Programa Posgrad Geog Nat &amp; Dinam Espaco, Sao Luis, Maranhao, Brazil; [Alvarado, Swanni T.] Univ Rosario, Fac Ciencias, Bogota, Colombia</t>
  </si>
  <si>
    <t>Universidade Estadual do Maranhao; University of Stirling; Universidade Estadual do Maranhao; Universidade Estadual Paulista; Universidade Estadual do Maranhao; Universidade Estadual do Maranhao; Universidad del Rosario</t>
  </si>
  <si>
    <t>de Carvalho, IS (corresponding author), Univ Estadual Maranhao UEMA, Ctr Estudos Super Balsas, Programa Posgrad Agr &amp; Ambiente, Balsas, Maranhao, Brazil.</t>
  </si>
  <si>
    <t>izadoraflorestal@gmail.com</t>
  </si>
  <si>
    <t>Ferraz, Tiago/E-8847-2016; Alvarado, Swanni T/S-6684-2018; Saraiva, Raysa/ABH-7117-2020; de Sousa, José/S-6741-2019; Silva, Thiago/A-2444-2009; Figueiredo, Fábio/M-4433-2017; Fidelis, Alessandra/B-9769-2012; Santos de Carvalho, Izadora/LFV-8055-2024</t>
  </si>
  <si>
    <t>Alvarado, Swanni T/0000-0002-6416-0076; Silva, Thiago/0000-0001-8174-0489; Figueiredo, Fábio/0000-0002-6904-9828; Fidelis, Alessandra/0000-0001-9545-2285; Santos de Carvalho, Izadora/0000-0002-4117-5101</t>
  </si>
  <si>
    <t>Fundacao Coordenacao de Aperfeicoamento de Pessoal de Nivel Superior (CAPES); Fundacao de Amparo a Pesquisa e ao Desenvolvimento Cientifico e Tecnologico do Maranhao (FAPEMA) [29/2017]; Sao Paulo Research Foundation (FAPESP) [2014/12728-1]; State University of Maranhao (UEMA) [840/2018]; CNPq [303988/2018]</t>
  </si>
  <si>
    <t>Fundacao Coordenacao de Aperfeicoamento de Pessoal de Nivel Superior (CAPES)(Coordenacao de Aperfeicoamento de Pessoal de Nivel Superior (CAPES)); Fundacao de Amparo a Pesquisa e ao Desenvolvimento Cientifico e Tecnologico do Maranhao (FAPEMA)(Fundacao de Amparo a Pesquisa e Desenvolvimento Cientifico do Maranhao (FAPEMA)); Sao Paulo Research Foundation (FAPESP)(Fundacao de Amparo a Pesquisa do Estado de Sao Paulo (FAPESP)); State University of Maranhao (UEMA); CNPq(Conselho Nacional de Desenvolvimento Cientifico e Tecnologico (CNPQ))</t>
  </si>
  <si>
    <t>The authors thank the Fundacao Coordenacao de Aperfeicoamento de Pessoal de Nivel Superior (CAPES), the Fundacao de Amparo a Pesquisa e ao Desenvolvimento Cientifico e Tecnologico do Maranhao (FAPEMA) for the research grant CAPES/FAPEMA N. 29/2017. We also thanks the Graduate Program in Agriculture and Environment -PPGAA (UEMA/Balsas). We thank Adrienne Elizabeth Hurley, for the carefully English revision of our manuscript. S.T.A. received postdoctoral support from grants #2014/12728-1, Sao Paulo Research Foundation (FAPESP). She is currently receiving postdoctoral support from Programa de Fixacao de Doutor (res. 840/2018) from the State University of Maranhao (UEMA). A.F. receives a grant from the CNPq (303988/2018).</t>
  </si>
  <si>
    <t>ELSEVIER GMBH</t>
  </si>
  <si>
    <t>MUNICH</t>
  </si>
  <si>
    <t>HACKERBRUCKE 6, 80335 MUNICH, GERMANY</t>
  </si>
  <si>
    <t>1617-1381</t>
  </si>
  <si>
    <t>1618-1093</t>
  </si>
  <si>
    <t>J NAT CONSERV</t>
  </si>
  <si>
    <t>J. Nat. Conserv.</t>
  </si>
  <si>
    <t>FEB</t>
  </si>
  <si>
    <t>DEC 2022</t>
  </si>
  <si>
    <t>Biodiversity Conservation; Ecology</t>
  </si>
  <si>
    <t>7O4KO</t>
  </si>
  <si>
    <t>Green Submitted</t>
  </si>
  <si>
    <t>Kong, LQ; Xu, WH; Wen, CH; Ouyang, ZY</t>
  </si>
  <si>
    <t>Kong, Lingqiao; Xu, Weihua; Wen, Chunhui; Ouyang, Zhiyun</t>
  </si>
  <si>
    <t>nighttime light; giant panda; habitat; remote sensing; fragmentation</t>
  </si>
  <si>
    <t>WOLONG NATURE-RESERVE; WILDLIFE HABITAT; CONSERVATION; POLLUTION; PATTERNS; POLICIES; RANGE; AREAS; CHINA; MODEL</t>
  </si>
  <si>
    <t>[Kong, Lingqiao; Xu, Weihua; Ouyang, Zhiyun] Chinese Acad Sci, Res Ctr Eco Environm Sci, State Key Lab Urban &amp; Reg Ecol, Beijing, Peoples R China; [Wen, Chunhui; Ouyang, Zhiyun] Univ Chinese Acad Sci, Beijing, Peoples R China; [Wen, Chunhui] Chinese Acad Sci, Aerosp Informat Res Inst, Beijing, Peoples R China</t>
  </si>
  <si>
    <t>Chinese Academy of Sciences; Research Center for Eco-Environmental Sciences (RCEES), CAS; Chinese Academy of Sciences; University of Chinese Academy of Sciences, CAS; Chinese Academy of Sciences; Aerospace Information Research Institute, CAS</t>
  </si>
  <si>
    <t>Ouyang, ZY (corresponding author), Chinese Acad Sci, Res Ctr Eco Environm Sci, State Key Lab Urban &amp; Reg Ecol, Beijing, Peoples R China.;Ouyang, ZY (corresponding author), Univ Chinese Acad Sci, Beijing, Peoples R China.</t>
  </si>
  <si>
    <t>zyouyang@rcees.ac.cn</t>
  </si>
  <si>
    <t>wen, chunhui/0009-0000-8344-5299</t>
  </si>
  <si>
    <t>National Key Research and Development Program of China; Second Tibetan Plateau Scientific Expedition and Research Program (STEP) [2022YFF1301402]; National Natural Science Foundation of China [2019QZKK0308]; Youth Innovation Promotion Association CAS [31971542]; [2022040]</t>
  </si>
  <si>
    <t>National Key Research and Development Program of China(National Key Research &amp; Development Program of China); Second Tibetan Plateau Scientific Expedition and Research Program (STEP); National Natural Science Foundation of China(National Natural Science Foundation of China (NSFC)); Youth Innovation Promotion Association CAS;</t>
  </si>
  <si>
    <t>This research was funded by the National Key Research and Development Program of China (Grant No. 2022YFF1301402), the Second Tibetan Plateau Scientific Expedition and Research Program (STEP) (Grant No. 2019QZKK0308), the National Natural Science Foundation of China (Grant No. 31971542), and the Youth Innovation Promotion Association CAS (Grant No. 2022040).</t>
  </si>
  <si>
    <t>DEC 15</t>
  </si>
  <si>
    <t>7K5TO</t>
  </si>
  <si>
    <t>Mingarro, M; Lobo, JM</t>
  </si>
  <si>
    <t>Mingarro, Mario; Lobo, Jorge M.</t>
  </si>
  <si>
    <t>LAND USE POLICY</t>
  </si>
  <si>
    <t>Protected areas; Conservation threats; Naturalization; Anthropization; Surrounding reserves; Ecosystem services</t>
  </si>
  <si>
    <t>AREAS; CONSERVATION; CLIMATE; BIODIVERSITY; MANAGEMENT; RESERVE; SYSTEMS; FUTURE</t>
  </si>
  <si>
    <t>Protected areas are threatened by an unprecedented intensification of land use. The effectiveness of protected areas depends on their ability to stop habitat loss not only within their boundaries but also in their surroundings. Based on the CORINE Land Cover data, we describe the land use-land cover changes in European National Parks, both inside and at distant surrounding areas (1, 5, 20 km), and examine if the detected pattern is homogeneous across Europe. We analysed 192 parks from 25 European countries using five temporal scenarios between 1986 and 2018. Our results indicate that the designation of a protected area is a process that can increase it's the area's natural condition in a few years, thus providing a beneficial effect on its surrounding environment. However, this effect depends on the distance and when the protected area was declared. The naturalization effect is more visible at the nearest buffer distances in reserves that have been protected for the longest time. Furthermore, the role played by protected areas shows a spatially heterogeneous distribution, with clear notable latitudinal dif-ferences. In essence, these results are fundamental for developing effective adaptation strategies and proposing better policies to protect European NPs.</t>
  </si>
  <si>
    <t>[Mingarro, Mario; Lobo, Jorge M.] CSIC, Dept Biogeog &amp; Cambio Global, Museo Nacl Ciencias Nat, C Jose Gutierrez Abascal 2, Madrid 28006, Spain; [Mingarro, Mario] RIAMA Red Invest Actuando Medio Ambiente, Madrid, Spain</t>
  </si>
  <si>
    <t>Consejo Superior de Investigaciones Cientificas (CSIC); CSIC - Museo Nacional de Ciencias Naturales (MNCN)</t>
  </si>
  <si>
    <t>Lobo, JM (corresponding author), CSIC, Dept Biogeog &amp; Cambio Global, Museo Nacl Ciencias Nat, C Jose Gutierrez Abascal 2, Madrid 28006, Spain.</t>
  </si>
  <si>
    <t>jorge.lobo@mncn.csic.es</t>
  </si>
  <si>
    <t>Lobo, Jorge/E-2309-2013</t>
  </si>
  <si>
    <t>Mingarro López, Mario/0000-0003-3977-7944</t>
  </si>
  <si>
    <t>London</t>
  </si>
  <si>
    <t>125 London Wall, London, ENGLAND</t>
  </si>
  <si>
    <t>0264-8377</t>
  </si>
  <si>
    <t>1873-5754</t>
  </si>
  <si>
    <t>Land Use Pol.</t>
  </si>
  <si>
    <t>JAN</t>
  </si>
  <si>
    <t>10.1016/j.landusepol.2022.106434</t>
  </si>
  <si>
    <t>NOV 2022</t>
  </si>
  <si>
    <t>Environmental Studies</t>
  </si>
  <si>
    <t>6J4ZL</t>
  </si>
  <si>
    <t>WOS:000886832900006</t>
  </si>
  <si>
    <t>Gnansounou, SC; Sagoe, AA; Mattah, PAD; Salako, KV; Aheto, DW; Kakaï, RG</t>
  </si>
  <si>
    <t>Gnansounou, Setonde Constant; Sagoe, Alberta Ama; Mattah, Precious Agbeko Dzorgbe; Salako, Kolawole Valere; Aheto, Denis Worlanyo; Kakai, Romain Glele</t>
  </si>
  <si>
    <t>WETLANDS ECOLOGY AND MANAGEMENT</t>
  </si>
  <si>
    <t>Co-management; Habitat Risk Assessment; Mangroves; Mono transboundary biosphere reserve; West Africa</t>
  </si>
  <si>
    <t>FISHERIES COMANAGEMENT; ECOSYSTEM SERVICES; SOUTH-AFRICA; COASTAL; RESOURCES; AREA</t>
  </si>
  <si>
    <t>[Gnansounou, Setonde Constant; Sagoe, Alberta Ama; Mattah, Precious Agbeko Dzorgbe; Aheto, Denis Worlanyo] Univ Cape Coast, Ctr Coastal Management Africa Ctr Excellence Coas, Cape Coast, Ghana; [Gnansounou, Setonde Constant; Mattah, Precious Agbeko Dzorgbe; Aheto, Denis Worlanyo] Univ Cape Coast, Sch Biol Sci, Dept Fisheries &amp; Aquat Sci, Cape Coast, Ghana; [Gnansounou, Setonde Constant; Salako, Kolawole Valere; Kakai, Romain Glele] Univ Abomey Calavi, Fac Agron Sci, Lab Biomath &amp; Estimat Forestieres, Abomey Calavi, Benin; [Gnansounou, Setonde Constant] Univ Namur, Dept Geog, Namur, Belgium; [Gnansounou, Setonde Constant] Univ Namur, Inst Life Earth Environm, Namur, Belgium</t>
  </si>
  <si>
    <t>University of Cape Coast; University of Cape Coast; University of Abomey Calavi; University of Namur; University of Namur</t>
  </si>
  <si>
    <t>Gnansounou, SC (corresponding author), Univ Cape Coast, Ctr Coastal Management Africa Ctr Excellence Coas, Cape Coast, Ghana.</t>
  </si>
  <si>
    <t>gnansounouconstant009@gmail.com</t>
  </si>
  <si>
    <t>Salako, Kolawolé Valère/AFX-0541-2022; Glele Kakai, Romain/OOL-8124-2025; Mattah, Precious/MTF-1397-2025</t>
  </si>
  <si>
    <t>Salako, Kolawolé Valère/0000-0002-7817-3687; Glele Kakai, Romain/0000-0002-6965-4331; Setondé Constant, Gnansounou/0000-0001-6077-9130;</t>
  </si>
  <si>
    <t>project ACECoR (African Center of Excellence in Coastal Resilience) through the World Bank ACE Grant [6389-G]</t>
  </si>
  <si>
    <t>project ACECoR (African Center of Excellence in Coastal Resilience) through the World Bank ACE Grant</t>
  </si>
  <si>
    <t>This research was funded by the project ACECoR (African Center of Excellence in Coastal Resilience) through the World Bank ACE Grant Number 6389-G. The authors are therefore grateful to the Word Bank, the Government of Ghana and the Centre for Coastal Management (CCM), University of Cape Coast for the financial and technical support.</t>
  </si>
  <si>
    <t>0923-4861</t>
  </si>
  <si>
    <t>1572-9834</t>
  </si>
  <si>
    <t>WETL ECOL MANAG</t>
  </si>
  <si>
    <t>Wetl. Ecol. Manag.</t>
  </si>
  <si>
    <t>DEC</t>
  </si>
  <si>
    <t>SEP 2022</t>
  </si>
  <si>
    <t>Environmental Sciences; Water Resources</t>
  </si>
  <si>
    <t>Environmental Sciences &amp; Ecology; Water Resources</t>
  </si>
  <si>
    <t>6G4US</t>
  </si>
  <si>
    <t>Green Published, hybrid</t>
  </si>
  <si>
    <t>Hirons, S; Collins, M; Singh, M</t>
  </si>
  <si>
    <t>Hirons, Samuel; Collins, Matilda; Singh, Minerva</t>
  </si>
  <si>
    <t>Assessing variation in the effectiveness of IUCN protected area categorisation. What remotely sensed forest integrity and human modification reveals across the major tropical forest biomes</t>
  </si>
  <si>
    <t>ECOLOGICAL INDICATORS</t>
  </si>
  <si>
    <t>Conservation; Representation; Environmental management; Anthropogenic pressures; Tropical biomes</t>
  </si>
  <si>
    <t>CONSERVATION OUTCOMES; BIODIVERSITY; CATEGORIES; LAND; DEFORESTATION; ECOREGIONS; AFRICA; FUTURE; WORLDS; COVER</t>
  </si>
  <si>
    <t>One of the major threats facing protected areas (PAs) in hyper-diverse tropical forest ecosystems is human modification of their natural habitats. With a focus on forested PAs situated across three of the world's major tropical regions, the Congo Basin, insular Indonesia Malaysia and the Tropical Andes. We analyse their repre-sentation of identified ecoregions and remote sensing data of human modification and forest integrity levels within PAs and used a generalized linear modelling approach to estimate the influences on these pressures, with a particular focus on IUCN management categorisation, PA size, and geographic location. Representation of key ecoregions varied with 7%, 11% and 22% of named ecoregions being unprotected within each major region. Overall, the IUCN management category allocation played a minor role in influencing the modification and forest integrity observed within PAs. Instead, PA size was the most important determinant of these variables across the different regions under consideration. This work provides further evidence to suggest that the assignment of PAs to IUCN categories in their current form is not interpreted consistently across different regions and does not correspond to the conservation benefits expected to be conferred by this categorisation.</t>
  </si>
  <si>
    <t>[Hirons, Samuel; Collins, Matilda; Singh, Minerva] Imperial Coll London, Ctr Environm Policy, Weeks Bldg,16-18 Princes Gardens, London SW7 1NE, England</t>
  </si>
  <si>
    <t>Imperial College London</t>
  </si>
  <si>
    <t>Singh, M (corresponding author), Imperial Coll London, Ctr Environm Policy, Weeks Bldg,16-18 Princes Gardens, London SW7 1NE, England.</t>
  </si>
  <si>
    <t>ms507@ic.ac.uk</t>
  </si>
  <si>
    <t>ELSEVIER</t>
  </si>
  <si>
    <t>AMSTERDAM</t>
  </si>
  <si>
    <t>RADARWEG 29, 1043 NX AMSTERDAM, NETHERLANDS</t>
  </si>
  <si>
    <t>1470-160X</t>
  </si>
  <si>
    <t>1872-7034</t>
  </si>
  <si>
    <t>ECOL INDIC</t>
  </si>
  <si>
    <t>Ecol. Indic.</t>
  </si>
  <si>
    <t>OCT</t>
  </si>
  <si>
    <t>AUG 2022</t>
  </si>
  <si>
    <t>Biodiversity Conservation; Environmental Sciences</t>
  </si>
  <si>
    <t>5Q7DK</t>
  </si>
  <si>
    <t>WOS:000873987200002</t>
  </si>
  <si>
    <t>Mollmann, VHD; Santos, S; Fernandes, G; Mossolin, EC; Dalosto, MM; Cardoso, SMVS; Prestes, OD; Zanella, R; Bartholomei-Santos, ML</t>
  </si>
  <si>
    <t>dos Santos Mollmann, Victor Hugo; Santos, Sandro; Fernandes, Gracieli; Mossolin, Emerson Contreira; Dalosto, Marcelo Marchet; Vaz Sanches Cardoso, Sonia Maria; Prestes, Osmar Damian; Zanella, Renato; Bartholomei-Santos, Marlise Ladvocat</t>
  </si>
  <si>
    <t>ENVIRONMENTAL CONSERVATION</t>
  </si>
  <si>
    <t>aquatic pollution; contaminating pharmaceuticals; impact of pesticides; physicochemical parameters; wastewater discharge; water quality</t>
  </si>
  <si>
    <t>FRESH-WATER BIODIVERSITY; NATIONAL-PARK; BIOACTIVE CONTAMINANTS; RISK-ASSESSMENT; SURFACE-WATER; WASTE-WATER; LAND-USE; PHARMACEUTICALS; PESTICIDES; CONSERVATION</t>
  </si>
  <si>
    <t>[dos Santos Mollmann, Victor Hugo; Santos, Sandro; Bartholomei-Santos, Marlise Ladvocat] Univ Fed Santa Maria UFSM, Programa Posgrad Biodiversidade Anim, Santa Maria, RS, Brazil; [Fernandes, Gracieli] Univ Fed Santa Maria UFSM, Programa Posgrad Ciencia Solo, Santa Maria, RS, Brazil; [Mossolin, Emerson Contreira] Univ Fed Catalao UFCAT, Dept Ciencias Biol, Catalao, Go, Brazil; [Dalosto, Marcelo Marchet] Inst Fed Educ Ciencia &amp; Tecnol Farroupilha, Campus Alegrete, Alegrete, RS, Brazil; [Vaz Sanches Cardoso, Sonia Maria; Prestes, Osmar Damian; Zanella, Renato] Univ Fed Santa Maria UFSM, Programa Posgrad Quim, Santa Maria, RS, Brazil</t>
  </si>
  <si>
    <t>Universidade Federal de Santa Maria (UFSM); Universidade Federal de Santa Maria (UFSM); Instituto Federal Farroupilha; Universidade Federal de Santa Maria (UFSM)</t>
  </si>
  <si>
    <t>Bartholomei-Santos, ML (corresponding author), Univ Fed Santa Maria UFSM, Programa Posgrad Biodiversidade Anim, Santa Maria, RS, Brazil.</t>
  </si>
  <si>
    <t>marliselbs@gmail.com</t>
  </si>
  <si>
    <t>Santos, Sandro/H-9154-2012; Bartholomei-Santos, Marlise/MBG-6066-2025; Mossolin, Emerson/I-8026-2012; Zanella, Renato/A-9249-2013; Fernandes, Gracieli/GSM-7618-2022; Damian Prestes, Osmar/U-2121-2019</t>
  </si>
  <si>
    <t>Bartholomei-Santos, Marlise/0000-0002-4837-8219; Zanella, Renato/0000-0002-5971-1785; dos Santos Mollmann, Victor Hugo/0000-0002-7490-7962; Fernandes, Gracieli/0000-0002-7264-1785; Damian Prestes, Osmar/0000-0002-6012-7172</t>
  </si>
  <si>
    <t>CAPES foundation (Coordenacao de Aperfeicoamento de Pessoal de Nivel Superior); CNPq [311142/2014-1]</t>
  </si>
  <si>
    <t>CAPES foundation (Coordenacao de Aperfeicoamento de Pessoal de Nivel Superior)(Coordenacao de Aperfeicoamento de Pessoal de Nivel Superior (CAPES)); CNPq(Conselho Nacional de Desenvolvimento Cientifico e Tecnologico (CNPQ))</t>
  </si>
  <si>
    <t>We thank the CAPES foundation (Coordenacao de Aperfeicoamento de Pessoal de Nivel Superior) for the fellowship to VHdSM and CNPq for the productivity grant to SS (process 311142/2014-1).</t>
  </si>
  <si>
    <t>CAMBRIDGE UNIV PRESS</t>
  </si>
  <si>
    <t>CAMBRIDGE</t>
  </si>
  <si>
    <t>EDINBURGH BLDG, SHAFTESBURY RD, CB2 8RU CAMBRIDGE, ENGLAND</t>
  </si>
  <si>
    <t>0376-8929</t>
  </si>
  <si>
    <t>1469-4387</t>
  </si>
  <si>
    <t>ENVIRON CONSERV</t>
  </si>
  <si>
    <t>Environ. Conserv.</t>
  </si>
  <si>
    <t>PII S0376892922000261</t>
  </si>
  <si>
    <t>JUL 2022</t>
  </si>
  <si>
    <t>5X6SS</t>
  </si>
  <si>
    <t>Barbosa, MLF; Haddad, I; Nascimento, ALD; da Silva, GM; da Veiga, RM; Hoffmann, TB; de Souza, AR; Dalagnol, R; Streher, AS; Pereira, FRS; de Aragao, LEOEC; Anderson, LO</t>
  </si>
  <si>
    <t>Ferreira Barbosa, Maria Lucia; Haddad, Isadora; da Silva Nascimento, Ana Lucia; Maximo da Silva, Gabriel; Moura da Veiga, Renata; Hoffmann, Tania Beatriz; Rosane de Souza, Anielli; Dalagnol, Ricardo; Susin Streher, Annia; Souza Pereira, Francisca R.; Cruz de Aragao, Luiz Eduardo; Oighenstein Anderson, Liana</t>
  </si>
  <si>
    <t>GLOBAL ECOLOGY AND BIOGEOGRAPHY</t>
  </si>
  <si>
    <t>extreme weather; fires; land use; Pantanal; carbon loss</t>
  </si>
  <si>
    <t>VARIABILITY; DOWNSTREAM; HYDROPOWER</t>
  </si>
  <si>
    <t>[Ferreira Barbosa, Maria Lucia; Haddad, Isadora; da Silva Nascimento, Ana Lucia; Maximo da Silva, Gabriel; Moura da Veiga, Renata; Hoffmann, Tania Beatriz; Rosane de Souza, Anielli; Dalagnol, Ricardo; Susin Streher, Annia; Souza Pereira, Francisca R.; Cruz de Aragao, Luiz Eduardo] Natl Inst Space Res INPE, Earth Observat &amp; Geoinformat Div, Sao Jose Dos Campos, Brazil; [Dalagnol, Ricardo] Univ Manchester, Sch Environm Educ &amp; Dev, Dept Geog, Manchester, Lancs, England; [Oighenstein Anderson, Liana] Natl Ctr Monitoring &amp; Early Warning Nat Disasters, Sao Jose Dos Campos, Brazil</t>
  </si>
  <si>
    <t>Instituto Nacional de Pesquisas Espaciais (INPE); University of Manchester</t>
  </si>
  <si>
    <t>Barbosa, MLF (corresponding author), Natl Inst Space Res INPE, BR-12227010 Sao Jose Dos Campos, SP, Brazil.</t>
  </si>
  <si>
    <t>malucsp@gmail.com</t>
  </si>
  <si>
    <t>Ferreira Barbosa, Maria Lucia/AFV-3207-2022; Anderson, Liana/AFV-0623-2022; aragao, luiz/G-8387-2012; Moura da Veiga, Renata/HCI-8770-2022; Hoffmann, Tânia/JQJ-6215-2023; Dalagnol, Ricardo/O-8907-2014; de Souza, Anielli Rosane/HPF-5050-2023; Máximo da Silva, Gabriel/ADT-5446-2022</t>
  </si>
  <si>
    <t>Ferreira Barbosa, Maria Lucia/0000-0002-4702-2974; Moura da Veiga, Renata/0000-0002-7894-8489; Haddad Ruiz, Isadora/0000-0002-1464-366X; Nascimento, Ana Lucia/0000-0002-4453-0666; Hoffmann, Tânia/0000-0002-8246-5666; Dalagnol, Ricardo/0000-0002-7151-8697; de Souza, Anielli Rosane/0000-0001-6888-8956; Máximo da Silva, Gabriel/0000-0003-2105-9055</t>
  </si>
  <si>
    <t>Conselho Nacional de Desenvolvimento Cientifico e Tecnologico [131042/2020-3, 314416/2020-0, 314473/2020-3]; Coordenacao de Aperfeicoamento de Pessoal de Nivel Superior [001]; Fundacao de Amparo a Pesquisa do Estado de Sao Paulo [2019/09248-1, 2019/21662-8]; Rede Pantanal/MCTI [01.20.0201.00]</t>
  </si>
  <si>
    <t>Conselho Nacional de Desenvolvimento Cientifico e Tecnologico(Conselho Nacional de Desenvolvimento Cientifico e Tecnologico (CNPQ)); Coordenacao de Aperfeicoamento de Pessoal de Nivel Superior(Coordenacao de Aperfeicoamento de Pessoal de Nivel Superior (CAPES)); Fundacao de Amparo a Pesquisa do Estado de Sao Paulo(Fundacao de Amparo a Pesquisa do Estado de Sao Paulo (FAPESP)); Rede Pantanal/MCTI</t>
  </si>
  <si>
    <t>Conselho Nacional de Desenvolvimento Cientifico e Tecnologico, Grant/Award Number: 131042/2020-3, 314416/2020-0 and 314473/2020-3; Coordenacao de Aperfeicoamento de Pessoal de Nivel Superior, Grant/Award Number: Finance Code 001; Fundacao de Amparo a Pesquisa do Estado de Sao Paulo, Grant/Award Number: 2019/09248-1 and 2019/21662-8; Rede Pantanal/MCTI, Grant/Award Number: 01.20.0201.00</t>
  </si>
  <si>
    <t>1466-822X</t>
  </si>
  <si>
    <t>1466-8238</t>
  </si>
  <si>
    <t>GLOBAL ECOL BIOGEOGR</t>
  </si>
  <si>
    <t>Glob. Ecol. Biogeogr.</t>
  </si>
  <si>
    <t>SI</t>
  </si>
  <si>
    <t>Ecology; Geography, Physical</t>
  </si>
  <si>
    <t>Environmental Sciences &amp; Ecology; Physical Geography</t>
  </si>
  <si>
    <t>4R2AB</t>
  </si>
  <si>
    <t>Li, SC; Su, S; Liu, YX; Zhou, XW; Luo, QX; Paudel, B</t>
  </si>
  <si>
    <t>Li, Shicheng; Su, Shan; Liu, Yanxia; Zhou, Xuewu; Luo, Quanxin; Paudel, Basanta</t>
  </si>
  <si>
    <t>LAND</t>
  </si>
  <si>
    <t>human impacts; protected areas; evaluation; Qilian Mountain; road distribution; night light; land use; population density</t>
  </si>
  <si>
    <t>LAND-USE CHANGE; PROTECTED AREAS; HUMAN FOOTPRINT; HUMAN PRESSURE; CONSERVATION; PATTERNS</t>
  </si>
  <si>
    <t>[Li, Shicheng; Su, Shan; Liu, Yanxia; Zhou, Xuewu; Luo, Quanxin] China Univ Geosci, Sch Publ Adm, Dept Land Resource Management, Wuhan 430074, Peoples R China; [Paudel, Basanta] Chinese Acad Sci, Inst Geog Sci &amp; Nat Resources Res, Key Lab Land Surface Pattern &amp; Simulat, Beijing 100101, Peoples R China; [Paudel, Basanta] Nepal Geog Soc, Kathmandu 44600, Nepal; [Paudel, Basanta] Geo Planet Res Ctr, Kathmandu 44619, Nepal; [Paudel, Basanta] Inst Fundamental Res &amp; Studies, Kathmandu 44600, Nepal</t>
  </si>
  <si>
    <t>China University of Geosciences; Chinese Academy of Sciences; Institute of Geographic Sciences &amp; Natural Resources Research, CAS</t>
  </si>
  <si>
    <t>Li, SC (corresponding author), China Univ Geosci, Sch Publ Adm, Dept Land Resource Management, Wuhan 430074, Peoples R China.</t>
  </si>
  <si>
    <t>lisc@cug.edu.cn; susan00212@cug.edu.cn; lyx@cug.edu.cn; zhouxuewu@cug.edu.cn; luoqx@cug.edu.cn; paudelb@igsnrr.ac.cn</t>
  </si>
  <si>
    <t>Li, Shicheng/N-6789-2014; Paudel, Basanta/HDL-7863-2022</t>
  </si>
  <si>
    <t>Li, Shicheng/0000-0001-6296-636X; Paudel, Basanta/0000-0002-2485-089X; Luo, Quanxin/0009-0000-7668-155X</t>
  </si>
  <si>
    <t>National Natural Science Foundation of China [41971245]; Fundamental Research Funds for National University, China University of Geosciences (Wuhan) [CUGDCJJ202223]</t>
  </si>
  <si>
    <t>National Natural Science Foundation of China(National Natural Science Foundation of China (NSFC)); Fundamental Research Funds for National University, China University of Geosciences (Wuhan)</t>
  </si>
  <si>
    <t>This research was funded by the National Natural Science Foundation of China, grant number 41971245, and the Fundamental Research Funds for National University, China University of Geosciences (Wuhan), grant number CUGDCJJ202223.</t>
  </si>
  <si>
    <t>MDPI</t>
  </si>
  <si>
    <t>BASEL</t>
  </si>
  <si>
    <t>MDPI AG, Grosspeteranlage 5, CH-4052 BASEL, SWITZERLAND</t>
  </si>
  <si>
    <t>2073-445X</t>
  </si>
  <si>
    <t>LAND-BASEL</t>
  </si>
  <si>
    <t>Land</t>
  </si>
  <si>
    <t>JUL</t>
  </si>
  <si>
    <t>3K9XG</t>
  </si>
  <si>
    <t>Ayllón, D; Baquero, RA; Nicola, GG</t>
  </si>
  <si>
    <t>Ayllon, Daniel; Baquero, Rocio A.; Nicola, Graciela G.</t>
  </si>
  <si>
    <t>BIODIVERSITY AND CONSERVATION</t>
  </si>
  <si>
    <t>Natura 2000 Network; Invasive alien species; EU IAS Regulation; Socio-economic impacts; Invasion pathways; Conservation planning</t>
  </si>
  <si>
    <t>NATURA 2000 NETWORK; SPECIES RICHNESS; PLANT INVASIONS; ALIEN; PATTERNS; RESERVES; PERFORMANCE; SCALE</t>
  </si>
  <si>
    <t>[Ayllon, Daniel; Baquero, Rocio A.; Nicola, Graciela G.] Univ Castilla La Mancha UCLM, Dept Environm Sci, Toledo, Spain; [Ayllon, Daniel; Nicola, Graciela G.] Complutense Univ Madrid UCM, Fac Biol, Dept Biodivers Ecol &amp; Evolut, Madrid, Spain</t>
  </si>
  <si>
    <t>Universidad de Castilla-La Mancha; Complutense University of Madrid</t>
  </si>
  <si>
    <t>Baquero, RA (corresponding author), Univ Castilla La Mancha UCLM, Dept Environm Sci, Toledo, Spain.</t>
  </si>
  <si>
    <t>daniel.ayllon@bio.ucm.es; Rocio.Baquero@uclm.es; gracielg@ucm.es</t>
  </si>
  <si>
    <t>; , GRACIELA G NICOLA/ABE-5362-2021; Baquero Noriega, Rocío Aranzazu/ABF-0280-2022; Ayllon, Daniel/K-6862-2019; Baquero, Rocio A/ABF-0280-2022</t>
  </si>
  <si>
    <t>Ayllon Fernandez, Daniel/0000-0001-7539-5287; , GRACIELA G NICOLA/0009-0009-0601-0609; Baquero Noriega, Rocío Aranzazu/0000-0003-4540-8782;</t>
  </si>
  <si>
    <t>CRUE-CSIC agreement; Springer Nature; regional Government of Castilla-La Mancha; European Regional Development Fund (ERDF) [SBPLY/19/180501/000122]</t>
  </si>
  <si>
    <t>CRUE-CSIC agreement; Springer Nature; regional Government of Castilla-La Mancha; European Regional Development Fund (ERDF)(European Union (EU))</t>
  </si>
  <si>
    <t>Open Access funding provided thanks to the CRUE-CSIC agreement with Springer Nature. This study was funded by the regional Government of Castilla-La Mancha and the European Regional Development Fund (ERDF) through the Research Project SBPLY/19/180501/000122. The funders had no role in study design, data collection and analysis, decision to publish, or preparation of the manuscript.</t>
  </si>
  <si>
    <t>0960-3115</t>
  </si>
  <si>
    <t>1572-9710</t>
  </si>
  <si>
    <t>BIODIVERS CONSERV</t>
  </si>
  <si>
    <t>Biodivers. Conserv.</t>
  </si>
  <si>
    <t>MAY</t>
  </si>
  <si>
    <t>5-6</t>
  </si>
  <si>
    <t>MAY 2022</t>
  </si>
  <si>
    <t>2E8YC</t>
  </si>
  <si>
    <t>hybrid</t>
  </si>
  <si>
    <t>Eklund, J; Jones, JPG; Räsänen, M; Geldmann, J; Jokinen, AP; Pellegrini, A; Rakotobe, D; Rakotonarivo, OS; Toivonen, T; Balmford, A</t>
  </si>
  <si>
    <t>Eklund, Johanna; Jones, Julia P. G.; Rasanen, Matti; Geldmann, Jonas; Jokinen, Ari-Pekka; Pellegrini, Adam; Rakotobe, Domoina; Rakotonarivo, O. Sarobidy; Toivonen, Tuuli; Balmford, Andrew</t>
  </si>
  <si>
    <t>NATURE SUSTAINABILITY</t>
  </si>
  <si>
    <t>CONSERVATION; DRIVERS; MODELS</t>
  </si>
  <si>
    <t>[Eklund, Johanna; Jokinen, Ari-Pekka; Toivonen, Tuuli] Univ Helsinki, Fac Sci, Dept Geosci &amp; Geog, Digital Geog Lab, Helsinki, Finland; [Jones, Julia P. G.] Bangor Univ, Coll Environm Sci &amp; Engn, Sch Nat Sci, Bangor, Gwynedd, Wales; [Rasanen, Matti] Univ Helsinki, Inst Atmospher &amp; Earth Syst Res, Helsinki, Finland; [Geldmann, Jonas] Univ Copenhagen, Globe Inst, Ctr Macroecol Evolut &amp; Climate Globe, Copenhagen, Denmark; [Pellegrini, Adam] Univ Cambridge, Dept Plant Sci, Cambridge, England; [Rakotobe, Domoina] Univ Antananarivo, Dept Geog, Antananarivo, Madagascar; [Rakotobe, Domoina] Ohio Univ, Voinovich Sch Leadership &amp; Publ Serv, Athens, OH 45701 USA; [Rakotonarivo, O. Sarobidy] Univ Antananarivo, Ecole Super Sci Agron, Antananarivo, Madagascar; [Balmford, Andrew] Univ Cambridge, Dept Zool, Conservat Sci Grp, Cambridge, England</t>
  </si>
  <si>
    <t>University of Helsinki; Bangor University; University of Helsinki; University of Copenhagen; University of Cambridge; University Antananarivo; University System of Ohio; Ohio University; University Antananarivo; University of Cambridge</t>
  </si>
  <si>
    <t>Eklund, J (corresponding author), Univ Helsinki, Fac Sci, Dept Geosci &amp; Geog, Digital Geog Lab, Helsinki, Finland.</t>
  </si>
  <si>
    <t>johanna.f.eklund@helsinki.fi</t>
  </si>
  <si>
    <t>Balmford, Andrew/ABZ-9706-2022; Rakotonarivo, O Sarobidy/E-2965-2013; Geldmann, Jonas/H-8131-2019; Pellegrini, Adam/AAI-4374-2021; Jones, Julia P G/A-3031-2011</t>
  </si>
  <si>
    <t>Rakotonarivo, O Sarobidy/0000-0002-8032-1431; Rakotobe, Domoina/0000-0003-1718-0645; Eklund, Johanna/0000-0003-1263-8151; Räsänen, Matti/0000-0003-0994-5353; Geldmann, Jonas/0000-0002-1191-7610; Pellegrini, Adam/0000-0003-0418-4129; Toivonen, Tuuli/0000-0002-6625-4922; Jones, Julia P G/0000-0002-5199-3335</t>
  </si>
  <si>
    <t>Academy of Finland [333518]; Helsinki Institute for Sustainability Science; Kone Foundation; Faculty of Sciences, University of Helsinki; Royal Society Wolfson Research Merit Award; Foreign, Commonwealth and Development Office Climate and Resilience Framework Programme; Independent Research Fund Denmark's Sapere Aude programme [0165-00018B]; Academy of Finland (AKA) [333518] Funding Source: Academy of Finland (AKA)</t>
  </si>
  <si>
    <t>Academy of Finland(Research Council of Finland); Helsinki Institute for Sustainability Science; Kone Foundation; Faculty of Sciences, University of Helsinki; Royal Society Wolfson Research Merit Award(Royal Society UK); Foreign, Commonwealth and Development Office Climate and Resilience Framework Programme; Independent Research Fund Denmark's Sapere Aude programme(Det Frie Forskningsrad (DFF)); Academy of Finland (AKA)(Research Council of Finland)</t>
  </si>
  <si>
    <t>This work was funded by the Academy of Finland (grant no. 333518), the Helsinki Institute for Sustainability Science and the Kone Foundation (J.E.), the Faculty of Sciences, University of Helsinki (A.-P.J.), a Royal Society Wolfson Research Merit Award (A.B.), the Foreign, Commonwealth and Development Office Climate and Resilience Framework Programme (J.P.G.J. and O.S.R.) and the Independent Research Fund Denmark's Sapere Aude programme (grant no. 0165-00018B) (J.G.). We thank A. Virolainen for graphic design of Figs. 1, 3 and 4. We thank T. Andriamanana, S. Herve, F. Rakotondrasoa, S. Ramanantsoa and C. Raveloson for helpful discussions about the results and the evolving protected-area management situations in Madagascar since the start of the pandemic.</t>
  </si>
  <si>
    <t>NATURE PORTFOLIO</t>
  </si>
  <si>
    <t>BERLIN</t>
  </si>
  <si>
    <t>HEIDELBERGER PLATZ 3, BERLIN, 14197, GERMANY</t>
  </si>
  <si>
    <t>2398-9629</t>
  </si>
  <si>
    <t>NAT SUSTAIN</t>
  </si>
  <si>
    <t>Nat. Sustain.</t>
  </si>
  <si>
    <t>Green &amp; Sustainable Science &amp; Technology; Environmental Sciences; Environmental Studies</t>
  </si>
  <si>
    <t>Science Citation Index Expanded (SCI-EXPANDED); Social Science Citation Index (SSCI)</t>
  </si>
  <si>
    <t>Science &amp; Technology - Other Topics; Environmental Sciences &amp; Ecology</t>
  </si>
  <si>
    <t>3B7QJ</t>
  </si>
  <si>
    <t>Green Accepted, Green Submitted, hybrid</t>
  </si>
  <si>
    <t>Wu, H; Fang, SM; Yang, YY; Cheng, J</t>
  </si>
  <si>
    <t>Wu, Hui; Fang, Shiming; Yang, Yuanyuan; Cheng, Jia</t>
  </si>
  <si>
    <t>Depopulating area; Anthropogenic pressure; Nature reserve; Habitat quality; Propensity score matching; Conservation effectiveness</t>
  </si>
  <si>
    <t>PROTECTED AREAS; HUMAN FOOTPRINT; PERFORMANCE; TERRESTRIAL; PREDICTION; ROADS</t>
  </si>
  <si>
    <t>The increasing human impact on the global environment has led to biodiversity decline and species extinction. The establishment of nature reserves is recognized as the most effective way to minimize human disruption and curb continuing threats to the Earth's life support system. Many areas in the world are currently witnessing depopulation trends. How does anthropogenic pressure change within nature reserves in these areas? How will this change affect the quality of their habitats? As a typical depopulating area and a main distribution area of China's nature reserves, Northeast China is an ideal region for exploring these scientific issues. In this research, we mapped anthropogenic pressure and habitat quality within 93 nature reserves in Northeast China from 2000 to 2018 and explored their correlation. We found that in Northeast China-a typical depopulating area-the anthropogenic pressure within nature reserves has been greatly eased and the habitat quality has improved. Along with depopulation, the anthropogenic pressure in more than half of the protected area in Northeast China declined between 2000 and 2018. Net primary production increased in almost all nature reserves, and fractional vegetation cover improved in three quarters of nature reserves. However, the vegetation aggregation index showed a downward trend. The overall performance of the national nature reserves surpasses that of the local nature reserves. Pearson's correlation coefficient showed a statistically significant negative correlation between habitat quality indices and anthropogenic pressure categories. The highest negative correlation was observed between the vegetation aggregation index and land use intensity. Based on the propensity score matching approach, we classified nature reserves in Northeast China according to their conservation effectiveness relative to matched unprotected control sites. Finally, recommendations such as transferring governmental protection investment, broadening funding sources, and joining in international evaluation networks are proposed.</t>
  </si>
  <si>
    <t>[Wu, Hui; Fang, Shiming; Yang, Yuanyuan; Cheng, Jia] China Univ Geosci, Sch Publ Adm, Dept Land Resource Management, Wuhan 430074, Peoples R China; [Fang, Shiming] Minist Land &amp; Resources China, Key Labs Law Evaluat, Wuhan 430074, Peoples R China</t>
  </si>
  <si>
    <t>China University of Geosciences; Ministry of Natural Resources of the People's Republic of China</t>
  </si>
  <si>
    <t>Fang, SM (corresponding author), China Univ Geosci, Sch Publ Adm, Dept Land Resource Management, Wuhan 430074, Peoples R China.</t>
  </si>
  <si>
    <t>fangsm@cug.edu.cn</t>
  </si>
  <si>
    <t>Cheng, Jia/LJM-5170-2024</t>
  </si>
  <si>
    <t>Cheng, Jia/0000-0002-2557-0072</t>
  </si>
  <si>
    <t>10.1016/j.ecolind.2022.108844</t>
  </si>
  <si>
    <t>APR 2022</t>
  </si>
  <si>
    <t>1G0MQ</t>
  </si>
  <si>
    <t>WOS:000795551800005</t>
  </si>
  <si>
    <t>Feng, CT; Cao, M; Liu, FZ; Zhou, Y; Du, JH; Zhang, LB; Huang, WJ; Luo, JW; Li, JS; Wang, W</t>
  </si>
  <si>
    <t>Feng, Chun-Ting; Cao, Ming; Liu, Fang-Zheng; Zhou, Yue; Du, Jin-Hong; Zhang, Li-Bo; Huang, Wen-Jie; Luo, Jian-Wu; Li, Jun-Sheng; Wang, Wei</t>
  </si>
  <si>
    <t>Improving protected area effectiveness through consideration of different human-pressure baselines</t>
  </si>
  <si>
    <t>CONSERVATION BIOLOGY</t>
  </si>
  <si>
    <t>baseline-plus-change framework; conservation effectiveness; human pressure index; management effectiveness; natural ecosystems; ecosistemas naturales; efectividad de la conservacion; efectividad de la gestion; indice de presion humana; marco de trabajo de linea base mas cambios</t>
  </si>
  <si>
    <t>CLIMATE-CHANGE; FOREST PROTECTION; SANJIANG PLAIN; CHINA; IMPACTS; WETLANDS; LAND; PERFORMANCE; DEGRADATION; LEVEL</t>
  </si>
  <si>
    <t>Previous assessments of the effectiveness of protected areas (PAs) focused primarily on changes in human pressure over time and did not consider the different human-pressure baselines of PAs, thereby potentially over- or underestimating PA effectiveness. We developed a framework that considers both human-pressure baseline and change in human pressure over time and assessed the effectiveness of 338 PAs in China from 2010 to 2020. The initial state of human pressure on PAs was taken as the baseline, and changes in human pressure index (HPI) were further analyzed under different baselines. We used the random forest models to identify the management measures that most improved effectiveness in resisting human pressure for the PAs with different baselines. Finally, the relationships between the changes in the HPI and the changes in natural ecosystems in PAs were analyzed with different baselines. Of PAs with low HPI baselines, medium HPI baselines, and high HPI baselines, 76.92% (n=150), 11.11% (n=12), and 22.86% (n=8) , respectively, showed positive effects in resisting human pressure. Overall, ignoring human-pressure baselines somewhat underestimated the positive effects of PAs, especially for those with low initial human pressure. For PAs with different initial human pressures, different management measures should be taken to improve effectiveness and reduce threats to natural ecosystems. We believe our framework is useful for assessing the effectiveness of PAs globally, and we recommend it be included in the Convention on Biological Diversity Post-2020 Strategy.</t>
  </si>
  <si>
    <t>[Feng, Chun-Ting; Cao, Ming; Liu, Fang-Zheng; Zhou, Yue; Du, Jin-Hong; Zhang, Li-Bo; Huang, Wen-Jie; Luo, Jian-Wu; Li, Jun-Sheng; Wang, Wei] Chinese Res Inst Environm Sci, State Key Lab Environm Criteria &amp; Risk Assessment, Beijing 100012, Peoples R China; [Feng, Chun-Ting; Cao, Ming; Liu, Fang-Zheng; Zhou, Yue; Du, Jin-Hong; Zhang, Li-Bo; Huang, Wen-Jie; Luo, Jian-Wu; Li, Jun-Sheng; Wang, Wei] Chinese Res Inst Environm Sci, Inst Ecol, Beijing, Peoples R China</t>
  </si>
  <si>
    <t>Chinese Research Academy of Environmental Sciences; Chinese Research Academy of Environmental Sciences</t>
  </si>
  <si>
    <t>Wang, W (corresponding author), Chinese Res Inst Environm Sci, State Key Lab Environm Criteria &amp; Risk Assessment, Beijing 100012, Peoples R China.</t>
  </si>
  <si>
    <t>wang.wei@craes.org.cn</t>
  </si>
  <si>
    <t>Wang, Wei/KEJ-3647-2024; Li, Junsheng/AAN-4015-2021</t>
  </si>
  <si>
    <t>National Natural Science Foundation of China [32171664]; Ministry of Ecology and Environment of the People's Republic of China</t>
  </si>
  <si>
    <t>National Natural Science Foundation of China(National Natural Science Foundation of China (NSFC)); Ministry of Ecology and Environment of the People's Republic of China</t>
  </si>
  <si>
    <t>This work was supported by the National Natural Science Foundation of China (32171664) and the Ministry of Ecology and Environment of the People's Republic of China. We thank all the experts who participated in the management assessment of PAs from 2007 to 2016.</t>
  </si>
  <si>
    <t>0888-8892</t>
  </si>
  <si>
    <t>1523-1739</t>
  </si>
  <si>
    <t>CONSERV BIOL</t>
  </si>
  <si>
    <t>Conserv. Biol.</t>
  </si>
  <si>
    <t>e13887</t>
  </si>
  <si>
    <t>10.1111/cobi.13887</t>
  </si>
  <si>
    <t>MAR 2022</t>
  </si>
  <si>
    <t>3G4RM</t>
  </si>
  <si>
    <t>WOS:000776102900001</t>
  </si>
  <si>
    <t>Giliba, RA; Fust, P; Kiffner, C; Loos, J</t>
  </si>
  <si>
    <t>Giliba, Richard A.; Fust, Pascal; Kiffner, Christian; Loos, Jacqueline</t>
  </si>
  <si>
    <t>CONSERVATION SCIENCE AND PRACTICE</t>
  </si>
  <si>
    <t>conservation effectiveness; exploitation; land-use change; protection status</t>
  </si>
  <si>
    <t>KATAVI-RUKWA ECOSYSTEM; NATIONAL-PARK; BUSHMEAT CONSUMPTION; POPULATION DECLINES; LARGE MAMMALS; GOOGLE EARTH; MARA REGION; CONSERVATION; VEGETATION; CONSEQUENCES</t>
  </si>
  <si>
    <t>[Giliba, Richard A.; Fust, Pascal; Loos, Jacqueline] Leuphana Univ Luneburg, Inst Ecol, Univ Allee 1, D-21335 Luneburg, Germany; [Giliba, Richard A.] Nelson Mandela African Inst Sci &amp; Technol, Sch Life Sci &amp; Bioengn, Arusha, Tanzania; [Kiffner, Christian] Sch Field Studies, Ctr Wildlife Management Studies, Karatu, Tanzania; [Kiffner, Christian] Jr Res Grp Human Wildlife Conflict &amp; Coexistence, Muncheberg, Germany; [Kiffner, Christian] Leibniz Ctr Agr Landscape Res ZALF, Res Area Land Use &amp; Governance, Muncheberg, Germany; [Loos, Jacqueline] Leuphana Univ Luneburg, Social Ecol Syst Inst, Luneburg, Germany</t>
  </si>
  <si>
    <t>Leuphana University Luneburg; Nelson Mandela African Institution of Science &amp; Technology; Leibniz Association; Leibniz Zentrum fur Agrarlandschaftsforschung (ZALF); Leuphana University Luneburg</t>
  </si>
  <si>
    <t>Giliba, RA (corresponding author), Leuphana Univ Luneburg, Inst Ecol, Univ Allee 1, D-21335 Luneburg, Germany.</t>
  </si>
  <si>
    <t>richard.giliba@leuphana.de</t>
  </si>
  <si>
    <t>; Loos, Jacqueline/R-7544-2016; Kiffner, Christian/F-4088-2012</t>
  </si>
  <si>
    <t>Giliba, Richard A/0000-0003-1886-1311; Kiffner, Christian/0000-0002-7475-9023</t>
  </si>
  <si>
    <t>Robert-Bosch Foundation</t>
  </si>
  <si>
    <t>2578-4854</t>
  </si>
  <si>
    <t>CONSERV SCI PRACT</t>
  </si>
  <si>
    <t>Conserv. Sci. Pract.</t>
  </si>
  <si>
    <t>JUN</t>
  </si>
  <si>
    <t>e12684</t>
  </si>
  <si>
    <t>Biodiversity Conservation</t>
  </si>
  <si>
    <t>Biodiversity &amp; Conservation</t>
  </si>
  <si>
    <t>2I4RU</t>
  </si>
  <si>
    <t>Green Published, Green Submitted, gold</t>
  </si>
  <si>
    <t>Meng, ZQ; Dong, JW; Zhai, J; Huang, L; Liu, M; Ellis, EC</t>
  </si>
  <si>
    <t>Meng, Ziqi; Dong, Jinwei; Zhai, Jun; Huang, Lin; Liu, Min; Ellis, Erle C.</t>
  </si>
  <si>
    <t>Effectiveness in protected areas at resisting development pressures in China</t>
  </si>
  <si>
    <t>Protected area; Development pressure; Impervious surface areas; Nighttime light; China</t>
  </si>
  <si>
    <t>CONSERVATION; POPULATION; LAND; BIODIVERSITY; PERFORMANCE; ECOSYSTEMS; GOVERNANCE; RESERVE</t>
  </si>
  <si>
    <t>Protected areas (PAs) are designed to conserve biodiversity and protect the species within their boundaries. However, some PAs are not achieving these goals, partly due to human activities inside and outside PAs. Here we evaluated the ability of 290 national-level PAs in China to reduce the impacts of economic development pressures using remote sensing-based fine resolution impervious surface area (ISA) and nighttime light (NTL) data as proxies of development pressure. We measured and compared the development pressure in protected areas and within buffers the same size in the area of the PAs (namely outside of the PAs). We also investigated whether the performance of PAs will be threatened by outside development pressure. According to the ISA, we found that 176 of the PAs had more development pressure outside their boundaries than inside PAs in 2018. For 175 PAs, we found a higher increasing rate of impervious areas outside of the PAs from 2000 to 2018, which suggested that increased human activities outside of the PAs were placing increased development pressure on the PAs. The PAs with higher development pressure outside their boundaries were more common in populous regions, especially in eastern China. Consistent with our findings from the ISA data, the NTL data also indicated that national PAs in China have faced increasing development pressures from outside PAs from 2000 to 2018. Our study warns that more attention should be paid to economic development pressures from the areas surrounding PAs to sustain their biodiversity protection over the long run.</t>
  </si>
  <si>
    <t>[Meng, Ziqi; Dong, Jinwei; Huang, Lin] Chinese Acad Sci, Inst Geog Sci &amp; Nat Resources Res, Key Lab Land Surface Pattern &amp; Simulat, Beijing 100101, Peoples R China; [Meng, Ziqi] Univ Chinese Acad Sci, Beijing 100049, Peoples R China; [Zhai, Jun] Minist Ecol &amp; Environm Peoples Republ China, Satellite Environm Ctr, Beijing 100094, Peoples R China; [Liu, Min] East China Normal Univ, Sch Ecol &amp; Environm Sci, Shanghai Key Lab Urban Ecol Proc &amp; Ecorestorat, Shanghai 200241, Peoples R China; [Ellis, Erle C.] Univ Maryland Baltimore Cty, Dept Geog &amp; Environm Syst, Baltimore, MD 21250 USA</t>
  </si>
  <si>
    <t>Chinese Academy of Sciences; Institute of Geographic Sciences &amp; Natural Resources Research, CAS; Chinese Academy of Sciences; University of Chinese Academy of Sciences, CAS; East China Normal University; University System of Maryland; University of Maryland Baltimore County</t>
  </si>
  <si>
    <t>Dong, JW (corresponding author), Chinese Acad Sci, Inst Geog Sci &amp; Nat Resources Res, Key Lab Land Surface Pattern &amp; Simulat, Beijing 100101, Peoples R China.</t>
  </si>
  <si>
    <t>dongjw@igsnrr.ac.cn</t>
  </si>
  <si>
    <t>Ellis, Erle/B-8264-2008; Huang, Lin/JNS-7316-2023; Dong, Jinwei/C-4949-2009</t>
  </si>
  <si>
    <t>Ellis, Erle/0000-0002-2006-3362; Meng, Ziqi/0000-0002-9254-8377; Dong, Jinwei/0000-0001-5687-803X</t>
  </si>
  <si>
    <t>National Natural Science Foundation of China [41871349]; Chinese Academy of Sciences the Strategic Priority Research Program [XDA19040301]; Key Research Program of Frontier Sciences [QYZDB-SSW-DQC005]</t>
  </si>
  <si>
    <t>National Natural Science Foundation of China(National Natural Science Foundation of China (NSFC)); Chinese Academy of Sciences the Strategic Priority Research Program; Key Research Program of Frontier Sciences</t>
  </si>
  <si>
    <t>This work was supported by the National Natural Science Foundation of China (Grant No. 41871349) , the Chinese Academy of Sciences the Strategic Priority Research Program (XDA19040301) , the Key Research Program of Frontier Sciences (QYZDB-SSW-DQC005) .</t>
  </si>
  <si>
    <t>10.1016/j.apgeog.2022.102682</t>
  </si>
  <si>
    <t>1G2NX</t>
  </si>
  <si>
    <t>WOS:000795690600003</t>
  </si>
  <si>
    <t>Dehmel, N; Franks, P; Schreckenberg, K; Beresford, A; Buchanan, G; Dawson, TP</t>
  </si>
  <si>
    <t>Dehmel, Naira; Franks, Phil; Schreckenberg, Kate; Beresford, Alison; Buchanan, Graeme; Dawson, Terence P.</t>
  </si>
  <si>
    <t>FRONTIERS IN FORESTS AND GLOBAL CHANGE</t>
  </si>
  <si>
    <t>quality of governance; forest protection; protected areas; environmental governance; Ibrahim Index of African Governance</t>
  </si>
  <si>
    <t>CONSERVATION; BIODIVERSITY; LAND; INTENSIFICATION; DEFORESTATION; DISPLACEMENT; OUTCOMES; DRIVERS; THREAT</t>
  </si>
  <si>
    <t>[Dehmel, Naira; Schreckenberg, Kate; Dawson, Terence P.] Kings Coll London, Dept Geog, London, England; [Franks, Phil] Int Inst Environm &amp; Dev, Nat Resources Grp, Edinburgh, Midlothian, Scotland; [Beresford, Alison; Buchanan, Graeme] Royal Soc Protect Birds, RSPB Ctr Conservat Sci, Edinburgh, Midlothian, Scotland</t>
  </si>
  <si>
    <t>University of London; King's College London; Royal Society for Protection of Birds</t>
  </si>
  <si>
    <t>Dehmel, N (corresponding author), Kings Coll London, Dept Geog, London, England.;Franks, P (corresponding author), Int Inst Environm &amp; Dev, Nat Resources Grp, Edinburgh, Midlothian, Scotland.</t>
  </si>
  <si>
    <t>naira.dehmel@kcl.ac.uk; phil.franks@iied.org</t>
  </si>
  <si>
    <t>; Beresford, Alison/KFB-0201-2024; Schreckenberg, Kathrin/K-4967-2012</t>
  </si>
  <si>
    <t>Dehmel, Naira/0000-0002-9373-549X;</t>
  </si>
  <si>
    <t>2624-893X</t>
  </si>
  <si>
    <t>FRONT FOR GLOB CHANG</t>
  </si>
  <si>
    <t>Front. For. Glob. Change</t>
  </si>
  <si>
    <t>FEB 18</t>
  </si>
  <si>
    <t>Ecology; Forestry</t>
  </si>
  <si>
    <t>Environmental Sciences &amp; Ecology; Forestry</t>
  </si>
  <si>
    <t>ZO4ON</t>
  </si>
  <si>
    <t>Hua, T; Zhao, WW; Cherubini, F; Hu, XP; Pereira, P</t>
  </si>
  <si>
    <t>Hua, Ting; Zhao, Wenwu; Cherubini, Francesco; Hu, Xiangping; Pereira, Paulo</t>
  </si>
  <si>
    <t>Continuous growth of human footprint risks compromising the benefits of protected areas on the Qinghai-Tibet Plateau</t>
  </si>
  <si>
    <t>GLOBAL ECOLOGY AND CONSERVATION</t>
  </si>
  <si>
    <t>Human footprint; Protected areas; Qinghai-Tibet Plateau; Human pressure; Conservation; Nature reserves</t>
  </si>
  <si>
    <t>CLIMATE-CHANGE; BIODIVERSITY CONSERVATION; ECOSYSTEM SERVICES; LAND; TERRESTRIAL; CHALLENGES; ACCURACY; RESERVES; IMPACTS; CHINA</t>
  </si>
  <si>
    <t>Protected areas (PAs) are the critical societal tool to preserve biodiversity and ecosystem services (ESs), but human disturbances frequently threaten them. Here, we used multiple data sources to map the human footprint as a proxy for identifying the intensity of human activities on the Qinghai-Tibet Plateau and therein nature reserves (NRs, the primary category of PAs in China). We found that the human footprint on the Qinghai-Tibet Plateau has increased by 22% since 2000, and on average, human pressure inside NRs was 60% lower than outside. However, human pressure was identified in the majority of the NRs, with only 30% of protected land free from any measurable pressure. From a total of 53 NRs, 28 showed over 10% increase in human footprint, and 6 NRs had over 70% of their extent under intense human pressure (human footprint score &gt;= 4). Furthermore, a higher proportion of ESs in NRs is subjected to high levels of human pressure and are therefore at risk, particularly soil and water retention. The applied regression model revealed that large NRs are more resilient to human pressure than NRs with the longer establishment. The continuous human footprint increase may hinder the current and future ESs supply. Our analysis shows evidence-based results to promote the mitigation of human pressures in PAs.</t>
  </si>
  <si>
    <t>[Hua, Ting; Zhao, Wenwu] Beijing Normal Univ, Fac Geog Sci, State Key Lab Earth Surface Proc &amp; Resource Ecol, Beijing 100875, Peoples R China; [Hua, Ting; Zhao, Wenwu] Beijing Normal Univ, Fac Geog Sci, Inst Land Surface Syst &amp; Sustainable Dev, Beijing 100875, Peoples R China; [Cherubini, Francesco; Hu, Xiangping] Norwegian Univ Sci &amp; Technol NTNU, Ind Ecol Programme &amp; Dept Energy &amp; Proc Engn, Trondheim, Norway; [Pereira, Paulo] Mykolas Romeris Univ, Environm Management Ctr, Ate G 20, LT-08303 Vilnius, Lithuania</t>
  </si>
  <si>
    <t>Beijing Normal University; Beijing Normal University; Norwegian University of Science &amp; Technology (NTNU); Mykolas Romeris University</t>
  </si>
  <si>
    <t>Zhao, WW (corresponding author), Beijing Normal Univ, Fac Geog Sci, State Key Lab Earth Surface Proc &amp; Resource Ecol, Beijing 100875, Peoples R China.</t>
  </si>
  <si>
    <t>zhaoww@bnu.edu.cn</t>
  </si>
  <si>
    <t>zhao, wenwu/L-7716-2018; Cherubini, Francesco/AFS-6064-2022; Hu, Xiangping/ABE-8984-2020; Pereira, Paulo/O-1845-2016</t>
  </si>
  <si>
    <t>zhao, wenwu/0000-0001-5342-354X; Cherubini, Francesco/0000-0002-7147-4292; Hua, Ting/0000-0002-1605-9010;</t>
  </si>
  <si>
    <t>Second Tibetan Plateau Scientific Expedition and Research Program [2019QZKK0405]; National Natural Science Foundation of China [41861134038]; Norwegian Research Council [286773]; Fundamental Research Funds for the Central Universities</t>
  </si>
  <si>
    <t>Second Tibetan Plateau Scientific Expedition and Research Program; National Natural Science Foundation of China(National Natural Science Foundation of China (NSFC)); Norwegian Research Council(Research Council of Norway); Fundamental Research Funds for the Central Universities(Fundamental Research Funds for the Central Universities)</t>
  </si>
  <si>
    <t>This research was funded by the Second Tibetan Plateau Scientific Expedition and Research Program (2019QZKK0405) , National Natural Science Foundation of China (41861134038) , Norwegian Research Council (No. 286773) , and the Fundamental Research Funds for the Central Universities.</t>
  </si>
  <si>
    <t>2351-9894</t>
  </si>
  <si>
    <t>GLOB ECOL CONSERV</t>
  </si>
  <si>
    <t>Glob. Ecol. Conserv.</t>
  </si>
  <si>
    <t>e02053</t>
  </si>
  <si>
    <t>10.1016/j.gecco.2022.e02053</t>
  </si>
  <si>
    <t>FEB 2022</t>
  </si>
  <si>
    <t>ZH6CN</t>
  </si>
  <si>
    <t>WOS:000761024600001</t>
  </si>
  <si>
    <t>Kleemann, J; Zamora, C; Villacis-Chiluisa, AB; Cuenca, P; Koo, H; Noh, JK; Fuerst, C; Thiel, M</t>
  </si>
  <si>
    <t>Kleemann, Janina; Zamora, Camilo; Villacis-Chiluisa, Alexandra Belen; Cuenca, Pablo; Koo, Hongmi; Noh, Jin Kyoung; Fuerst, Christine; Thiel, Michael</t>
  </si>
  <si>
    <t>Deforestation in Continental Ecuador with a Focus on Protected Areas</t>
  </si>
  <si>
    <t>conservation; driving forces; forest; loss; human pressure; land use change; landscape metrics; protection status; spatial analysis</t>
  </si>
  <si>
    <t>ECOSYSTEM SERVICES; FOREST COVER; CLIMATE-CHANGE; LAND-USE; CONSERVATION; AMAZON; SATELLITE; DRIVERS; SOUTH; EXPANSION</t>
  </si>
  <si>
    <t>Forest conservation is of particular concern in tropical regions where a large refuge of biodiversity is still existing. These areas are threatened by deforestation, forest degradation and fragmentation. Especially, pressures of anthropogenic activities adjacent to these areas significantly influence conservation effectiveness. Ecuador was chosen as study area since it is a globally relevant center of forest ecosystems and biodiversity. We identified hotspots of deforestation on the national level of continental Ecuador between 1990 and 2018, analyzed the most significant drivers of deforestation on national and biome level (the Coast, the Andes, The Amazon) as well as inside protected areas in Ecuador by using multiple regression analysis. We separated the national system of protected areas (SNAP) into higher and lower protection levels. Besides SNAP, we also considered Biosphere Reserves (BRs) and Ramsar sites. In addition, we investigated the rates and spatial patterns of deforestation in protected areas and buffer zones (5 km and 10 km outwards the protected area boundaries) using landscape metrics. Between 1990 and 2018, approximately 4% of the accumulated deforestation occurred within the boundaries of SNAP, and up to 25.5% in buffer zones. The highest rates of deforestation have been found in the 5 km buffer zone around the protected areas with the highest protection level. Protected areas and their buffer zones with higher protection status were identified as the most deforested areas among SNAP. BRs had the highest deforestation rates among all protected areas but most of these areas just became BRs after the year 2000. The most important driver of deforestation is agriculture. Other relevant drivers differ between the biomes. The results suggest that the SNAP is generally effective to prevent deforestation within their protection boundaries. However, deforestation around protected areas can undermine conservation strategies to sustain biodiversity. Actions to address such dynamics and patterns of deforestation and forest fragmentation, and developing conservation strategies of their landscape context are urgently needed especially in the buffer zones of areas with the highest protection status.</t>
  </si>
  <si>
    <t>[Kleemann, Janina; Zamora, Camilo; Koo, Hongmi; Fuerst, Christine] Martin Luther Univ Halle Wittenberg, Inst Geosci &amp; Geog, Dept Sustainable Landscape Dev, Von Seckendorff Pl 4, D-06120 Halle, Saale, Germany; [Zamora, Camilo; Villacis-Chiluisa, Alexandra Belen; Thiel, Michael] Julius Maximilians Univ Wurzburg, Inst Geog &amp; Geol, Dept Remote Sensing, Oswald Kulpe Weg 86, D-97074 Wurzburg, Germany; [Cuenca, Pablo; Noh, Jin Kyoung] Univ Reg Amazon Ikiam, Res Grp Trop Ecosyst &amp; Global Change, Tena 150101, Ecuador; [Cuenca, Pablo; Noh, Jin Kyoung] Univ Reg Amazon Ikiam, Global Change Lab, Tena 150101, Ecuador; [Fuerst, Christine] German Ctr Integrat Biodivers Res iDiv, Puschstr 4, D-04103 Leipzig, Germany</t>
  </si>
  <si>
    <t>Martin Luther University Halle Wittenberg; University of Wurzburg; German Research Foundation (DFG); German Centre for Integrative Biodiversity Research (iDiv)</t>
  </si>
  <si>
    <t>Kleemann, J (corresponding author), Martin Luther Univ Halle Wittenberg, Inst Geosci &amp; Geog, Dept Sustainable Landscape Dev, Von Seckendorff Pl 4, D-06120 Halle, Saale, Germany.</t>
  </si>
  <si>
    <t>janina.kleemann@geo.uni-halle.de; camilo_ernesto.zamora_ospina@stud-mail.uni-wuerzburg.de; alexandra_belen.villacis_chiluisa@stud-mail.uni-wuerzburg.de; pablo.cuenca@ikiam.edu.ec; hongmi.koo@geo.uni-halle.de; jin.noh@ikiam.edu.ec; christine.fuerst@geo.uni-halle.de; michael.thiel@uni-wuerzburg.de</t>
  </si>
  <si>
    <t>; Kleemann, Janina/AAN-7171-2020; Thiel, Michael/AAP-6159-2020</t>
  </si>
  <si>
    <t>Cuenca, Pablo/0000-0001-9707-7562; Kleemann, Janina/0000-0001-6316-6209; Zamora, Camilo/0009-0002-4587-6711; Koo, Hongmi/0000-0001-7491-8461; Thiel, Michael/0000-0001-8350-0841</t>
  </si>
  <si>
    <t>German Academic Exchange Service (DAAD) from German Society for International Cooperation (GIZ) GmbH on behalf of the Federal Ministry for Economic Cooperation and Development (BMZ)</t>
  </si>
  <si>
    <t>This research was conducted in the project Ecu-MAES A National Ecosystem Services Assessment and Mapping for the status and future development of ecosystem services and biodiversity. The project was funded by the German Academic Exchange Service (DAAD) from funds of the German Society for International Cooperation (GIZ) GmbH on behalf of the Federal Ministry for Economic Cooperation and Development (BMZ).</t>
  </si>
  <si>
    <t>ZV6YZ</t>
  </si>
  <si>
    <t>WOS:000770674500001</t>
  </si>
  <si>
    <t>Liu, FZ; Feng, CT; Zhou, Y; Zhang, LB; Du, JH; Huang, WJ; Luo, JW; Wang, W</t>
  </si>
  <si>
    <t>Liu, Fangzheng; Feng, Chunting; Zhou, Yue; Zhang, Libo; Du, Jinhong; Huang, Wenjie; Luo, Jianwu; Wang, Wei</t>
  </si>
  <si>
    <t>JOURNAL OF ENVIRONMENTAL MANAGEMENT</t>
  </si>
  <si>
    <t>Functional zoning; Conservation effectiveness; Mann-kendall; Canonical correlation analysis; Core zone; Buffer zone</t>
  </si>
  <si>
    <t>AREA; MULTICRITERIA; CONSERVATION; VARIABILITY; MANAGEMENT; ECOLOGY; PARK</t>
  </si>
  <si>
    <t>[Liu, Fangzheng; Feng, Chunting; Zhou, Yue; Zhang, Libo; Du, Jinhong; Huang, Wenjie; Luo, Jianwu; Wang, Wei] Chinese Res Inst Environm Sci, State Key Lab Environm Criteria &amp; Risk Assessment, Beijing 100012, Peoples R China; [Liu, Fangzheng; Feng, Chunting; Zhou, Yue; Zhang, Libo; Du, Jinhong; Huang, Wenjie; Luo, Jianwu; Wang, Wei] Chinese Res Inst Environm Sci, Biodivers Res Ctr, Beijing 100012, Peoples R China</t>
  </si>
  <si>
    <t>Wang, W (corresponding author), Chinese Res Inst Environm Sci, 8 Anwai Dayangfang, Beijing 100012, Peoples R China.</t>
  </si>
  <si>
    <t>; Wang, Wei/KEJ-3647-2024</t>
  </si>
  <si>
    <t>Liu, Fangzheng/0000-0002-7031-5599;</t>
  </si>
  <si>
    <t>National Natural Science Foun-dation of China [32171664]</t>
  </si>
  <si>
    <t>National Natural Science Foun-dation of China(National Natural Science Foundation of China (NSFC))</t>
  </si>
  <si>
    <t>Funding This research was supported by the National Natural Science Foun-dation of China (Grant No. 32171664) .</t>
  </si>
  <si>
    <t>ACADEMIC PRESS LTD- ELSEVIER SCIENCE LTD</t>
  </si>
  <si>
    <t>LONDON</t>
  </si>
  <si>
    <t>24-28 OVAL RD, LONDON NW1 7DX, ENGLAND</t>
  </si>
  <si>
    <t>0301-4797</t>
  </si>
  <si>
    <t>1095-8630</t>
  </si>
  <si>
    <t>J ENVIRON MANAGE</t>
  </si>
  <si>
    <t>J. Environ. Manage.</t>
  </si>
  <si>
    <t>APR 15</t>
  </si>
  <si>
    <t>0M4JQ</t>
  </si>
  <si>
    <t>Xu, Y; Price, M; Yang, B; Zhang, K; Yang, N; Tang, XX; Ran, JH; Yi, Y; Wang, B</t>
  </si>
  <si>
    <t>Xu, Yu; Price, Megan; Yang, Biao; Zhang, Kai; Yang, Nan; Tang, Xiaoxin; Ran, Jianghong; Yi, Yin; Wang, Bin</t>
  </si>
  <si>
    <t>Conservation effectiveness; Deforestation; Fragmentation; Forest cover; Nature reserves; Zonation</t>
  </si>
  <si>
    <t>PROTECTED AREAS</t>
  </si>
  <si>
    <t>[Xu, Yu; Zhang, Kai; Tang, Xiaoxin; Yi, Yin] Guizhou Normal Univ, Sch Life Sci, Key Lab Natl Forestry &amp; Grassland Adm Biodivers C, Guiyang 550001, Peoples R China; [Price, Megan; Ran, Jianghong] Sichuan Univ, Coll Life Sci, Key Lab Bioresource &amp; Ecoenvironm, Minist Educ, Chengdu 610065, Peoples R China; [Yang, Biao; Wang, Bin] China West Normal Univ, Key Lab Southwest China Wildlife Resources Conser, Nanchong 637009, Peoples R China; [Yang, Nan] Southwest Minzu Univ, Inst Qinghai Tibetan Plateau, Chengdu 610041, Peoples R China</t>
  </si>
  <si>
    <t>Guizhou Normal University; Sichuan University; China West Normal University; Southwest Minzu University</t>
  </si>
  <si>
    <t>Wang, B (corresponding author), China West Normal Univ, Key Lab Southwest China Wildlife Resources Conser, Nanchong 637009, Peoples R China.</t>
  </si>
  <si>
    <t>wangbin513@cwnu.edu.cn</t>
  </si>
  <si>
    <t>yang, biao/AAN-4472-2021; Xu, Yu/HLV-8342-2023; Yang, Nan/KVY-0759-2024</t>
  </si>
  <si>
    <t>yang, biao/0000-0002-2181-8640; Xu, Yu/0000-0002-9437-3267;</t>
  </si>
  <si>
    <t>National Natural Science Foundation of China [U1812401]; Karst Science Research Center of Guizhou Province [U1812401]; National Natural Science Foundation of China [32000354]</t>
  </si>
  <si>
    <t>National Natural Science Foundation of China(National Natural Science Foundation of China (NSFC)); Karst Science Research Center of Guizhou Province; National Natural Science Foundation of China(National Natural Science Foundation of China (NSFC))</t>
  </si>
  <si>
    <t>We thank three anonymous reviewers for their valuable comments on the manuscript. This work was supported by the Joint Fund of the National Natural Science Foundation of China and the Karst Science Research Center of Guizhou Province (grant number U1812401); and the National Natural Science Foundation of China (grant number 32000354).</t>
  </si>
  <si>
    <t>MAR 15</t>
  </si>
  <si>
    <t>JAN 2022</t>
  </si>
  <si>
    <t>0O6IH</t>
  </si>
  <si>
    <t>Cisneros, E; Börner, J; Pagiola, S; Wunder, S</t>
  </si>
  <si>
    <t>Cisneros, Elias; Boerner, Jan; Pagiola, Stefano; Wunder, Sven</t>
  </si>
  <si>
    <t>JOURNAL OF ENVIRONMENTAL ECONOMICS AND MANAGEMENT</t>
  </si>
  <si>
    <t>Deforestation; Protected areas; Payments for environmental services (PES); Spatial matching; Amazonas; Brazil</t>
  </si>
  <si>
    <t>ENVIRONMENTAL SERVICES; LAND-USE; MANAGEMENT EFFECTIVENESS; AVOIDED DEFORESTATION; FOREST CONSERVATION; PAYMENTS; AMAZON; GOVERNANCE; LOCATION; MULTIVARIATE</t>
  </si>
  <si>
    <t>[Cisneros, Elias] Univ Gottingen, Gottingen, Germany; [Cisneros, Elias] Univ Texas Austin, Austin, TX 78712 USA; [Boerner, Jan] Univ Bonn, Bonn, Germany; [Pagiola, Stefano] World Bank, 1818 H St NW, Washington, DC 20433 USA; [Wunder, Sven] European Forest Inst, Barcelona, Spain; [Wunder, Sven] Ctr Int Forestry Res, Lima, Peru</t>
  </si>
  <si>
    <t>University of Gottingen; University of Texas System; University of Texas Austin; University of Bonn; The World Bank</t>
  </si>
  <si>
    <t>Cisneros, E (corresponding author), Univ Gottingen, Gottingen, Germany.</t>
  </si>
  <si>
    <t>elias.cisneros@uni-goettingen.de</t>
  </si>
  <si>
    <t>Cisneros, Elías/IZQ-0516-2023; Wunder, Sven/ABE-7773-2020; Pagiola, Stefano/AFM-4958-2022; Börner, Jan/I-2139-2015</t>
  </si>
  <si>
    <t>Cisneros, Elías/0000-0002-9784-9240; Börner, Jan/0000-0003-3034-5360</t>
  </si>
  <si>
    <t>Norwegian Agency of Development Cooperation (Norad) through CIFOR's Global Comparative Study on REDD+ [QZA-21/0124]; German Federal Ministry of Education and Research (BMBF) [031B0019, 01LC1824D]; German Research Foundation under Germany's Excellence Strategy [EXC-2070 - 390732324, CRC990, 192626868-SFB 990]</t>
  </si>
  <si>
    <t>Norwegian Agency of Development Cooperation (Norad) through CIFOR's Global Comparative Study on REDD+(Norwegian Agency for Development Cooperation - NORAD); German Federal Ministry of Education and Research (BMBF)(Federal Ministry of Education &amp; Research (BMBF)); German Research Foundation under Germany's Excellence Strategy(German Research Foundation (DFG))</t>
  </si>
  <si>
    <t>This study was partially supported by the Norwegian Agency of Development Cooperation (Norad) through CIFOR's Global Comparative Study on REDD+, QZA-21/0124, the German Federal Ministry of Education and Research (BMBF), 031B0019, 01LC1824D, and the German Research Foundation under Germany's Excellence Strategy, EXC-2070 - 390732324 - PhenoRob, and under the collaborative research project CRC990, 192626868-SFB 990 - EFForTS. The authors are thankful to two anonymous referees and an editor, Esteve Corbera, Alexander Pfaff, seminar participants at the Universities of Bonn, Barcelona, Monpellier, as well as participants at the 2016 ISEE conference for their useful comments and suggestions. We would like to thank Virgilio Viana, Gabriel Ribenboim and Suelen Marostica (Amazonas Sustainable Foundation, FAS) for valuable program-related information, comments, and support, and Peter May for various conceptual contributions. We are also thankful to Matthew Rudh and Quentin Seifert for excellent research assistance. The findings, interpretations, and conclusions expressed in this paper are entirely those of the authors and do not necessarily represent the views of their institutions.</t>
  </si>
  <si>
    <t>ACADEMIC PRESS INC ELSEVIER SCIENCE</t>
  </si>
  <si>
    <t>SAN DIEGO</t>
  </si>
  <si>
    <t>525 B ST, STE 1900, SAN DIEGO, CA 92101-4495 USA</t>
  </si>
  <si>
    <t>0095-0696</t>
  </si>
  <si>
    <t>1096-0449</t>
  </si>
  <si>
    <t>J ENVIRON ECON MANAG</t>
  </si>
  <si>
    <t>J.Environ.Econ.Manage.</t>
  </si>
  <si>
    <t>Business; Economics; Environmental Studies</t>
  </si>
  <si>
    <t>Business &amp; Economics; Environmental Sciences &amp; Ecology</t>
  </si>
  <si>
    <t>2P3QG</t>
  </si>
  <si>
    <t>Tan, LY; Guo, GC; Li, SC</t>
  </si>
  <si>
    <t>Tan, Linyi; Guo, Guancheng; Li, Shicheng</t>
  </si>
  <si>
    <t>protected areas; effectiveness; human footprint; sanjiangyuan region</t>
  </si>
  <si>
    <t>TERRESTRIAL HUMAN FOOTPRINT; PROTECTED AREAS; ECOSYSTEM SERVICES; SPATIOTEMPORAL ANALYSIS; TIBETAN PLATEAU; LAND; CONSERVATION; BIODIVERSITY</t>
  </si>
  <si>
    <t>Protected areas play significant roles in protecting biodiversity by mitigating human activities. As an indicator for human activities, the human footprint (HF) can be used to assess the effectiveness of protected areas. We developed a HF dataset for the Sanjiangyuan region in China after localizing the global HF model. Then we used it to assess the effectiveness of Sanjiangyuan nature reserve (SNR) in mitigating human pressures. Our results suggest that the HF value for the Sanjiangyuan region was generally low from 1995 to 2015, with a fluctuating increasing trend. The SNR is partially effective in mitigating human pressures. For 2005-2010, the HF values decreased both within and outside the reserve with more decreases for the outside. For the three functional zones of the SNR, our results show that the HF values decreased during 2005-2010 for all of them, with the largest decrease in the experimental area, and increased during 2010-2015, with the lowest increase in the core areas. The results we obtained are consistent with ecological indicator-based assessments. It is a challenge for the government to balance conservation and development in establishing Sanjiangyuan National Park.</t>
  </si>
  <si>
    <t>[Tan, Linyi; Guo, Guancheng] Nanjing Agr Univ, Sch Publ Adm, Nanjing 210095, Peoples R China; [Tan, Linyi; Li, Shicheng] China Univ Geosci, Sch Publ Adm, Wuhan 430074, Peoples R China</t>
  </si>
  <si>
    <t>Nanjing Agricultural University; China University of Geosciences</t>
  </si>
  <si>
    <t>Li, SC (corresponding author), China Univ Geosci, Sch Publ Adm, Wuhan 430074, Peoples R China.</t>
  </si>
  <si>
    <t>2020109045@stu.njau.edu.cn; ggc@njau.edu.cn; lisc@cug.edu.cn</t>
  </si>
  <si>
    <t>Tan, Linyi/JTV-5746-2023; Li, Shicheng/N-6789-2014</t>
  </si>
  <si>
    <t>Tan, Linyi/0000-0003-3027-9439; Li, Shicheng/0000-0001-6296-636X</t>
  </si>
  <si>
    <t>National Natural Science Foundation of China [41971245]</t>
  </si>
  <si>
    <t>National Natural Science Foundation of China(National Natural Science Foundation of China (NSFC))</t>
  </si>
  <si>
    <t>This research was supported by the National Natural Science Foundation of China, grant number 41971245.</t>
  </si>
  <si>
    <t>10.3390/land11010043</t>
  </si>
  <si>
    <t>0Y2CZ</t>
  </si>
  <si>
    <t>WOS:000790203200001</t>
  </si>
  <si>
    <t>Zbierska, A</t>
  </si>
  <si>
    <t>Zbierska, Anna</t>
  </si>
  <si>
    <t>SUSTAINABILITY</t>
  </si>
  <si>
    <t>landscape change; protected area; urban pressure; deforestation; land use; CORINE land cover; Poland</t>
  </si>
  <si>
    <t>LAND-COVER CHANGE; SURROUNDINGS; ECOSYSTEMS; PARKS</t>
  </si>
  <si>
    <t>[Zbierska, Anna] Poznan Univ Life Sci, Fac Environm &amp; Mech Engn, PL-60637 Poznan, Poland</t>
  </si>
  <si>
    <t>Poznan University of Life Sciences</t>
  </si>
  <si>
    <t>Zbierska, A (corresponding author), Poznan Univ Life Sci, Fac Environm &amp; Mech Engn, PL-60637 Poznan, Poland.</t>
  </si>
  <si>
    <t>anna.zbierska@up.poznan.pl</t>
  </si>
  <si>
    <t>Zbierska, Anna/M-2736-2019</t>
  </si>
  <si>
    <t>Zbierska, Anna/0000-0002-4368-900X</t>
  </si>
  <si>
    <t>Polish Ministry of Science and Higher Education [005/RID/2018/19]</t>
  </si>
  <si>
    <t>Polish Ministry of Science and Higher Education(Ministry of Science and Higher Education, Poland)</t>
  </si>
  <si>
    <t>Open access publication was co-financed within the framework of the Polish Ministry of Science and Higher Education's program: Regional Initiative Excellence in the years 2019-2022 (No. 005/RID/2018/19).</t>
  </si>
  <si>
    <t>2071-1050</t>
  </si>
  <si>
    <t>SUSTAINABILITY-BASEL</t>
  </si>
  <si>
    <t>Sustainability</t>
  </si>
  <si>
    <t>YO7WI</t>
  </si>
  <si>
    <t>Shen, Y; Liu, GH; Zhou, W; Liu, YQ; Cheng, H; Su, XK</t>
  </si>
  <si>
    <t>Shen, Yu; Liu, Guohua; Zhou, Wei; Liu, Yuqing; Cheng, Hao; Su, Xukun</t>
  </si>
  <si>
    <t>DIVERSITY AND DISTRIBUTIONS</t>
  </si>
  <si>
    <t>conservation effectiveness; forest ecosystem; matching methods; protected areas (PAs); Qinghai-Tibet Plateau (QTP); spillover</t>
  </si>
  <si>
    <t>NATURE-RESERVES; MULTIVARIATE; DISTURBANCE; RESILIENCE; LOCATION; DYNAMICS; PATTERNS; IMPACTS; BALANCE; LEAKAGE</t>
  </si>
  <si>
    <t>[Shen, Yu; Liu, Guohua; Liu, Yuqing; Cheng, Hao; Su, Xukun] Chinese Acad Sci, Res Ctr Ecoenvironm Sci, State Key Lab Urban &amp; Reg Ecol, Beijing, Peoples R China; [Shen, Yu; Liu, Guohua; Liu, Yuqing; Cheng, Hao; Su, Xukun] Univ Chinese Acad Sci, Coll Resources &amp; Environm, Beijing, Peoples R China; [Zhou, Wei] Yunnan Univ, Inst Int Rivers &amp; Ecosecur, Kunming, Yunnan, Peoples R China</t>
  </si>
  <si>
    <t>Chinese Academy of Sciences; Research Center for Eco-Environmental Sciences (RCEES), CAS; Chinese Academy of Sciences; University of Chinese Academy of Sciences, CAS; Yunnan University</t>
  </si>
  <si>
    <t>Su, XK (corresponding author), 18th Shuangqing Rd, Beijing, Peoples R China.</t>
  </si>
  <si>
    <t>xksu@rcees.ac.cn</t>
  </si>
  <si>
    <t>Liu, LiuYuqing/GWZ-5665-2022</t>
  </si>
  <si>
    <t>Shen, Yu/0000-0003-3118-0625; Su, xukun/0000-0002-0242-788X</t>
  </si>
  <si>
    <t>Second Tibetan Plateau Scientific Expedition and Research Program (STEP) [2019QZKK0402]; Strategic Priority Research Program of Chinese Academy of Sciences [XDA20020402]</t>
  </si>
  <si>
    <t>Second Tibetan Plateau Scientific Expedition and Research Program (STEP); Strategic Priority Research Program of Chinese Academy of Sciences(Chinese Academy of Sciences)</t>
  </si>
  <si>
    <t>This study was supported by the Second Tibetan Plateau Scientific Expedition and Research Program (STEP), Grant No. 2019QZKK0402 and the Strategic Priority Research Program of Chinese Academy of Sciences, Grant No. XDA20020402. We thank all people for helping us complete this research and the anonymous reviewers who helped us improve the manuscript.</t>
  </si>
  <si>
    <t>1366-9516</t>
  </si>
  <si>
    <t>1472-4642</t>
  </si>
  <si>
    <t>DIVERS DISTRIB</t>
  </si>
  <si>
    <t>Divers. Distrib.</t>
  </si>
  <si>
    <t>DEC 2021</t>
  </si>
  <si>
    <t>6R5PG</t>
  </si>
  <si>
    <t>gold</t>
  </si>
  <si>
    <t>Graham, V; Geldmann, J; Adams, VM; Negret, PJ; Sinovas, P; Chang, HC</t>
  </si>
  <si>
    <t>Graham, Victoria; Geldmann, Jonas; Adams, Vanessa M.; Negret, Pablo Jose; Sinovas, Pablo; Chang, Hsing-Chung</t>
  </si>
  <si>
    <t>Southeast Asian protected areas are effective in conserving forest cover and forest carbon stocks compared to unprotected areas</t>
  </si>
  <si>
    <t>SCIENTIFIC REPORTS</t>
  </si>
  <si>
    <t>CONSERVATION OUTCOMES; MANAGEMENT; DEFORESTATION; SHORTFALLS</t>
  </si>
  <si>
    <t>Protected areas aim to conserve nature, ecosystem services, and cultural values; however, they have variable success in doing so under high development pressure. Southeast Asian protected areas faced the highest level of human pressure at the turn of the twenty-first century. To estimate their effectiveness in conserving forest cover and forest carbon stocks for 2000-2018, we used statistical matching methods to control for the non-random location of protected areas, to compare protection against a matched counterfactual. We found Southeast Asian protected areas had three times less forest cover loss than similar landscapes without protection. Protected areas that had completed management reporting using the Management Effectiveness Tracking Tool (METT) conserved significantly more forest cover and forest carbon stocks than those that had not. Management scores were positively associated with the level of carbon emissions avoided, but not the level of forest cover loss avoided. Our study is the first to find that METT scores could predict the level of carbon emissions avoided in protected areas. Given that only 11% of protected areas in Southeast Asia had completed METT surveys, our results illustrate the need to scale-up protected area management effectiveness reporting programs to improve their effectiveness for conserving forests, and for storing and sequestering carbon.</t>
  </si>
  <si>
    <t>[Graham, Victoria; Chang, Hsing-Chung] Macquarie Univ, Dept Earth &amp; Environm Sci, Sydney, NSW, Australia; [Geldmann, Jonas] Univ Copenhagen, Globe Inst, Ctr Macroecol Evolut &amp; Climate, Copenhagen, Denmark; [Geldmann, Jonas] Univ Cambridge, Dept Zool, Conservat Sci Grp, Downing St, Cambridge CB2 3EJ, England; [Adams, Vanessa M.] Univ Tasmania, Sch Geog Planning &amp; Spatial Sci, Hobart, Tas, Australia; [Adams, Vanessa M.] Macquarie Univ, Dept Biol Sci, Sydney, NSW, Australia; [Negret, Pablo Jose] Univ Queensland, Ctr Biodivers &amp; Conservat Sci, Brisbane, Qld, Australia; [Sinovas, Pablo] Fauna &amp; Flora Int, Phnom Penh, Cambodia</t>
  </si>
  <si>
    <t>Macquarie University; University of Copenhagen; University of Cambridge; University of Tasmania; Macquarie University; University of Queensland</t>
  </si>
  <si>
    <t>Graham, V (corresponding author), Macquarie Univ, Dept Earth &amp; Environm Sci, Sydney, NSW, Australia.</t>
  </si>
  <si>
    <t>victoria.graham@mq.edu.au</t>
  </si>
  <si>
    <t>Graham, Victoria/KBR-3211-2024; Adams, Vanessa/A-3834-2012; Geldmann, Jonas/H-8131-2019</t>
  </si>
  <si>
    <t>Graham, Victoria/0000-0002-1278-491X; Negret, Pablo Jose/0000-0002-4683-839X; Sinovas, Pablo/0000-0001-5396-8910; Geldmann, Jonas/0000-0002-1191-7610; Chang, Hsing-Chung/0000-0003-3523-9938</t>
  </si>
  <si>
    <t>Australian Government RTP Scholarship; Australian Government Marie Skodowska-Curie Program [676108]; Villum Fonden [VKR023371]; Marie Curie Actions (MSCA) [676108] Funding Source: Marie Curie Actions (MSCA)</t>
  </si>
  <si>
    <t>Australian Government RTP Scholarship(Australian Government); Australian Government Marie Skodowska-Curie Program; Villum Fonden(Villum Fonden); Marie Curie Actions (MSCA)(Marie Curie Actions)</t>
  </si>
  <si>
    <t>We give special thanks to everyone who collected data and made it freely available to use. We also specifically acknowledge and thank the following people. Stuart Allen from Macquarie University for technical support preparing the samples. Marine Deguignet from UNEP-WCMC for help with accessing the METT and WDPA datasets. Zin Phyo Han Tun from the Ministry of Natural Resources and Environmental Conservation, Republic of the Union of Myanmar for sharing data. Marc Hockings and Sue Stolton from the IUCN World Commission on Protected Areas for valuable comments on re-aligning the management effectiveness data. The authors were supported by an Australian Government RTP Scholarship and the Marie Skodowska-Curie Program (No 676108), Villum Fonden (VKR023371).</t>
  </si>
  <si>
    <t>2045-2322</t>
  </si>
  <si>
    <t>SCI REP-UK</t>
  </si>
  <si>
    <t>Sci Rep</t>
  </si>
  <si>
    <t>DEC 9</t>
  </si>
  <si>
    <t>10.1038/s41598-021-03188-w</t>
  </si>
  <si>
    <t>XM1BK</t>
  </si>
  <si>
    <t>WOS:000728570400052</t>
  </si>
  <si>
    <t>Szilassi, P; Sooky, A; Batori, Z; Habenczyus, AA; Frei, K; Toelgyesi, C; van Leeuwen, B; Tobak, Z; Csikos, N</t>
  </si>
  <si>
    <t>Szilassi, Peter; Sooky, Anna; Batori, Zoltan; Habenczyus, Alida Anna; Frei, Kata; Toelgyesi, Csaba; van Leeuwen, Boudewijn; Tobak, Zalan; Csikos, Nandor</t>
  </si>
  <si>
    <t>PLANTS-BASEL</t>
  </si>
  <si>
    <t>LUCAS database; invasive plants; linear transport infrastructure; Natura 2000 areas; ecological network; blue infrastructure</t>
  </si>
  <si>
    <t>ASCLEPIAS-SYRIACA; PLANTS</t>
  </si>
  <si>
    <t>[Szilassi, Peter; van Leeuwen, Boudewijn; Tobak, Zalan; Csikos, Nandor] Univ Szeged, Dept Geoinformat Phys &amp; Environm Geog, Egyet Utca 2, H-6722 Szeged, Hungary; [Sooky, Anna; Batori, Zoltan; Habenczyus, Alida Anna; Frei, Kata; Toelgyesi, Csaba] Univ Szeged, Dept Ecol, Kozep Fasor 52, H-6726 Szeged, Hungary</t>
  </si>
  <si>
    <t>Szeged University; Szeged University</t>
  </si>
  <si>
    <t>Szilassi, P (corresponding author), Univ Szeged, Dept Geoinformat Phys &amp; Environm Geog, Egyet Utca 2, H-6722 Szeged, Hungary.</t>
  </si>
  <si>
    <t>toto@geo.u-szeged.hu; sookyanna001@gmail.com; zbatory@gmail.com; alidaanna@gmail.com; freikata98@gmail.com; festuca7@yahoo.com; leeuwen@geo.u-szeged.hu; tobak@geo.u-szeged.hu; csntact@gmail.com</t>
  </si>
  <si>
    <t>; Csikós, Nándor/AAE-7417-2020; Szilassi, Peter/L-8318-2018; Bátori, Zoltán/M-3399-2018</t>
  </si>
  <si>
    <t>Tobak, Zalán/0000-0002-4960-2198; Habenczyus, Alida Anna/0000-0003-0905-6724; van Leeuwen, Boudewijn/0000-0002-1117-5872; Csikós, Nándor/0000-0002-7395-7298; Frei, Kata/0000-0001-7585-7613; Szilassi, Peter/0000-0003-0051-6739; Bátori, Zoltán/0000-0001-9915-5309</t>
  </si>
  <si>
    <t>2223-7747</t>
  </si>
  <si>
    <t>Plants-Basel</t>
  </si>
  <si>
    <t>Plant Sciences</t>
  </si>
  <si>
    <t>XZ7SF</t>
  </si>
  <si>
    <t>Green Submitted, Green Accepted, gold</t>
  </si>
  <si>
    <t>Neil, E; Greengrass, E</t>
  </si>
  <si>
    <t>Neil, Emily; Greengrass, Elizabeth</t>
  </si>
  <si>
    <t>ORYX</t>
  </si>
  <si>
    <t>Babile Elephant Sanctuary; conflict; crop foraging; elephant conservation; encroachment; Ethiopia; paper park; protected area</t>
  </si>
  <si>
    <t>NATIONAL-PARK; PROTECTED AREAS; DROUGHT; AFRICA; LAND; DECLINES; WILDLIFE; IMPACT</t>
  </si>
  <si>
    <t>[Neil, Emily] Univ Oxford, Sch Geog &amp; Environm, South Parks Rd, Oxford OX1 3QY, England; [Greengrass, Elizabeth] Born Free Fdn, Horsham, W Sussex, England</t>
  </si>
  <si>
    <t>University of Oxford</t>
  </si>
  <si>
    <t>Neil, E (corresponding author), Univ Oxford, Sch Geog &amp; Environm, South Parks Rd, Oxford OX1 3QY, England.</t>
  </si>
  <si>
    <t>emily.neil@worc.ox.ac.uk</t>
  </si>
  <si>
    <t>Greengrass, Elizabeth/0000-0002-2954-682X</t>
  </si>
  <si>
    <t>Born Free Foundation; Elephant Crisis Fund through Save the Elephants; U.S. Fish &amp; Wildlife African Elephant Fund</t>
  </si>
  <si>
    <t>We are grateful to the Ethiopian Wildlife Conservation Authority for permission to work in the Babile Elephant Sanctuary, and to Zelealem Tefera, Motuma Adula, Peter Kenchington, and the Babile Elephant Sanctuary ranger team for their fieldwork. Work was funded by the Born Free Foundation, the Elephant Crisis Fund through Save the Elephants, and the U.S. Fish &amp; Wildlife African Elephant Fund.</t>
  </si>
  <si>
    <t>0030-6053</t>
  </si>
  <si>
    <t>1365-3008</t>
  </si>
  <si>
    <t>Oryx</t>
  </si>
  <si>
    <t>PII S0030605320001088</t>
  </si>
  <si>
    <t>NOV 2021</t>
  </si>
  <si>
    <t>1F0SS</t>
  </si>
  <si>
    <t>Zhang, YZ; Yin, HR; Zhu, LQ; Miao, CH</t>
  </si>
  <si>
    <t>Zhang, Yingzhuo; Yin, Haoran; Zhu, Lianqi; Miao, Changhong</t>
  </si>
  <si>
    <t>nature reserves; landscape fragmentation; north-south transitional zone; spatial differentiation; Qinling-Daba Mountains; habitat quality</t>
  </si>
  <si>
    <t>BIODIVERSITY; CLIMATE; RIVER</t>
  </si>
  <si>
    <t>[Zhang, Yingzhuo; Miao, Changhong] Henan Univ, Key Res Inst Yellow River Civilizat &amp; Sustainable, Kaifeng 475001, Peoples R China; [Zhang, Yingzhuo; Miao, Changhong] Henan Univ, Collaborat Innovat Ctr Yellow River Civilizat Joi, Kaifeng 475001, Peoples R China; [Zhang, Yingzhuo; Miao, Changhong] Henan Univ, Minist Educ, Kaifeng 475001, Peoples R China; [Zhang, Yingzhuo; Yin, Haoran; Zhu, Lianqi; Miao, Changhong] Henan Univ, Coll Geog &amp; Environm Sci, Kaifeng 475004, Peoples R China</t>
  </si>
  <si>
    <t>Henan University; Henan University; Henan University; Henan University</t>
  </si>
  <si>
    <t>Miao, CH (corresponding author), Henan Univ, Key Res Inst Yellow River Civilizat &amp; Sustainable, Kaifeng 475001, Peoples R China.;Miao, CH (corresponding author), Henan Univ, Collaborat Innovat Ctr Yellow River Civilizat Joi, Kaifeng 475001, Peoples R China.;Miao, CH (corresponding author), Henan Univ, Minist Educ, Kaifeng 475001, Peoples R China.;Miao, CH (corresponding author), Henan Univ, Coll Geog &amp; Environm Sci, Kaifeng 475004, Peoples R China.</t>
  </si>
  <si>
    <t>104752180027@vip.henu.edu.cn; 104753190112@henu.edu.cn; lqzhu@henu.edu.cn; chhmiao@henu.edu.cn</t>
  </si>
  <si>
    <t>Yin, Haoran/HJG-8069-2022</t>
  </si>
  <si>
    <t>NOV</t>
  </si>
  <si>
    <t>XG1DT</t>
  </si>
  <si>
    <t>Lawrence, A; Friedrich, F; Beierkuhnlein, C</t>
  </si>
  <si>
    <t>Lawrence, Alexandra; Friedrich, Fabian; Beierkuhnlein, Carl</t>
  </si>
  <si>
    <t>PLOS ONE</t>
  </si>
  <si>
    <t>EFFECTIVE MESH SIZE; HABITAT FRAGMENTATION; PROTECTED AREAS; LAND; TERRESTRIAL; EXTINCTION; RICHNESS; REVEALS; RISK</t>
  </si>
  <si>
    <t>[Lawrence, Alexandra; Friedrich, Fabian; Beierkuhnlein, Carl] Univ Bayreuth, Dept Biogeog, Bayreuth, Germany; [Beierkuhnlein, Carl] Bayreuth Ctr Ecol &amp; Environm Res, BayCEER, Bayreuth, Germany; [Beierkuhnlein, Carl] Bayreuth Inst Geog, GIB, Bayreuth, Germany</t>
  </si>
  <si>
    <t>University of Bayreuth; University of Bayreuth</t>
  </si>
  <si>
    <t>Lawrence, A (corresponding author), Univ Bayreuth, Dept Biogeog, Bayreuth, Germany.</t>
  </si>
  <si>
    <t>alawrence.biogeography@gmail.com</t>
  </si>
  <si>
    <t>Beierkuhnlein, Carl/ABF-9693-2021; Lawrence, Alexana/JJD-1234-2023; Friedrich, Michaela/HLQ-6131-2023</t>
  </si>
  <si>
    <t>Beierkuhnlein, Carl/0000-0002-6456-4628; Lawrence, Alexana/0000-0002-8911-4252;</t>
  </si>
  <si>
    <t>ECOPOTENTIAL project - EU Horizon 2020 research and innovation programme [641762]; H2020 Societal Challenges Programme [641762] Funding Source: H2020 Societal Challenges Programme</t>
  </si>
  <si>
    <t>ECOPOTENTIAL project - EU Horizon 2020 research and innovation programme; H2020 Societal Challenges Programme(Horizon 2020European Union (EU)H2020 Societal Challenges Programme)</t>
  </si>
  <si>
    <t>AL and CB acknowledge support from the ECOPOTENTIAL project - EU Horizon 2020 research and innovation programme, grant agreement No. 641762. The sponsors did not play a role in the study design, data collection and analysis, decision to publish, or preparation of the manuscript. URL: https://www.ecopotentialproject.eu/.</t>
  </si>
  <si>
    <t>PUBLIC LIBRARY SCIENCE</t>
  </si>
  <si>
    <t>SAN FRANCISCO</t>
  </si>
  <si>
    <t>1160 BATTERY STREET, STE 100, SAN FRANCISCO, CA 94111 USA</t>
  </si>
  <si>
    <t>1932-6203</t>
  </si>
  <si>
    <t>PLoS One</t>
  </si>
  <si>
    <t>OCT 21</t>
  </si>
  <si>
    <t>e0258615</t>
  </si>
  <si>
    <t>YZ7VP</t>
  </si>
  <si>
    <t>Ren, JL; Chen, JS; Xu, CL; van de Koppel, J; Thomsen, MS; Qiu, SY; Cheng, FY; Song, WJ; Liu, QX; Xu, C; Bai, JH; Zhang, YH; Cui, BS; Bertness, MD; Silliman, BR; Li, B; He, Q</t>
  </si>
  <si>
    <t>Ren, Junlin; Chen, Jianshe; Xu, Changlin; van de Koppel, Johan; Thomsen, Mads S.; Qiu, Shiyun; Cheng, Fangyan; Song, Wanjuan; Liu, Quan-Xing; Xu, Chi; Bai, Junhong; Zhang, Yihui; Cui, Baoshan; Bertness, Mark D.; Silliman, Brian R.; Li, Bo; He, Qiang</t>
  </si>
  <si>
    <t>SCIENCE ADVANCES</t>
  </si>
  <si>
    <t>SPARTINA-ALTERNIFLORA; PHRAGMITES-AUSTRALIS; PLANT INVASION; EXOTIC PLANT; DISTURBANCE; COMPETITION; RESILIENCE; DIVERSITY; IMPACTS</t>
  </si>
  <si>
    <t>[Ren, Junlin; Chen, Jianshe; Xu, Changlin; Qiu, Shiyun; Cheng, Fangyan; Li, Bo; He, Qiang] Fudan Univ, Sch Life Sci, Coastal Ecol Lab, MOE Key Lab Biodivers Sci &amp; Ecol Engn,Natl Observ, 2005 Songhu Rd, Shanghai 200438, Peoples R China; [van de Koppel, Johan] Royal Netherlands Inst Sea Res, Dept Estuarine &amp; Delta Syst, 4401 NT7, Yerseke, Netherlands; [van de Koppel, Johan] Univ Utrecht, 4401 NT7, Yerseke, Netherlands; [van de Koppel, Johan] Univ Groningen, Groningen Inst Evolutionary Life Sci, Conservat Ecol Grp, NL-9700 CC Groningen, Netherlands; [Thomsen, Mads S.] Univ Canterbury, Marine Ecol Res Grp, Sch Biol Sci, Christchurch, New Zealand; [Thomsen, Mads S.] Univ Canterbury, Ctr Integrat Ecol, Sch Biol Sci, Christchurch, New Zealand; [Thomsen, Mads S.] Aarhus Univ, Dept Biosci, DK-4000 Roskilde, Denmark; [Song, Wanjuan] Beijing Normal Univ, Chinese Acad Sci, Aerosp Informat Res Inst, State Key Lab Remote Sensing Sci, Beijing, Peoples R China; [Liu, Quan-Xing] East China Normal Univ, Shanghai Key Lab Urban Ecol Proc &amp; Ecorestorat, Sch Ecol &amp; Environm Sci, Shanghai 200241, Peoples R China; [Liu, Quan-Xing] East China Normal Univ, Ctr Global Change &amp; Ecol Forecasting, Sch Ecol &amp; Environm Sci, Shanghai 200241, Peoples R China; [Xu, Chi] Nanjing Univ, Sch Life Sci, Nanjing 210023, Peoples R China; [Bai, Junhong; Cui, Baoshan] Beijing Normal Univ, Sch Environm, State Key Lab Water Environm Simulat, Beijing 100875, Peoples R China; [Zhang, Yihui] Xiamen Univ, Coll Environm &amp; Ecol, Key Lab, Minist Educ Coastal &amp; Wetland Ecosyst, Xiamen 361102, Fujian, Peoples R China; [Bertness, Mark D.] Brown Univ, Dept Ecol Evolut &amp; Organismal Biol, Providence, RI 02912 USA; [Silliman, Brian R.] Duke Univ, Nicholas Sch Environm, Div Marine Sci &amp; Conservat, 135 Duke Marine Lab Rd, Beaufort, NC 28516 USA</t>
  </si>
  <si>
    <t>Fudan University; Utrecht University; Royal Netherlands Institute for Sea Research (NIOZ); Utrecht University; University of Groningen; University of Canterbury; University of Canterbury; Aarhus University; Beijing Normal University; Chinese Academy of Sciences; Aerospace Information Research Institute, CAS; East China Normal University; East China Normal University; Nanjing University; Beijing Normal University; Xiamen University; Brown University; Duke University</t>
  </si>
  <si>
    <t>He, Q (corresponding author), Fudan Univ, Sch Life Sci, Coastal Ecol Lab, MOE Key Lab Biodivers Sci &amp; Ecol Engn,Natl Observ, 2005 Songhu Rd, Shanghai 200438, Peoples R China.</t>
  </si>
  <si>
    <t>he_qiang@hotmail.com</t>
  </si>
  <si>
    <t>Liu, Quan-Xing/E-4892-2010; 成, 方妍/S-6509-2016; van de Koppel, Johan/E-7266-2010; Bai, Junhong/V-1993-2019; Li, Bo/B-8016-2010; Thoen, Mads/LXW-1451-2024</t>
  </si>
  <si>
    <t>Liu, Quan-Xing/0000-0002-8602-0154; 成, 方妍/0000-0001-7214-305X; Qiu, Shiyun/0000-0002-0697-3757; van de Koppel, Johan/0000-0002-0103-4275; Bai, Junhong/0000-0003-2613-2143; Xu, Chi/0000-0002-1841-9032; Xu, Changlin/0009-0002-8375-6833; Li, Bo/0000-0002-0439-5666; REN, JUNLIN/0000-0002-3373-6079; Song, Wanjuan/0000-0003-3321-1499; Thoen, Mads/0000-0003-4597-3343</t>
  </si>
  <si>
    <t>National Natural Science Foundation of China [31870414, 41630528, 32030067]; National Key R&amp;D Program of China [2017YFC1200100]</t>
  </si>
  <si>
    <t>National Natural Science Foundation of China(National Natural Science Foundation of China (NSFC)); National Key R&amp;D Program of China</t>
  </si>
  <si>
    <t>This study was funded by the National Natural Science Foundation of China (31870414; 41630528; 32030067) and the National Key R&amp;D Program of China (2017YFC1200100).</t>
  </si>
  <si>
    <t>AMER ASSOC ADVANCEMENT SCIENCE</t>
  </si>
  <si>
    <t>WASHINGTON</t>
  </si>
  <si>
    <t>1200 NEW YORK AVE, NW, WASHINGTON, DC 20005 USA</t>
  </si>
  <si>
    <t>2375-2548</t>
  </si>
  <si>
    <t>SCI ADV</t>
  </si>
  <si>
    <t>Sci. Adv.</t>
  </si>
  <si>
    <t>eabi8943</t>
  </si>
  <si>
    <t>WH3GV</t>
  </si>
  <si>
    <t>Green Submitted, Green Published, gold</t>
  </si>
  <si>
    <t>Boyle, SP; Keevil, MG; Litzgus, JD; Tyerman, D; Lesbarrères, D</t>
  </si>
  <si>
    <t>Boyle, Sean P.; Keevil, M. G.; Litzgus, Jacqueline D.; Tyerman, Don; Lesbarreres, David</t>
  </si>
  <si>
    <t>BIOLOGICAL CONSERVATION</t>
  </si>
  <si>
    <t>Before-after-control-impact; Protected areas; Exclusion fencing; Road ecology; Crossing structures; Reptiles and amphibians; GAM; Mark-recapture</t>
  </si>
  <si>
    <t>PER-GENERATION RULE; CONSERVATION STATUS; BARRIER WALL; TURTLES; HERPETOFAUNA; PERSISTENCE; CULVERTS; HIGHWAY; COST</t>
  </si>
  <si>
    <t>[Boyle, Sean P.; Keevil, M. G.; Litzgus, Jacqueline D.; Lesbarreres, David] Laurentian Univ, 935 Ramsey Lake Rd, Sudbury, ON, Canada; [Tyerman, Don] Ontario Pk,328 Presquile Pkwy, Brighton, ON, Canada; [Boyle, Sean P.] Mem Univ Newfoundland, 230 Elizabeth Rd, St John, NF, Canada</t>
  </si>
  <si>
    <t>Laurentian University; Memorial University Newfoundland</t>
  </si>
  <si>
    <t>Boyle, SP (corresponding author), Laurentian Univ, 935 Ramsey Lake Rd, Sudbury, ON, Canada.;Boyle, SP (corresponding author), Mem Univ Newfoundland, 230 Elizabeth Rd, St John, NF, Canada.</t>
  </si>
  <si>
    <t>spboyle@mun.ca</t>
  </si>
  <si>
    <t>; Keevil, Matthew/HTP-7362-2023</t>
  </si>
  <si>
    <t>Boyle, Sean/0000-0003-3351-8984; Keevil, Matthew/0000-0003-4596-1879</t>
  </si>
  <si>
    <t>Ontario MNRF (SARFFO) [14-15-LU]; Ontario MOECC (GLGCF) [3-729]; Friends of Presqu'ile and Presqu'ile Provincial Park; Ontario MNRF (SARSF) [57-14-LU2]</t>
  </si>
  <si>
    <t>Ontario MNRF (SARFFO); Ontario MOECC (GLGCF); Friends of Presqu'ile and Presqu'ile Provincial Park; Ontario MNRF (SARSF)</t>
  </si>
  <si>
    <t>We thank our funding sources: Ontario MNRF (SARSF#57-14-LU2 held by SPB, MGK, JDL and DL; SARFFO#14-15-LU held by SPB and DL) , Ontario MOECC (GLGCF#3-729 held by SPB and DL) and the Friends of Presqu'ile and Presqu'ile Provincial Park. Special thanks to Rob Cunningham, Corina Brdar and Steve Sinclair for facilitating the research and mitigation in Presqu'ile, and Cristen Watt, Natasha Noble, Mary Balsdon, Rachel Dillon, Cory Trowbridge, Brooklyn Loshaw, and Jennifer Hilton for field and lab support. Thanks to anonymous re-viewers for improving our manuscript.</t>
  </si>
  <si>
    <t>0006-3207</t>
  </si>
  <si>
    <t>1873-2917</t>
  </si>
  <si>
    <t>BIOL CONSERV</t>
  </si>
  <si>
    <t>Biol. Conserv.</t>
  </si>
  <si>
    <t>JUL 2021</t>
  </si>
  <si>
    <t>UK2JX</t>
  </si>
  <si>
    <t>Shah, P; Baylis, K; Busch, J; Engelmann, J</t>
  </si>
  <si>
    <t>Shah, Payal; Baylis, Kathy; Busch, Jonah; Engelmann, Jens</t>
  </si>
  <si>
    <t>ENVIRONMENTAL RESEARCH LETTERS</t>
  </si>
  <si>
    <t>protected areas; forest loss; impact evaluation; Aichi Targets; conservation policy; regression tree</t>
  </si>
  <si>
    <t>AVOIDED DEFORESTATION; DEGAZETTEMENT PADDD; LAND-USE; CONSERVATION; GOVERNANCE; RESTRICTIONS; LOCATION; DRIVERS; IMPACT; GROWTH</t>
  </si>
  <si>
    <t>[Shah, Payal] Okinawa Inst Sci &amp; Technol Grad Univ, 1919-1 Tancha, Onna Son, Okinawa 9040495, Japan; [Baylis, Kathy] Univ Calif Santa Barbara, Dept Geog, 1832 Ellison Hall, Santa Barbara, CA 93106 USA; [Busch, Jonah] Conservat Int, 2011 Crystal Dr Suite 500, Arlington, VA 22202 USA; [Engelmann, Jens] Univ Wisconsin, Dept Agr &amp; Appl Econ, 427 Lorch St, Madison, WI USA</t>
  </si>
  <si>
    <t>Okinawa Institute of Science &amp; Technology Graduate University; University of California System; University of California Santa Barbara; Conservation International; University of Wisconsin System; University of Wisconsin Madison</t>
  </si>
  <si>
    <t>Shah, P (corresponding author), Okinawa Inst Sci &amp; Technol Grad Univ, 1919-1 Tancha, Onna Son, Okinawa 9040495, Japan.</t>
  </si>
  <si>
    <t>payal.shah@oist.jp</t>
  </si>
  <si>
    <t>Japan Society for the Promotion of Science [18K18224]; Okinawa Institute of Science and Technology Graduate University; Norwegian Agency for Development Cooperation; Grants-in-Aid for Scientific Research [18K18224] Funding Source: KAKEN</t>
  </si>
  <si>
    <t>Japan Society for the Promotion of Science(Ministry of Education, Culture, Sports, Science and Technology, Japan (MEXT)Japan Society for the Promotion of Science); Okinawa Institute of Science and Technology Graduate University(Okinawa Institute of Science &amp; Technology Graduate University); Norwegian Agency for Development Cooperation(Norwegian Agency for Development Cooperation - NORAD); Grants-in-Aid for Scientific Research(Ministry of Education, Culture, Sports, Science and Technology, Japan (MEXT)Japan Society for the Promotion of ScienceGrants-in-Aid for Scientific Research (KAKENHI))</t>
  </si>
  <si>
    <t>This research has been partially supported by Grantsin-Aid for Scientific Research (18K18224) by Japan Society for the Promotion of Science and by the Okinawa Institute of Science and Technology Graduate University. The authors are also grateful for support from the Norwegian Agency for Development Cooperation.</t>
  </si>
  <si>
    <t>IOP Publishing Ltd</t>
  </si>
  <si>
    <t>Bristol</t>
  </si>
  <si>
    <t>No.2 The Distillery, Glassfields, Avon Street, Bristol, ENGLAND</t>
  </si>
  <si>
    <t>1748-9326</t>
  </si>
  <si>
    <t>ENVIRON RES LETT</t>
  </si>
  <si>
    <t>Environ. Res. Lett.</t>
  </si>
  <si>
    <t>Environmental Sciences; Meteorology &amp; Atmospheric Sciences</t>
  </si>
  <si>
    <t>Environmental Sciences &amp; Ecology; Meteorology &amp; Atmospheric Sciences</t>
  </si>
  <si>
    <t>TB4TN</t>
  </si>
  <si>
    <t>Koju, NP; Kandel, RC; Acharya, HB; Dhakal, BK; Bhuju, DR</t>
  </si>
  <si>
    <t>Koju, Narayan Prasad; Kandel, Ram Chandra; Acharya, Hari Bhadra; Dhakal, Bed Kumar; Bhuju, Dinesh Raj</t>
  </si>
  <si>
    <t>ECOLOGY AND EVOLUTION</t>
  </si>
  <si>
    <t>biodiversity; poaching; SARS-CoV-2; security; wildlife crime</t>
  </si>
  <si>
    <t>REPRODUCTION; SEASONALITY</t>
  </si>
  <si>
    <t>To contain transmission of COVID-19, lockdowns or strict restrictions of people's mobility outside their residences were instituted in a majority of countries worldwide, including Nepal, where the first phase of nationwide lockdown was observed from 24 March to 21 July 2020. This sudden halt in human outdoor activities brought positive and negative impacts on forests and wildlife. We undertook a study to learn the impact of the COVID-19 lockdown on wildlife and forests in the protected areas (PAs) of Nepal. Between July and September 2020, data on illegal activities recorded by the staff of PAs and also those reported by media were collected and analyzed. Key informant interviews (KII) were done with the park officers and security personnel by virtual communication (telephone, messenger app, and video call) to collect detailed information and for corroboration. The collected data were categorized into four groups: (a) wildlife killed, (b) wildlife injured, (c) arrest incidents related to forest crime, and (d) arrest incidents related to wildlife crime. Data from the fiscal year 2019-2020 were analyzed, comparing before lockdown and after. Among 20 PAs investigated during the lockdown, the study found substantial increases in wildlife death in two PAs, Banke National Park, and Bardia National Park. Similarly, Chitwan National Park (CNP) and Shivapuri Nagarjun National Park (SNNP) witnessed a rise in wildlife poaching. CNP and SNNP are located close to densely populated cities and also have human settlements in their peripheries. Wildlife was sighted freely roaming inside PAs during the lockdown, presumably because the absence of visitors and human activities during the lockdown decreased disturbance. Thus, the wildlife was enjoying the freedom of movement on the one hand, and on the other hand was threatened by poachers, many of whom were laid off from other activities and were taking advantage of the lapse in security.</t>
  </si>
  <si>
    <t>[Koju, Narayan Prasad] Pokhara Univ, Nepal Engn Coll, Ctr Postgrad Studies, Nat Resources Management Program, Pokhara, Nepal; [Koju, Narayan Prasad] Univ Washington, Dept Psychol, Seattle, WA 98195 USA; [Kandel, Ram Chandra; Acharya, Hari Bhadra; Dhakal, Bed Kumar] Minist Forests &amp; Environm, Dept Natl Pk &amp; Wildlife Conservat, Babarmahal, Nepal; [Kandel, Ram Chandra] Minist Ind Tourism Forest &amp; Environm, Janakpur, Nepal; [Bhuju, Dinesh Raj] Resources Himalaya Fdn, Kathmandu, Nepal; [Bhuju, Dinesh Raj] Midwestern Univ, Surkhet, Nepal</t>
  </si>
  <si>
    <t>University of Washington; University of Washington Seattle</t>
  </si>
  <si>
    <t>Koju, NP (corresponding author), Pokhara Univ, Nepal Engn Coll, Ctr Postgrad Studies, Nat Resources Management Program, Pokhara, Nepal.</t>
  </si>
  <si>
    <t>npkoju.2003@gmail.com; rckandel06@gmail.com; hbacharya07@gmail.com; dineshbhuju@gmail.com</t>
  </si>
  <si>
    <t>; Koju, Narayan Prasad/AEF-8442-2022</t>
  </si>
  <si>
    <t>Kandel, Ram Chana/0000-0002-3570-4249; Koju, Narayan Prasad/0000-0002-4303-0520</t>
  </si>
  <si>
    <t>Resources Himalaya Foundation; Nepal National Commission for UNESCO</t>
  </si>
  <si>
    <t>2045-7758</t>
  </si>
  <si>
    <t>ECOL EVOL</t>
  </si>
  <si>
    <t>Ecol. Evol.</t>
  </si>
  <si>
    <t>10.1002/ece3.7778</t>
  </si>
  <si>
    <t>JUN 2021</t>
  </si>
  <si>
    <t>Ecology; Evolutionary Biology</t>
  </si>
  <si>
    <t>Environmental Sciences &amp; Ecology; Evolutionary Biology</t>
  </si>
  <si>
    <t>TL6OC</t>
  </si>
  <si>
    <t>WOS:000664025800001</t>
  </si>
  <si>
    <t>Conciani, DE; dos Santos, LP; Silva, TSF; Durigan, G; Alvarado, ST</t>
  </si>
  <si>
    <t>Conciani, Dhemerson E.; dos Santos, Lucas Pereira; Silva, Thiago Sanna Freire; Durigan, Giselda; Alvarado, Swanni T.</t>
  </si>
  <si>
    <t>Savannas; Protected areas; Anthropic landscapes; Forestry; Landsat; Fire management</t>
  </si>
  <si>
    <t>SAVANNA VEGETATION; NATIONAL-PARK; AFRICAN; MANAGEMENT; EXPANSION; FREQUENCY; PATTERNS; DRIVERS; IMPACTS; MODEL</t>
  </si>
  <si>
    <t>[Conciani, Dhemerson E.] Univ Estadual Paulista UNESP, Inst Biociencias, Dept Ecol, Ave 24-A 1515, BR-13506900 Rio Claro, Brazil; [dos Santos, Lucas Pereira] Ctr Univ Fac Integradas Ourinhos, Dept Agron, Ourinhos, SP, Brazil; [Silva, Thiago Sanna Freire] Stirling Univ, Fac Nat Sci, Biol &amp; Environm Sci, Stirling FK9 4LA, Scotland; [Durigan, Giselda] Floresta Estadual Assis, Inst Florestal, Cx Postal 104, BR-19807300 Assis, SP, Brazil; [Alvarado, Swanni T.] Univ Estadual Maranhao UEMA, Programa Posgrad Agr &amp; Ambiente, Balsas, Maranhao, Brazil; [Alvarado, Swanni T.] Univ Estadual Maranhao UEMA, Programa Posgrad Geog Nat &amp; Dinam Espaco, Sao Luis, Maranhao, Brazil</t>
  </si>
  <si>
    <t>Universidade Estadual Paulista; University of Stirling; Universidade Estadual do Maranhao; Universidade Estadual do Maranhao</t>
  </si>
  <si>
    <t>Conciani, DE (corresponding author), Univ Estadual Paulista UNESP, Inst Biociencias, Dept Ecol, Ave 24-A 1515, BR-13506900 Rio Claro, Brazil.</t>
  </si>
  <si>
    <t>dhemerson.conciani@unesp.br</t>
  </si>
  <si>
    <t>Silva, Thiago/A-2444-2009; Alvarado, Swanni T/S-6684-2018; Durigan, Giselda/B-9657-2012</t>
  </si>
  <si>
    <t>Silva, Thiago/0000-0001-8174-0489; Estevão Conciani da Costa, Dhemerson/0000-0003-0181-5642; Alvarado, Swanni T/0000-0002-6416-0076;</t>
  </si>
  <si>
    <t>Conselho Nacional de Desenvolvimento Cientifico e Tecnologico - CNPq [441968/20180]; Instituto Florestal [00042491702019]; CNPq [303179/20163]; Sao Paulo Research Foundation (FAPESP) [2014/127281]; Universidade Estadual do Maranhao (UEMA) [840/2018]</t>
  </si>
  <si>
    <t>Conselho Nacional de Desenvolvimento Cientifico e Tecnologico - CNPq(Conselho Nacional de Desenvolvimento Cientifico e Tecnologico (CNPQ)); Instituto Florestal; CNPq(Conselho Nacional de Desenvolvimento Cientifico e Tecnologico (CNPQ)); Sao Paulo Research Foundation (FAPESP)(Fundacao de Amparo a Pesquisa do Estado de Sao Paulo (FAPESP)); Universidade Estadual do Maranhao (UEMA)</t>
  </si>
  <si>
    <t>The authors thank Instituto Florestal for providing information about the study sites and logistical assistance. We thank anonymous reviewers for helping us to improve the manuscript. We thank Megan King for the carefully English revision of our manuscript. D.E.C. is currently receiving technical scholarship support from Conselho Nacional de Desenvolvimento Cientifico e Tecnologico - CNPq (grant #441968/20180) . L.S received support from Instituto Florestal (grant #00042491702019) . G.D. was funded by CNPq (grant #303179/20163) . S.T.A. received postdoctoral support from grants #2014/127281, Sao Paulo Research Foundation (FAPESP) . She is currently receiving postdoctoral support from Programa de Fixacao de Doutor (Resolucao 840/2018) from the Universidade Estadual do Maranhao (UEMA) .</t>
  </si>
  <si>
    <t>APR 2021</t>
  </si>
  <si>
    <t>SA9WJ</t>
  </si>
  <si>
    <t>Concepción, ED</t>
  </si>
  <si>
    <t>Concepcion, Elena D.</t>
  </si>
  <si>
    <t>2030 Agenda Sustainable Development Goals; Aichi targets; Birds and Habitats Directives; conservation priority areas; Convention of Biological Diversity; EU Biodiversity Strategy; priority species and habitats; urbanization; á reas prioritarias para la conservació n; Convenio sobre la Diversidad Bioló gica; Directivas de Aves y Há bitats; especies y há bitats prioritarios; Estrategia de la UE sobre Biodiversidad; Objetivos de Desarrollo Sostenible de la Agenda 2030; objetivos de Aichi; urbanizació n</t>
  </si>
  <si>
    <t>BIODIVERSITY; URBANIZATION; PATTERNS</t>
  </si>
  <si>
    <t>[Concepcion, Elena D.] CSIC, Biogeog &amp; Global Change Dept, Natl Museum Nat Sci, Spanish Natl Res Council,MNCN, C Serrano 115 Bis, E-28006 Madrid, Spain; [Concepcion, Elena D.] Univ Complutense Madrid, Biodivers Ecol &amp; Evolut Dept, Fac Biol Sci, C Jose Antonio Novais 12, E-28040 Madrid, Spain</t>
  </si>
  <si>
    <t>Consejo Superior de Investigaciones Cientificas (CSIC); Complutense University of Madrid</t>
  </si>
  <si>
    <t>Concepción, ED (corresponding author), CSIC, Biogeog &amp; Global Change Dept, Natl Museum Nat Sci, Spanish Natl Res Council,MNCN, C Serrano 115 Bis, E-28006 Madrid, Spain.;Concepción, ED (corresponding author), Univ Complutense Madrid, Biodivers Ecol &amp; Evolut Dept, Fac Biol Sci, C Jose Antonio Novais 12, E-28040 Madrid, Spain.</t>
  </si>
  <si>
    <t>elenadconcepcion@gmail.com</t>
  </si>
  <si>
    <t>Concepción, Elena D/L-6335-2013</t>
  </si>
  <si>
    <t>Concepción, Elena D/0000-0002-6715-6902</t>
  </si>
  <si>
    <t>Juan de la Cierva - Incorporacion postdoctoral fellowship from the Spanish Ministry of Science and Innovation [IJCI-2016-30964]</t>
  </si>
  <si>
    <t>Juan de la Cierva - Incorporacion postdoctoral fellowship from the Spanish Ministry of Science and Innovation</t>
  </si>
  <si>
    <t>I am a recipient of a Juan de la Cierva - Incorporacion postdoctoral fellowship (IJCI-2016-30964) from the Spanish Ministry of Science and Innovation. I wholeheartedly thank L. Barrios for the statistical advice, and three anonymous reviewers and the editors for their detailed review comments and suggestions that have considerably enhanced the initial manuscript.</t>
  </si>
  <si>
    <t>MAR 2021</t>
  </si>
  <si>
    <t>TR2AX</t>
  </si>
  <si>
    <t>Green Submitted, Bronze</t>
  </si>
  <si>
    <t>Dwiyahreni, AA; Fuad, HAH; Muhtar, S; Soesilo, TEB; Margules, C; Supriatna, J</t>
  </si>
  <si>
    <t>Dwiyahreni, Asri A.; Fuad, Habiburrachman A. H.; Muhtar, Sunaryo; Soesilo, T. E. Budhi; Margules, Chris; Supriatna, Jatna</t>
  </si>
  <si>
    <t>PROTECTED AREA EFFECTIVENESS; HUMAN PRESSURE; HABITAT LOSS; DEFORESTATION; FOREST; CONSERVATION; IMPACT; ELEPHANTS; SUMATRA; FUTURE</t>
  </si>
  <si>
    <t>[Dwiyahreni, Asri A.; Soesilo, T. E. Budhi; Supriatna, Jatna] Univ Indonesia, Sch Environm Sci, Jakarta 10430, Indonesia; [Supriatna, Jatna] Univ Indonesia, Fac Math &amp; Nat Sci, Dept Biol, Depok 16424, Indonesia; [Dwiyahreni, Asri A.; Fuad, Habiburrachman A. H.; Muhtar, Sunaryo; Supriatna, Jatna] Univ Indonesia, Fac Math &amp; Nat Sci, Res Ctr Climate Change, Depok 16424, Indonesia; [Dwiyahreni, Asri A.; Muhtar, Sunaryo; Margules, Chris; Supriatna, Jatna] Univ Indonesia, Fac Math &amp; Nat Sci, Inst Sustainable Earth &amp; Resources, Depok 16424, Indonesia; [Margules, Chris] James Cook Univ, Coll Sci &amp; Engn, Ctr Trop Environm Sustainabil Sci, Cairns, Australia</t>
  </si>
  <si>
    <t>University of Indonesia; University of Indonesia; University of Indonesia; University of Indonesia; James Cook University</t>
  </si>
  <si>
    <t>Dwiyahreni, AA; Supriatna, J (corresponding author), Univ Indonesia, Sch Environm Sci, Jakarta 10430, Indonesia.;Supriatna, J (corresponding author), Univ Indonesia, Fac Math &amp; Nat Sci, Dept Biol, Depok 16424, Indonesia.;Dwiyahreni, AA; Supriatna, J (corresponding author), Univ Indonesia, Fac Math &amp; Nat Sci, Res Ctr Climate Change, Depok 16424, Indonesia.;Dwiyahreni, AA; Supriatna, J (corresponding author), Univ Indonesia, Fac Math &amp; Nat Sci, Inst Sustainable Earth &amp; Resources, Depok 16424, Indonesia.</t>
  </si>
  <si>
    <t>aadwiyahreni@gmail.com; jatna.supriatna@gmail.com</t>
  </si>
  <si>
    <t>SOESILO, TRI/AAD-2398-2021; Margules, Chris/F-4605-2012</t>
  </si>
  <si>
    <t>Fuad, Habiburrachman Alfian Houzaeri/0000-0002-4493-5524;</t>
  </si>
  <si>
    <t>University of Indonesia through the PITMA A research grant program [NKB-0889/UN2.R3.1/HKP.05.00/2019]</t>
  </si>
  <si>
    <t>University of Indonesia through the PITMA A research grant program</t>
  </si>
  <si>
    <t>We acknowledge the University of Indonesia for financial support through the PITMA A research grant program, Grant ID NKB-0889/UN2.R3.1/HKP.05.00/2019. We thank Indonesian Ministry of Environment and Forestry and Ministry of Public Works for providing reference maps. We also thank the Research Center for Climate Change, University of Indonesia for administrative support of this study.</t>
  </si>
  <si>
    <t>FEB 24</t>
  </si>
  <si>
    <t>QT8BG</t>
  </si>
  <si>
    <t>Wang, H; Liu, XM; Zhao, CY; Chang, YP; Liu, YY; Zang, F</t>
  </si>
  <si>
    <t>Wang, Hong; Liu, Xingming; Zhao, Chuanyan; Chang, Yapeng; Liu, Youyan; Zang, Fei</t>
  </si>
  <si>
    <t>Ecosystem risk assessment; Land use and land cover changes; Landscape pattern; Management zone; Nature reserve</t>
  </si>
  <si>
    <t>DECISION-MAKING; RIVER; AREA; AUTOCORRELATION; DYNAMICS; CLIMATE; TRENDS; IMPACT</t>
  </si>
  <si>
    <t>[Wang, Hong; Zhao, Chuanyan; Chang, Yapeng; Liu, Youyan; Zang, Fei] Lanzhou Univ, State Key Lab Grassland Agroecosyst, Key Lab Grassland Livestock Ind Innovat, Coll Pastoral Agr Sci &amp; Technol,Minist Agr &amp; Rura, Lanzhou 730020, Peoples R China; [Liu, Xingming] Gansu Baishuijiang Natl Nat Reserve Management Bu, Wenxian 746400, Gansu, Peoples R China</t>
  </si>
  <si>
    <t>Lanzhou University</t>
  </si>
  <si>
    <t>Zhao, CY (corresponding author), 222 South Tianshui Rd, Lanzhou 730000, Gansu, Peoples R China.</t>
  </si>
  <si>
    <t>chuanyan_zhao@163.com</t>
  </si>
  <si>
    <t>Wang, Hong/0009-0001-1895-326X</t>
  </si>
  <si>
    <t>National Natural Science Foundation of China [DJGK-2019-016-HT001]; [51178209]; [31901130]</t>
  </si>
  <si>
    <t>National Natural Science Foundation of China(National Natural Science Foundation of China (NSFC)); ;</t>
  </si>
  <si>
    <t>The funding for this work was supported by project of rare and endangered wildlife protection of BNNR in 2018 (DJGK-2019-016-HT001), and National Natural Science Foundation of China (51178209, 31901130).</t>
  </si>
  <si>
    <t>FEB 2021</t>
  </si>
  <si>
    <t>QM2CC</t>
  </si>
  <si>
    <t>Nikolich, K; Halliday, WD; Pine, MK; Cox, K; Black, M; Morris, C; Juanes, F</t>
  </si>
  <si>
    <t>Nikolich, Katrina; Halliday, William D.; Pine, Matthew K.; Cox, Kieran; Black, Morgan; Morris, Corey; Juanes, Francis</t>
  </si>
  <si>
    <t>MARINE POLLUTION BULLETIN</t>
  </si>
  <si>
    <t>Noise pollution; Sebastes; Rockfish; Marine reserve; Northeast Pacific; Communication masking</t>
  </si>
  <si>
    <t>RECREATIONAL FISHER COMPLIANCE; BRITISH-COLUMBIA; ROCKY REEF; SOUND; COMMUNICATION; PATTERNS; SEA</t>
  </si>
  <si>
    <t>[Nikolich, Katrina; Halliday, William D.; Pine, Matthew K.; Cox, Kieran; Black, Morgan; Juanes, Francis] Univ Victoria, Fisheries Ecol &amp; Marine Conservat Lab, Victoria, BC, Canada; [Halliday, William D.] Wildlife Conservat Soc Canada, Victoria, BC, Canada; [Cox, Kieran; Black, Morgan] Hakai Inst, Calvert Isl, BC, Canada; [Morris, Corey] Northwest Atlantic Fisheries Ctr, Fisheries &amp; Oceans Canada, St John, NF, Canada</t>
  </si>
  <si>
    <t>University of Victoria; Hakai Institute; Fisheries &amp; Oceans Canada</t>
  </si>
  <si>
    <t>Nikolich, K (corresponding author), 2-629 Ottawa Ave, Brandon, MB R7A 7X6, Canada.</t>
  </si>
  <si>
    <t>katrinan@uvic.ca</t>
  </si>
  <si>
    <t>Cox, Kieran/0000-0001-5626-1048; Morris, Corey/0000-0003-0840-3886; Halliday, William/0000-0001-7135-076X</t>
  </si>
  <si>
    <t>Canada Healthy Oceans Network (CHONe II); Fisheries and Oceans Canada; Mitacs Elevate postdoc fellowship; Natural Sciences and Engineering Research Council (NSERC), an NSERC Discovery grant; Liber Ero Foundation; INREST</t>
  </si>
  <si>
    <t>Canada Healthy Oceans Network (CHONe II); Fisheries and Oceans Canada; Mitacs Elevate postdoc fellowship; Natural Sciences and Engineering Research Council (NSERC), an NSERC Discovery grant(Natural Sciences and Engineering Research Council of Canada (NSERC)); Liber Ero Foundation; INREST</t>
  </si>
  <si>
    <t>The authors would like to thank the Juanes Lab at the University of Victoria for providing acoustic equipment and boat time. Special thanks to the boat and dive teams: Jessica Qualley, Stefania Gorgopa, Desiree Bulger, Nick Bohlender, Brian Timmer, Kristina Tietjen, Jenna Bright, and Hailey Davies. Thanks to Xavier Mouy for acoustic advising, analytical work, and boat support. Satellite AIS data were provided by the MERIDIAN (Marine Environmental Research Infrastructure for Data Integration and Application Network) project. Funding was provided by the Canada Healthy Oceans Network (CHONe II) and its partners: Fisheries and Oceans Canada and INREST (representing the Port of Sept-Iles and City of Sept-Iles), a Mitacs Elevate postdoc fellowship, Natural Sciences and Engineering Research Council (NSERC) graduate fellowships, an NSERC Discovery grant, and the Liber Ero Foundation.</t>
  </si>
  <si>
    <t>PERGAMON-ELSEVIER SCIENCE LTD</t>
  </si>
  <si>
    <t>THE BOULEVARD, LANGFORD LANE, KIDLINGTON, OXFORD OX5 1GB, ENGLAND</t>
  </si>
  <si>
    <t>0025-326X</t>
  </si>
  <si>
    <t>1879-3363</t>
  </si>
  <si>
    <t>MAR POLLUT BULL</t>
  </si>
  <si>
    <t>Mar. Pollut. Bull.</t>
  </si>
  <si>
    <t>MAR</t>
  </si>
  <si>
    <t>JAN 2021</t>
  </si>
  <si>
    <t>Environmental Sciences; Marine &amp; Freshwater Biology</t>
  </si>
  <si>
    <t>Environmental Sciences &amp; Ecology; Marine &amp; Freshwater Biology</t>
  </si>
  <si>
    <t>RB7BW</t>
  </si>
  <si>
    <t>Hill, NK; Woodworth, BK; Phinn, SR; Murray, NJ; Fuller, RA</t>
  </si>
  <si>
    <t>Hill, Narelle K.; Woodworth, Bradley K.; Phinn, Stuart R.; Murray, Nicholas J.; Fuller, Richard A.</t>
  </si>
  <si>
    <t>Aichi Biodiversity Target 11; coastal management; habitat loss; human modification map; spatial bias</t>
  </si>
  <si>
    <t>CONSERVATION; MANAGEMENT; ECOSYSTEM</t>
  </si>
  <si>
    <t>Tidal flats are a globally distributed coastal ecosystem important for supporting biodiversity and ecosystem services. Local to continental-scale studies have documented rapid loss of tidal habitat driven by human impacts, but assessments of progress in their conservation are lacking. With an internally consistent estimate of distribution and change, based on Landsat satellite imagery, now available for the world's tidal flats, we examined tidal flat representation in protected areas (PAs) and human pressure on tidal flats. We determined tidal flat representation and its net change in PAs by spatially overlaying tidal flat maps with the World Database of Protected Areas. Similarly, we overlaid the most recent distribution map of tidal flats (2014-2016) with the human modification map (HMc) (range from 0, no human pressure, to 1, very high human pressure) to estimate the human pressure exerted on this ecosystem. Sixty-eight percent of the current extent of tidal flats is subject to moderate to very high human pressure (HMc &gt; 0.1), but 31% of tidal flat extent occurred in PAs, far exceeding PA coverage of the marine (6%) and terrestrial (13%) realms. Net change of tidal flat extent inside PAs was similar to tidal flat net change outside PAs from 1999 to 2016. Substantial shortfalls in protection of tidal flats occurred across Asia, where large intertidal extents coincided with high to very high human pressure (HMc &gt; 0.4-1.0) and net tidal flat losses up to 86.4 km(2) (95% CI 83.9-89.0) occurred inside individual PAs in the study period. Taken together, our results show substantial progress in PA designation for tidal flats globally, but that PA status alone does not prevent all habitat loss. Safeguarding the world's tidal flats will thus require deeper understanding of the factors that govern their dynamics and effective policy that promotes holistic coastal and catchment management strategies.</t>
  </si>
  <si>
    <t>[Hill, Narelle K.; Woodworth, Bradley K.; Fuller, Richard A.] Univ Queensland, Sch Biol Sci, Brisbane, Qld 4072, Australia; [Phinn, Stuart R.; Murray, Nicholas J.] Univ Queensland, Sch Earth &amp; Environm Sci, Brisbane, Qld 4072, Australia; [Murray, Nicholas J.] James Cook Univ, Coll Sci &amp; Engn, Townsville, Qld 4811, Australia</t>
  </si>
  <si>
    <t>University of Queensland; University of Queensland; James Cook University</t>
  </si>
  <si>
    <t>Hill, NK (corresponding author), Univ Queensland, Sch Biol Sci, Brisbane, Qld 4072, Australia.</t>
  </si>
  <si>
    <t>narelle.kay.hill@gmail.com</t>
  </si>
  <si>
    <t>Woodworth, Brad/R-7982-2017; Phinn, Stuart/J-8457-2013; Murray, Nicholas/E-4607-2016; Fuller, Richard/B-7971-2008</t>
  </si>
  <si>
    <t>Woodworth, Brad/0000-0002-4528-8250; Phinn, Stuart/0000-0002-2605-6104; Hill, Narelle/0000-0002-0392-3981; Murray, Nicholas/0000-0002-4008-3053; Fuller, Richard/0000-0001-9468-9678</t>
  </si>
  <si>
    <t>Queensland Wader Study Group Nigel Roberts Student Research Fund; Australian Research Council [LP150101059]; Queensland Department of Environment and Science Wetlands Team; Australian Research Council DECRA fellowship [DE190100101]; Australian Research Council [LP150101059, DE190100101] Funding Source: Australian Research Council</t>
  </si>
  <si>
    <t>Queensland Wader Study Group Nigel Roberts Student Research Fund; Australian Research Council(Australian Research Council); Queensland Department of Environment and Science Wetlands Team; Australian Research Council DECRA fellowship(Australian Research Council); Australian Research Council(Australian Research Council)</t>
  </si>
  <si>
    <t>N.K.H. was supported by the Queensland Wader Study Group Nigel Roberts Student Research Fund. B.K.W. was supported by an Australian Research Council Linkage grant LP150101059 (awarded to R.A.F.) between The University of Queensland, Burnett Mary Regional Group, Queensland Wader Study Group, and Queensland Department of Environment and Science Wetlands Team. N.J.M. was supported by an Australian Research Council DECRA fellowship DE190100101.</t>
  </si>
  <si>
    <t>10.1111/cobi.13638</t>
  </si>
  <si>
    <t>SJ0NM</t>
  </si>
  <si>
    <t>WOS:000609396700001</t>
  </si>
  <si>
    <t>Godínez-Gómez, O; Schank, C; Mas, JF; Mendoza, E</t>
  </si>
  <si>
    <t>Godinez-Gomez, Oscar; Schank, Cody; Mas, Jean-Francois; Mendoza, Eduardo</t>
  </si>
  <si>
    <t>Forest loss; Human density; Human pressure index; Fire incidence; Mining activities</t>
  </si>
  <si>
    <t>LAND-USE; LATIN-AMERICA; COVER CHANGE; MINING AREA; DEFORESTATION; AMAZON; FIRE; DYNAMICS; SCALE; DRIVERS</t>
  </si>
  <si>
    <t>[Godinez-Gomez, Oscar; Mendoza, Eduardo] Univ Michoacana, Lab Anal &amp; Conservac Biodiversidad, Inst Invest Recursos Nat, Ave San Juanito Itzicuaro S-N, Morelia 58337, Michoacan, Mexico; [Godinez-Gomez, Oscar] Comis Nacl Conocimiento &amp; Uso Biodiversidad CONAB, Liga Perifer Insurgentes Sur 4903, Ciudad De Mexico 14010, Mexico; [Schank, Cody] Univ Texas Austin, Dept Geog &amp; Environm, Austin, TX 78712 USA; [Schank, Cody] Global Wildlife Conservat, Austin, TX USA; [Mas, Jean-Francois] Univ Nacl Autonoma Mexico, Ctr Invest Geog Ambiental, Lab Anal Espacial, Antigua Carretera Patzcuaro 8701, Morelia 58190, Michoacan, Mexico</t>
  </si>
  <si>
    <t>Universidad Michoacana de San Nicolas de Hidalgo; University of Texas System; University of Texas Austin; Universidad Nacional Autonoma de Mexico</t>
  </si>
  <si>
    <t>Mendoza, E (corresponding author), Univ Michoacana, Lab Anal &amp; Conservac Biodiversidad, Inst Invest Recursos Nat, Ave San Juanito Itzicuaro S-N, Morelia 58337, Michoacan, Mexico.</t>
  </si>
  <si>
    <t>eduardo.mendoza@umich.mx</t>
  </si>
  <si>
    <t>; Mas, Jean Francois/N-5755-2016; Mendoza, Eduardo/K-4269-2019</t>
  </si>
  <si>
    <t>Schank, Cody/0000-0002-8380-5634; Mas, Jean Francois/0000-0002-6138-9879;</t>
  </si>
  <si>
    <t>National Autonomous University of Mexico [DGAPA-UNAM-IN106114-3]</t>
  </si>
  <si>
    <t>National Autonomous University of Mexico(Universidad Nacional Autonoma de Mexico)</t>
  </si>
  <si>
    <t>The financial support provided by the National Autonomous University of Mexico (Grant No. DGAPA-UNAM-IN106114-3), is gratefully acknowledged.</t>
  </si>
  <si>
    <t>e01297</t>
  </si>
  <si>
    <t>PT2WT</t>
  </si>
  <si>
    <t>Li, GY; Gao, JX; Li, LZ; Hou, P</t>
  </si>
  <si>
    <t>Li, Guangyu; Gao, Jixi; Li, Liangzhong; Hou, Peng</t>
  </si>
  <si>
    <t>Human pressure; DMSP/OLS; Nighttime light; Protected area; China</t>
  </si>
  <si>
    <t>ARTIFICIAL-LIGHT; VEGETATION; TRENDS; IMPACT</t>
  </si>
  <si>
    <t>[Li, Guangyu] Chinese Res Inst Environm Sci, Beijing 100012, Peoples R China; [Li, Guangyu; Gao, Jixi; Hou, Peng] Minist Ecol &amp; Environm, Ctr Satellite Applicat Ecol &amp; Environm, Beijing 100094, Peoples R China; [Li, Liangzhong] Minist Ecol &amp; Environm, South China Inst Environm Sci, Guangzhou 510655, Peoples R China</t>
  </si>
  <si>
    <t>Chinese Research Academy of Environmental Sciences; South China Institute of Environmental Sciences, Ministry of Ecology &amp; Environment</t>
  </si>
  <si>
    <t>Gao, JX (corresponding author), Minist Ecol &amp; Environm, Ctr Satellite Applicat Ecol &amp; Environm, Beijing 100094, Peoples R China.</t>
  </si>
  <si>
    <t>gjx@nies.org</t>
  </si>
  <si>
    <t>Li, Guangyu/M-1999-2018</t>
  </si>
  <si>
    <t>National Key Research and Development Program of China [2017YFC0506606, 2016YFC0500206]</t>
  </si>
  <si>
    <t>National Key Research and Development Program of China(National Key Research &amp; Development Program of China)</t>
  </si>
  <si>
    <t>This work was supported by the National Key Research and Development Program of China (2017YFC0506606, 2016YFC0500206).</t>
  </si>
  <si>
    <t>e01222</t>
  </si>
  <si>
    <t>PT2WK</t>
  </si>
  <si>
    <t>White, TD; Ong, T; Ferretti, F; Block, BA; McCauley, DJ; Micheli, F; De Leo, GA</t>
  </si>
  <si>
    <t>White, Timothy D.; Ong, Tiffany; Ferretti, Francesco; Block, Barbara A.; McCauley, Douglas J.; Micheli, Fiorenza; De Leo, Giulio A.</t>
  </si>
  <si>
    <t>Tracking the response of industrial fishing fleets to large marine protected areas in the Pacific Ocean</t>
  </si>
  <si>
    <t>commercial fishing; fisheries; marine protected areas; spatial management; vessel tracking; areas marinas protegidas; manejo espacial; pesca comercial; pesquerias; rastreo de navios</t>
  </si>
  <si>
    <t>RESERVES</t>
  </si>
  <si>
    <t>Large marine protected areas (MPAs) of unprecedented size have recently been established across the global oceans, yet their ability to meet conservation objectives is debated. Key areas of debate include uncertainty over nations' abilities to enforce fishing bans across vast, remote regions and the intensity of human impacts before and after MPA implementation. We used a recently developed vessel tracking data set (produced using Automatic Identification System detections) to quantify the response of industrial fishing fleets to 5 of the largest MPAs established in the Pacific Ocean since 2013. After their implementation, all 5 MPAs successfully kept industrial fishing effort exceptionally low. Detected fishing effort was already low in 4 of the 5 large MPAs prior to MPA implementation, particularly relative to nearby regions that did not receive formal protection. Our results suggest that these large MPAs may present major conservation opportunities in relatively intact ecosystems with low immediate impact to industrial fisheries, but the large MPAs we considered often did not significantly reduce fishing effort because baseline fishing was typically low. It is yet to be determined how large MPAs may shape global ocean conservation in the future if the footprint of human influence continues to expand. Continued improvement in understanding of how large MPAs interact with industrial fisheries is a crucial step toward defining their role in global ocean management.</t>
  </si>
  <si>
    <t>[White, Timothy D.; Ong, Tiffany; Ferretti, Francesco; Block, Barbara A.; Micheli, Fiorenza; De Leo, Giulio A.] Stanford Univ, Hopkins Marine Stn, Pacific Grove, CA 93950 USA; [Ferretti, Francesco] Virginia Polytech Inst &amp; State Univ, Blacksburg, VA 24061 USA; [McCauley, Douglas J.] Univ Calif Santa Barbara, Dept Ecol Evolut &amp; Marine Biol, Santa Barbara, CA 93106 USA; [McCauley, Douglas J.] Univ Calif Santa Barbara, Inst Marine Sci, Santa Barbara, CA 93106 USA; [Micheli, Fiorenza] Stanford Ctr Ocean Solut, Pacific Grove, CA USA</t>
  </si>
  <si>
    <t>Stanford University; Virginia Polytechnic Institute &amp; State University; University of California System; University of California Santa Barbara; University of California System; University of California Santa Barbara</t>
  </si>
  <si>
    <t>White, TD (corresponding author), Stanford Univ, Hopkins Marine Stn, Pacific Grove, CA 93950 USA.</t>
  </si>
  <si>
    <t>whitetdm@gmail.com</t>
  </si>
  <si>
    <t>De Leo, Giulio/AAC-5098-2019; Ferretti, Francesco/AAR-2545-2020</t>
  </si>
  <si>
    <t>De Leo, Giulio/0000-0002-4186-3369; Ferretti, Francesco/0000-0001-9510-3552; Micheli, Fiorenza/0000-0002-6865-1438</t>
  </si>
  <si>
    <t>National Science Foundation [DGE-114747, 1736830]; NSF NOAA's Graduate Research Internship Program; Bertarelli Foundation; Betty and Gordon Moore Foundation; Benioff Ocean Initiative; Division Of Ocean Sciences; Directorate For Geosciences [1736830] Funding Source: National Science Foundation</t>
  </si>
  <si>
    <t>National Science Foundation(National Science Foundation (NSF)); NSF NOAA's Graduate Research Internship Program(National Oceanic Atmospheric Admin (NOAA) - USA); Bertarelli Foundation; Betty and Gordon Moore Foundation(Gordon &amp; Betty Moore Foundation); Benioff Ocean Initiative; Division Of Ocean Sciences; Directorate For Geosciences(National Science Foundation (NSF)NSF - Directorate for Geosciences (GEO))</t>
  </si>
  <si>
    <t>We thank Global Fishing Watch for facilitating remote sensing of fishing effort. We acknowledge support by the National Science Foundation's Graduate Research Fellowship Program (DGE-114747), the National Science Foundation's grant 1736830, NSF NOAA's Graduate Research Internship Program, the Bertarelli Foundation, the Betty and Gordon Moore Foundation, and the Benioff Ocean Initiative.</t>
  </si>
  <si>
    <t>10.1111/cobi.13584</t>
  </si>
  <si>
    <t>OCT 2020</t>
  </si>
  <si>
    <t>OW1GY</t>
  </si>
  <si>
    <t>WOS:000576038000001</t>
  </si>
  <si>
    <t>Karimi, A; Jones, K</t>
  </si>
  <si>
    <t>Karimi, Azadeh; Jones, Kendall</t>
  </si>
  <si>
    <t>Human footprint; Human population; Human pressure; Iran; IUCN management categories; Protected areas</t>
  </si>
  <si>
    <t>PROTECTED AREAS; LAND; CHALLENGES; HABITAT; THREATS; MAP</t>
  </si>
  <si>
    <t>[Karimi, Azadeh] Ferdowsi Univ Mashhad, Fac Nat Resources &amp; Environm, Dept Environm, Mashhad 9177948974, Razavi Khorasan, Iran; [Jones, Kendall] Wildlife Conservat Soc, Global Conservat Program, Bronx, NY 10460 USA</t>
  </si>
  <si>
    <t>Ferdowsi University Mashhad; Wildlife Conservation Society</t>
  </si>
  <si>
    <t>Karimi, A (corresponding author), Ferdowsi Univ Mashhad, Fac Nat Resources &amp; Environm, Dept Environm, Mashhad 9177948974, Razavi Khorasan, Iran.</t>
  </si>
  <si>
    <t>az-karimi@um.ac.ir; krjones@wcs.org</t>
  </si>
  <si>
    <t>Karimi, Azadeh/U-2105-2019; Jones, Kendall/N-2464-2015</t>
  </si>
  <si>
    <t>Karimi, Azadeh/0000-0002-0892-6647; Jones, Kendall/0000-0003-2221-9938</t>
  </si>
  <si>
    <t>MC7EE</t>
  </si>
  <si>
    <t>López, S; López-Sandoval, MF; Gerique, A; Salazar, J</t>
  </si>
  <si>
    <t>Lopez, Santiago; Lopez-Sandoval, Maria Fernanda; Gerique, Andres; Salazar, Joel</t>
  </si>
  <si>
    <t>Landscape change in Southern Ecuador: An indicator-based and multi-temporal evaluation of land use and land cover in a mixed-use protected area</t>
  </si>
  <si>
    <t>Remote sensing; Landscape indicators; Downsizing; Composition and configuration; Southern Ecuador</t>
  </si>
  <si>
    <t>DEGAZETTEMENT PADDD; FOREST FRAGMENTATION; CONSERVATION; PATTERN; ACCURACY; CLASSIFICATION; BIODIVERSITY; METRICS; TRENDS; IMPACT</t>
  </si>
  <si>
    <t>In this study, we evaluate landscape composition and configuration changes between 1989 and 2016 associated with the establishment and downsizing of the Corazon de Oro Protective Forest, a mixed-use protected area in the tropical Andes of Southern Ecuador. We identify the most significant land use/land cover changes and the implications for management and conservation linked to these two events. We rely on remote sensing, landscape indicators, statistical analysis, and expert knowledge to evaluate landscape structure. This combination of methods allowed us to quantify diversity, evenness, proportional abundance, dominance, surface area, and isolation trajectories to assess compositional and configurational differences marked by the protected area's creation and downsizing. While we found that landscape composition remained relatively unchanged over time, the creation of the protected area significantly altered landscape configuration but curbed human pressure on evergreen montane habitats. The downsizing event increased anthropogenic pressure on highland paramo vegetation. Our findings demonstrate that some aspects of landscape configuration vary independently of composition. Most importantly, however, we show that protected area formation and downsizing can significantly alter the spatial arrangement and size of transitional areas, which, in turn, may affect landscape dynamics with implications for energy flow and habitat function. The suite of landscape metrics used in this study are effective indicators that can assist managers monitor the performance of mixed-use protected areas.</t>
  </si>
  <si>
    <t>[Lopez, Santiago] Univ Washington Bothell, 18115 Campus Way NE, Bothell, WA 98011 USA; [Lopez-Sandoval, Maria Fernanda] Fac Latinoamer Ciencias Sociales, Quito, Ecuador; [Gerique, Andres] Friedrich Alexander Univ Erlangen Nurnberg, Erlangen, Germany; [Salazar, Joel] Estudios &amp; Serv Ambientales Cia Ltda, Quito 7965, Ecuador</t>
  </si>
  <si>
    <t>University of Washington; University of Washington Bothell; FLACSO Ecuador; University of Erlangen Nuremberg</t>
  </si>
  <si>
    <t>López, S (corresponding author), Univ Washington Bothell, 18115 Campus Way NE, Bothell, WA 98011 USA.</t>
  </si>
  <si>
    <t>cslopez@uw.edu</t>
  </si>
  <si>
    <t>Lopez-Sandoval, Maria/MVU-5619-2025</t>
  </si>
  <si>
    <t>Lopez-Sandoval, Maria/0000-0002-3234-4276; Gerique, Anes/0000-0001-5869-2810</t>
  </si>
  <si>
    <t>10.1016/j.ecolind.2020.106357</t>
  </si>
  <si>
    <t>NA4QM</t>
  </si>
  <si>
    <t>WOS:000559802900007</t>
  </si>
  <si>
    <t>Akodéwou, A; Oszwald, J; Saïdi, S; Gazull, L; Akpavi, S; Akpagana, K; Gond, V</t>
  </si>
  <si>
    <t>Akodewou, Amah; Oszwald, Johan; Saidi, Slim; Gazull, Laurent; Akpavi, Semihinva; Akpagana, Koffi; Gond, Valery</t>
  </si>
  <si>
    <t>land use change; intensity analysis; trajectory analysis; landscape dynamics; West Africa</t>
  </si>
  <si>
    <t>SUPPORT VECTOR MACHINES; INTENSITY ANALYSIS; TRAJECTORY ANALYSIS; ACCURACY; FOREST; CLASSIFICATION; FRAGMENTATION; PATTERNS; IMPACT; MAPS</t>
  </si>
  <si>
    <t>[Akodewou, Amah; Saidi, Slim; Gazull, Laurent; Gond, Valery] CIRAD, Forets &amp; Soc, F-34398 Montpellier, France; [Akodewou, Amah; Gazull, Laurent; Gond, Valery] Univ Montpellier, CIRAD, Forets &amp; Soc, F-34398 Montpellier, France; [Akodewou, Amah; Akpavi, Semihinva; Akpagana, Koffi] Univ Lome, LBEV, Lome 1515, Togo; [Oszwald, Johan] Univ Rennes 2, CNRS, LETG, Lab Geog &amp; Remote Sensing COSTEL,UMR 6554, F-35043 Rennes, France</t>
  </si>
  <si>
    <t>CIRAD; Universite de Montpellier; CIRAD; University of Lome; Universite Rennes 2; Universite de Rennes; Centre National de la Recherche Scientifique (CNRS); CNRS - Institute of Ecology &amp; Environment (INEE)</t>
  </si>
  <si>
    <t>Akodéwou, A (corresponding author), CIRAD, Forets &amp; Soc, F-34398 Montpellier, France.;Akodéwou, A (corresponding author), Univ Montpellier, CIRAD, Forets &amp; Soc, F-34398 Montpellier, France.;Akodéwou, A (corresponding author), Univ Lome, LBEV, Lome 1515, Togo.</t>
  </si>
  <si>
    <t>makodewou@gmail.com; johan.oszwald@univ-rennes2.fr; slim.saidi@cirad.fr; laurent.gazull@cirad.fr; semakpavi@gmail.com; koffi2100@gmail.com; valery.gond@cirad.fr</t>
  </si>
  <si>
    <t>Gond, Valery/0000-0002-0080-3140; AKODEWOU, Amah/0000-0002-1672-1895</t>
  </si>
  <si>
    <t>Islamic Development Bank (IsDB) under its Merit Scholarship Program [36/11210124]</t>
  </si>
  <si>
    <t>Islamic Development Bank (IsDB) under its Merit Scholarship Program</t>
  </si>
  <si>
    <t>This article is part of the first author's Ph.D. work, which was supported by the Islamic Development Bank (IsDB) under its Merit Scholarship Program [no. 36/11210124 of 2015].</t>
  </si>
  <si>
    <t>MM5XY</t>
  </si>
  <si>
    <t>Langton, R; Stirling, DA; Boulcott, P; Wright, PJ</t>
  </si>
  <si>
    <t>Langton, Rebecca; Stirling, David A.; Boulcott, Philip; Wright, Peter J.</t>
  </si>
  <si>
    <t>Marine Protected Areas; Fisheries management; Biodiversity conservation; Species; Habitats; Seabed disturbance</t>
  </si>
  <si>
    <t>MARINE PROTECTED AREAS; BIODIVERSITY TARGET 11; CONSERVATION OUTCOMES; SPAWNING GROUNDS; GLOBAL ANALYSIS; RESERVES; IMPACT; DISTURBANCE; RECOVERY; NETWORK</t>
  </si>
  <si>
    <t>[Langton, Rebecca; Stirling, David A.; Boulcott, Philip; Wright, Peter J.] Marine Scotland Sci, Marine Lab, 375 Victoria Rd, Aberdeen AB11 9DB, Scotland</t>
  </si>
  <si>
    <t>Marine Scotland Science (MSS)</t>
  </si>
  <si>
    <t>Wright, PJ (corresponding author), Marine Scotland Sci, Marine Lab, 375 Victoria Rd, Aberdeen AB11 9DB, Scotland.</t>
  </si>
  <si>
    <t>P.Wright@marlab.ac.uk</t>
  </si>
  <si>
    <t>WRIGHT, PETER/C-8536-2011</t>
  </si>
  <si>
    <t>Scottish Government [SP004, SP02Q]</t>
  </si>
  <si>
    <t>Scottish Government</t>
  </si>
  <si>
    <t>This work was funded by Scottish Government Projects SP004 and SP02Q. All aspects of the study design, collection, analysis and interpretation of data and writing of the report were undertaken solely by the authors following financial approval for the projects.</t>
  </si>
  <si>
    <t>LY0XS</t>
  </si>
  <si>
    <t>Mammides, C</t>
  </si>
  <si>
    <t>Mammides, Christos</t>
  </si>
  <si>
    <t>GLOBAL ENVIRONMENTAL CHANGE-HUMAN AND POLICY DIMENSIONS</t>
  </si>
  <si>
    <t>Biodiversity Conservation; Human Footprint Index; Human Modification Index; Population Densities; Protected Areas; Waterbodies</t>
  </si>
  <si>
    <t>PROTECTED AREAS; BIODIVERSITY; WETLAND; ECOSYSTEMS; IMPACTS; STATE; LAND; INDICATORS; VEGETATION; DECLINES</t>
  </si>
  <si>
    <t>Millions of humans across the globe depend on lakes for numerous ecosystem services. Furthermore, humans use lakes as a food source and for a multitude of economic activities. Lakes are also essential to a plethora of taxa that rely on them for survival. Yet, despite the importance of lakes, we still lack an assessment of the extent lakes worldwide are being influenced by anthropogenic activities. In this study, I use the global database of lakes, the human footprint index from 1993 and 2009, and the more recent human modification index to measure the human pressure on the world's lakes. I found that one-third of the lakes are under considerable pressure. However, during the 16-year period examined, human pressure had increased in only 16% of the lakes, while it remained unchanged in 66%, and has even decreased in 18%. These patterns, though, were not uniform across the globe. Many lakes within tropical and subtropical regions, particularly in Africa-but also in South America and Asia-experienced sizeable increases in human pressure. Moreover, the percentage of lakes within Key Biodiversity Areas in which the human pressure had increased was three times larger the overall number. Although increases in human pressure were lower in lakes within protected areas-compared to lakes outside-there were numerous exceptions, particularly in the tropics. To protect biodiverse lakes in regions where human pressure is intensifying, it is important to improve the effectiveness of the protected areas and to address the socioeconomic factors driving the increases in human pressure.</t>
  </si>
  <si>
    <t>[Mammides, Christos] Guangxi Univ, Coll Forestry, Guangxi Key Lab Forest Ecol &amp; Conservat, Daxuedonglu 100, Nanning 530004, Peoples R China</t>
  </si>
  <si>
    <t>Guangxi University</t>
  </si>
  <si>
    <t>Mammides, C (corresponding author), Guangxi Univ, Coll Forestry, Guangxi Key Lab Forest Ecol &amp; Conservat, Daxuedonglu 100, Nanning 530004, Peoples R China.</t>
  </si>
  <si>
    <t>cmammides@outlook.com</t>
  </si>
  <si>
    <t>Mammides, Christos/H-4194-2019</t>
  </si>
  <si>
    <t>Mammides, Christos/0000-0003-1747-175X</t>
  </si>
  <si>
    <t>0959-3780</t>
  </si>
  <si>
    <t>1872-9495</t>
  </si>
  <si>
    <t>GLOBAL ENVIRON CHANG</t>
  </si>
  <si>
    <t>Glob. Environ. Change-Human Policy Dimens.</t>
  </si>
  <si>
    <t>Environmental Sciences; Environmental Studies; Geography</t>
  </si>
  <si>
    <t>Environmental Sciences &amp; Ecology; Geography</t>
  </si>
  <si>
    <t>Z0J5K</t>
  </si>
  <si>
    <t>WOS:001435877500001</t>
  </si>
  <si>
    <t>Shackleton, RT; Foxcroft, LC; Pysek, P; Wood, LE; Richardson, DM</t>
  </si>
  <si>
    <t>Shackleton, Ross T.; Foxcroft, Llewellyn C.; Pysek, Petr; Wood, Louisa E.; Richardson, David M.</t>
  </si>
  <si>
    <t>Biodiversity; Conservation; Invasive alien species; Management; Global environmental change; Impact; Nature reserves; National parks; SCOPE</t>
  </si>
  <si>
    <t>CHROMOLAENA-ODORATA; ECOSYSTEM SERVICES; SPECIES RICHNESS; PLANT INVASION; MANAGEMENT; INDICATORS; IMPACTS; CAPE; TERM; ERADICATION</t>
  </si>
  <si>
    <t>[Shackleton, Ross T.] Univ Lausanne, Inst Geog &amp; Sustainabil, CH-1015 Lausanne, Switzerland; [Shackleton, Ross T.; Foxcroft, Llewellyn C.; Pysek, Petr; Richardson, David M.] Stellenbosch Univ, Ctr Invas Biol, Dept Bot &amp; Zool, ZA-7602 Matieland, South Africa; [Foxcroft, Llewellyn C.] South African Natl Pk, Kruger Natl Pk, Sci Serv, Private Bag X402, ZA-1350 Skukuza, South Africa; [Pysek, Petr] Czech Acad Sci, Inst Bot, Dept Invas Ecol, CZ-25243 Pruhonice, Czech Republic; [Pysek, Petr] Charles Univ Prague, Fac Sci, Dept Ecol, Vinicna 7, CZ-12844 Prague, Czech Republic; [Wood, Louisa E.] Stellenbosch Univ, Dept Bot &amp; Zool, ZA-7602 Matieland, South Africa; [Wood, Louisa E.] Ctr Environm Fisheries &amp; Aquaculture Sci, Weymouth, Dorset, England</t>
  </si>
  <si>
    <t>University of Lausanne; Stellenbosch University; Czech Academy of Sciences; Institute of Botany of the Czech Academy of Sciences; Charles University Prague; Stellenbosch University; Centre for Environment Fisheries &amp; Aquaculture Science</t>
  </si>
  <si>
    <t>Shackleton, RT (corresponding author), Univ Lausanne, Inst Geog &amp; Sustainabil, CH-1015 Lausanne, Switzerland.</t>
  </si>
  <si>
    <t>rtshackleton@gmail.com</t>
  </si>
  <si>
    <t>Richardson, David/A-1495-2008; Foxcroft, Llewellyn/B-1236-2009; Pysek, Petr/B-1957-2012; Shackleton, Ross/AAA-8469-2020</t>
  </si>
  <si>
    <t>Richardson, David/0000-0001-9574-8297; Wood, Louisa/0000-0002-8649-5010; Shackleton, Ross/0000-0001-5628-4506</t>
  </si>
  <si>
    <t>DSI-NRF Centre of Excellence for Invasion Biology; National Research Foundation, South Africa [85417]; EXPRO (Czech Science Foundation) [19-28807X]; project RVO (Czech Academy of Sciences) [67985939]; South African National Parks; DSI-NRF Centre of Excellence for Invasion Biology, Stellenbosch University; South African National Research Foundation</t>
  </si>
  <si>
    <t>DSI-NRF Centre of Excellence for Invasion Biology; National Research Foundation, South Africa(National Research Foundation - South Africa); EXPRO (Czech Science Foundation); project RVO (Czech Academy of Sciences); South African National Parks; DSI-NRF Centre of Excellence for Invasion Biology, Stellenbosch University; South African National Research Foundation(National Research Foundation - South Africa)</t>
  </si>
  <si>
    <t>We thank the many managers and researchers who provided us with the data needed to produce this study. In particular we thank Arne Witt, John Richard Mbwambo, Lesley Watt, Michael Padmanaba, Titiek Setyawati, Jeanne Taylor, Herbert Morawe, Holger Kolberg, Ken Convery, Nona Chiariello, Heinke Jaeger, Nancy Bunbury, April Burt, Fiona Miller, Chad Cheney, Rijk Morawe, Peter Holm, Jeanne Taylor, Jo Hiscock, Holger Kolberg, Erik Frenzel, Mariska te Beest, Dave Bruce, Daniel, Ryan, Amelia Ryan, Paul Johnson, Liz Ballenger, Matthew Van Scoyoc, Jeffrey (Woody) Mallinson, who helped to provide us with data and information and many others who acted as intermediaries. There were also many others who helped along the way too and we thank everyone who provided help and advice to find the correct people to contribute the data collection. RTS and DMR were supported by the DSI-NRF Centre of Excellence for Invasion Biology and the National Research Foundation, South Africa (grant 85417). PP was supported by EXPRO grant no. 19-28807X (Czech Science Foundation) and long-term research development project RVO 67985939 (The Czech Academy of Sciences). LCF acknowledges support from South African National Parks, the DSI-NRF Centre of Excellence for Invasion Biology, Stellenbosch University and South African National Research Foundation.</t>
  </si>
  <si>
    <t>LE5UY</t>
  </si>
  <si>
    <t>Verma, M; Symes, WS; Watson, JEM; Jones, KR; Allan, JR; Venter, O; Rheindt, FE; Edwards, DP; Carrasco, LR</t>
  </si>
  <si>
    <t>Verma, Megha; Symes, William S.; Watson, James E. M.; Jones, Kendall R.; Allan, James R.; Venter, Oscar; Rheindt, Frank E.; Edwards, David P.; Carrasco, Luis R.</t>
  </si>
  <si>
    <t>biodiversity; cumulative pressure; extinction; human footprint; IUCN protected areas; IUCN Red List</t>
  </si>
  <si>
    <t>PROTECTED AREA EFFECTIVENESS; HUMAN FOOTPRINT; FOREST LOSS; OIL PALM; SUMATRA; LAND; EXTINCTION; CONVERSION; BIRDS</t>
  </si>
  <si>
    <t>We assess the magnitude and the extent of recent change of significant human footprint within protected areas, key biodiversity areas and the habitat range of 308 lowland forest specialist birds in Sundaland, a global hotspot of biodiversity in Southeast Asia. Using the most recent human footprint dataset, we find that 70% of Sundaland has been heavily modified by humans. This represents a 55% increase in areas under intense human pressure since 1993. Areas under intense human pressure covered on average 50% of the extent of key biodiversity areas, 78% of each protected area and 38% of the range of lowland forest specialist birds. The results imply that the actual level of protection by protected areas is only one-third to half of that on paper once human footprint is accounted for. While all protected areas were impacted by human pressures, those managed strictly for biodiversity conservation presented the largest increases. These results highlight an exceptionally high human footprint across Sundaland and an impending further deepening of the biodiversity crisis across the region.</t>
  </si>
  <si>
    <t>[Verma, Megha; Symes, William S.; Rheindt, Frank E.; Carrasco, Luis R.] Natl Univ Singapore, Dept Biol Sci, 14 Sci Dr 4, Singapore 117543, Singapore; [Watson, James E. M.; Jones, Kendall R.; Allan, James R.] Univ Queensland, Ctr Conservat &amp; Biodivers Sci, Brisbane, Qld, Australia; [Watson, James E. M.] Wildlife Conservat Soc, Global Conservat Program, New York, NY USA; [Allan, James R.] Univ Amsterdam, Inst Biodivers &amp; Ecosyst Dynam IBED, Amsterdam, Netherlands; [Venter, Oscar] Univ Northern British Columbia, Nat Resource &amp; Environm Studies Inst, Prince George, BC, Canada; [Edwards, David P.] Univ Sheffield, Dept Anim &amp; Plant Sci, Sheffield, S Yorkshire, England</t>
  </si>
  <si>
    <t>National University of Singapore; University of Queensland; Wildlife Conservation Society; University of Amsterdam; University of Northern British Columbia; University of Sheffield</t>
  </si>
  <si>
    <t>Verma, M; Carrasco, LR (corresponding author), Natl Univ Singapore, Dept Biol Sci, 14 Sci Dr 4, Singapore 117543, Singapore.</t>
  </si>
  <si>
    <t>megha.verma14@sps.nus.edu.sg; dbsctlr@nus.edu.sg</t>
  </si>
  <si>
    <t>Edwards, David/AAC-5091-2019; Allan, James/C-6680-2017; Watson, James/D-8779-2013; Carrasco, Luis Roman/H-8017-2012; Jones, Kendall/N-2464-2015; Rheindt, Frank/D-7826-2014; Venter, Oscar/ABE-1477-2021; Verma, Megha/PKQ-6411-2026</t>
  </si>
  <si>
    <t>Edwards, David/0000-0001-8562-3853; Watson, James/0000-0003-4942-1984; Carrasco, Luis Roman/0000-0002-2894-1473; Jones, Kendall/0000-0003-2221-9938; Venter, Oscar/0000-0003-1719-8474;</t>
  </si>
  <si>
    <t>Ministry of Education of Singapore [MOE2015-T2-2-121]</t>
  </si>
  <si>
    <t>Ministry of Education of Singapore(Ministry of Education, Singapore)</t>
  </si>
  <si>
    <t>Ministry of Education of Singapore, Grant/Award Number: MOE2015-T2-2-121</t>
  </si>
  <si>
    <t>e169</t>
  </si>
  <si>
    <t>10.1111/csp2.169</t>
  </si>
  <si>
    <t>NY8ZP</t>
  </si>
  <si>
    <t>WOS:000576673400011</t>
  </si>
  <si>
    <t>Anderson, E; Mammides, C</t>
  </si>
  <si>
    <t>Anderson, Emily; Mammides, Christos</t>
  </si>
  <si>
    <t>Biodiversity conservation; Human footprint; IUCN protected areas; Last of the wild; Terrestrial biomes</t>
  </si>
  <si>
    <t>LAND-USE; BIODIVERSITY; FUTURE; TRENDS</t>
  </si>
  <si>
    <t>[Anderson, Emily; Mammides, Christos] Guangxi Univ, Coll Forestry, Guangxi Key Lab Forest Ecol &amp; Conservat, Daxuedonglu 100, Nanning 530004, Peoples R China</t>
  </si>
  <si>
    <t>ecanderson96@gmail.com; cmammides@outlook.com</t>
  </si>
  <si>
    <t>Freeman Foundation; Furman University, in the United States</t>
  </si>
  <si>
    <t>We are thankful to the researchers who have developed and made available the datasets we used in this study. We are also thankful to two anonymous reviewers for their constructive feedback. E.A. is also thankful to the Freeman Foundation and Furman University, in the United States, for a Grant supporting her stay in China.</t>
  </si>
  <si>
    <t>KJ4VU</t>
  </si>
  <si>
    <t>Andrade-Nunez, MJ; Aide, TM</t>
  </si>
  <si>
    <t>Jose Andrade-Nunez, Maria; Mitchell Aide, T.</t>
  </si>
  <si>
    <t>Using nighttime lights to assess infrastructure expansion within and around protected areas in South America</t>
  </si>
  <si>
    <t>ENVIRONMENTAL RESEARCH COMMUNICATIONS</t>
  </si>
  <si>
    <t>biodiversity; conservation; IUCN categories; protected area; infrastructure expansion; South America; land planning</t>
  </si>
  <si>
    <t>AGRICULTURAL EXPANSION; COVER CHANGE; FOREST LOSS; BIODIVERSITY; CONSERVATION; DYNAMICS; LAND; URBANIZATION; PERFORMANCE; IMPACTS</t>
  </si>
  <si>
    <t>Protected areas (PAs) are important mechanisms for conserving biodiversity and buffering anthropogenic pressures, but the expansion and intensification of human activities within and around PAs are threatening the biological diversity they are designed to protect. In South America, a region which includes many biodiversity hotspots (e.g., Atlantic Forest, Andes), agriculture, mining, oil and gas exploitation, dam construction, and settlements have been expanding and intensifying within and around PAs. These human activities need infrastructure (e.g., buildings, logistic facilities, ports), which leads to increased pressure on PAs. In this study, we used nighttime light data and the World Database on Protected Areas to evaluate the extent of intrusion of infrastructure in PAs in South America between 2001 and 2011. Our results show that in general PAs in all of the seven IUCN categories are buffering the intrusion of infrastructure within them, but this was not the case for PAs in multiple-use categories where there was a considerable increase in infrastructure within these PAs. The largest increase in infrastructure occurred within the first 60 km from the border of the PAs, and for multiple-use categories, the peak occurred in the first 10 km. In addition, infrastructure expansion around PAs in category I showed more variability and the largest extent. Infrastructure expansion within and around PAs varied among countries. There were only 23 of the 2,902 PAs with zero expansion, 16 were located in Brazil, four in Colombia, and one in Suriname, Venezuela, and French Guiana. Ecuador and Venezuela were the two countries that had the most infrastructure expansion within and around their PAs, while Guyana and French Guiana had the least development. Presently, South America has similar to 22% of the land area under some type of protection. Hopefully, the management of PAs will improve to help buffer the impacts of human activities and improve biodiversity conservation. Unfortunately, our results show that opposite, infrastructure is expanding within and around the PAs, which will most likely lead to ecological degradation and isolation of many of these PAs.</t>
  </si>
  <si>
    <t>[Jose Andrade-Nunez, Maria] Univ Puerto Rico, Dept Environm Sci, POB 70377, San Juan, PR 00936 USA; [Mitchell Aide, T.] Univ Puerto Rico, Dept Biol, POB 23360, San Juan, PR 00931 USA</t>
  </si>
  <si>
    <t>University of Puerto Rico; University of Puerto Rico Rio Piedras; University of Puerto Rico; University of Puerto Rico Medical Sciences Campus</t>
  </si>
  <si>
    <t>Andrade-Nunez, MJ (corresponding author), Univ Puerto Rico, Dept Environm Sci, POB 70377, San Juan, PR 00936 USA.</t>
  </si>
  <si>
    <t>mj_andradenunez@yahoo.com</t>
  </si>
  <si>
    <t>Anade-Núñez, María José/0000-0002-7066-0966</t>
  </si>
  <si>
    <t>NSF IGERT Grant [0801577]; Dean of Graduate Studies at the University of Puerto Rico (Merito Academico y Ejecutorias Excepcionales, and Dissertation Scholarships); Puerto Rico Science Technology and Research Trust (Post-Hurricane Maria Aid for Researchers Grant); American Society of Naturalists (Hurricane Recovery Grant)</t>
  </si>
  <si>
    <t>NSF IGERT Grant; Dean of Graduate Studies at the University of Puerto Rico (Merito Academico y Ejecutorias Excepcionales, and Dissertation Scholarships); Puerto Rico Science Technology and Research Trust (Post-Hurricane Maria Aid for Researchers Grant); American Society of Naturalists (Hurricane Recovery Grant)</t>
  </si>
  <si>
    <t>We thank David Clark for graph assistance and two anonymous reviewers for their comments on the manuscript. The authors have declared that no competing interests exist. The study was supported by NSF IGERT Grant#0801577, the Dean of Graduate Studies at the University of Puerto Rico (Merito Academico y Ejecutorias Excepcionales, and Dissertation Scholarships), the Puerto Rico Science Technology and Research Trust (Post-Hurricane Maria Aid for Researchers Grant), and the American Society of Naturalists (Hurricane Recovery Grant).</t>
  </si>
  <si>
    <t>IOP PUBLISHING LTD</t>
  </si>
  <si>
    <t>BRISTOL</t>
  </si>
  <si>
    <t>TEMPLE CIRCUS, TEMPLE WAY, BRISTOL BS1 6BE, ENGLAND</t>
  </si>
  <si>
    <t>2515-7620</t>
  </si>
  <si>
    <t>ENVIRON RES COMMUN</t>
  </si>
  <si>
    <t>Environ. Res. Commun.</t>
  </si>
  <si>
    <t>10.1088/2515-7620/ab716c</t>
  </si>
  <si>
    <t>OC9WN</t>
  </si>
  <si>
    <t>WOS:000579507000002</t>
  </si>
  <si>
    <t>Islam, KN; Rahman, MM; Jashimuddin, M; Hossain, MM; Islam, K; Al Faroque, M</t>
  </si>
  <si>
    <t>Islam, Kazi Nazrul; Rahman, Mohammad Mahfuzur; Jashimuddin, Mohammed; Hossain, Mohammad Mosharraf; Islam, Kamrul; Al Faroque, Mohiuddin</t>
  </si>
  <si>
    <t>FOREST POLICY AND ECONOMICS</t>
  </si>
  <si>
    <t>Co-management; Forest cover; GIS; Perception; Protected areas</t>
  </si>
  <si>
    <t>CHUNATI WILDLIFE SANCTUARY; LAND-USE CHANGE; MANAGEMENT; POLICY; PARTICIPATION; GOVERNANCE; CLASSIFICATION; EXPERIENCE; AGREEMENT; GIS</t>
  </si>
  <si>
    <t>[Islam, Kazi Nazrul; Rahman, Mohammad Mahfuzur; Jashimuddin, Mohammed; Hossain, Mohammad Mosharraf; Al Faroque, Mohiuddin] Univ Chittagong, Inst Forestry &amp; Environm Sci, Chittagong 4331, Bangladesh; [Rahman, Mohammad Mahfuzur] Auburn Univ, Sch Forestry &amp; Wildlife Sci, 602 Duncan Dr, Auburn, AL 36849 USA; [Jashimuddin, Mohammed] Papua New Guinea Univ Technol, Dept Forestry, PMB, Lae 411, MP, Papua N Guinea; [Islam, Kamrul] Univ Tokyo, Grad Sch Engn, Dept Syst Innovat, Bunkyo Ku, 7-3-1 Hongo, Tokyo 1138656, Japan</t>
  </si>
  <si>
    <t>University of Chittagong; Auburn University System; Auburn University; University of Tokyo</t>
  </si>
  <si>
    <t>Rahman, MM (corresponding author), Univ Chittagong, Inst Forestry &amp; Environm Sci, Chittagong 4331, Bangladesh.;Rahman, MM (corresponding author), Auburn Univ, Sch Forestry &amp; Wildlife Sci, 602 Duncan Dr, Auburn, AL 36849 USA.</t>
  </si>
  <si>
    <t>mahfuzusa@yahoo.com</t>
  </si>
  <si>
    <t>Islam, Kamrul/P-2982-2017; Jashimuddin, Mohammed/Y-4392-2019; Islam, Kazi Nazrul/AFP-5511-2022</t>
  </si>
  <si>
    <t>Islam, Kamrul/0000-0003-3443-9030; Hossain, Mohammad Mosharraf/0000-0001-9337-181X; Jashimuddin, Mohammed/0000-0002-7556-042X; Islam, Kazi Nazrul/0000-0003-0222-5900</t>
  </si>
  <si>
    <t>ELSEVIER SCIENCE BV</t>
  </si>
  <si>
    <t>PO BOX 211, 1000 AE AMSTERDAM, NETHERLANDS</t>
  </si>
  <si>
    <t>1389-9341</t>
  </si>
  <si>
    <t>1872-7050</t>
  </si>
  <si>
    <t>FOREST POLICY ECON</t>
  </si>
  <si>
    <t>Forest Policy Econ.</t>
  </si>
  <si>
    <t>Economics; Environmental Studies; Forestry</t>
  </si>
  <si>
    <t>Business &amp; Economics; Environmental Sciences &amp; Ecology; Forestry</t>
  </si>
  <si>
    <t>HL5XS</t>
  </si>
  <si>
    <t>Rodríguez-Rodríguez, D; Martínez-Vega, J; Echavarría, P</t>
  </si>
  <si>
    <t>Rodriguez-Rodriguez, David; Martinez-Vega, Javier; Echavarria, Pilar</t>
  </si>
  <si>
    <t>A twenty year GIS-based assessment of environmental sustainability of land use changes in and around protected areas of a fast developing country: Spain</t>
  </si>
  <si>
    <t>INTERNATIONAL JOURNAL OF APPLIED EARTH OBSERVATION AND GEOINFORMATION</t>
  </si>
  <si>
    <t>Land use-land cover; Process of change; Reserve; Natura 2000; BACI design</t>
  </si>
  <si>
    <t>BIODIVERSITY CONSERVATION; MEDITERRANEAN BASIN; ECOSYSTEM SERVICES; SPECIES RICHNESS; NATIONAL-PARKS; COVER CHANGES; DYNAMICS; ABANDONMENT; NETWORKS; HOTSPOTS</t>
  </si>
  <si>
    <t>Spain has experienced massive recent socioeconomic changes that have had an influence on biodiversity and landscapes through land use-land cover (LULC) changes. Protected areas (PAs) seek to conserve biodiversity by establishing a legal and, sometimes, managerial regime that forbids or restricts LULC changes that are damaging to biodiversity. Here, we used CORINE Land Cover (CLC) data between 1987 and 2006 to assess differences in LULC changes and processes of change as metrics of effectiveness in four PA networks of clear legal and managerial characteristics in Spain: Nature reserves (NRs), Nature parks (NPs), Sites of Community Importance (SCIs) and Special Protection Areas (SPAs). We also compared LULC changes and processes of change around each PA network applying a modified Before-After-Control-Impact (BACI) research design with two increasingly distant control areas and two models of increased validity. The four PA networks were more environmentally sustainable than their surrounding areas although an effectiveness gradient was shown: NFU &gt; SCIs &gt; SPAs &gt; NPs, suggesting little influence of PA management on LULC changes overall. Another gradient of environmental sustainability of control areas was evident: SCIs &gt; SPAs &gt; NPs &gt; NRs. Proximal controls were more sustainable than distant ones. The main LULC increases inside PAs affected agro-forestry areas and transitional woodland-shrub, whereas artificial surfaces, permanently irrigated lands and burned areas prevailed in the proximal and distant controls. Three main LULC processes of change inside and around Spanish PM outstood: forest succession, land development, and new irrigated areas, the two former chiefly affecting surrounding areas and posing serious threats to effective biodiversity conservation.</t>
  </si>
  <si>
    <t>[Rodriguez-Rodriguez, David; Martinez-Vega, Javier; Echavarria, Pilar] CSIC, Spanish Natl Res Council IEGD, Associated Unit GEOLAB, Inst Econ Geog &amp; Demog, C Albasanz 26-28, Madrid 28037, Spain; [Rodriguez-Rodriguez, David] Univ Malaga, European Top Ctr, Andalucia Tech, Campus Teatinos S-N, Malaga 29010, Spain</t>
  </si>
  <si>
    <t>Consejo Superior de Investigaciones Cientificas (CSIC); CSIC - Instituto de Economia, Geografia y Demografia (IEGD); Universidad de Malaga</t>
  </si>
  <si>
    <t>Rodríguez-Rodríguez, D (corresponding author), CSIC, Spanish Natl Res Council IEGD, Associated Unit GEOLAB, Inst Econ Geog &amp; Demog, C Albasanz 26-28, Madrid 28037, Spain.</t>
  </si>
  <si>
    <t>david.rodriguez@csic.es</t>
  </si>
  <si>
    <t>Martínez-Vega, Javier/AAH-3513-2019; Rodríguez-Rodríguez, David/ABH-3328-2020</t>
  </si>
  <si>
    <t>Martínez-Vega, Javier/0000-0002-8519-120X;</t>
  </si>
  <si>
    <t>Spanish Ministry of Economy, Industry and Competitiveness [CSO2014-54611-JIN]</t>
  </si>
  <si>
    <t>Spanish Ministry of Economy, Industry and Competitiveness</t>
  </si>
  <si>
    <t>This paper recognises contributions through the 'sequence-determines-credit' approach. DRR and JMV contributed equally to this study. DRR was funded for this study by the Spanish Ministry of Economy, Industry and Competitiveness in the framework of the SOSTPARK project (CSO2014-54611-JIN).</t>
  </si>
  <si>
    <t>1569-8432</t>
  </si>
  <si>
    <t>1872-826X</t>
  </si>
  <si>
    <t>INT J APPL EARTH OBS</t>
  </si>
  <si>
    <t>Int. J. Appl. Earth Obs. Geoinf.</t>
  </si>
  <si>
    <t>10.1016/j.jag.2018.08.006</t>
  </si>
  <si>
    <t>Geography, Physical; Remote Sensing</t>
  </si>
  <si>
    <t>Physical Geography; Remote Sensing</t>
  </si>
  <si>
    <t>GZ1KK</t>
  </si>
  <si>
    <t>WOS:000449126800016</t>
  </si>
  <si>
    <t>Giakoumi, S; Pey, A; Di Franco, A; Francour, P; Kizilkaya, Z; Arda, Y; Raybaud, V; Guidetti, P</t>
  </si>
  <si>
    <t>Giakoumi, Sylvaine; Pey, Alexis; Di Franco, Antonio; Francour, Patrice; Kizilkaya, Zafer; Arda, Yaprak; Raybaud, Virginie; Guidetti, Paolo</t>
  </si>
  <si>
    <t>ECOLOGICAL APPLICATIONS</t>
  </si>
  <si>
    <t>alien fish; biological invasions; herbivores; marine protected area; Mediterranean; range expanding; sea warming</t>
  </si>
  <si>
    <t>CLIMATE-CHANGE; BIOLOGICAL INVASIONS; MEDITERRANEAN SEA; RESERVES; COMMUNITIES; MANAGEMENT; PATTERNS; SCIENCE; OCEAN; BIODIVERSITY</t>
  </si>
  <si>
    <t>[Giakoumi, Sylvaine; Pey, Alexis; Di Franco, Antonio; Francour, Patrice; Raybaud, Virginie; Guidetti, Paolo] Univ Cote Azur, CNRS, FRE 3729 ECOMERS, Parc Valrose 28,Ave Valrose, F-06108 Nice, France; [Giakoumi, Sylvaine] Univ Queensland, ARC Ctr Excellence Environm Decis, Sch Biol Sci, Brisbane, Qld, Australia; [Di Franco, Antonio; Guidetti, Paolo] Consorzio Interuniv Sci Mare, CoNISMa, Piazzale Flaminio 9, I-00196 Rome, Italy; [Kizilkaya, Zafer] Mediterranean Conservat Soc, Doga Pk Villas 16 Kalabak Urla, Izmir, Turkey; [Arda, Yaprak] WWF Turkey, Istanbul, Turkey</t>
  </si>
  <si>
    <t>Centre National de la Recherche Scientifique (CNRS); Universite Cote d'Azur; University of Queensland; CoNISMa</t>
  </si>
  <si>
    <t>Giakoumi, S (corresponding author), Univ Cote Azur, CNRS, FRE 3729 ECOMERS, Parc Valrose 28,Ave Valrose, F-06108 Nice, France.;Giakoumi, S (corresponding author), Univ Queensland, ARC Ctr Excellence Environm Decis, Sch Biol Sci, Brisbane, Qld, Australia.</t>
  </si>
  <si>
    <t>s.giakoumi@uq.edu.au</t>
  </si>
  <si>
    <t>Di Franco, Antonio/A-8796-2010; Giakoumi, Sylvaine/I-2702-2014</t>
  </si>
  <si>
    <t>Di Franco, Antonio/0000-0003-3411-7015; Giakoumi, Sylvaine/0000-0002-3301-5538; Raybaud, Virginie/0000-0001-6426-3326</t>
  </si>
  <si>
    <t>ANR [ANR-16-ACHN-0016-01]; Agence Nationale de la Recherche (ANR) [ANR-16-ACHN-0016] Funding Source: Agence Nationale de la Recherche (ANR)</t>
  </si>
  <si>
    <t>ANR(Agence Nationale de la Recherche (ANR)); Agence Nationale de la Recherche (ANR)(Agence Nationale de la Recherche (ANR))</t>
  </si>
  <si>
    <t>This work is a contribution of the ANR project PAVIS: Assessing the relationships between marine protected areas and invasive species (Project No. ANR-16-ACHN-0016-01). We would like to thank all the MPA authorities that granted permissions to conduct fieldwork in their jurisdiction. Special thanks for operational and field assistance to P. Coll, A. Martin, J. Jimenez, M. Draman, F. Giardina, L. Sourbes, C. Dimitriadis, F. De Franco, F. Bachet, E. Charbonnel, P. Panzalis, S. Dujmovic, and M. Bursic. We also thank B. Clarke and P. Thiriet for their advice on statistical analyses.</t>
  </si>
  <si>
    <t>1051-0761</t>
  </si>
  <si>
    <t>1939-5582</t>
  </si>
  <si>
    <t>ECOL APPL</t>
  </si>
  <si>
    <t>Ecol. Appl.</t>
  </si>
  <si>
    <t>e01809</t>
  </si>
  <si>
    <t>Ecology; Environmental Sciences</t>
  </si>
  <si>
    <t>HG1BS</t>
  </si>
  <si>
    <t>Guerra, C; Baquero, RA; Gutiérrez-Arellano, D; Nicola, GG</t>
  </si>
  <si>
    <t>Guerra, Carlos; Baquero, Rocio A.; Gutierrez-Arellano, Daniela; Nicola, Graciela G.</t>
  </si>
  <si>
    <t>Conservation planning; Gap analysis; Invasive alien species; Natura 2000; Protected areas</t>
  </si>
  <si>
    <t>HUMAN-POPULATION DENSITY; PROTECTED AREAS; SPECIES RICHNESS; PLANT INVASIONS; ALIEN; CONSERVATION; PATTERNS; BIODIVERSITY; DIVERSITY; DRIVE</t>
  </si>
  <si>
    <t>[Guerra, Carlos; Baquero, Rocio A.; Gutierrez-Arellano, Daniela; Nicola, Graciela G.] Univ Castilla La Mancha, Dept Environm Sci, E-45071 Toledo, Spain; [Gutierrez-Arellano, Daniela] Natl Commiss Nat Protected Areas, Ciudad De Mexico 11320, Mexico</t>
  </si>
  <si>
    <t>Universidad de Castilla-La Mancha</t>
  </si>
  <si>
    <t>Baquero, RA (corresponding author), Univ Castilla La Mancha, Dept Environm Sci, E-45071 Toledo, Spain.</t>
  </si>
  <si>
    <t>rocio.baquero@uclm.es</t>
  </si>
  <si>
    <t>, GRACIELA G NICOLA/ABE-5362-2021; Baquero Noriega, Rocío Aranzazu/ABF-0280-2022; Baquero, Rocio A/ABF-0280-2022</t>
  </si>
  <si>
    <t>, GRACIELA G NICOLA/0009-0009-0601-0609; Baquero Noriega, Rocío Aranzazu/0000-0003-4540-8782;</t>
  </si>
  <si>
    <t>e00497</t>
  </si>
  <si>
    <t>HG5CV</t>
  </si>
  <si>
    <t>Alvarado, ST; Silva, TSF; Archibald, S</t>
  </si>
  <si>
    <t>Alvarado, Swanni T.; Freire Silva, Thiago Sanna; Archibald, Sally</t>
  </si>
  <si>
    <t>Burned area; Burn scar size distribution; Fire regime; Fire return period; Management intervention; Number of ignitions; Seasonal fire distribution</t>
  </si>
  <si>
    <t>BURNT AREA; CONSERVATION; CERRADO; MADAGASCAR; VEGETATION; INTENSITY; FREQUENCY; DRIVEN; RESTORATION; EXPANSION</t>
  </si>
  <si>
    <t>[Alvarado, Swanni T.; Freire Silva, Thiago Sanna] Univ Estadual Paulista, Inst Geociencias &amp; Ciencias Exatas, Ecosyst Dynam Observ, UNESP, Caixa Postal 178,Ave 24-A 1515, BR-13506900 Rio Claro, Brazil; [Alvarado, Swanni T.; Archibald, Sally] Univ Witwatersrand, Ctr African Ecol, Sch Anim Plant &amp; Environm Sci, Private Bag X3, ZA-2050 Johannesburg, South Africa</t>
  </si>
  <si>
    <t>Universidade Estadual Paulista; University of Witwatersrand</t>
  </si>
  <si>
    <t>Alvarado, ST (corresponding author), Univ Estadual Paulista, Inst Geociencias &amp; Ciencias Exatas, Ecosyst Dynam Observ, UNESP, Caixa Postal 178,Ave 24-A 1515, BR-13506900 Rio Claro, Brazil.;Alvarado, ST (corresponding author), Univ Witwatersrand, Ctr African Ecol, Sch Anim Plant &amp; Environm Sci, Private Bag X3, ZA-2050 Johannesburg, South Africa.</t>
  </si>
  <si>
    <t>swanni_ta@yahoo.es</t>
  </si>
  <si>
    <t>Silva, Thiago/A-2444-2009; Archibald, Sally/O-1659-2015; Alvarado, Swanni T/S-6684-2018</t>
  </si>
  <si>
    <t>Silva, Thiago/0000-0001-8174-0489; Archibald, Sally/0000-0003-2786-3976; Alvarado, Swanni T/0000-0002-6416-0076</t>
  </si>
  <si>
    <t>Sao Paulo Research Foundation (FAPESP) [2014/12728-1, 2016/00879-0]; FAPESP - Microsoft Research Foundation grant [2013/50155-0]; National Council for Scientific and Technological Development (CNPq) [310144/2015-9]; Fundacao de Amparo a Pesquisa do Estado de Sao Paulo (FAPESP) [14/12728-1, 13/50155-0] Funding Source: FAPESP</t>
  </si>
  <si>
    <t>Sao Paulo Research Foundation (FAPESP)(Fundacao de Amparo a Pesquisa do Estado de Sao Paulo (FAPESP)); FAPESP - Microsoft Research Foundation grant(Microsoft); National Council for Scientific and Technological Development (CNPq)(Conselho Nacional de Desenvolvimento Cientifico e Tecnologico (CNPQ)); Fundacao de Amparo a Pesquisa do Estado de Sao Paulo (FAPESP)(Fundacao de Amparo a Pesquisa do Estado de Sao Paulo (FAPESP))</t>
  </si>
  <si>
    <t>S.T. Alvarado received postdoctoral support from grants #2014/12728-1 and #2016/00879-0, Sao Paulo Research Foundation (FAPESP). This research was also supported by FAPESP - Microsoft Research Foundation grant #2013/50155-0. T.S.F. Silva received support from a research productivity grant from the National Council for Scientific and Technological Development (CNPq, grant #310144/2015-9). We are grateful to Dr. Chris Birkinshaw and Mamisoa Andrianjafy, from the Missouri Botanical Garden in Madagascar, for providing the final delimitation and management information data for Ibity NPA, and to Dr. Caroline Lehmann for comments and information about the management and context of Itremo NPA.</t>
  </si>
  <si>
    <t>JUL 15</t>
  </si>
  <si>
    <t>GH7QZ</t>
  </si>
  <si>
    <t>Green Published, Green Submitted, Bronze</t>
  </si>
  <si>
    <t>Guetté, A; Godet, L; Juigner, M; Robin, M</t>
  </si>
  <si>
    <t>Guette, Adrien; Godet, Laurent; Juigner, Martin; Robin, Marc</t>
  </si>
  <si>
    <t>Worldwide increase in Artificial Light At Night around protected areas and within biodiversity hotspots</t>
  </si>
  <si>
    <t>ALAN; Anthropization; Human encroachment; Protected areas; Biodiversity hotspots</t>
  </si>
  <si>
    <t>POPULATION-GROWTH; TIME-SERIES; TRENDS; POLLUTION</t>
  </si>
  <si>
    <t>Artificial Light At Night (ALAN) has several adverse impacts on biodiversity, and it has been recently used as a proxy to monitor human encroachment on landscapes at large spatial scales. The extent to which ALAN affects protected areas (PM) and biodiversity hotspots (BHs) remains however untested at large spatial scales. We used this proxy to assess the spatial and temporal trends in the anthropization at a global scale within and around PM and BHs. We found that ALAN is low and stable over time within PAs, but is the highest in a first outer belt (&lt; 25 km) around PM, and tends to increase in a second outer belt (25-75 km). In the meantime, ALAN is higher within BHs than outside, and is even the highest and increasing over time in an inner belt, close to their periphery. Our results suggest that although PM are creating safety zones in terms of ALAN, they tend to be more and more isolated from each other by a concentric human encroachment. In contrast, BHs are submitted to an increasing human pressure, especially in their inner periphery. Overall, we suggest integrating ALAN in large-scale conservation policies.</t>
  </si>
  <si>
    <t>[Guette, Adrien; Godet, Laurent; Juigner, Martin; Robin, Marc] Univ Nantes, CNRS, UMR LETG, BP 81223, F-44312 Nantes 3, France</t>
  </si>
  <si>
    <t>Centre National de la Recherche Scientifique (CNRS); Nantes Universite</t>
  </si>
  <si>
    <t>Guetté, A (corresponding author), Univ Nantes, CNRS, UMR LETG, BP 81223, F-44312 Nantes 3, France.</t>
  </si>
  <si>
    <t>adrien.guette@univ-nantes.fr</t>
  </si>
  <si>
    <t>; Godet, Laurent/JHV-1565-2023</t>
  </si>
  <si>
    <t>Guetté, Aien/0000-0002-4368-1833;</t>
  </si>
  <si>
    <t>10.1016/j.biocon.2018.04.018</t>
  </si>
  <si>
    <t>GJ1XR</t>
  </si>
  <si>
    <t>WOS:000435061700010</t>
  </si>
  <si>
    <t>Zupan, M; Bulleri, F; Evans, J; Fraschetti, S; Guidetti, P; Garcia-Rubies, A; Sostres, M; Asnaghi, V; Caro, A; Deudero, S; Goñi, R; Guarnieri, G; Guilhaumon, F; Kersting, D; Kokkali, A; Kruschel, C; Macic, V; Mangialajo, L; Mallol, S; Macpherson, E; Panucci, A; Radolovic, M; Ramdani, M; Schembri, PJ; Terlizzi, A; Villa, E; Claudet, J</t>
  </si>
  <si>
    <t>Zupan, Mirta; Bulleri, Fabio; Evans, Julian; Fraschetti, Simonetta; Guidetti, Paolo; Garcia-Rubies, Antoni; Sostres, Marta; Asnaghi, Valentina; Caro, Anthony; Deudero, Salud; Goni, Raquel; Guarnieri, Giuseppe; Guilhaumon, Francois; Kersting, Diego; Kokkali, Athina; Kruschel, Claudia; Macic, Vesna; Mangialajo, Luisa; Mallol, Sandra; Macpherson, Enrique; Panucci, Antonella; Radolovic, Mirko; Ramdani, Mohamed; Schembri, Patrick J.; Terlizzi, Antonio; Villa, Elisa; Claudet, Joachim</t>
  </si>
  <si>
    <t>Fully protected area; Partially protected area; Management; Extractive activities; Non-extractive activities; Marine use</t>
  </si>
  <si>
    <t>DANGEROUS TARGETS; CORAL-REEFS; CONSERVATION; RESERVES; MANAGEMENT; SPILLOVER; SCIENCE; MPA</t>
  </si>
  <si>
    <t>[Zupan, Mirta; Sostres, Marta; Caro, Anthony] PSL Res Univ, Natl Ctr Sci Res, CRIOBE, USR 3278,CNRS,EPHE,UPVD, F-66860 Perpignan, France; [Bulleri, Fabio] Univ Pisa, Dipartimento Biol, Via Derna 1, I-56126 Pisa, Italy; [Evans, Julian; Schembri, Patrick J.] Univ Malta, Dept Biol, MSD-2080 Msida, Malta; [Fraschetti, Simonetta; Guarnieri, Giuseppe] Univ Salento, CoNISMa, Dept Biol &amp; Environm Sci &amp; Technol, I-73100 Lecce, Italy; [Guidetti, Paolo] CoNISMa Interuniv Natl Consortium Marine Sci, I-00196 Rome, Italy; [Garcia-Rubies, Antoni; Macpherson, Enrique] CSIC, CEAB, C Acces Cala S Francesc 14, Blanes 17300, Spain; [Asnaghi, Valentina] Univ Genoa, Dept Earth Environm &amp; Life Sci, CoNISMa, I-16132 Genoa, Italy; [Deudero, Salud; Goni, Raquel; Mallol, Sandra] Ctr Oceanog Baleares, Inst Espanol Oceanog, Muelle Poniente S-N, Palma De Mallorca 07015, Spain; [Guilhaumon, Francois] Univ Montpellier, CNRS, UMR 9190, MARBEC,IRD,IFREMER, F-34095 Montpellier, France; [Kersting, Diego] Free Univ Berlin, Inst Geol Sci, Sect Paleontol, D-12249 Berlin, Germany; [Kersting, Diego] Univ Barcelona, Dept Biol Evolut Ecol &amp; Ciencies Ambientals, E-08028 Barcelona, Spain; [Kokkali, Athina; Panucci, Antonella] Hellen Ctr Marine Res, 46-7 Km Athens Sounio,POB 712, Athens 19013, Greece; [Kruschel, Claudia] Univ Zadar, Dept Ecol Agron &amp; Aquaculture, Trg Kneza Viseslava 9, Zadar 23000, Croatia; [Macic, Vesna] Univ Montenegro, Inst Marine Biol, Kotor 85330, Montenegro; [Mangialajo, Luisa] Univ Cote Azur, CNRS, ECOMERS, Parc Valrose 28, F-06108 Nice, France; [Mangialajo, Luisa] UPMC Univ Paris 06, CNRS, LOV, Sorbonne Univ, F-06230 Villefranche Sur Mer, France; [Radolovic, Mirko] Reg Istria, Adm Dept Sustainable Dev, Flanaticka 29, Pula 52100, Croatia; [Ramdani, Mohamed] Inst Sci Rabat, Ave Ibn Batouta, Rabat, Morocco; [Terlizzi, Antonio] Univ Trieste, Dept Life Sci, CoNISMa, I-34127 Trieste, Italy; [Terlizzi, Antonio] Stn Zool Anton Dohrn, I-80121 Naples, Italy; [Villa, Elisa] Observ Oceanol, Microbia Environm, F-66651 Banyuls Sur Mer, France; [Claudet, Joachim] PSL Univ Paris, Natl Ctr Sci Res, CRIOBE, USR 3278,CNRS,EPHE,UPVD, 195 Rue St Jacques, F-75505 Paris, France</t>
  </si>
  <si>
    <t>Universite PSL; Ecole Pratique des Hautes Etudes (EPHE); Centre National de la Recherche Scientifique (CNRS); CNRS - Institute of Ecology &amp; Environment (INEE); University of Pisa; University of Malta; CoNISMa; University of Salento; CoNISMa; Consejo Superior de Investigaciones Cientificas (CSIC); CSIC - Centre d'Estudis Avancats de Blanes (CEAB); CoNISMa; University of Genoa; Spanish Institute of Oceanography; Centre National de la Recherche Scientifique (CNRS); CNRS - Institute of Ecology &amp; Environment (INEE); Ifremer; Institut de Recherche pour le Developpement (IRD); Universite de Montpellier; Free University of Berlin; University of Barcelona; Hellenic Centre for Marine Research; University of Zadar; University of Montenegro; Centre National de la Recherche Scientifique (CNRS); Universite Cote d'Azur; Centre National de la Recherche Scientifique (CNRS); Sorbonne Universite; Mohammed V University in Rabat; University of Trieste; CoNISMa; Stazione Zoologica Anton Dohrn; Sorbonne Universite; Universite PSL; Ecole Pratique des Hautes Etudes (EPHE); Centre National de la Recherche Scientifique (CNRS); CNRS - Institute of Ecology &amp; Environment (INEE)</t>
  </si>
  <si>
    <t>Zupan, M (corresponding author), PSL Res Univ, Natl Ctr Sci Res, CRIOBE, USR 3278,CNRS,EPHE,UPVD, F-66860 Perpignan, France.</t>
  </si>
  <si>
    <t>mirtazupan@gmail.com</t>
  </si>
  <si>
    <t>; Mačić, Vesna/AAB-9534-2020; Macpherson, Enrique/J-8982-2012; Guilhaumon, François/GPX-7180-2022; Claudet, Joachim/C-6335-2008; Fraschetti, Simonetta/R-8716-2019; Deudero Company, Salud/I-1883-2015; Asnaghi, Valentina/AFT-8900-2022; Evans, Julian/B-5451-2011; Terlizzi, Antonio/B-6131-2015; Kruschel, Claudia/AAX-1772-2020</t>
  </si>
  <si>
    <t>Guarnieri, Giuseppe/0000-0002-7334-9030; Macpherson, Enrique/0000-0003-4849-4532; Bulleri, Fabio/0000-0002-7335-6791; Kersting, Diego-Kurt/0000-0002-2049-7849; Guilhaumon, François/0000-0003-4707-8932; Mangialajo, Luisa/0000-0002-0225-8625; Claudet, Joachim/0000-0001-6295-1061; Fraschetti, Simonetta/0000-0002-1780-1651; Zupan, Mirta/0000-0001-5781-1718; Deudero Company, Salud/0000-0001-5584-2801; Asnaghi, Valentina/0000-0003-1659-2613; Evans, Julian/0000-0001-7837-5927; Terlizzi, Antonio/0000-0001-5968-4548;</t>
  </si>
  <si>
    <t>ERA-Net BiodivERsA (BUFFER project) [092337]; EU-FP7 (COCONET project) [287844]; DG MARE SafeNet project [Ares(2017)2510058]</t>
  </si>
  <si>
    <t>ERA-Net BiodivERsA (BUFFER project); EU-FP7 (COCONET project)(European Union (EU)); DG MARE SafeNet project</t>
  </si>
  <si>
    <t>This work was financially supported by the ERA-Net BiodivERsA (BUFFER project, 092337) and the EU-FP7 (COCONET project, 287844) and contributes to DG MARE SafeNet project, Ares(2017)2510058.</t>
  </si>
  <si>
    <t>GF3IC</t>
  </si>
  <si>
    <t>Li, SC; Wu, JS; Gong, J; Li, SW</t>
  </si>
  <si>
    <t>Li, Shicheng; Wu, Jianshuang; Gong, Jian; Li, Shaowei</t>
  </si>
  <si>
    <t>SCIENCE OF THE TOTAL ENVIRONMENT</t>
  </si>
  <si>
    <t>Human impact; Spatial layout; Management effectiveness; Nature reserves; Conservation planning; Yarlung Zangbo Grand Canyon</t>
  </si>
  <si>
    <t>ECOSYSTEM SERVICES; PROTECTED AREAS; LAND-USE; HUMAN PRESSURE; GREEN RAILWAY; CONSERVATION; PLATEAU; CHINA; BIODIVERSITY; DISTURBANCE</t>
  </si>
  <si>
    <t>[Li, Shicheng; Gong, Jian] China Univ Geosci, Sch Publ Adm, Dept Land Resource Management, Wuhan 430074, Hubei, Peoples R China; [Li, Shicheng; Li, Shaowei] Chinese Acad Sci, Inst Geog Sci &amp; Nat Resources Res, Beijing 100101, Peoples R China; [Wu, Jianshuang] Free Univ Berlin, Inst Biol, Biodivers Theoret Ecol, Altensteinstr 34, D-14195 Berlin, Germany; [Gong, Jian] Minist Land &amp; Resources, Key Labs Law Evaluat, Wuhan 430074, Hubei, Peoples R China</t>
  </si>
  <si>
    <t>China University of Geosciences; Chinese Academy of Sciences; Institute of Geographic Sciences &amp; Natural Resources Research, CAS; Free University of Berlin; Ministry of Natural Resources of the People's Republic of China</t>
  </si>
  <si>
    <t>Li, SC (corresponding author), 388 Lumo Rd, Wuhan 430074, Hubei, Peoples R China.</t>
  </si>
  <si>
    <t>lisc@cug.edu.cn; wujs07s@zedat.fu-berlin.de; gongjian@cug.edu.cn; leesw@igsnrr.ac.cn</t>
  </si>
  <si>
    <t>Li, Shicheng/N-6789-2014; Wu, Jianshuang/N-4694-2015</t>
  </si>
  <si>
    <t>Li, Shicheng/0000-0001-6296-636X; Wu, Jianshuang/0000-0002-6768-8255</t>
  </si>
  <si>
    <t>National Natural Science Foundation of China [41701228]; National Social Science Fund [14BJY057]; Fundamental Research Funds for the Central Universities, China University of Geosciences (Wuhan) [G1323531777, G1323531735]</t>
  </si>
  <si>
    <t>National Natural Science Foundation of China(National Natural Science Foundation of China (NSFC)); National Social Science Fund; Fundamental Research Funds for the Central Universities, China University of Geosciences (Wuhan)(Fundamental Research Funds for the Central Universities)</t>
  </si>
  <si>
    <t>We are grateful to three anonymous reviewers for their valuable comments and suggestions to improve this study and Prof. Wenwu Tang from the University of North Carolina at Charlotte and Dr. Cheng Liu from China University of Geosciences for polishing the language. This research is supported by the National Natural Science Foundation of China (Grant No. 41701228), National Social Science Fund (14BJY057), and the Fundamental Research Funds for the Central Universities, China University of Geosciences (Wuhan) (G1323531777 and G1323531735).</t>
  </si>
  <si>
    <t>0048-9697</t>
  </si>
  <si>
    <t>1879-1026</t>
  </si>
  <si>
    <t>SCI TOTAL ENVIRON</t>
  </si>
  <si>
    <t>Sci. Total Environ.</t>
  </si>
  <si>
    <t>FU9SJ</t>
  </si>
  <si>
    <t>Beresford, AE; Buchanan, GM; Phalan, B; Eshiamwata, GW; Balmford, A; Brink, AB; Fishpool, LDC; Donald, PF</t>
  </si>
  <si>
    <t>Beresford, Alison E.; Buchanan, Graeme M.; Phalan, Ben; Eshiamwata, George W.; Balmford, Andrew; Brink, Andreas B.; Fishpool, Lincoln D. C.; Donald, Paul F.</t>
  </si>
  <si>
    <t>Correlates of long-term land-cover change and protected area performance at priority conservation sites in Africa</t>
  </si>
  <si>
    <t>bird conservation; deforestation; land-cover conversion; habitat loss; CBD; protected areas</t>
  </si>
  <si>
    <t>BIODIVERSITY; DEFORESTATION; MAP</t>
  </si>
  <si>
    <t>The loss of natural habitats is a major threat to biodiversity, and protected area designation is one of the standard responses to this threat. However, greater understanding of the drivers of habitat loss and of the circumstances under which protected areas succeed or fail is still needed. We use visual assessment of satellite images to quantify land-cover change over periods of up to 30 years in and around a matched sample of protected and unprotected Important Bird and Biodiversity Areas (IBAs) in Africa. We modelled the annual survival of forests and other natural land covers as a function of a range of environmental and anthropic predictors of plausible drivers. The best-supported model indicated that survival rates of natural land cover were highest in steeper areas, at higher altitudes, in areas with lower human population densities and in areas where the cover of natural habitats was already higher at the start of the period. Survival rates of natural land cover in protected areas were, on average, around twice those in unprotected areas, but the differences between them varied along different environmental gradients. The overall survival rates of both protected and unprotected forests were significantly lower than those of other natural land-cover types, but the net benefit of protection, in terms of the absolute difference in rates of loss between protected and unprotected sites, was higher in forests. Interaction terms indicated that as slope and altitude increased, the natural protection offered by topography increasingly nullified the additional benefits of legislative protection. Furthermore, protected area designation offered reduced additional benefits to the survival of natural land cover in areas where rates of conversion were higher at the start of the observation period. Variation in the impacts of protected area status along different environmental gradients indicates that targets to improve the world's protected area network, such as Aichi Target 11 of the Convention on Biological Diversity, need to look beyond simple area-based metrics. Our methods and results contribute to the development of a protocol for prioritizing places where protection is likely to have the greatest effect.</t>
  </si>
  <si>
    <t>[Beresford, Alison E.; Buchanan, Graeme M.] RSPB, RSPB Ctr Conservat Sci, 2 Lochside View, Edinburgh EH12 9DH, Midlothian, Scotland; [Phalan, Ben; Balmford, Andrew; Donald, Paul F.] Univ Cambridge, Dept Zool, Downing St, Cambridge CB2 3EJ, England; [Phalan, Ben] Oregon State Univ, Dept Forest Ecosyst &amp; Soc, 321 Richardson Hall, Corvallis, OR 97331 USA; [Eshiamwata, George W.] BirdLife Int Africa Partnership Secretariat, POB 3502-00100, Nairobi, Kenya; [Eshiamwata, George W.] Egerton Univ, Dept Nat Resources, Nakuru, Kenya; [Brink, Andreas B.] European Commiss, IES, Land Resource Management Unit, JRC, Ispra, Italy; [Fishpool, Lincoln D. C.; Donald, Paul F.] BirdLife Int, David Attenborough Bldg,Pembroke St, Cambridge CB2 3QZ, England; RSPB, RSPB Ctr Conservat Sci, Sandy SG19 2DL, Beds, England</t>
  </si>
  <si>
    <t>Royal Society for Protection of Birds; University of Cambridge; Oregon State University; BirdLife International; Egerton University; European Commission Joint Research Centre; EC JRC ISPRA Site; BirdLife International; Royal Society for Protection of Birds</t>
  </si>
  <si>
    <t>Beresford, AE (corresponding author), RSPB, RSPB Ctr Conservat Sci, 2 Lochside View, Edinburgh EH12 9DH, Midlothian, Scotland.</t>
  </si>
  <si>
    <t>alison.beresford@rspb.org.uk</t>
  </si>
  <si>
    <t>Phalan, Ben/A-5783-2009; Balmford, Anew/ABZ-9706-2022; Beresford, Alison/KFB-0201-2024</t>
  </si>
  <si>
    <t>Phalan, Ben/0000-0001-7876-7226; Balmford, Anew/0000-0002-0144-3589; Donald, Paul F/0000-0003-0023-6200;</t>
  </si>
  <si>
    <t>Cambridge Conservation Initiative Collaborative Fund, through the generosity of Arcadia [CCI 09/09 009]; King's College Cambridge</t>
  </si>
  <si>
    <t>Cambridge Conservation Initiative Collaborative Fund, through the generosity of Arcadia; King's College Cambridge</t>
  </si>
  <si>
    <t>We thank Adam Butler (Biostatistics Scotland) and Philip Platts for statistical advice. This work was partly supported by the Cambridge Conservation Initiative Collaborative Fund, through the generosity of Arcadia (grant CCI 09/09 009) and by King's College Cambridge (B. Phalan, Zukerman Junior Research Fellowship). We are grateful to the editor and to three anonymous referees for helpful comments.</t>
  </si>
  <si>
    <t>10.1017/S0376892917000157</t>
  </si>
  <si>
    <t>FY2RY</t>
  </si>
  <si>
    <t>Bronze</t>
  </si>
  <si>
    <t>WOS:000426664800006</t>
  </si>
  <si>
    <t>Kenyon, RA; Babcock, RC; Dell, Q; Lawrence, E; Moeseneder, C; Tonks, ML</t>
  </si>
  <si>
    <t>Kenyon, R. A.; Babcock, R. C.; Dell, Q.; Lawrence, E.; Moeseneder, C.; Tonks, M. L.</t>
  </si>
  <si>
    <t>MARINE AND FRESHWATER RESEARCH</t>
  </si>
  <si>
    <t>displacement; no-take zones; on-water observations; recreational fishing; spatial management</t>
  </si>
  <si>
    <t>RECREATIONAL FISHING EFFORT; GREAT-BARRIER-REEF; PROTECTED AREAS; ECONOMIC VALUE; RESERVES; FISHERIES; SPILLOVER; IMPACTS; IMPLEMENTATION; EQUIVALENCE</t>
  </si>
  <si>
    <t>[Kenyon, R. A.; Babcock, R. C.; Dell, Q.; Moeseneder, C.; Tonks, M. L.] CSIRO Oceans &amp; Atmosphere, Ecosci Precinct, GPO Box 2583, Brisbane, Qld 4001, Australia; [Lawrence, E.] CSIRO Data61, Ecosci Precinct, GPO Box 2583, Brisbane, Qld 4001, Australia</t>
  </si>
  <si>
    <t>Commonwealth Scientific &amp; Industrial Research Organisation (CSIRO); Commonwealth Scientific &amp; Industrial Research Organisation (CSIRO); CSIRO Data61</t>
  </si>
  <si>
    <t>Kenyon, RA (corresponding author), CSIRO Oceans &amp; Atmosphere, Ecosci Precinct, GPO Box 2583, Brisbane, Qld 4001, Australia.</t>
  </si>
  <si>
    <t>rob.kenyon@csiro.au</t>
  </si>
  <si>
    <t>Babcock, Russell C/A-3794-2012; Moeseneder, Chris/O-6844-2014; Dell, Quinton/KPB-1953-2024</t>
  </si>
  <si>
    <t>Babcock, Russell C/0000-0002-7756-1290; Moeseneder, Chris/0000-0002-6718-1913; Dell, Quinton/0009-0003-3302-2257</t>
  </si>
  <si>
    <t>Queensland Department of Environment and Resource Management [2008/459]</t>
  </si>
  <si>
    <t>Queensland Department of Environment and Resource Management</t>
  </si>
  <si>
    <t>The work was supported by by the then Queensland Department of Environment and Resource Management (Project number 2008/459).</t>
  </si>
  <si>
    <t>CSIRO PUBLISHING</t>
  </si>
  <si>
    <t>CLAYTON</t>
  </si>
  <si>
    <t>UNIPARK, BLDG 1, LEVEL 1, 195 WELLINGTON RD, LOCKED BAG 10, CLAYTON, VIC 3168, AUSTRALIA</t>
  </si>
  <si>
    <t>1323-1650</t>
  </si>
  <si>
    <t>1448-6059</t>
  </si>
  <si>
    <t>MAR FRESHWATER RES</t>
  </si>
  <si>
    <t>Mar. Freshw. Res.</t>
  </si>
  <si>
    <t>Fisheries; Limnology; Marine &amp; Freshwater Biology; Oceanography</t>
  </si>
  <si>
    <t>Fisheries; Marine &amp; Freshwater Biology; Oceanography</t>
  </si>
  <si>
    <t>FT9YN</t>
  </si>
  <si>
    <t>Moore, JF; Mulindahabi, F; Masozera, MK; Nichols, JD; Hines, JE; Turikunkiko, E; Oli, MK</t>
  </si>
  <si>
    <t>Moore, Jennifer F.; Mulindahabi, Felix; Masozera, Michel K.; Nichols, James D.; Hines, James E.; Turikunkiko, Ezechiel; Oli, Madan K.</t>
  </si>
  <si>
    <t>JOURNAL OF APPLIED ECOLOGY</t>
  </si>
  <si>
    <t>Albertine Rift; dynamic occupancy models; Nyungwe National Park; poaching; ranger-based monitoring; Rwanda; snares; spatial threat patterns; temporal threat patterns</t>
  </si>
  <si>
    <t>ESTIMATING SITE OCCUPANCY; ENVIRONMENTAL SERVICES; WILDLIFE MANAGEMENT; ILLEGAL ACTIVITIES; BUSHMEAT TRADE; BIODIVERSITY; INDICATORS; PREDATION; LIVESTOCK; PAYMENTS</t>
  </si>
  <si>
    <t>[Moore, Jennifer F.; Oli, Madan K.] Univ Florida, Dept Wildlife Ecol &amp; Conservat, Gainesville, FL 32611 USA; [Mulindahabi, Felix; Masozera, Michel K.] Wildlife Conservat Soc, Rwanda Program, Kigali, Rwanda; [Nichols, James D.; Hines, James E.] US Geol Survey, Patuxent Wildlife Res Ctr, Laurel, MD USA; [Turikunkiko, Ezechiel] Rwanda Dev Board, Nyungwe Natl Pk, Kitabi, Rwanda</t>
  </si>
  <si>
    <t>State University System of Florida; University of Florida; United States Department of the Interior; United States Geological Survey</t>
  </si>
  <si>
    <t>Moore, JF (corresponding author), Univ Florida, Dept Wildlife Ecol &amp; Conservat, Gainesville, FL 32611 USA.</t>
  </si>
  <si>
    <t>jennmoore924@ufl.edu</t>
  </si>
  <si>
    <t>Moore, Jennifer/AAO-6698-2021</t>
  </si>
  <si>
    <t>Moore, Jennifer/0000-0003-1153-9354</t>
  </si>
  <si>
    <t>Department of Wildlife Ecology and Conservation, University of Florida; Wildlife Conservation Society Rwanda Program; Rwanda Development Board</t>
  </si>
  <si>
    <t>Department of Wildlife Ecology and Conservation, University of Florida(University of Florida); Wildlife Conservation Society Rwanda Program; Rwanda Development Board</t>
  </si>
  <si>
    <t>Department of Wildlife Ecology and Conservation, University of Florida, Wildlife Conservation Society Rwanda Program, and the Rwanda Development Board.</t>
  </si>
  <si>
    <t>0021-8901</t>
  </si>
  <si>
    <t>1365-2664</t>
  </si>
  <si>
    <t>J APPL ECOL</t>
  </si>
  <si>
    <t>J. Appl. Ecol.</t>
  </si>
  <si>
    <t>FP6VM</t>
  </si>
  <si>
    <t>to Bühne, HS; Wegmann, M; Durant, SM; Ransom, C; de Ornellas, P; Grange, S; Beatty, H; Pettorelli, N</t>
  </si>
  <si>
    <t>to Buehne, Henrike Schulte; Wegmann, Martin; Durant, Sarah M.; Ransom, Chris; de Ornellas, Paul; Grange, Sophie; Beatty, Hope; Pettorelli, Nathalie</t>
  </si>
  <si>
    <t>REMOTE SENSING IN ECOLOGY AND CONSERVATION</t>
  </si>
  <si>
    <t>Land conversion; land cover classification; protection status; transboundary protected areas; vegetation loss; WAP</t>
  </si>
  <si>
    <t>COVER-CHANGE; SURFACE REFLECTANCE; ECOLOGICAL INTEGRITY; ECOSYSTEM SERVICES; CLIMATE-CHANGE; BURKINA-FASO; CONSERVATION; BIODIVERSITY; PERFORMANCE; DYNAMICS</t>
  </si>
  <si>
    <t>[to Buehne, Henrike Schulte; Durant, Sarah M.; Beatty, Hope; Pettorelli, Nathalie] Zool Soc London, Inst Zool, Regents Pk, London NW1 4RY, England; [Wegmann, Martin] Univ Wurzburg, Dept Remote Sensing, D-97074 Wurzburg, Germany; [Ransom, Chris; de Ornellas, Paul; Grange, Sophie] Zool Soc London, Conservat Programmes, Regents Pk, London NW1 4RY, England</t>
  </si>
  <si>
    <t>Zoological Society of London; University of Wurzburg; Zoological Society of London</t>
  </si>
  <si>
    <t>Pettorelli, N (corresponding author), Zool Soc London, Inst Zool, Regents Pk, London NW1 4RY, England.</t>
  </si>
  <si>
    <t>Nathalie.Pettorelli@ioz.ac.uk</t>
  </si>
  <si>
    <t>Pettorelli, Nathalie/AAW-8438-2021; Durant, Sarah/AAB-9659-2019</t>
  </si>
  <si>
    <t>Pettorelli, Nathalie/0000-0002-1594-6208; Durant, Sarah/0000-0003-0724-0878</t>
  </si>
  <si>
    <t>111 RIVER ST, HOBOKEN, NJ 07030 USA</t>
  </si>
  <si>
    <t>2056-3485</t>
  </si>
  <si>
    <t>REMOTE SENS ECOL CON</t>
  </si>
  <si>
    <t>Remote Sens. Ecol. Conserv.</t>
  </si>
  <si>
    <t>Ecology; Remote Sensing</t>
  </si>
  <si>
    <t>Environmental Sciences &amp; Ecology; Remote Sensing</t>
  </si>
  <si>
    <t>FO9XS</t>
  </si>
  <si>
    <t>Gonson, C; Pelletier, D; Alban, F; Giraud-Carrier, C; Ferraris, J</t>
  </si>
  <si>
    <t>Gonson, Charles; Pelletier, Dominique; Alban, Frederique; Giraud-Carrier, Charlotte; Ferraris, Jocelyne</t>
  </si>
  <si>
    <t>Marine protected areas; Recreational users; Pressure assessment; Motivation; Recreational opportunity spectrum; New-Caledonia</t>
  </si>
  <si>
    <t>CORAL-REEF ECOSYSTEMS; SPATIAL-PATTERNS; IMPACTS; RESERVES; TOURISM; PERCEPTIONS; SEA; DISPLACEMENT; EXPERIENCES; BENEFITS</t>
  </si>
  <si>
    <t>[Gonson, Charles; Pelletier, Dominique; Giraud-Carrier, Charlotte] IFREMER, UR Lagons, Ecosyst &amp; Aquaculture Durable Nouvelle Caledonie, 101 Promenade Roger Laroque,BP 2059, Noumea 98846, New Caledonia; [Gonson, Charles; Ferraris, Jocelyne] Univ Perpignan, IRD, UMR ENTROPIE, Via Domitia,52 Ave Paul Alduy, F-66860 Perpignan 9, France; [Pelletier, Dominique; Ferraris, Jocelyne] Lab Excellence LABEX Corail, Corail, France; [Alban, Frederique] Univ Brest, IFREMER, CNRS, UMR 6308,AMURE,IUEM, F-29280 Plouzane, France</t>
  </si>
  <si>
    <t>Ifremer; Institut de Recherche pour le Developpement (IRD); Universite Perpignan Via Domitia; Ifremer; Universite de Bretagne Occidentale; Institut Universitaire Europeen de la Mer (IUEM); Centre National de la Recherche Scientifique (CNRS); CNRS - Institute of Ecology &amp; Environment (INEE)</t>
  </si>
  <si>
    <t>Gonson, C (corresponding author), IFREMER, UR Lagons, Ecosyst &amp; Aquaculture Durable Nouvelle Caledonie, 101 Promenade Roger Laroque,BP 2059, Noumea 98846, New Caledonia.;Gonson, C (corresponding author), Univ Perpignan, IRD, UMR ENTROPIE, Via Domitia,52 Ave Paul Alduy, F-66860 Perpignan 9, France.</t>
  </si>
  <si>
    <t>Charles.gonson@ifremer.fr</t>
  </si>
  <si>
    <t>; Pelletier, Dominique/JAO-0109-2023</t>
  </si>
  <si>
    <t>ALBAN, Frédérique/0000-0003-3388-8192; Pelletier, Dominique/0000-0003-2420-1942</t>
  </si>
  <si>
    <t>Conservatoire des Espaces Naturels; three provinces; Government of New Caledonia; French Ministry of Ecology and Sustainable Development [12/1219969/C]</t>
  </si>
  <si>
    <t>Conservatoire des Espaces Naturels; three provinces; Government of New Caledonia; French Ministry of Ecology and Sustainable Development</t>
  </si>
  <si>
    <t>This study forms part of a PhD in the AMBIO project funded by the Conservatoire des Espaces Naturels, the three provinces and the Government of New Caledonia, and the French Ministry of Ecology and Sustainable Development (12/1219969/C).</t>
  </si>
  <si>
    <t>SEP 15</t>
  </si>
  <si>
    <t>FC0YK</t>
  </si>
  <si>
    <t>De la Rosa-Velázquez, MI; Espinoza-Tenorio, A; Díaz-Perera, MA; Ortega-Argueta, A; Ramos-Reyes, R; Espejel, I</t>
  </si>
  <si>
    <t>lsabel De la Rosa-Velazquez, Mayra; Espinoza-Tenorio, Alejandro; Angel Diaz-Perera, Miguel; Ortega-Argueta, Alejandro; Ramos-Reyes, Rodimiro; Espejel, Ileana</t>
  </si>
  <si>
    <t>Land-use change (LUC); Conservation policy; Protected area management effectiveness assessments (PAME); Coastal zone management</t>
  </si>
  <si>
    <t>LAND-USE CHANGE; COVER CHANGE; COASTAL; CONSERVATION; DRIVERS; DEGAZETTEMENT; DEFORESTATION; LANDSCAPE; POLICIES; IMPACTS</t>
  </si>
  <si>
    <t>[lsabel De la Rosa-Velazquez, Mayra; Espinoza-Tenorio, Alejandro; Angel Diaz-Perera, Miguel; Ortega-Argueta, Alejandro; Ramos-Reyes, Rodimiro] Colegio Frontera Sur Unidad Villahermosa, Km 15-5 Carr Reforma, Villahermosa 86280, Tabasco, Mexico; [Espejel, Ileana] Univ Autonoma Baja California, Fac Ciencias, Carretera Tijuana Ensenada 103 Km, Ensenada 22800, Baja California, Mexico</t>
  </si>
  <si>
    <t>El Colegio de la Frontera Sur (ECOSUR); Universidad Autonoma de Baja California</t>
  </si>
  <si>
    <t>Espinoza-Tenorio, A (corresponding author), Colegio Frontera Sur Unidad Villahermosa, Km 15-5 Carr Reforma, Villahermosa 86280, Tabasco, Mexico.</t>
  </si>
  <si>
    <t>mayraisabeldelarosa@gmail.com; aespinoza@ecosur.mx; mdiaz@ecosur.mx; aortega@ecosur.mx; rramos@ecosur.mx; ileana.espejel@uabc.edu.mx</t>
  </si>
  <si>
    <t>; Espinoza-Tenorio, Alejano/N-9810-2016; Ramos Reyes, Rodimiro/R-9319-2016; Espejel, Ileana/H-6671-2017</t>
  </si>
  <si>
    <t>Ortega-Argueta, Alejano/0000-0001-6337-3822; Espinoza-Tenorio, Alejano/0000-0002-0211-2976; Ramos Reyes, Rodimiro/0000-0003-3957-8160;</t>
  </si>
  <si>
    <t>Consejo Nacional de Ciencia y Tecnologia (CONACyT) under Master Degree's scholarship</t>
  </si>
  <si>
    <t>Consejo Nacional de Ciencia y Tecnologia (CONACyT) under Master Degree's scholarship(Consejo Nacional de Ciencia y Tecnologia (CONACyT))</t>
  </si>
  <si>
    <t>This study was funded by Consejo Nacional de Ciencia y Tecnologia (CONACyT) under a Master Degree's scholarship to M.I. De la Rosa-Velazquez; We thank Magda Hernandez, and anonymous reviewers for all suggestions and helpful comments.</t>
  </si>
  <si>
    <t>FK1YT</t>
  </si>
  <si>
    <t>Bowker, JN; De Vos, A; Ament, JM; Cumming, GS</t>
  </si>
  <si>
    <t>Bowker, J. N.; De Vos, A.; Ament, J. M.; Cumming, G. S.</t>
  </si>
  <si>
    <t>conservation; Earth Engine; forest loss; matching methods; paper parks; parks; satellite aerial imagery</t>
  </si>
  <si>
    <t>DEFORESTATION; CONSERVATION; BIODIVERSITY; PERFORMANCE; LOCATION; CARBON</t>
  </si>
  <si>
    <t>[Bowker, J. N.; Ament, J. M.; Cumming, G. S.] Univ Cape Town, Percy Fitzpatrick Inst African Ornithol, ZA-7701 Cape Town, South Africa; [De Vos, A.] Rhodes Univ, POB 94, ZA-6140 Grahamstown, South Africa; [Ament, J. M.] Zool Soc London, Inst Zool, Regents Pk, London NW1 4RY, England; [Ament, J. M.] UCL, Dept Genet Evolut &amp; Environm, Ctr Biodivers &amp; Environm Res, London WC1E 6BT, England; [Cumming, G. S.] James Cook Univ, ARC Ctr Excellence Coral Reef Studies, Townsville, Qld 4811, Australia</t>
  </si>
  <si>
    <t>University of Cape Town; Rhodes University; Zoological Society of London; University of London; University College London; James Cook University; ARC Centre of Excellence for Coral Reef Studies</t>
  </si>
  <si>
    <t>Bowker, JN (corresponding author), Univ Cape Town, Percy Fitzpatrick Inst African Ornithol, ZA-7701 Cape Town, South Africa.</t>
  </si>
  <si>
    <t>jenab01@gmail.com</t>
  </si>
  <si>
    <t>; Cumming, Graeme/B-6551-2008</t>
  </si>
  <si>
    <t>De Vos, Alta/0000-0002-9085-4012; Cumming, Graeme/0000-0002-3678-1326</t>
  </si>
  <si>
    <t>EU3WP</t>
  </si>
  <si>
    <t>Jacob, M; Frankl, A; Hurni, H; Lanckriet, S; De Ridder, M; Guyassa, E; Beeckman, H; Nyssen, J</t>
  </si>
  <si>
    <t>Jacob, Miro; Frankl, Amaury; Hurni, Hans; Lanckriet, Sil; De Ridder, Maaike; Guyassa, Etefa; Beeckman, Hans; Nyssen, Jan</t>
  </si>
  <si>
    <t>REGIONAL ENVIRONMENTAL CHANGE</t>
  </si>
  <si>
    <t>Vegetation change; Treeline dynamics; Anthropogenic pressure; Repeat photography</t>
  </si>
  <si>
    <t>VEGETATION CHANGE; HIGHLANDS; DEGRADATION; DRIVERS; CLIMATE; AFRICA; SLOPES</t>
  </si>
  <si>
    <t>[Jacob, Miro; Frankl, Amaury; Lanckriet, Sil; Guyassa, Etefa; Nyssen, Jan] Univ Ghent, Dept Geog, Krijgslaan 281 S8, B-9000 Ghent, Belgium; [Hurni, Hans] Univ Bern, Ctr Dev &amp; Environm CDE, Hallerstr 10, CH-3012 Bern, Switzerland; [De Ridder, Maaike; Beeckman, Hans] Royal Museum Cent Africa, Lab Wood Biol &amp; Xylarium, Leuvensesteenweg 13, B-3080 Tervuren, Belgium; [Guyassa, Etefa] Mekelle Univ, Dept Land Resource &amp; Environm Protect, Mekelle, Ethiopia; [Frankl, Amaury] Res Fund Flanders FWO, Egmontstr 5, B-1000 Brussels, Belgium</t>
  </si>
  <si>
    <t>Ghent University; University of Bern; Royal Museum for Central Africa; Mekelle University</t>
  </si>
  <si>
    <t>Jacob, M (corresponding author), Univ Ghent, Dept Geog, Krijgslaan 281 S8, B-9000 Ghent, Belgium.</t>
  </si>
  <si>
    <t>Miro.Jacob@UGent.be; Amaury.frankl@UGent.be; Hans.Hurni@cde.unibe.ch; Sil.Lanckriet@UGent.be; Maaike.de.ridder@africamuseum.be; EtefaGuyassa.Dinssa@UGent.be; Hans.beeckman@africamuseum.be; Jan.Nyssen@UGent.be</t>
  </si>
  <si>
    <t>Beeckman, Hans/I-7653-2019; Nyssen, Jan/B-8280-2009; frankl, amaury/J-5908-2012; Dinssa, Etefa guyassa/Q-5443-2018; Jacob, Miró/D-9355-2017</t>
  </si>
  <si>
    <t>Beeckman, Hans/0000-0001-8954-6277; Nyssen, Jan/0000-0002-2666-3860; frankl, amaury/0000-0002-1685-2780; Dinssa, Etefa guyassa/0000-0002-9633-9038; Dinssa, Etefa Guyassa/0000-0002-4833-5518;</t>
  </si>
  <si>
    <t>Belgian Special Research Fund (BOF fund, Ghent University); Ghent Special Research fund [IV1]</t>
  </si>
  <si>
    <t>Belgian Special Research Fund (BOF fund, Ghent University); Ghent Special Research fund</t>
  </si>
  <si>
    <t>This research was financially supported by the Belgian Special Research Fund (BOF fund, Ghent University) and was made possible by the Ethiopian Wildlife Conservation Authority, by Ato Girmay Ayalew in particular. Many thanks to Larry Workman and Bernhard Nievergelt for providing the historical photographs. We also thank the Wase-Tana Project (VLIR-Bahir Dar University) for their logistic support and the EWCA experts Ato Negussie Engda-work and Ato Azanaw Kefyalem as well as Yohannes Gebrehizir for field assistance. Thanks also goes to Silke Broidioi for her help and support.Funding was provided by Ghent Special Research fund (Grant No. IV1).</t>
  </si>
  <si>
    <t>SPRINGER HEIDELBERG</t>
  </si>
  <si>
    <t>HEIDELBERG</t>
  </si>
  <si>
    <t>TIERGARTENSTRASSE 17, D-69121 HEIDELBERG, GERMANY</t>
  </si>
  <si>
    <t>1436-3798</t>
  </si>
  <si>
    <t>1436-378X</t>
  </si>
  <si>
    <t>REG ENVIRON CHANGE</t>
  </si>
  <si>
    <t>Reg. Envir. Chang.</t>
  </si>
  <si>
    <t>Environmental Sciences; Environmental Studies</t>
  </si>
  <si>
    <t>EM0EG</t>
  </si>
  <si>
    <t>All, J; Medler, M; Arques, S; Cole, R; Woodall, T; King, J; Yan, J; Schmitt, C</t>
  </si>
  <si>
    <t>All, John; Medler, Michael; Arques, Sylvie; Cole, Rebecca; Woodall, Tommy; King, Justin; Yan, Jun; Schmitt, Carl</t>
  </si>
  <si>
    <t>FIRE RESPONSE TO LOCAL CLIMATE VARIABILITY: HUASCARAN NATIONAL PARK, PERU</t>
  </si>
  <si>
    <t>FIRE ECOLOGY</t>
  </si>
  <si>
    <t>Andes; climate variability; fire extent; fire occurrence; MODIS; Peru; satellite imagery</t>
  </si>
  <si>
    <t>BURNED-AREA PRODUCTS; LAST GLACIAL MAXIMUM; CORDILLERA BLANCA; TROPICAL MEXICO; LAND-USE; ANDES; MODIS; ECUADOR; HISTORY; AFRICA</t>
  </si>
  <si>
    <t>In Huascaran National Park (HNP), Peru, grazing and anthropogenic burning have been interacting for decades with natural ignitions and climate variability to reconfigure the fire regimes of the vegetative communities. However, over the last few decades, human alterations to the region's fire regime were perceived by resource managers to have led to an overall increase in fire occurrence and fire extent. Resource managers are now very concerned about the impacts of increasing anthropogenic fires in the National Park because these fires seem to disrupt ecological processes and tourism. To test these beliefs and examine the fire activity from 2002 to 2014, we used a time series of several different data products including the MODIS Terra and Aqua platforms (Active Fire and Burned Area) as well as local air temperature and precipitation data. The intra-annual distribution of fires in the HNP and its buffer zone (BZ) showed a consistent increase in the number of active fires and burned areas during the dry season (Peruvian winter). The active fire anomalies showed higher fire activity in the HNP over the period 2002 to 2014. However, burned area anomalies showed consistently higher fire activity in the BZ during the high fire years in 2003, 2005, 2010, and 2014. The spatial distribution of areas burned in the HNP and the BZ from 2002 to 2014 showed that most recurrent burning was inside the BZ, which is in compliance with the HNP's policy but in contradiction with local resource managers' perceptions. Although human activity may influence local fire dynamics, fire responses seemed to be mainly influenced by local climate oscillations. Our results suggest a clear fire response to local climate and, in particular, to precipitation variability. However, it appears that there was a low fire return interval for any given location and that the total area burned for a given year is relatively small. Therefore, small-scale fires created an appearance of larger fire impacts than actually occur within the HNP and its BZ. In this instance, fire perception and fire reality are not aligning and the new challenge for resource managers is how best to reconcile these two factors to more effectively manage the parklands.</t>
  </si>
  <si>
    <t>[All, John] Western Washington Univ, Huxley Coll, Dept Environm Sci, 516 High St, Bellingham, WA 98225 USA; [Medler, Michael; Arques, Sylvie] Western Washington Univ, Huxley Coll, Dept Environm Studies, 516 High St, Bellingham, WA 98225 USA; [Cole, Rebecca] Univ Hawaii Manoa, Dept Nat Resources &amp; Environm Management, 1910 East West Rd, Honolulu, HI 96822 USA; [Woodall, Tommy; King, Justin; Yan, Jun] Western Kentucky Univ, 1906 Coll Hts Blvd, Bowling Green, KY 42101 USA; [Schmitt, Carl] Natl Ctr Atmospher Res, Earth Syst Lab, Mesoscale &amp; Microscale Meteorol, 3090 Ctr Green Dr, Boulder, CO 80301 USA</t>
  </si>
  <si>
    <t>Western Washington University; Western Washington University; University of Hawaii System; University of Hawaii Manoa; Western Kentucky University; National Center Atmospheric Research (NCAR) - USA</t>
  </si>
  <si>
    <t>All, J (corresponding author), Western Washington Univ, Huxley Coll, Dept Environm Sci, 516 High St, Bellingham, WA 98225 USA.</t>
  </si>
  <si>
    <t>mt.clim8@gmail.com</t>
  </si>
  <si>
    <t>Schmitt, Carl/P-5490-2015</t>
  </si>
  <si>
    <t>Schmitt, Carl/0000-0003-3829-6970; All, John/0000-0002-1401-971X</t>
  </si>
  <si>
    <t>USAID</t>
  </si>
  <si>
    <t>USAID(United States Agency for International Development (USAID))</t>
  </si>
  <si>
    <t>This project is part of a larger research program studying the effects of climate and anthropogenic changes in alpine environments in Peru and Nepal founded by USAID. We would like to thank S. Schauwecker and the National Meteorological and Hydrological Service of Peru for kindly providing us with climate data. For comments and suggestions on earlier drafts, we would like to thank S. Schauwecker and M. Vuille and several anonymous reviewers.</t>
  </si>
  <si>
    <t>ASSOC FIRE ECOLOGY</t>
  </si>
  <si>
    <t>EUGENE</t>
  </si>
  <si>
    <t>PO BOX 50412, EUGENE, OR 97405 USA</t>
  </si>
  <si>
    <t>1933-9747</t>
  </si>
  <si>
    <t>FIRE ECOL</t>
  </si>
  <si>
    <t>Fire Ecol.</t>
  </si>
  <si>
    <t>10.4996/fireecology.130288764</t>
  </si>
  <si>
    <t>FF2ML</t>
  </si>
  <si>
    <t>WOS:000408731400005</t>
  </si>
  <si>
    <t>Tapia-Armijos, MF; Homeier, J; Munt, DD</t>
  </si>
  <si>
    <t>Fernanda Tapia-Armijos, Maria; Homeier, Juergen; Munt, David Draper</t>
  </si>
  <si>
    <t>Spatio-temporal analysis of the human footprint in South Ecuador: Influence of human pressure on ecosystems and effectiveness of protected areas</t>
  </si>
  <si>
    <t>Conservation; Land management; Protected area; Podocarpus national park; Human impact</t>
  </si>
  <si>
    <t>CONSERVATION; AMAZON; DEFORESTATION; BIODIVERSITY; DIVERSITY; AFFLUENCE; THREATS; FOREST</t>
  </si>
  <si>
    <t>Human influence and its impacts are perceptible in all ecosystems resulting in land transformation, changes in global biogeochemistry, climate change, and loss of biological diversity. Mapping the spatial and temporal patterns of human influence is essential to address land use management and conservation programs. In this study, we tailored the Human Footprint index (HF) developed at global level to evaluate the spatial and temporal patterns of human pressure in South Ecuador for 1982, 1990 and 2008. Landscape and ecosystem levels were analyzed to identify the contribution of different human proxies to the HF. We also used the HF to evaluate the effectiveness of protected areas to reduce human pressure in the surrounding landscape. We found that levels of human pressure increased and the wildest areas decreased since 1982. We identified important hotspots of changes in the seasonally dry forests in the western part and the premontane evergreen forest in the eastern part of the study area. Our results show that each human proxy contributes in a different way to the observed values of HF in the studied ecosystems. Finally, we found that Podocarpus NP, the most important protected area in our study region, seems to be partially effective in reducing human pressure inside and in the buffer zones where only a low increase in HF was detected. However, the HF values observed in the surrounding landscape were higher than those observed in the buffer zone and inside the protected area. We demonstrated that HF could be a useful regional evaluation tool to facilitate conservation planning. (C) 2016 Elsevier Ltd. All rights reserved.</t>
  </si>
  <si>
    <t>[Fernanda Tapia-Armijos, Maria; Munt, David Draper] Univ Tecn Particular Loja, Dept Ciencias Biol, Sect Ecol &amp; Sistemat, Loja 1101608, Ecuador; [Fernanda Tapia-Armijos, Maria; Homeier, Juergen] Univ Gottingen, Albrecht Von Haller Inst Plant Sci, Plant Ecol, Untere Karspille 2, D-37073 Gottingen, Germany; [Munt, David Draper] Ctr Ecol Evolucao &amp; Alteracties Ambientais, CE3C Ctr Ecol Evolut &amp; Environm Changes, C2, P-17490016 Campo Grande, Portugal</t>
  </si>
  <si>
    <t>Universidad Tecnica Particular de Loja; University of Gottingen</t>
  </si>
  <si>
    <t>Tapia-Armijos, MF (corresponding author), Univ Tecn Particular Loja, Dept Ciencias Biol, Sect Ecol &amp; Sistemat, Loja 1101608, Ecuador.</t>
  </si>
  <si>
    <t>mftapia@utpl.edu.ec</t>
  </si>
  <si>
    <t>Draper Munt, David/A-6902-2017; aper Munt, David/A-6902-2017; Homeier, Jürgen/G-1662-2011</t>
  </si>
  <si>
    <t>aper Munt, David/0000-0001-7807-3574; Homeier, Jürgen/0000-0001-5676-3267</t>
  </si>
  <si>
    <t>SENESCYT scholarship program; DFG within the research unit FOR 816 [HO 3296/2, HO 3293/3]; Portuguese Foundation for Science and Technology (FCT) [SFRH/BPD/100384/2014]; Fundação para a Ciência e a Tecnologia [SFRH/BPD/100384/2014] Funding Source: FCT</t>
  </si>
  <si>
    <t>SENESCYT scholarship program; DFG within the research unit FOR 816(German Research Foundation (DFG)); Portuguese Foundation for Science and Technology (FCT)(Fundacao para a Ciencia e a Tecnologia (FCT)); Fundação para a Ciência e a Tecnologia</t>
  </si>
  <si>
    <t>We thank C.I. Espinosa for manuscript revision and commentaries and C. Iniguez-Armijos for his comments on figures. This research was financially supported by SENESCYT scholarship program 2010 and the DFG within the research unit FOR 816 (projects HO 3296/2 and HO 3293/3). D. Draper Munt is funded by the Portuguese Foundation for Science and Technology (FCT) by the postdoc grant SFRH/BPD/100384/2014. We thank two anonymous reviewers for their suggestions that improved our manuscript.</t>
  </si>
  <si>
    <t>10.1016/j.apgeog.2016.10.007</t>
  </si>
  <si>
    <t>EJ0JZ</t>
  </si>
  <si>
    <t>WOS:000392895900003</t>
  </si>
  <si>
    <t>Potapov, P; Hansen, MC; Laestadius, L; Turubanova, S; Yaroshenko, A; Thies, C; Smith, W; Zhuravleva, I; Komarova, A; Minnemeyer, S; Esipova, E</t>
  </si>
  <si>
    <t>Potapov, Peter; Hansen, Matthew C.; Laestadius, Lars; Turubanova, Svetlana; Yaroshenko, Alexey; Thies, Christoph; Smith, Wynet; Zhuravleva, Ilona; Komarova, Anna; Minnemeyer, Susan; Esipova, Elena</t>
  </si>
  <si>
    <t>SPATIAL-PATTERNS; FIRE; DEFORESTATION; ALASKA</t>
  </si>
  <si>
    <t>[Potapov, Peter; Hansen, Matthew C.; Turubanova, Svetlana] Univ Maryland, College Pk, MD 20740 USA; [Laestadius, Lars] Laestadius Consulting LLC, Silver Spring, MD 20901 USA; [Yaroshenko, Alexey; Zhuravleva, Ilona; Komarova, Anna] Greenpeace Russia, Moscow, Russia; [Thies, Christoph] Greenpeace Germany, Hamburg, Germany; [Smith, Wynet] Global Forest Watch Canada, Ottawa, ON, Canada; [Minnemeyer, Susan] World Resources Inst, Washington, DC 20002 USA; [Esipova, Elena] NGO Transparent World, Moscow, Russia</t>
  </si>
  <si>
    <t>University System of Maryland; University of Maryland College Park; Greenpeace; Greenpeace</t>
  </si>
  <si>
    <t>Potapov, P (corresponding author), Univ Maryland, College Pk, MD 20740 USA.</t>
  </si>
  <si>
    <t>potapov@umd.edu</t>
  </si>
  <si>
    <t>Hansen, Matthew/ABE-7226-2020; Potapov, Peter/AAE-7388-2019</t>
  </si>
  <si>
    <t>Zhuravleva, Ilona/0000-0001-7897-281X; Komarova, Anna/0000-0003-2746-2291; , Elena Esipova/0009-0005-0561-0216; Potapov, Peter/0000-0003-3977-0021</t>
  </si>
  <si>
    <t>Greenpeace Russia; Global Forest Watch, an initiative of the World Resources Institute</t>
  </si>
  <si>
    <t>The IFL 2000-2013 global update was funded by Greenpeace Russia and Global Forest Watch, an initiative of the World Resources Institute.</t>
  </si>
  <si>
    <t>e1600821</t>
  </si>
  <si>
    <t>EK2XI</t>
  </si>
  <si>
    <t>Olsoy, PJ; Zeller, KA; Hicke, JA; Quigley, HB; Rabinowitz, AR; Thornton, DH</t>
  </si>
  <si>
    <t>Olsoy, Peter J.; Zeller, Kathy A.; Hicke, Jeffrey A.; Quigley, Howard B.; Rabinowitz, Alan R.; Thornton, Daniel H.</t>
  </si>
  <si>
    <t>Conservation planning; Connectivity; Deforestation; Fragmentation; Panthera onca; Protected areas</t>
  </si>
  <si>
    <t>PROTECTED AREAS; PANTHERA-ONCA; HABITAT USE; MANAGEMENT; LANDSCAPE; BIODIVERSITY; CONNECTIVITY; CORRIDORS; ECOLOGY; RESERVE</t>
  </si>
  <si>
    <t>[Olsoy, Peter J.; Thornton, Daniel H.] Washington State Univ, Sch Environm, 100 Dairy Rd 1228 Webster, Pullman, WA 99164 USA; [Zeller, Kathy A.] Univ Massachusetts, Dept Environm Conservat, 160 Holdsworth Way, Amherst, MA 01003 USA; [Hicke, Jeffrey A.] Univ Idaho, Dept Geog, Moscow, ID 83844 USA; [Quigley, Howard B.; Rabinowitz, Alan R.; Thornton, Daniel H.] Panthera USA, 8 West 40th St,18th Floor, New York, NY 10018 USA</t>
  </si>
  <si>
    <t>Washington State University; University of Massachusetts System; University of Massachusetts Amherst; University of Idaho</t>
  </si>
  <si>
    <t>Olsoy, PJ (corresponding author), Washington State Univ, Sch Environm, 100 Dairy Rd 1228 Webster, Pullman, WA 99164 USA.</t>
  </si>
  <si>
    <t>peterolsoy@gmail.com; kzeller@gmail.com; jhicke@uidaho.edu; hquigley@panthera.org; arabinowitz@panthera.org; daniel.thornton@wsu.edu</t>
  </si>
  <si>
    <t>Hicke, Jeffrey/M-9677-2013</t>
  </si>
  <si>
    <t>Olsoy, Peter/0000-0002-8785-0459</t>
  </si>
  <si>
    <t>Washington State University</t>
  </si>
  <si>
    <t>Support for this research was provided by a Washington State University college-funded graduate research assistantship to P. Olsoy.</t>
  </si>
  <si>
    <t>EC5EO</t>
  </si>
  <si>
    <t>Brink, AB; Martínez-López, J; Szantoi, Z; Moreno-Atencia, P; Lupi, A; Bastin, L; Dubois, G</t>
  </si>
  <si>
    <t>Brink, Andreas B.; Martinez-Lopez, Javier; Szantoi, Zoltan; Moreno-Atencia, Pablo; Lupi, Andrea; Bastin, Lucy; Dubois, Gregoire</t>
  </si>
  <si>
    <t>REMOTE SENSING</t>
  </si>
  <si>
    <t>land cover; habitats; Tanzania; Udzungwa; DOPA; BIOPAMA; SAGCOT</t>
  </si>
  <si>
    <t>RED COLOBUS; CONSERVATION; TERRESTRIAL; FOREST; DIVERSITY; PRIMATES; IMAGERY; SYSTEM; MAP</t>
  </si>
  <si>
    <t>[Brink, Andreas B.; Martinez-Lopez, Javier; Szantoi, Zoltan; Moreno-Atencia, Pablo; Lupi, Andrea; Bastin, Lucy; Dubois, Gregoire] European Commiss, Joint Res Ctr, Directorate Sustainable Resources, I-21027 Ispra, Italy; [Martinez-Lopez, Javier] Univ Basque Country, Basque Ctr Climate Change BC3, Sede Bldg 1,1st Floor,Sci Campus, Leioa 48940, Spain</t>
  </si>
  <si>
    <t>European Commission Joint Research Centre; EC JRC ISPRA Site; Basque Centre for Climate Change (BC3); University of Basque Country</t>
  </si>
  <si>
    <t>Brink, AB (corresponding author), European Commiss, Joint Res Ctr, Directorate Sustainable Resources, I-21027 Ispra, Italy.</t>
  </si>
  <si>
    <t>andreas.brink@jrc.ec.europa.eu; javier.martinez@bc3research.org; zoltan.szantoi@jrc.ec.europa.eu; pablom_geo@hotmail.com; andrea.lupi@ext.jrc.ec.europa.eu; lucy.bastin@jrc.ec.europa.eu; gregoire.dubois@jrc.ec.europa.eu</t>
  </si>
  <si>
    <t>Szantoi, Zoltan/AAA-9330-2022; Martínez-López, Javier/HGU-2066-2022; Dubois, Gregoire/AAM-6513-2020; Bastin, Lucy/ABD-2663-2021</t>
  </si>
  <si>
    <t>Szantoi, Zoltan/0000-0003-2580-4382; Martínez-López, Javier/0000-0002-0825-7252; Dubois, Gregoire/0000-0002-0515-7168; Bastin, Lucy/0000-0003-1321-0800</t>
  </si>
  <si>
    <t>intra-ACP (African, Caribbean and Pacific); European Union (EU) strategy for wildlife conservation in Africa</t>
  </si>
  <si>
    <t>intra-ACP (African, Caribbean and Pacific); European Union (EU) strategy for wildlife conservation in Africa(European Union (EU))</t>
  </si>
  <si>
    <t>The study was accomplished within the framework of the BIOPAMA (Biodiversity and Protected Areas Management) project, a four year initiative (2012-2016) funded by resources from the intra-ACP (African, Caribbean and Pacific) envelope of the 10th European Development Fund (EDF). BIOPAMA aims to address threats to biodiversity in the ACP countries, while reducing poverty in communities in and around protected areas [70]. It is also the first step towards supporting a new European Union (EU) strategy for wildlife conservation in Africa, focusing on key conservation landscapes [69] rather than on individual, independent protected areas. The authors would like to thank Steven R. Schill, senior scientist at the Nature Conservancy, for his constructive and concrete comments and suggestions. His recommendations were very helpful to improve the manuscript. Finally, we would like to thank the anonymous reviewers; their comments improved the manuscript significantly.</t>
  </si>
  <si>
    <t>ST ALBAN-ANLAGE 66, CH-4052 BASEL, SWITZERLAND</t>
  </si>
  <si>
    <t>2072-4292</t>
  </si>
  <si>
    <t>REMOTE SENS-BASEL</t>
  </si>
  <si>
    <t>Remote Sens.</t>
  </si>
  <si>
    <t>Environmental Sciences; Geosciences, Multidisciplinary; Remote Sensing; Imaging Science &amp; Photographic Technology</t>
  </si>
  <si>
    <t>Environmental Sciences &amp; Ecology; Geology; Remote Sensing; Imaging Science &amp; Photographic Technology</t>
  </si>
  <si>
    <t>EB4QI</t>
  </si>
  <si>
    <t>Carmenta, R; Blackburn, GA; Davies, G; de Sassi, C; Lima, A; Parry, L; Tych, W; Barlow, J</t>
  </si>
  <si>
    <t>Carmenta, Rachel; Blackburn, George Alan; Davies, Gemma; de Sassi, Claudio; Lima, Andre; Parry, Luke; Tych, Wlodek; Barlow, Jos</t>
  </si>
  <si>
    <t>PROTECTED AREAS; LAND-USE; CLIMATE-CHANGE; DEFORESTATION; AMAZON; FORESTS; CONSERVATION; VARIABILITY; PREVENTION; CARBON</t>
  </si>
  <si>
    <t>[Carmenta, Rachel] Ctr Int Forestry Res, Forests &amp; Governance, Bogor, West Java, Indonesia; [Carmenta, Rachel; Blackburn, George Alan; Davies, Gemma; Parry, Luke; Tych, Wlodek; Barlow, Jos] Univ Lancaster, Lancaster Environm Ctr, Lancaster, England; [de Sassi, Claudio] Forests &amp; Livelihoods, Ctr Int Forestry Res, Bogor, West Java, Indonesia; [Lima, Andre] Natl Inst Space Res, Sao Jose Dos Campos, SP, Brazil</t>
  </si>
  <si>
    <t>CGIAR; Center for International Forestry Research (CIFOR); Lancaster University; CGIAR; Center for International Forestry Research (CIFOR); Instituto Nacional de Pesquisas Espaciais (INPE)</t>
  </si>
  <si>
    <t>Carmenta, R (corresponding author), Ctr Int Forestry Res, Forests &amp; Governance, Bogor, West Java, Indonesia.;Carmenta, R (corresponding author), Univ Lancaster, Lancaster Environm Ctr, Lancaster, England.</t>
  </si>
  <si>
    <t>rachelcarmenta@gmail.com</t>
  </si>
  <si>
    <t>; Tych, Wlodzimierz/K-6510-2012; Blackburn, George/E-6221-2014; Parry, Luke/LMN-8844-2024; Barlow, Jos/HGE-9486-2022</t>
  </si>
  <si>
    <t>Carmenta, Rachel/0000-0001-8607-4147; Tych, Wlodzimierz/0000-0003-1655-844X; Davies, Gemma/0000-0002-7420-2479; Parry, Luke/0000-0003-0330-9516; Barlow, Jos/0000-0003-4992-2594; De Sassi, Claudio/0000-0002-8811-7347</t>
  </si>
  <si>
    <t>Natural Environment Research Council and Economic and Social Research Council (NERC-ESRC) [ES/F012500/1]; Darwin Initiative [17-023]; Instituto Nacional de Ciencia e Tecnologia - Biodiversidade e Uso da Terra na Amazonia [CNPq 574008/2008-0]; Norwegian Agency for Development Cooperation; Australian Agency for International Development</t>
  </si>
  <si>
    <t>Natural Environment Research Council and Economic and Social Research Council (NERC-ESRC); Darwin Initiative; Instituto Nacional de Ciencia e Tecnologia - Biodiversidade e Uso da Terra na Amazonia; Norwegian Agency for Development Cooperation(Norwegian Agency for Development Cooperation - NORAD); Australian Agency for International Development(Norwegian Agency for Development Cooperation - NORAD)</t>
  </si>
  <si>
    <t>This research was funded by the Natural Environment Research Council and Economic and Social Research Council (NERC-ESRC grant ES/F012500/1 : RC), the Darwin Initiative (17-023: JB, LP, RC) (http://www.darwininitiative.org.uk/), the Instituto Nacional de Ciencia e Tecnologia - Biodiversidade e Uso da Terra na Amazonia (CNPq 574008/2008-0: JB, LP, RC) (http://inct.cnpq.br/web/inct-biodiversidade-e-uso-da-terra-na-amazonia), the Norwegian Agency for Development Cooperation (http://www.norad.no/en/front-page: RC), and the Australian Agency for International Development (www.ausaid.gov.au: RC).</t>
  </si>
  <si>
    <t>FEB 17</t>
  </si>
  <si>
    <t>e0149292</t>
  </si>
  <si>
    <t>DF3BJ</t>
  </si>
  <si>
    <t>Calvache, MF; Prados, MJ; Lourenço, JM</t>
  </si>
  <si>
    <t>Calvache, Marta F.; Prados, Maria-Jose; Lourenco, Julia M.</t>
  </si>
  <si>
    <t>JOURNAL OF ENVIRONMENTAL PLANNING AND MANAGEMENT</t>
  </si>
  <si>
    <t>naturbanization; Southern Europe; Biosphere Reserves-National Parks; land-use changes; Corine land cover</t>
  </si>
  <si>
    <t>LAND-COVER CHANGE; PROTECTED AREAS; AGRICULTURAL LANDSCAPES; BIODIVERSITY; CONSERVATION; URBAN; CONNECTIVITY</t>
  </si>
  <si>
    <t>This paper assesses land-use changes related to naturbanization processes on three biosphere reserves in Southern Europe. A comparative analysis has been done on the National Parks in Peneda-Geres in North Portugal, Cevennes in South France and Sierra Nevada in South Spain, using Corine Land Cover data from 1990 until 2006. Results indicate that the process of land-use intensification is taking place in the frame of naturbanization dynamics that could jeopardize the role of Protected Areas. Focusing on the trends faced by National Parks and their surrounding territories, the analysis demonstrates, both in quantitative and spatial terms, the intensification processes of land-use changes and how it is important to know them for coping with increasing threats. The article concludes that in the current context of increasing stresses, a broader focus on nature protection, encompassing the wider countryside, is needed if the initiatives for biodiversity protection are to be effective.</t>
  </si>
  <si>
    <t>[Calvache, Marta F.; Prados, Maria-Jose] Univ Seville, Fac Geog &amp; Hist, Dept Human Geog, Seville, Spain; [Calvache, Marta F.; Lourenco, Julia M.] Univ Minho, Dept Civil Engn, Sch Engn, Guimaraes, Portugal</t>
  </si>
  <si>
    <t>University of Sevilla; Universidade do Minho</t>
  </si>
  <si>
    <t>Calvache, MF (corresponding author), Univ Seville, Fac Geog &amp; Hist, Dept Human Geog, Seville, Spain.;Calvache, MF (corresponding author), Univ Minho, Dept Civil Engn, Sch Engn, Guimaraes, Portugal.</t>
  </si>
  <si>
    <t>marta.fdez.calvache@gmail.com</t>
  </si>
  <si>
    <t>; Lourenco, Julia M/J-1719-2015; Prados, María-José/I-8931-2017</t>
  </si>
  <si>
    <t>Prados Velasco, María José/0000-0002-3851-3405; Lourenco, Julia M/0000-0003-3390-6020; Fernández Calvache, Marta/0000-0002-7575-3926</t>
  </si>
  <si>
    <t>R&amp;D&amp;i National Plan of the Spanish Ministry of the Economy and Competitiveness [CSO2011-28480]</t>
  </si>
  <si>
    <t>R&amp;D&amp;i National Plan of the Spanish Ministry of the Economy and Competitiveness</t>
  </si>
  <si>
    <t>This work was supported by the R&amp;D&amp;i National Plan of the Spanish Ministry of the Economy and Competitiveness [grant number CSO2011-28480].</t>
  </si>
  <si>
    <t>ROUTLEDGE JOURNALS, TAYLOR &amp; FRANCIS LTD</t>
  </si>
  <si>
    <t>ABINGDON</t>
  </si>
  <si>
    <t>2-4 PARK SQUARE, MILTON PARK, ABINGDON OX14 4RN, OXON, ENGLAND</t>
  </si>
  <si>
    <t>0964-0568</t>
  </si>
  <si>
    <t>1360-0559</t>
  </si>
  <si>
    <t>J ENVIRON PLANN MAN</t>
  </si>
  <si>
    <t>J. Environ. Plan. Manag.</t>
  </si>
  <si>
    <t>10.1080/09640568.2015.1083416</t>
  </si>
  <si>
    <t>Development Studies; Regional &amp; Urban Planning</t>
  </si>
  <si>
    <t>Development Studies; Public Administration</t>
  </si>
  <si>
    <t>DS6KY</t>
  </si>
  <si>
    <t>WOS:000380891900005</t>
  </si>
  <si>
    <t>Kusimi, JM</t>
  </si>
  <si>
    <t>Kusimi, John Manyimadin</t>
  </si>
  <si>
    <t>Atewa Forest; Change detection; Forest conservation; Image classification; Land use and land cover change; Remote sensing</t>
  </si>
  <si>
    <t>NATIONAL-PARK; COVER CHANGE; CONSERVATION; BIODIVERSITY; DEFORESTATION; MECHANISMS; MEXICO; AREAS; GHANA; PERU</t>
  </si>
  <si>
    <t>[Kusimi, John Manyimadin] Univ Ghana, Dept Geog &amp; Resource Dev, Legon, Ghana</t>
  </si>
  <si>
    <t>University of Ghana</t>
  </si>
  <si>
    <t>Kusimi, JM (corresponding author), Univ Ghana, Dept Geog &amp; Resource Dev, Legon, Ghana.</t>
  </si>
  <si>
    <t>jmkusimi@ug.edu.gh</t>
  </si>
  <si>
    <t>CZ4XH</t>
  </si>
  <si>
    <t>Shah, P; Baylis, K</t>
  </si>
  <si>
    <t>Shah, Payal; Baylis, Kathy</t>
  </si>
  <si>
    <t>BIODIVERSITY CONSERVATION; COSTA-RICA; DEFORESTATION; AREAS; POVERTY; KALIMANTAN; EMISSIONS; PAYMENTS; SUMATRA; IMPACT</t>
  </si>
  <si>
    <t>[Shah, Payal] Grad Univ, Okinawa Inst Sci &amp; Technol, Onna Son, Okinawa, Japan; [Baylis, Kathy] Univ Illinois, Dept Agr &amp; Consumer Econ, Champaign, IL USA</t>
  </si>
  <si>
    <t>Okinawa Institute of Science &amp; Technology Graduate University; University of Illinois System; University of Illinois Urbana-Champaign</t>
  </si>
  <si>
    <t>Shah, P (corresponding author), Grad Univ, Okinawa Inst Sci &amp; Technol, Onna Son, Okinawa, Japan.</t>
  </si>
  <si>
    <t>paya.shah@oist.jp</t>
  </si>
  <si>
    <t>Shah, Payal/G-2933-2015</t>
  </si>
  <si>
    <t>Shah, Payal/0000-0002-9349-4614</t>
  </si>
  <si>
    <t>JUN 3</t>
  </si>
  <si>
    <t>e0124872</t>
  </si>
  <si>
    <t>CJ7ST</t>
  </si>
  <si>
    <t>Martínez-Fernández, J; Ruiz-Benito, P; Zavala, MA</t>
  </si>
  <si>
    <t>Martinez-Fernandez, Jesus; Ruiz-Benito, Paloma; Zavala, Miguel A.</t>
  </si>
  <si>
    <t>Land cover change; Mediterranean region; Protected areas; Biomes; Natura Net 2000; Systematic transition</t>
  </si>
  <si>
    <t>CLIMATE-CHANGE; MEDITERRANEAN BASIN; GLOBAL CHANGE; BIODIVERSITY; AREAS; ECOREGIONS; PARKS; VULNERABILITY; PATTERNS; SCIENCE</t>
  </si>
  <si>
    <t>[Martinez-Fernandez, Jesus; Ruiz-Benito, Paloma; Zavala, Miguel A.] CIFOR INIA, Forest Res Ctr, Carretera Coruna Km 7-5, Madrid 28040, Spain; [Ruiz-Benito, Paloma; Zavala, Miguel A.] Univ Alcala, Forest Ecol &amp; Restorat Grp, Dept Life Sci, Madrid, Spain; [Ruiz-Benito, Paloma] Univ Stirling, Sch Nat Sci, Biol &amp; Environm Sci, Stirling FK9 4LA, Scotland</t>
  </si>
  <si>
    <t>Instituto Nacional Investigacion Tecnologia Agraria Alimentaria (INIA); Universidad de Alcala; University of Stirling</t>
  </si>
  <si>
    <t>Martínez-Fernández, J (corresponding author), CIFOR INIA, Forest Res Ctr, Carretera Coruna Km 7-5, Madrid 28040, Spain.</t>
  </si>
  <si>
    <t>martinez.jesus@inia.es</t>
  </si>
  <si>
    <t>Zavala, Miguel A/H-3603-2015; Ruiz-Benito, Paloma/E-5833-2012; Martínez-Fernández, Jesús/H-3729-2012</t>
  </si>
  <si>
    <t>Zavala, Miguel A/0000-0003-1456-0132; Ruiz-Benito, Paloma/0000-0002-2781-5870; Martínez-Fernández, Jesús/0000-0002-0686-6206</t>
  </si>
  <si>
    <t>FPU [AP2008-01325]; Community of Madrid grant REMEDINAL-2 [CM S2009 AMB 1783]</t>
  </si>
  <si>
    <t>FPU(Spanish Government); Community of Madrid grant REMEDINAL-2</t>
  </si>
  <si>
    <t>P.R.B. was supported by a FPU fellowship (AP2008-01325). M.A.Z. was supported by the Community of Madrid grant REMEDINAL-2 [CM S2009 AMB 1783]. We thank the OSE (Observatory of Sustainability in Spain) and in particular Dr. Fernando Prieto for initiating and supporting this research avenue.</t>
  </si>
  <si>
    <t>CE4LY</t>
  </si>
  <si>
    <t>Green Accepted</t>
  </si>
  <si>
    <t>Geldmann, J; Joppa, LN; Burgess, ND</t>
  </si>
  <si>
    <t>Geldmann, Jonas; Joppa, Lucas N.; Burgess, Neil D.</t>
  </si>
  <si>
    <t>Mapping Change in Human Pressure Globally on Land and within Protected Areas</t>
  </si>
  <si>
    <t>effectiveness; human footprint; human population; IUCN management categories; protected area; stable nightlight; area protegida; categorias de manejo UICN; efectividad; huella humana; luz nocturna estable; poblacion humana</t>
  </si>
  <si>
    <t>CLIMATE-CHANGE; BIODIVERSITY CONSERVATION; CO2 EMISSIONS; POPULATION; DATABASE; IMPACTS; WILDERNESS; GOVERNANCE; DIVERSITY; PATTERNS</t>
  </si>
  <si>
    <t>It is widely accepted that the main driver of the observed decline in biological diversity is increasing human pressure on Earth's ecosystems. However, the spatial patterns of change in human pressure and their relation to conservation efforts are less well known. We developed a spatially and temporally explicit map of global change in human pressure over 2 decades between 1990 and 2010 at a resolution of 10 km(2). We evaluated 22 spatial data sets representing different components of human pressure and used them to compile a temporal human pressure index (THPI) based on 3 data sets: human population density, land transformation, and electrical power infrastructure. We investigated how the THPI within protected areas was correlated to International Union for Conservation of Nature (IUCN) management categories and the human development index (HDI) and how the THPI was correlated to cumulative pressure on the basis of the original human footprint index. Since the early 1990s, human pressure increased 64% of the terrestrial areas; the largest increases were in Southeast Asia. Protected areas also exhibited overall increases in human pressure, the degree of which varied with location and IUCN management category. Only wilderness areas and natural monuments (management categories Ib and III) exhibited decreases in pressure. Protected areas not assigned any category exhibited the greatest increases. High HDI values correlated with greater reductions in pressure across protected areas, while increasing age of the protected area correlated with increases in pressure. Our analysis is an initial step toward mapping changes in human pressure on the natural world over time. That only 3 data sets could be included in our spatio-temporal global pressure map highlights the challenge to measuring pressure changes over time. Mapeo del Cambio en la Presion Humana Global en Tierra y Dentro de areas Protegidas Resumen Se acepta ampliamente que el principal conductor de la declinacion observada en la diversidad biologica esta incrementando la presion humana sobre los ecosistemas de la Tierra. Sin embargo, los patrones espaciales de cambio en la presion humana y su relacion con los esfuerzos de conservacion son menos conocidos. Desarrollamos un mapa temporal y espacialmente explicito del cambio global en la presion humana a lo largo de 2 decadas entre 1990 y 2010 y con una resolucion de 10 Km(2). Evaluamos 22 series de datos espaciales que representaban diferentes componentes de la presion humana y los usamos para compilar un indice de presion humana temporal (THPI, en ingles) basado en 3 series de datos: densidad de poblacion humana, transformacion de suelo y la infraestructura de poder electrico. Investigamos como el THPI dentro de areas protegidas estaba correlacionado con las categorias de manejo de la Union Internacional para la Conservacion de la Naturaleza (UICN) y el indice de desarrollo humano (HDI, en ingles) y como el THPI estaba correlacionado con la presion acumulativa con base en el indice original de la huella humana. Desde principios de los 90, la presion humana incremento en 64% de las areas terrestres; siendo los incrementos mayores en el sureste asiatico. Las areas protegidas tambien exhibieron incrementos generales en la presion humana, cuyo grado vario de acuerdo a la localidad y la categoria de manejo de la UICN. Solo las areas silvestres y los monumentos naturales (categorias de manejo Ib y III) exhibieron disminuciones en la presion. Las areas protegidas sin una categoria asignada exhibieron los incrementos mas grandes. Los valores altos de HID y la elevacion media mayor se correlacionaron con reducciones mayores en la presion a lo largo de areas protegidas, mientras incrementaban la edad del area protegida correlacionada con incrementos en la presion. Nuestro analisis es un paso inicial hacia el mapeo de cambios en la presion humana sobre el mundo natural a traves del tiempo. El hecho de que solamente 3 series de datos pudieran incluirse en nuestro mapa de presion global espacio-temporal resalta el reto de medir los cambios de presion a traves del tiempo.</t>
  </si>
  <si>
    <t>[Geldmann, Jonas; Burgess, Neil D.] Univ Copenhagen, Nat Hist Museum Denmark, Ctr Macroecol Evolut &amp; Climate, DK-2100 Copenhagen E, Denmark; [Geldmann, Jonas; Joppa, Lucas N.; Burgess, Neil D.] United Nations Environm Programme World Conservat, Cambridge CB3 0DL, England; [Joppa, Lucas N.] Microsoft Res, Cambridge CB1 2FB, England; [Burgess, Neil D.] World Wildlife Fund, Washington, DC 20037 USA</t>
  </si>
  <si>
    <t>University of Copenhagen; Microsoft; Microsoft United Kingdom; World Wildlife Fund</t>
  </si>
  <si>
    <t>Geldmann, J (corresponding author), Univ Copenhagen, Nat Hist Museum Denmark, Ctr Macroecol Evolut &amp; Climate, Univ Pk 15, DK-2100 Copenhagen E, Denmark.</t>
  </si>
  <si>
    <t>jgeldmann@snm.ku.dk</t>
  </si>
  <si>
    <t>Geldmann, Jonas/H-8131-2019; Joppa, Lucas/ACR-7517-2022</t>
  </si>
  <si>
    <t>Geldmann, Jonas/0000-0002-1191-7610;</t>
  </si>
  <si>
    <t>Danish National Research Foundation; IUCN SSC/WCPA Joint Task-Force on Biodiversity and Protected Areas; UNEP-WCMC; WWF; Microsoft Research</t>
  </si>
  <si>
    <t>Danish National Research Foundation(Danmarks Grundforskningsfond); IUCN SSC/WCPA Joint Task-Force on Biodiversity and Protected Areas; UNEP-WCMC; WWF; Microsoft Research(Microsoft)</t>
  </si>
  <si>
    <t>We thank the Danish National Research Foundation for financial support. We also thank the IUCN SSC/WCPA Joint Task-Force on Biodiversity and Protected Areas, UNEP-WCMC, WWF, and Microsoft Research for financial and institutional support. We thank 2 anonymous reviewers for thoughtful and constructive comments on the initial manuscript.</t>
  </si>
  <si>
    <t>10.1111/cobi.12332</t>
  </si>
  <si>
    <t>AT2WF</t>
  </si>
  <si>
    <t>WOS:000344794200018</t>
  </si>
  <si>
    <t>Carranza, T; Balmford, A; Kapos, V; Manica, A</t>
  </si>
  <si>
    <t>Carranza, Tharsila; Balmford, Andrew; Kapos, Valerie; Manica, Andrea</t>
  </si>
  <si>
    <t>CONSERVATION LETTERS</t>
  </si>
  <si>
    <t>Cerrado; conservation; effectiveness; habitat conversion; matching methods; protected areas</t>
  </si>
  <si>
    <t>PROPENSITY SCORE; CONSERVATION; BIODIVERSITY; LOCATION; DEFORESTATION; PARKS</t>
  </si>
  <si>
    <t>[Carranza, Tharsila; Balmford, Andrew; Kapos, Valerie] Univ Cambridge, Dept Zool, Conservat Sci Grp, Cambridge CB2 3EJ, England; [Kapos, Valerie] WCMC, UNEP, Cambridge CB3 0DL, England; [Manica, Andrea] Univ Cambridge, Dept Zool, Evolutionary Ecol Grp, Cambridge CB2 3EJ, England</t>
  </si>
  <si>
    <t>University of Cambridge; University of Cambridge</t>
  </si>
  <si>
    <t>Carranza, T (corresponding author), Univ Cambridge, Dept Zool, Conservat Sci Grp, Downing St, Cambridge CB2 3EJ, England.</t>
  </si>
  <si>
    <t>tc353@cam.ac.uk</t>
  </si>
  <si>
    <t>Manica, Andrea/B-5497-2008; Balmford, Anew/ABZ-9706-2022; Kapos, Valerie/G-3136-2010</t>
  </si>
  <si>
    <t>Manica, Andrea/0000-0003-1895-450X; Balmford, Anew/0000-0002-0144-3589; Kapos, Valerie/0000-0002-5739-8262</t>
  </si>
  <si>
    <t>Arcadia</t>
  </si>
  <si>
    <t>We thank K. Andam, K. Chomitz, P. Ferraro, and A. Nelson for contributing with data for deriving the relative effect of PAs in their studies, and three anonymous referees for their useful comments. We are also grateful for the databases compiled and made freely available by SIAD-Cerrado, the Brazilian Ministry of Environment, and the Brazilian Institute of Geography and Statistics. This project was supported by Arcadia.</t>
  </si>
  <si>
    <t>1755-263X</t>
  </si>
  <si>
    <t>CONSERV LETT</t>
  </si>
  <si>
    <t>Conserv. Lett.</t>
  </si>
  <si>
    <t>MAY-JUN</t>
  </si>
  <si>
    <t>AJ3TJ</t>
  </si>
  <si>
    <t>Haruna, A; Pfaff, A; van den Ende, S; Joppa, L</t>
  </si>
  <si>
    <t>Haruna, Akiko; Pfaff, Alexander; van den Ende, Sander; Joppa, Lucas</t>
  </si>
  <si>
    <t>Panama; tropical forest; biodiversity; deforestation; conservation; protected areas; siting; selection bias; impact evaluation; matching</t>
  </si>
  <si>
    <t>TROPICAL FOREST; DEFORESTATION; BIODIVERSITY; AGRICULTURE; LOCATION; CARBON; PARK</t>
  </si>
  <si>
    <t>[Haruna, Akiko] Int Food Policy Res Inst, Washington, DC 20006 USA; [Pfaff, Alexander] Duke Univ, Sanford Sch Publ Policy, Durham, NC 27708 USA; [van den Ende, Sander] New Britain Palm Oil Ltd, New Britain, Papua N Guinea; [Joppa, Lucas] Microsoft Res, Cambridge CB1 2FB, England</t>
  </si>
  <si>
    <t>CGIAR; International Food Policy Research Institute (IFPRI); Duke University; Microsoft; Microsoft United Kingdom</t>
  </si>
  <si>
    <t>Haruna, A (corresponding author), Int Food Policy Res Inst, 2033 K St NW, Washington, DC 20006 USA.</t>
  </si>
  <si>
    <t>lujoppa@microsoft.com</t>
  </si>
  <si>
    <t>Joppa, Lucas/ACR-7517-2022</t>
  </si>
  <si>
    <t>AE5ZO</t>
  </si>
  <si>
    <t>Gimmi, U; Radeloff, VC</t>
  </si>
  <si>
    <t>Gimmi, Urs; Radeloff, Volker C.</t>
  </si>
  <si>
    <t>ENVIRONMENTAL MANAGEMENT</t>
  </si>
  <si>
    <t>Land-use history; Land-use change; Naturalness; Logging; Great Lakes; Protected areas</t>
  </si>
  <si>
    <t>HEMLOCK-HARDWOOD FORESTS; WISCONSIN PINE-BARRENS; LANDSCAPE CHANGE; ECOLOGICAL RESTORATION; PROTECTED AREAS; SURVEY RECORDS; UPPER MIDWEST; USA; MANAGEMENT; PRESETTLEMENT</t>
  </si>
  <si>
    <t>[Gimmi, Urs] Swiss Fed Res Inst WSL, Res Unit Landscape Dynam, CH-8903 Birmensdorf, Switzerland; [Gimmi, Urs; Radeloff, Volker C.] Univ Wisconsin, Dept Forest &amp; Wildlife Ecol, Madison, WI 53706 USA</t>
  </si>
  <si>
    <t>Swiss Federal Institutes of Technology Domain; Swiss Federal Institute for Forest, Snow &amp; Landscape Research; University of Wisconsin System; University of Wisconsin Madison</t>
  </si>
  <si>
    <t>Gimmi, U (corresponding author), Swiss Fed Res Inst WSL, Res Unit Landscape Dynam, Zurcherstr 111, CH-8903 Birmensdorf, Switzerland.</t>
  </si>
  <si>
    <t>urs.gimmi@wsl.ch</t>
  </si>
  <si>
    <t>Gimmi, Urs/N-8422-2013; Radeloff, Volker/B-6124-2016</t>
  </si>
  <si>
    <t>Gimmi, Urs/0009-0003-0907-6976; Radeloff, Volker/0000-0001-9004-221X</t>
  </si>
  <si>
    <t>National Park Service's Great Lakes Inventory and Monitoring Program</t>
  </si>
  <si>
    <t>We gratefully acknowledge support by the National Park Service's Great Lakes Inventory and Monitoring Program. Comments by three anonymous reviewers and the editor greatly strengthened our manuscript. D. Mladenoff and his team supported the work by sharing their experience of working with GLO data. We also thank S. Schmidt and D. Helmers for their GIS support. Further, we appreciated the help from the National Park Service staff at Pictured Rocks National Lakeshore.</t>
  </si>
  <si>
    <t>NEW YORK</t>
  </si>
  <si>
    <t>233 SPRING ST, NEW YORK, NY 10013 USA</t>
  </si>
  <si>
    <t>0364-152X</t>
  </si>
  <si>
    <t>ENVIRON MANAGE</t>
  </si>
  <si>
    <t>Environ. Manage.</t>
  </si>
  <si>
    <t>184TU</t>
  </si>
  <si>
    <t>Green, JMH; Larrosa, C; Burgess, ND; Balmford, A; Johnston, A; Mbilinyi, BP; Platts, PJ; Coad, L</t>
  </si>
  <si>
    <t>Green, Jonathan M. H.; Larrosa, Cecilia; Burgess, Neil D.; Balmford, Andrew; Johnston, Alison; Mbilinyi, Boniface P.; Platts, Philip J.; Coad, Lauren</t>
  </si>
  <si>
    <t>Tanzania; Eastern Arc Mountains; Tropical forest; Miombo woodland; Generalised additive models; Habitat conversion</t>
  </si>
  <si>
    <t>LAND-COVER CHANGE; EASTERN ARC MOUNTAINS; PROXIMATE CAUSES; MODEL SELECTION; FOREST-COVER; HABITAT LOSS; BASE-LINE; TANZANIA; ECOREGIONS; MANAGEMENT</t>
  </si>
  <si>
    <t>[Green, Jonathan M. H.] Princeton Univ, Woodrow Wilson Sch Publ &amp; Int Affairs, Princeton, NJ 08544 USA; [Green, Jonathan M. H.; Balmford, Andrew] Univ Cambridge, Dept Zool, Conservat Sci Grp, Cambridge CB2 3EJ, England; [Larrosa, Cecilia] Univ London Imperial Coll Sci Technol &amp; Med, Dept Life Sci, Ascot SL5 7PY, Berks, England; [Larrosa, Cecilia; Burgess, Neil D.; Coad, Lauren] World Conservat Monitoring Ctr, United Nations Environm Programme, Cambridge CB3 0DL, England; [Burgess, Neil D.] Univ Copenhagen, Dept Biol, Ctr Macroecol Evolut &amp; Climate, DK-1168 Copenhagen, Denmark; [Burgess, Neil D.] WWF US, Conservat Sci Program, Washington, DC USA; [Johnston, Alison] British Trust Ornithol, Thetford IP24 2PU, Norfolk, England; [Mbilinyi, Boniface P.] Sokoine Univ Agr, Dept Agr Engn &amp; Land Planning, Morogoro, Tanzania; [Platts, Philip J.] Univ York, Dept Environm, York Inst Trop Ecosyst KITE, York YO10 5DD, N Yorkshire, England; [Coad, Lauren] Univ Oxford, Environm Change Inst, Sch Geog, Oxford OX1 3QY, England; [Coad, Lauren] Univ Queensland, Sch Geog Planning &amp; Environm, Brisbane, Qld 4072, Australia</t>
  </si>
  <si>
    <t>Princeton University; University of Cambridge; Imperial College London; University of Copenhagen; World Wildlife Fund; British Trust for Ornithology; Sokoine University of Agriculture; University of York - UK; University of Oxford; University of Queensland</t>
  </si>
  <si>
    <t>Green, JMH (corresponding author), Princeton Univ, Woodrow Wilson Sch Publ &amp; Int Affairs, Princeton, NJ 08544 USA.</t>
  </si>
  <si>
    <t>jmg3@princeton.edu</t>
  </si>
  <si>
    <t>Johnston, Alison/N-4820-2016; Platts, Phil/C-2002-2009; Green, Jonathan M H/D-7081-2017; Balmford, Anew/ABZ-9706-2022</t>
  </si>
  <si>
    <t>Johnston, Alison/0000-0001-8221-013X; Platts, Phil/0000-0002-0153-0121; Green, Jonathan M H/0000-0002-5003-0203; Balmford, Anew/0000-0002-0144-3589</t>
  </si>
  <si>
    <t>John Fell Oxford University Press (OUP) Research Fund; Arcadia Foundation; Oxford Martin School; University of Queensland; WWF-USA; University of Copenhagen (Denmark); Ministry of Foreign Affairs of Finland; UNDP-GEF 'Conservation and Management of the Eastern Arc Mountain Forests'; Leverhulme Trust; Packard Foundation; Royal Society; KITE programme; European Union</t>
  </si>
  <si>
    <t>John Fell Oxford University Press (OUP) Research Fund(University of Oxford); Arcadia Foundation; Oxford Martin School; University of Queensland(University of Queensland); WWF-USA; University of Copenhagen (Denmark)(University of Copenhagen); Ministry of Foreign Affairs of Finland; UNDP-GEF 'Conservation and Management of the Eastern Arc Mountain Forests'; Leverhulme Trust(Leverhulme Trust); Packard Foundation(The David &amp; Lucile Packard Foundation); Royal Society(Royal Society UK); KITE programme; European Union(European Union (EU))</t>
  </si>
  <si>
    <t>Funding from the John Fell Oxford University Press (OUP) Research Fund generously supported this work. In addition, JG received funding from the Arcadia Foundation, LC from the Oxford Martin School and the University of Queensland; NB from WWF-USA and the University of Copenhagen (Denmark); and PP from The Ministry of Foreign Affairs of Finland. UNDP-GEF 'Conservation and Management of the Eastern Arc Mountain Forests' funded the forest change analysis used here. Other datasets were compiled by the Valuing the Arc programme, funded by the Leverhulme Trust, Packard Foundation, and The Royal Society, and the KITE programme, funded by the European Union. We are also extremely grateful to T. Amano and C. Chang for statistical and programming advice and to L. Estes for his comments on an earlier draft.</t>
  </si>
  <si>
    <t>200RO</t>
  </si>
  <si>
    <t>Clark, NE; Boakes, EH; McGowan, PJK; Mace, GM; Fuller, RA</t>
  </si>
  <si>
    <t>Clark, Natalie E.; Boakes, Elizabeth H.; McGowan, Philip J. K.; Mace, Georgina M.; Fuller, Richard A.</t>
  </si>
  <si>
    <t>Protected Areas in South Asia Have Not Prevented Habitat Loss: A Study Using Historical Models of Land-Use Change</t>
  </si>
  <si>
    <t>ANDHARI TIGER RESERVE; GLOBAL BIODIVERSITY; FOREST LOSS; VEGETATION; DEFORESTATION; CONSERVATION; COVER; LOCATION; PARKS; IMPACTS</t>
  </si>
  <si>
    <t>Habitat loss imperils species both locally and globally, so protection of intact habitat is critical for slowing the rate of biodiversity decline. Globally, more than 150,000 protected areas have been designated with a goal of protecting species and ecosystems, but whether they can continue to achieve this goal as human impacts escalate is unknown. Here we show that in South Asia, one of the world's major growth epicentres, the trajectory of habitat conversion rates inside protected areas is indistinguishable from that on unprotected lands, and habitat conversion rates do not decline following gazettement of a protected area. Moreover, a quarter of the land inside South Asia's protected areas is now classified as human modified. If the global community is to make significant progress towards the Convention on Biological Diversity's Aichi Target on protected areas, there is an urgent need both to substantially enhance management of these protected areas and to develop systematic conservation outside the formal protected area system.</t>
  </si>
  <si>
    <t>[Clark, Natalie E.] Univ Reading, Sch Agr Policy &amp; Dev, Ctr Agrienvironm Res, Reading, Berks, England; [Clark, Natalie E.; Boakes, Elizabeth H.; Mace, Georgina M.] Imperial Coll London, Ctr Populat Biol, Ascot, Berks, England; [Boakes, Elizabeth H.; Mace, Georgina M.] UCL, Ctr Biodivers &amp; Environm Res, Dept Genet Evolut &amp; Environm, London, England; [McGowan, Philip J. K.] Newcastle Univ, Sch Biol, Newcastle Upon Tyne NE1 7RU, Tyne &amp; Wear, England; [Fuller, Richard A.] Univ Queensland, Sch Biol Sci, Brisbane, Qld, Australia</t>
  </si>
  <si>
    <t>University of Reading; Imperial College London; University of London; University College London; Newcastle University - UK; University of Queensland</t>
  </si>
  <si>
    <t>Clark, NE (corresponding author), Univ Reading, Sch Agr Policy &amp; Dev, Ctr Agrienvironm Res, Reading, Berks, England.</t>
  </si>
  <si>
    <t>n.e.clark@pgr.reading.ac.uk</t>
  </si>
  <si>
    <t>Mace, Georgina/I-3072-2016; Fuller, Richard/B-7971-2008</t>
  </si>
  <si>
    <t>Mace, Georgina/0000-0001-8965-5211; Fuller, Richard/0000-0001-9468-9678</t>
  </si>
  <si>
    <t>Leverhulme Trust [F/07058/AK]; NERC Centre for Population Biology, Imperial College London; World Pheasant Association; Australian Government's National Environmental Research Program; Australian Research Council</t>
  </si>
  <si>
    <t>Leverhulme Trust(Leverhulme Trust); NERC Centre for Population Biology, Imperial College London; World Pheasant Association; Australian Government's National Environmental Research Program(Australian Government); Australian Research Council(Australian Research Council)</t>
  </si>
  <si>
    <t>This work was funded by grant number F/07058/AK from the Leverhulme Trust to G.M.M. and P.J.K.M. Funding support was also received from the NERC Centre for Population Biology, Imperial College London, and the World Pheasant Association. R.A.F. is additionally funded through the Australian Government's National Environmental Research Program and a Future Fellowship from the Australian Research Council. The funders had no role in study design, data collection and analysis, decision to publish, or preparation of the manuscript.</t>
  </si>
  <si>
    <t>MAY 31</t>
  </si>
  <si>
    <t>e65298</t>
  </si>
  <si>
    <t>10.1371/journal.pone.0065298</t>
  </si>
  <si>
    <t>156DC</t>
  </si>
  <si>
    <t>WOS:000319799900199</t>
  </si>
  <si>
    <t>Khalyani, AH; Mayer, AL; Webster, CR; Falkowski, MJ</t>
  </si>
  <si>
    <t>Khalyani, Azad Henareh; Mayer, Audrey L.; Webster, Christopher R.; Falkowski, Michael J.</t>
  </si>
  <si>
    <t>Ecological indicators for protection impact assessment at two scales in the Bozin and Marakhil protected area, Iran</t>
  </si>
  <si>
    <t>Spatial indicators; Patch-size distributions; Protection impacts; Landscape structure; Scale</t>
  </si>
  <si>
    <t>DEER CAPREOLUS-CAPREOLUS; PATCH SIZE DISTRIBUTION; HOME-RANGE SIZE; SPATIAL-PATTERN; LANDSCAPE STRUCTURE; SUITABLE INDICATOR; VEGETATION PATTERNS; FOREST MANAGEMENT; RESERVE SIZE; LAND-USE</t>
  </si>
  <si>
    <t>Official protection can play a major role in biodiversity conservation, but it may have unintended effects on habitats at multiple scales. We evaluated the effects of this protection designation on forest area and structure at two spatial scales in Bozin and Marakhil protected area. We classified Landsat-5 TM images from 2001 and 2009, covering protected and unprotected areas and used for broad scale analysis, and IKONOS and GeoEye images from 2001 and 2009 for fine scale analysis. We used landscape structure metrics and the models that fit patch size distribution as the ecological indicators of protection impact. The protection effect was scale dependent, with significant habitat loss and fragmentation at the fine scale but not at the broad scale. Protection increased the number of large patches inside the park, as indicated by a shift from a truncated power law to a power law distribution of patch sizes. The habitat structural maintenance and aggregation inside the park, and fragmentation outside the park boundaries, signal a potential shift of human pressure from inside to directly outside of the park. This study indicates the need for spatial analyses on both sides of protection boundaries at multiple scales using complementary indicators to understand the impacts of protection on habitat structure. (c) 2012 Elsevier Ltd. All rights reserved.</t>
  </si>
  <si>
    <t>[Khalyani, Azad Henareh; Mayer, Audrey L.; Webster, Christopher R.; Falkowski, Michael J.] Michigan Technol Univ, Sch Forest Resources &amp; Environm Sci, Houghton, MI 49931 USA</t>
  </si>
  <si>
    <t>Michigan Technological University</t>
  </si>
  <si>
    <t>Khalyani, AH (corresponding author), Michigan Technol Univ, Sch Forest Resources &amp; Environm Sci, 1400 Townsend Dr, Houghton, MI 49931 USA.</t>
  </si>
  <si>
    <t>ahenareh@mtu.edu</t>
  </si>
  <si>
    <t>Mayer, Auey/AAO-3225-2020</t>
  </si>
  <si>
    <t>Mayer, Auey/0000-0003-3278-1182</t>
  </si>
  <si>
    <t>Michigan Space Grant Consortium</t>
  </si>
  <si>
    <t>This project was partially funded by the Michigan Space Grant Consortium. We would like to thank Prof. Aaron Clauset and Prof. Cosma Shalizi for providing us with implementations of the methods for fitting and testing power laws and alternative distribution models to our data. We would also like to thank Dr. Hedayat Ghazanfari and Dr. Mahmoud-Reza Hemami for their help in providing access to some of the research results in Persian.</t>
  </si>
  <si>
    <t>10.1016/j.ecolind.2012.09.011</t>
  </si>
  <si>
    <t>073VI</t>
  </si>
  <si>
    <t>WOS:000313770800011</t>
  </si>
  <si>
    <t>Zhang, KR; Zhang, YL; Tian, H; Cheng, XL; Dang, HS; Zhang, QF</t>
  </si>
  <si>
    <t>Zhang, Kerong; Zhang, Yulong; Tian, Hua; Cheng, Xiaoli; Dang, Haishan; Zhang, Quanfa</t>
  </si>
  <si>
    <t>Nature reserve; Giant panda; Ecosystem management; Land use change; Qinling Mountains</t>
  </si>
  <si>
    <t>LAND CONVERSION PROGRAM; WOLONG NATURE-RESERVE; FOR-GREEN PROGRAM; LOESS HILLY AREA; ECOSYSTEM SERVICES; NATURAL SYSTEMS; RESTORATION; PAYMENTS; POVERTY; POLICY</t>
  </si>
  <si>
    <t>[Zhang, Kerong; Zhang, Yulong; Tian, Hua; Cheng, Xiaoli; Dang, Haishan; Zhang, Quanfa] Chinese Acad Sci, Wuhan Bot Garden, Key Lab Aquat Bot &amp; Watershed Ecol, Wuhan 430074, Peoples R China; [Zhang, Kerong; Zhang, Yulong] Chinese Acad Sci, Grad Univ, Beijing 100049, Peoples R China</t>
  </si>
  <si>
    <t>Chinese Academy of Sciences; Wuhan Botanical Garden, CAS; Chinese Academy of Sciences; University of Chinese Academy of Sciences, CAS</t>
  </si>
  <si>
    <t>Zhang, QF (corresponding author), Chinese Acad Sci, Wuhan Bot Garden, Key Lab Aquat Bot &amp; Watershed Ecol, Wuhan 430074, Peoples R China.</t>
  </si>
  <si>
    <t>qzhang@wbgcas.cn</t>
  </si>
  <si>
    <t>Zhang, Yulong/HLQ-2846-2023; Zhang, Quanfa/H-1922-2011</t>
  </si>
  <si>
    <t>Zhang, Yulong/0000-0001-6967-0051;</t>
  </si>
  <si>
    <t>National Natural Science Foundation of China [31130010, 31200340, 31100347]; Chinese Academy of Sciences [XDA05060500]</t>
  </si>
  <si>
    <t>National Natural Science Foundation of China(National Natural Science Foundation of China (NSFC)); Chinese Academy of Sciences(Chinese Academy of Sciences)</t>
  </si>
  <si>
    <t>This research was supported by the National Natural Science Foundation of China (Nos. 31130010, 31200340, 31100347) and the Chinese Academy of Sciences (XDA05060500). We thank Mr. Xinzhi Liu and Mr. Zhongyin Xia for the assistance in field work.</t>
  </si>
  <si>
    <t>133HA</t>
  </si>
  <si>
    <t>Bhadouria, BS; Mathur, VB; Kaul, R</t>
  </si>
  <si>
    <t>Bhadouria, Bhumesh Singh; Mathur, Vinod B.; Kaul, Rahul</t>
  </si>
  <si>
    <t>ENVIRONMENTAL MONITORING AND ASSESSMENT</t>
  </si>
  <si>
    <t>Keoladeo National Park; Gas Chromatograph; Organochlorine Pesticides (OCPs); Pesticide contamination; Sediment</t>
  </si>
  <si>
    <t>RESIDUES; SOIL; SEDIMENTS; EXTRACTION</t>
  </si>
  <si>
    <t>[Bhadouria, Bhumesh Singh; Mathur, Vinod B.] Wildlife Inst India, Dehra Dun, Uttar Pradesh, India; [Kaul, Rahul] Wildlife Trust India, Sect 13B, Noida, Uttar Pradesh, India</t>
  </si>
  <si>
    <t>Wildlife Institute of India</t>
  </si>
  <si>
    <t>Bhadouria, BS (corresponding author), Wildlife Inst India, Dehra Dun, Uttar Pradesh, India.</t>
  </si>
  <si>
    <t>bhumesh78@gmail.com</t>
  </si>
  <si>
    <t>Ministry of Environment and Forests, Government of India</t>
  </si>
  <si>
    <t>Ministry of Environment and Forests, Government of India(Ministry of Environment, Forest and Climate Change (MoEFCC), Government of India)</t>
  </si>
  <si>
    <t>We thank the Ministry of Environment and Forests, Government of India for providing funding support for research project Effect of pesticide use on Indian blue peafowl and Grey francolin in parts of central India to the World Pheasant Association (WPA)-India. We thank the Director, Wildlife Institute of India for providing support under the UNF-UNESCO project Building Partnerships to Support UNESCO's World Heritage Programme in India. We are grateful to the Director, Keoladeo National Park, Bharatpur for facilitating the conduct of the study.</t>
  </si>
  <si>
    <t>0167-6369</t>
  </si>
  <si>
    <t>1573-2959</t>
  </si>
  <si>
    <t>ENVIRON MONIT ASSESS</t>
  </si>
  <si>
    <t>Environ. Monit. Assess.</t>
  </si>
  <si>
    <t>986HI</t>
  </si>
  <si>
    <t>Pfeifer, M; Burgess, ND; Swetnam, RD; Platts, PJ; Willcock, S; Marchant, R</t>
  </si>
  <si>
    <t>Pfeifer, Marion; Burgess, Neil D.; Swetnam, Ruth D.; Platts, Philip J.; Willcock, Simon; Marchant, Robert</t>
  </si>
  <si>
    <t>TROPICAL FORESTS; LAND-COVER; CONSERVATION; BIODIVERSITY; DEFORESTATION; DEGRADATION; TANZANIA; LOCATION; POVERTY; GROWTH</t>
  </si>
  <si>
    <t>[Pfeifer, Marion; Marchant, Robert] Univ York, Dept Environm, York YO10 5DD, N Yorkshire, England; [Burgess, Neil D.] Univ Copenhagen, Dept Biol, Ctr Macroecol Evolut &amp; Climate, Copenhagen, Denmark; [Burgess, Neil D.] WWF US Conservat Sci, Washington, DC USA; [Swetnam, Ruth D.; Platts, Philip J.] Univ Cambridge, Dept Zool, Cambridge, England; [Willcock, Simon] Univ Leeds, Sch Geog, Leeds LS2 9JT, W Yorkshire, England</t>
  </si>
  <si>
    <t>University of York - UK; University of Copenhagen; World Wildlife Fund; University of Cambridge; University of Leeds</t>
  </si>
  <si>
    <t>Pfeifer, M (corresponding author), Univ York, Dept Environm, York YO10 5DD, N Yorkshire, England.</t>
  </si>
  <si>
    <t>marion.pfeifer@googlemail.com</t>
  </si>
  <si>
    <t>; Platts, Phil/C-2002-2009; Swetnam, Ruth/I-2848-2017</t>
  </si>
  <si>
    <t>Pfeifer, Marion/0000-0002-6775-3141; Platts, Phil/0000-0002-0153-0121; Marchant, Robert/0000-0001-5013-4056; Swetnam, Ruth/0000-0002-5199-9622</t>
  </si>
  <si>
    <t>Marie Curie Intra-European fellowship IEF Programme (EU FP7-People-IEF) [234394]; Leverthulme Trust through the Valuing the Arc Programme</t>
  </si>
  <si>
    <t>Marie Curie Intra-European fellowship IEF Programme (EU FP7-People-IEF)(European Union (EU)); Leverthulme Trust through the Valuing the Arc Programme</t>
  </si>
  <si>
    <t>Marion Pfeifer was supported by the Marie Curie Intra-European fellowship IEF Programme (EU FP7-People-IEF-2008 Grant Agreement no234394). Ruth Swetnam, Philip Platts and Simon Willcock were funded by the Leverthulme Trust through the Valuing the Arc Programme. The funders had no role in study design, data collection and analysis, decision to publish, or preparation of the manuscript.</t>
  </si>
  <si>
    <t>JUN 29</t>
  </si>
  <si>
    <t>e39337</t>
  </si>
  <si>
    <t>967FO</t>
  </si>
  <si>
    <t>Green Accepted, Green Submitted, gold</t>
  </si>
  <si>
    <t>Joppa, LN; Pfaff, A</t>
  </si>
  <si>
    <t>Joppa, Lucas N.; Pfaff, Alexander</t>
  </si>
  <si>
    <t>PROCEEDINGS OF THE ROYAL SOCIETY B-BIOLOGICAL SCIENCES</t>
  </si>
  <si>
    <t>protected areas; conservation impacts; REDD; land cover; deforestation; matching</t>
  </si>
  <si>
    <t>DISTRIBUTIONS; FORESTS; EARTH; PARKS</t>
  </si>
  <si>
    <t>[Joppa, Lucas N.] Microsoft Res, Computat Ecol &amp; Environm Sci, Cambridge CB3 0FB, England; [Pfaff, Alexander] Duke Univ, Durham, NC 27708 USA</t>
  </si>
  <si>
    <t>Microsoft; Microsoft United Kingdom; Duke University</t>
  </si>
  <si>
    <t>Joppa, LN (corresponding author), Microsoft Res, Computat Ecol &amp; Environm Sci, 7 JJ Thomson Ave, Cambridge CB3 0FB, England.</t>
  </si>
  <si>
    <t>Tinker Foundation; NSF's MMIA; NCEAS; NASA</t>
  </si>
  <si>
    <t>Tinker Foundation; NSF's MMIA; NCEAS; NASA(National Aeronautics &amp; Space Administration (NASA))</t>
  </si>
  <si>
    <t>A. Pfaff acknowledges support, for a number of types of work that we build upon here, from The Tinker Foundation, the NSF's MMIA and NCEAS, and NASA's LBA project. We also wish to acknowledge helpful prior conversations with J. Robalino and P. Ferraro, as well as J. Vincent. We much appreciate and wish to highlight the efforts of all of the consortiums working to make datasets of global conservation relevance freely available.</t>
  </si>
  <si>
    <t>ROYAL SOC</t>
  </si>
  <si>
    <t>6-9 CARLTON HOUSE TERRACE, LONDON SW1Y 5AG, ENGLAND</t>
  </si>
  <si>
    <t>0962-8452</t>
  </si>
  <si>
    <t>1471-2954</t>
  </si>
  <si>
    <t>P ROY SOC B-BIOL SCI</t>
  </si>
  <si>
    <t>Proc. R. Soc. B-Biol. Sci.</t>
  </si>
  <si>
    <t>JUN 7</t>
  </si>
  <si>
    <t>Biology; Ecology; Evolutionary Biology</t>
  </si>
  <si>
    <t>Life Sciences &amp; Biomedicine - Other Topics; Environmental Sciences &amp; Ecology; Evolutionary Biology</t>
  </si>
  <si>
    <t>752UI</t>
  </si>
  <si>
    <t>Gracia, M; Meghelli, N; Comas, L; Retana, J</t>
  </si>
  <si>
    <t>Gracia, Marc; Meghelli, Nacima; Comas, Lluis; Retana, Javier</t>
  </si>
  <si>
    <t>National Park; Pyrenees; Mountain areas; Land-use changes; Forest cover; Forest dynamics</t>
  </si>
  <si>
    <t>AGRICULTURAL ABANDONMENT; MEDITERRANEAN LANDSCAPE; REGENERATION DYNAMICS; VEGETATION DYNAMICS; CULTURAL LANDSCAPE; PATTERNS; AREAS; FOREST; MODEL; TRANSFORMATION</t>
  </si>
  <si>
    <t>The current state of Mediterranean mountain areas has been driven by two main factors: intense traditional human activity and the dynamics of the ecosystem itself. In this study, we examine land-cover changes in a National Park in the Pyrenees mountains (NE Iberian Peninsula), which was designated a protected area 55 years ago. First, we have analyzed spatio-temporal changes in land-cover pattern and forest dynamics from 1957 to 2005. During this period, land-cover dynamics consisted of two main processes: (i) expansion of the forest area and (ii) increasing cover of forests already present in 1957. To analyze the role of the conservation level of the park, we have also compared the results obtained within the park with those of unprotected, peripheral areas. In the two areas with different protection level, dense forests increased throughout the period because of the reduction in forestry activities. The peripheral area showed a higher rate of forest-cover change from 1957 to 2005 compared to the National Park. This higher increase in forest cover in the peripheral area could be related to a higher proportion in the National Park of screes and rocky areas and to the decline and transformation of forest activities in these peripheral, lower elevation areas.</t>
  </si>
  <si>
    <t>[Gracia, Marc; Meghelli, Nacima; Comas, Lluis; Retana, Javier] Autonomous Univ Barcelona, Ctr Ecol Res &amp; Forestry Applicat CREAF, Bellaterra 08193, Barcelona, Spain; [Gracia, Marc; Meghelli, Nacima; Comas, Lluis; Retana, Javier] Autonomous Univ Barcelona, Fac Sci, Unit Ecol, Bellaterra 08193, Barcelona, Spain</t>
  </si>
  <si>
    <t>Centro de Investigacion Ecologica y Aplicaciones Forestales (CREAF-CERCA); Autonomous University of Barcelona; Autonomous University of Barcelona</t>
  </si>
  <si>
    <t>Retana, J (corresponding author), Autonomous Univ Barcelona, Ctr Ecol Res &amp; Forestry Applicat CREAF, Campus UAB, Bellaterra 08193, Barcelona, Spain.</t>
  </si>
  <si>
    <t>Javier.Retana@uab.cat</t>
  </si>
  <si>
    <t>Comas, Lluís/A-1545-2010; Retana, Javier/L-1214-2014</t>
  </si>
  <si>
    <t>Comas, Lluís/0000-0002-9385-6726; Gracia, Marc/0000-0002-7492-800X; Retana, Javier/0000-0002-7505-9467</t>
  </si>
  <si>
    <t>CONSOLIDER INGENIO [CSD2008-0040 MONTES]; Fundacio Territori i Paisatge; Obra Social Caixa de Pensions</t>
  </si>
  <si>
    <t>CONSOLIDER INGENIO(Spanish Government); Fundacio Territori i Paisatge; Obra Social Caixa de Pensions</t>
  </si>
  <si>
    <t>This study was partly funded by the project CONSOLIDER INGENIO 2010 CSD2008-0040 MONTES and by projects from Fundacio Territori i Paisatge and from Obra Social Caixa de Pensions.</t>
  </si>
  <si>
    <t>10.1007/s10113-010-0138-0</t>
  </si>
  <si>
    <t>772RT</t>
  </si>
  <si>
    <t>WOS:000291253300014</t>
  </si>
  <si>
    <t>Adeney, JM; Christensen, NL; Pimm, SL</t>
  </si>
  <si>
    <t>Adeney, J. Marion; Christensen, Norman L., Jr.; Pimm, Stuart L.</t>
  </si>
  <si>
    <t>LAND-USE; CONSERVATION; CLIMATE; HIGHWAY; FEEDBACKS; PATTERNS; DROUGHT; IMPACT; POLICY; FUTURE</t>
  </si>
  <si>
    <t>Background: Reserves are the principal means to conserve forests and biodiversity, but the question of whether reserves work is still debated. In the Amazon, fires are closely linked to deforestation, and thus can be used as a proxy for reserve effectiveness in protecting forest cover. We ask whether reserves in the Brazilian Amazon provide effective protection against deforestation and consequently fires, whether that protection is because of their location or their legal status, and whether some reserve types are more effective than others. Methodology/Principal Findings: Previous work has shown that most Amazonian fires occur close to roads and are more frequent in El Nino years. We quantified these relationships for reserves and unprotected areas by examining satellite-detected hot pixels regressed against road distance across the entire Brazilian Amazon and for a decade with 2 El Nino-related droughts. Deforestation fires, as measured by hot pixels, declined exponentially with increasing distance from roads in all areas. Fewer deforestation fires occurred within protected areas than outside and the difference between protected and unprotected areas was greatest near roads. Thus, reserves were especially effective at preventing these fires where they are known to be most likely to burn; but they did not provide absolute protection. Even within reserves, at a given distance from roads, there were more deforestation fires in regions with high human impact than in those with low impact. The effect of El Nino on deforestation fires was greatest outside of reserves and near roads. Indigenous reserves, limited-use reserves, and fully protected reserves all had fewer fires than outside areas and did not appear to differ in their effectiveness. Conclusions/Significance: Taking time, regional factors, and climate into account, our results show that reserves are an effective tool for curbing destructive burning in the Amazon.</t>
  </si>
  <si>
    <t>Adeney, JM (corresponding author), Duke Univ, Nicholas Sch Environm, Durham, NC 27708 USA.</t>
  </si>
  <si>
    <t>stuartpimm@aol.com</t>
  </si>
  <si>
    <t>pimm, stuart/ABF-1082-2020</t>
  </si>
  <si>
    <t>pimm, stuart/0000-0003-4206-2456</t>
  </si>
  <si>
    <t>APR 8</t>
  </si>
  <si>
    <t>e5014</t>
  </si>
  <si>
    <t>10.1371/journal.pone.0005014</t>
  </si>
  <si>
    <t>437RX</t>
  </si>
  <si>
    <t>WOS:000265505700002</t>
  </si>
  <si>
    <t>Songer, M; Aung, M; Senior, B; DeFries, R; Leimgruber, P</t>
  </si>
  <si>
    <t>Songer, Melissa; Aung, Myint; Senior, Briony; DeFries, Ruth; Leimgruber, Peter</t>
  </si>
  <si>
    <t>Tropical dry forests; Biodiversity; Change detection; Deforestation rates; Fragmentation; Protected areas; Forest dynamics; Land use change; Remote sensing; Landsat; ASTER</t>
  </si>
  <si>
    <t>MANAGEMENT EFFECTIVENESS; RAIN-FORESTS; COVER CHANGE; CERVUS-ELDI; AREAS; CONSERVATION; BIODIVERSITY; EXTINCTION; PRIORITIES; PATTERNS</t>
  </si>
  <si>
    <t>[Songer, Melissa; Senior, Briony; Leimgruber, Peter] Smithsonian Inst, Natl Zool Pk, Conservat Ecol Ctr, Front Royal, VA 22630 USA; [Aung, Myint] SICAS Off, Kamayut Township, Yangon, Myanmar; [DeFries, Ruth] Columbia Univ, Dept Ecol Evolut &amp; Environm Biol, New York, NY 10027 USA</t>
  </si>
  <si>
    <t>Smithsonian Institution; Smithsonian National Zoological Park &amp; Conservation Biology Institute; Columbia University</t>
  </si>
  <si>
    <t>Songer, M (corresponding author), Smithsonian Inst, Natl Zool Pk, Conservat Ecol Ctr, 1500 Remount Rd, Front Royal, VA 22630 USA.</t>
  </si>
  <si>
    <t>songerm@si.edu</t>
  </si>
  <si>
    <t>DeFries, Ruth/AFJ-8022-2022; Leimgruber, Peter/O-1304-2015; Oo, Aung/B-5090-2015</t>
  </si>
  <si>
    <t>NASA</t>
  </si>
  <si>
    <t>NASA(National Aeronautics &amp; Space Administration (NASA))</t>
  </si>
  <si>
    <t>We thank the staff of Chatthin Wildlife Sanctuary for their assistance in collection of field data and Dan Kelly and Melanie Delion for assistance in data management in the laboratory. This project was primarily funded by a grant awarded by NASA to the Conservation Non- Governmental Working Group.</t>
  </si>
  <si>
    <t>424DT</t>
  </si>
  <si>
    <t>Maiorano, L; Falcucci, A; Boitani, L</t>
  </si>
  <si>
    <t>Maiorano, Luigi; Falcucci, Alessandra; Boitani, Luigi</t>
  </si>
  <si>
    <t>Italy; protected areas; land-use change; single large or several small; false discovery rate; q-value</t>
  </si>
  <si>
    <t>REMOTE-SENSING DATA; COVER CHANGE; BIODIVERSITY CONSERVATION; HABITAT LOSS; FOREST LOSS; EXTINCTION; PARKS; RESERVES; DEFORESTATION; INTEGRATION</t>
  </si>
  <si>
    <t>[Maiorano, Luigi; Falcucci, Alessandra; Boitani, Luigi] Univ Roma La Sapienza, Dept Anim &amp; Human Biol, I-00185 Rome, Italy; [Maiorano, Luigi; Falcucci, Alessandra] Univ Idaho, Dept Fish &amp; Wildlife Resources, Moscow, ID 83843 USA</t>
  </si>
  <si>
    <t>Sapienza University Rome; University of Idaho</t>
  </si>
  <si>
    <t>Maiorano, L (corresponding author), Univ Roma La Sapienza, Dept Anim &amp; Human Biol, Viale Univ 32, I-00185 Rome, Italy.</t>
  </si>
  <si>
    <t>luigi.maiorano@uniromal.it</t>
  </si>
  <si>
    <t>Maiorano, Luigi/A-8637-2008</t>
  </si>
  <si>
    <t>Maiorano, Luigi/0000-0002-2957-8979</t>
  </si>
  <si>
    <t>289LS</t>
  </si>
  <si>
    <t>Stocks, A; McMahan, B; Taber, P</t>
  </si>
  <si>
    <t>Stocks, Anthony; McMahan, Benjamin; Taber, Peter</t>
  </si>
  <si>
    <t>Bosawas; indigenous conservation; land-cover change; Mayangna; miskitu; Nicaragua; normalized burn ratio; remote sensing</t>
  </si>
  <si>
    <t>TROPICAL FOREST CONSERVATION; PARKS; PEOPLES; BIODIVERSITY; COMMUNITY</t>
  </si>
  <si>
    <t>[Stocks, Anthony] Idaho State Univ, Dept Anthropol, Pocatello, ID 83209 USA; [McMahan, Benjamin; Taber, Peter] Univ Arizona, Dept Anthropol, Tucson, AZ 85721 USA</t>
  </si>
  <si>
    <t>Idaho State University; University of Arizona</t>
  </si>
  <si>
    <t>Stocks, A (corresponding author), Idaho State Univ, Dept Anthropol, Box 8005, Pocatello, ID 83209 USA.</t>
  </si>
  <si>
    <t>astocks@isu.edu</t>
  </si>
  <si>
    <t>242ZH</t>
  </si>
  <si>
    <t>Bleher, B; Uster, D; Bergsdorf, T</t>
  </si>
  <si>
    <t>Bleher, Barbel; Uster, Dana; Bergsdorf, Thomas</t>
  </si>
  <si>
    <t>conservation; disturbance indicator; forest degradation; logging; management</t>
  </si>
  <si>
    <t>CONSERVATION; BIODIVERSITY; REGENERATION; INDICATORS</t>
  </si>
  <si>
    <t>Johannes Gutenberg Univ Mainz, Inst Zool, Abt V Okol, D-55099 Mainz, Germany; Natl Museums Kenya, Dept Ornithol, Nairobi, Kenya; Univ Bielefeld, Fak Biol, Abt Okol, D-33615 Bielefeld, Germany; Zool Forschungsinst, D-53113 Bonn, Germany; Museum Alexander Koenig, D-53113 Bonn, Germany</t>
  </si>
  <si>
    <t>Johannes Gutenberg University of Mainz; University of Bielefeld; Zoologisches Forschungsmuseum Alexander Koenig (ZFMK)</t>
  </si>
  <si>
    <t>Bleher, B (corresponding author), Johannes Gutenberg Univ Mainz, Inst Zool, Abt V Okol, Becherweg 13, D-55099 Mainz, Germany.</t>
  </si>
  <si>
    <t>b_bleher@web.de</t>
  </si>
  <si>
    <t>055MA</t>
  </si>
  <si>
    <t>Nagendra, H; Tucker, C; Carlson, L; Southworth, J; Karmacharya, M; Karna, B</t>
  </si>
  <si>
    <t>protected areas; institutions; land use/land cover change; remote sensing; co-management</t>
  </si>
  <si>
    <t>FOREST COVER CHANGE; COMMUNITY FORESTRY; COLLECTIVE ACTION; WESTERN HONDURAS; ACCESSIBILITY; INSTITUTIONS; DYNAMICS; RESERVES; PATTERN; TENURE</t>
  </si>
  <si>
    <t>Indiana Univ, CIPEC, Bloomington, IN 47408 USA; Univ Florida, Dept Geog, Gainesville, FL 32611 USA; Univ Florida, LUECI, Gainesville, FL 32611 USA; Nepal Forestry Resources &amp; Inst Res Program, Kathmandu, Nepal</t>
  </si>
  <si>
    <t>Indiana University System; Indiana University Bloomington; State University System of Florida; University of Florida; State University System of Florida; University of Florida</t>
  </si>
  <si>
    <t>Nagendra, H (corresponding author), Indiana Univ, CIPEC, 408 N Indiana Ave, Bloomington, IN 47408 USA.</t>
  </si>
  <si>
    <t>nagendra@indiana.edu</t>
  </si>
  <si>
    <t>; Tucker, Catherine May/G-5333-2012; Nagena, Harini/P-9087-2019</t>
  </si>
  <si>
    <t>Southworth, Jane/0000-0002-7246-7879; Karna, Birena Kumar/0000-0002-0556-728X; Tucker, Catherine May/0000-0003-3151-5376; Nagena, Harini/0000-0002-1585-0724</t>
  </si>
  <si>
    <t>ONE NEW YORK PLAZA, SUITE 4600, NEW YORK, NY, UNITED STATES</t>
  </si>
  <si>
    <t>1432-1009</t>
  </si>
  <si>
    <t>891LO</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</si>
</sst>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color theme="1"/>
      <name val="Arial"/>
      <scheme val="minor"/>
    </font>
    <font/>
    <font>
      <u/>
      <color rgb="FF0000FF"/>
    </font>
    <font>
      <u/>
      <color rgb="FF0000FF"/>
    </font>
    <font>
      <u/>
      <color rgb="FF0000FF"/>
    </font>
    <font>
      <b/>
      <color theme="1"/>
      <name val="Arial"/>
      <scheme val="minor"/>
    </font>
    <font>
      <u/>
      <color rgb="FF0000FF"/>
    </font>
    <font>
      <u/>
      <color rgb="FF0000FF"/>
    </font>
    <font>
      <sz val="11.0"/>
      <color theme="1"/>
      <name val="Aptos Narrow"/>
    </font>
    <font>
      <u/>
      <color rgb="FF0000FF"/>
    </font>
  </fonts>
  <fills count="5">
    <fill>
      <patternFill patternType="none"/>
    </fill>
    <fill>
      <patternFill patternType="lightGray"/>
    </fill>
    <fill>
      <patternFill patternType="solid">
        <fgColor rgb="FFCFE2F3"/>
        <bgColor rgb="FFCFE2F3"/>
      </patternFill>
    </fill>
    <fill>
      <patternFill patternType="solid">
        <fgColor theme="8"/>
        <bgColor theme="8"/>
      </patternFill>
    </fill>
    <fill>
      <patternFill patternType="solid">
        <fgColor rgb="FFFCE5CD"/>
        <bgColor rgb="FFFCE5CD"/>
      </patternFill>
    </fill>
  </fills>
  <borders count="6">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1" fillId="0" fontId="1" numFmtId="0" xfId="0" applyAlignment="1" applyBorder="1" applyFont="1">
      <alignment readingOrder="0" shrinkToFit="0" wrapText="1"/>
    </xf>
    <xf borderId="2" fillId="0" fontId="2" numFmtId="0" xfId="0" applyBorder="1" applyFont="1"/>
    <xf borderId="3" fillId="0" fontId="2" numFmtId="0" xfId="0" applyBorder="1" applyFont="1"/>
    <xf borderId="1" fillId="0" fontId="3" numFmtId="0" xfId="0" applyAlignment="1" applyBorder="1" applyFont="1">
      <alignment readingOrder="0" shrinkToFit="0" wrapText="1"/>
    </xf>
    <xf borderId="4" fillId="0" fontId="1" numFmtId="0" xfId="0" applyAlignment="1" applyBorder="1" applyFont="1">
      <alignment readingOrder="0"/>
    </xf>
    <xf borderId="4" fillId="0" fontId="1" numFmtId="0" xfId="0" applyAlignment="1" applyBorder="1" applyFont="1">
      <alignment readingOrder="0" shrinkToFit="0" wrapText="1"/>
    </xf>
    <xf borderId="0" fillId="0" fontId="1" numFmtId="0" xfId="0" applyFont="1"/>
    <xf borderId="0" fillId="0" fontId="1" numFmtId="0" xfId="0" applyAlignment="1" applyFont="1">
      <alignment readingOrder="0"/>
    </xf>
    <xf borderId="0" fillId="0" fontId="4" numFmtId="0" xfId="0" applyAlignment="1" applyFont="1">
      <alignment readingOrder="0"/>
    </xf>
    <xf borderId="0" fillId="0" fontId="5" numFmtId="0" xfId="0" applyAlignment="1" applyFont="1">
      <alignment readingOrder="0"/>
    </xf>
    <xf borderId="0" fillId="0" fontId="6" numFmtId="0" xfId="0" applyFont="1"/>
    <xf borderId="0" fillId="2" fontId="7" numFmtId="0" xfId="0" applyAlignment="1" applyFill="1" applyFont="1">
      <alignment readingOrder="0"/>
    </xf>
    <xf borderId="0" fillId="2" fontId="8" numFmtId="0" xfId="0" applyAlignment="1" applyFont="1">
      <alignment readingOrder="0"/>
    </xf>
    <xf borderId="5" fillId="3" fontId="9" numFmtId="0" xfId="0" applyBorder="1" applyFill="1" applyFont="1"/>
    <xf borderId="0" fillId="0" fontId="9" numFmtId="17" xfId="0" applyFont="1" applyNumberFormat="1"/>
    <xf borderId="0" fillId="4" fontId="1" numFmtId="0" xfId="0" applyFill="1" applyFont="1"/>
    <xf borderId="0" fillId="0" fontId="9" numFmtId="10" xfId="0" applyFont="1" applyNumberFormat="1"/>
    <xf borderId="0" fillId="0" fontId="9" numFmtId="9" xfId="0" applyFont="1" applyNumberFormat="1"/>
    <xf borderId="0" fillId="2" fontId="1" numFmtId="0" xfId="0" applyAlignment="1" applyFont="1">
      <alignment readingOrder="0"/>
    </xf>
    <xf borderId="0" fillId="0" fontId="1" numFmtId="0" xfId="0" applyAlignment="1" applyFont="1">
      <alignment readingOrder="0"/>
    </xf>
    <xf borderId="0" fillId="4" fontId="1" numFmtId="0" xfId="0" applyAlignment="1" applyFont="1">
      <alignment readingOrder="0"/>
    </xf>
    <xf borderId="0" fillId="0" fontId="1" numFmtId="0" xfId="0" applyAlignment="1" applyFont="1">
      <alignment shrinkToFit="0" wrapText="1"/>
    </xf>
    <xf borderId="0" fillId="0" fontId="1" numFmtId="0" xfId="0" applyAlignment="1" applyFont="1">
      <alignment readingOrder="0" shrinkToFit="0" wrapText="1"/>
    </xf>
    <xf borderId="0" fillId="0" fontId="1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Hunain" id="{47ca4d0e-d535-435f-a24d-09e50f96c6e1}"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 dT="2026-04-10T10:40:09.00" personId="{47ca4d0e-d535-435f-a24d-09e50f96c6e1}" id="{2b2c9692-1592-4606-9b14-354a3319b77e}" done="0">
    <x18tc:text xml:space="preserve">changes: 
I cleaned this text a bit compared to raw data; where clear DOI links were not present, these are added after manual search</x18tc:text>
  </x18tc:threadedComment>
  <x18tc:threadedComment ref="D1" dT="2026-04-10T10:55:32.00" personId="{47ca4d0e-d535-435f-a24d-09e50f96c6e1}" id="{0b89094b-fb3c-484a-86aa-d094fbc35073}" parentId="{2b2c9692-1592-4606-9b14-354a3319b77e}">
    <x18tc:text xml:space="preserve">highlighted DOI as added as completely new after searching based on title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 dT="2026-04-10T11:18:38.00" personId="{47ca4d0e-d535-435f-a24d-09e50f96c6e1}" id="{11dcab58-37a6-43a5-8d28-c98546fa1025}" done="0">
    <x18tc:text xml:space="preserve">For labels here, generally authors originally coded for threats_l1 i.e. one step below the broadest group in threat classification. These labels are added here all higher labels are inferred from them.
For insteace, for 7.1 Fire coding, a broader label of threats_l0 7 Natural system modification derived from it</x18tc:text>
  </x18tc:threadedComment>
  <x18tc:threadedComment ref="B1" dT="2026-04-10T12:22:27.00" personId="{47ca4d0e-d535-435f-a24d-09e50f96c6e1}" id="{847c9862-56cb-4be8-bd50-642bb93cb5f6}" done="0">
    <x18tc:text xml:space="preserve">1= Used in our systematic map
0= Excluded because the threats coded can not be traced back to some specific label in iucn threat classification</x18tc:text>
  </x18tc:threadedComment>
  <x18tc:threadedComment ref="C1" dT="2026-04-10T11:16:53.00" personId="{47ca4d0e-d535-435f-a24d-09e50f96c6e1}" id="{b329650a-04c7-48f2-9106-3f9dcdaca3fa}" done="0">
    <x18tc:text xml:space="preserve">Column created by me to normalised the label values coded by authors. 
More details on what authors mean by special values like LULC provided in the original text</x18tc:text>
  </x18tc:threadedComment>
  <x18tc:threadedComment ref="C1" dT="2026-04-10T11:19:11.00" personId="{47ca4d0e-d535-435f-a24d-09e50f96c6e1}" id="{97bcd5c5-1fbd-4e50-9b62-0596e0ea2113}" parentId="{b329650a-04c7-48f2-9106-3f9dcdaca3fa}">
    <x18tc:text xml:space="preserve">Labels marked as "Other" are skipped</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4-10T11:02:27.00" personId="{47ca4d0e-d535-435f-a24d-09e50f96c6e1}" id="{d9a4b165-66fc-4b3c-b12a-1afe80ad72a4}" done="0">
    <x18tc:text xml:space="preserve">PK from original authors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hyperlink" Target="https://www.researchsquare.com/article/rs-7046705/v1"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doi.org/10.1111%2Fj.1523-1739.2007.00793.x" TargetMode="External"/><Relationship Id="rId42" Type="http://schemas.openxmlformats.org/officeDocument/2006/relationships/hyperlink" Target="https://doi.org/10.1371/journal.pone.0005014" TargetMode="External"/><Relationship Id="rId41" Type="http://schemas.openxmlformats.org/officeDocument/2006/relationships/hyperlink" Target="https://doi.org/10.1126/sciadv.abi8943" TargetMode="External"/><Relationship Id="rId44" Type="http://schemas.openxmlformats.org/officeDocument/2006/relationships/hyperlink" Target="https://doi.org/10.1371/journal.pone.0065298" TargetMode="External"/><Relationship Id="rId43" Type="http://schemas.openxmlformats.org/officeDocument/2006/relationships/hyperlink" Target="https://doi.org/10.1371/journal.pone.0039337" TargetMode="External"/><Relationship Id="rId46" Type="http://schemas.openxmlformats.org/officeDocument/2006/relationships/hyperlink" Target="https://doi.org/10.1371/journal.pone.0149292" TargetMode="External"/><Relationship Id="rId45" Type="http://schemas.openxmlformats.org/officeDocument/2006/relationships/hyperlink" Target="https://doi.org/10.1371/journal.pone.0124872"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oi.org/10.1007/s10531-008-9490-5" TargetMode="External"/><Relationship Id="rId9" Type="http://schemas.openxmlformats.org/officeDocument/2006/relationships/hyperlink" Target="https://doi.org/10.1007/s00267-013-0102-0" TargetMode="External"/><Relationship Id="rId48" Type="http://schemas.openxmlformats.org/officeDocument/2006/relationships/hyperlink" Target="https://doi.org/10.3389/fmars.2023.1187702" TargetMode="External"/><Relationship Id="rId47" Type="http://schemas.openxmlformats.org/officeDocument/2006/relationships/hyperlink" Target="https://doi.org/10.1590/0001-3765202320211079" TargetMode="External"/><Relationship Id="rId49" Type="http://schemas.openxmlformats.org/officeDocument/2006/relationships/hyperlink" Target="https://doi.org/10.3390/land10111124" TargetMode="External"/><Relationship Id="rId5" Type="http://schemas.openxmlformats.org/officeDocument/2006/relationships/hyperlink" Target="http://dx.doi.org/10.3389/fenvs.2023.1122464" TargetMode="External"/><Relationship Id="rId6" Type="http://schemas.openxmlformats.org/officeDocument/2006/relationships/hyperlink" Target="http://dx.doi.org/10.3389/ffgc.2022.807214" TargetMode="External"/><Relationship Id="rId7" Type="http://schemas.openxmlformats.org/officeDocument/2006/relationships/hyperlink" Target="https://doi.org/10.1002/rse2.47" TargetMode="External"/><Relationship Id="rId8" Type="http://schemas.openxmlformats.org/officeDocument/2006/relationships/hyperlink" Target="https://doi.org/10.1007/s00267-004-0028-7" TargetMode="External"/><Relationship Id="rId31" Type="http://schemas.openxmlformats.org/officeDocument/2006/relationships/hyperlink" Target="https://doi.org/10.1111/cobi.13638" TargetMode="External"/><Relationship Id="rId30" Type="http://schemas.openxmlformats.org/officeDocument/2006/relationships/hyperlink" Target="https://doi.org/10.1111/cobi.13584" TargetMode="External"/><Relationship Id="rId33" Type="http://schemas.openxmlformats.org/officeDocument/2006/relationships/hyperlink" Target="https://doi.org/10.1111/cobi.13887" TargetMode="External"/><Relationship Id="rId32" Type="http://schemas.openxmlformats.org/officeDocument/2006/relationships/hyperlink" Target="https://doi.org/10.1111/cobi.13687" TargetMode="External"/><Relationship Id="rId35" Type="http://schemas.openxmlformats.org/officeDocument/2006/relationships/hyperlink" Target="https://doi.org/10.1111/csp2.169" TargetMode="External"/><Relationship Id="rId34" Type="http://schemas.openxmlformats.org/officeDocument/2006/relationships/hyperlink" Target="https://doi.org/10.1111/conl.12049" TargetMode="External"/><Relationship Id="rId37" Type="http://schemas.openxmlformats.org/officeDocument/2006/relationships/hyperlink" Target="https://doi.org/10.1111/gcb.16583" TargetMode="External"/><Relationship Id="rId36" Type="http://schemas.openxmlformats.org/officeDocument/2006/relationships/hyperlink" Target="https://doi.org/10.1111/ddi.13466" TargetMode="External"/><Relationship Id="rId39" Type="http://schemas.openxmlformats.org/officeDocument/2006/relationships/hyperlink" Target="https://doi.org/10.1111%2Fcobi.12332" TargetMode="External"/><Relationship Id="rId38" Type="http://schemas.openxmlformats.org/officeDocument/2006/relationships/hyperlink" Target="https://doi.org/10.1111/geb.13563" TargetMode="External"/><Relationship Id="rId61" Type="http://schemas.openxmlformats.org/officeDocument/2006/relationships/vmlDrawing" Target="../drawings/vmlDrawing1.vml"/><Relationship Id="rId20" Type="http://schemas.openxmlformats.org/officeDocument/2006/relationships/hyperlink" Target="https://doi.org/10.1016/j.landusepol.2014.11.021" TargetMode="External"/><Relationship Id="rId22" Type="http://schemas.openxmlformats.org/officeDocument/2006/relationships/hyperlink" Target="https://doi.org/10.1017/S0376892917000157" TargetMode="External"/><Relationship Id="rId21" Type="http://schemas.openxmlformats.org/officeDocument/2006/relationships/hyperlink" Target="https://doi.org/10.1016/j.landusepol.2017.06.009" TargetMode="External"/><Relationship Id="rId24" Type="http://schemas.openxmlformats.org/officeDocument/2006/relationships/hyperlink" Target="https://doi.org/10.1038/s41598-021-03188-w" TargetMode="External"/><Relationship Id="rId23" Type="http://schemas.openxmlformats.org/officeDocument/2006/relationships/hyperlink" Target="https://doi.org/10.1017/S0376892922000261" TargetMode="External"/><Relationship Id="rId60" Type="http://schemas.openxmlformats.org/officeDocument/2006/relationships/drawing" Target="../drawings/drawing2.xml"/><Relationship Id="rId26" Type="http://schemas.openxmlformats.org/officeDocument/2006/relationships/hyperlink" Target="https://doi.org/10.1098/rspb.2007.1756" TargetMode="External"/><Relationship Id="rId25" Type="http://schemas.openxmlformats.org/officeDocument/2006/relationships/hyperlink" Target="https://doi.org/10.1088/1748-9326/9/3/035007" TargetMode="External"/><Relationship Id="rId28" Type="http://schemas.openxmlformats.org/officeDocument/2006/relationships/hyperlink" Target="https://doi.org/10.1111/1365-2664.12965" TargetMode="External"/><Relationship Id="rId27" Type="http://schemas.openxmlformats.org/officeDocument/2006/relationships/hyperlink" Target="https://doi.org/10.1098/rspb.2010.1713" TargetMode="External"/><Relationship Id="rId29" Type="http://schemas.openxmlformats.org/officeDocument/2006/relationships/hyperlink" Target="https://doi.org/10.1111/cobi.12851" TargetMode="External"/><Relationship Id="rId51" Type="http://schemas.openxmlformats.org/officeDocument/2006/relationships/hyperlink" Target="https://doi.org/10.3390/su12135439" TargetMode="External"/><Relationship Id="rId50" Type="http://schemas.openxmlformats.org/officeDocument/2006/relationships/hyperlink" Target="https://doi.org/10.3390/land11020268" TargetMode="External"/><Relationship Id="rId53" Type="http://schemas.openxmlformats.org/officeDocument/2006/relationships/hyperlink" Target="https://doi.org/10.1016/j.apgeog.2015.06.013" TargetMode="External"/><Relationship Id="rId52" Type="http://schemas.openxmlformats.org/officeDocument/2006/relationships/hyperlink" Target="https://doi.org/10.4996/fireecology.130288764" TargetMode="External"/><Relationship Id="rId11" Type="http://schemas.openxmlformats.org/officeDocument/2006/relationships/hyperlink" Target="https://doi.org/10.1007/s10113-016-1070-8" TargetMode="External"/><Relationship Id="rId55" Type="http://schemas.openxmlformats.org/officeDocument/2006/relationships/hyperlink" Target="https://doi.org/10.1016/j.gecco.2020.e01222" TargetMode="External"/><Relationship Id="rId10" Type="http://schemas.openxmlformats.org/officeDocument/2006/relationships/hyperlink" Target="https://doi.org/10.1007/s10113-010-0138-0" TargetMode="External"/><Relationship Id="rId54" Type="http://schemas.openxmlformats.org/officeDocument/2006/relationships/hyperlink" Target="https://doi.org/10.2478/jlecol-2019-0009" TargetMode="External"/><Relationship Id="rId13" Type="http://schemas.openxmlformats.org/officeDocument/2006/relationships/hyperlink" Target="https://doi.org/10.1007/s10661-011-2340-z" TargetMode="External"/><Relationship Id="rId57" Type="http://schemas.openxmlformats.org/officeDocument/2006/relationships/hyperlink" Target="https://doi.org/10.1017/S0030605320001088" TargetMode="External"/><Relationship Id="rId12" Type="http://schemas.openxmlformats.org/officeDocument/2006/relationships/hyperlink" Target="https://doi.org/10.1007/s10531-004-3509-3" TargetMode="External"/><Relationship Id="rId56" Type="http://schemas.openxmlformats.org/officeDocument/2006/relationships/hyperlink" Target="https://doi.org/10.1126/sciadv.1600821" TargetMode="External"/><Relationship Id="rId15" Type="http://schemas.openxmlformats.org/officeDocument/2006/relationships/hyperlink" Target="https://doi.org/10.1016/j.biocon.2012.08.021" TargetMode="External"/><Relationship Id="rId59" Type="http://schemas.openxmlformats.org/officeDocument/2006/relationships/hyperlink" Target="https://doi.org/10.1002/ece3.7778" TargetMode="External"/><Relationship Id="rId14" Type="http://schemas.openxmlformats.org/officeDocument/2006/relationships/hyperlink" Target="https://doi.org/10.1007/s11273-022-09894-0" TargetMode="External"/><Relationship Id="rId58" Type="http://schemas.openxmlformats.org/officeDocument/2006/relationships/hyperlink" Target="https://doi.org/10.1007/s10531-004-5355-8" TargetMode="External"/><Relationship Id="rId17" Type="http://schemas.openxmlformats.org/officeDocument/2006/relationships/hyperlink" Target="https://doi.org/10.1016/j.biocon.2020.108424" TargetMode="External"/><Relationship Id="rId16" Type="http://schemas.openxmlformats.org/officeDocument/2006/relationships/hyperlink" Target="https://doi.org/10.1016/j.biocon.2016.08.037" TargetMode="External"/><Relationship Id="rId19" Type="http://schemas.openxmlformats.org/officeDocument/2006/relationships/hyperlink" Target="https://doi.org/10.1016/j.gloenvcha.2020.102084" TargetMode="External"/><Relationship Id="rId18" Type="http://schemas.openxmlformats.org/officeDocument/2006/relationships/hyperlink" Target="https://doi.org/10.1016/j.ecolind.2022.109337"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5.xml"/><Relationship Id="rId5"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40" Type="http://schemas.openxmlformats.org/officeDocument/2006/relationships/hyperlink" Target="https://doi.org/10.2478/jlecol-2019-0009" TargetMode="External"/><Relationship Id="rId42" Type="http://schemas.openxmlformats.org/officeDocument/2006/relationships/hyperlink" Target="https://doi.org/10.1017/S0030605320001088" TargetMode="External"/><Relationship Id="rId41" Type="http://schemas.openxmlformats.org/officeDocument/2006/relationships/hyperlink" Target="https://doi.org/10.1126/sciadv.1600821" TargetMode="External"/><Relationship Id="rId44" Type="http://schemas.openxmlformats.org/officeDocument/2006/relationships/vmlDrawing" Target="../drawings/vmlDrawing3.vml"/><Relationship Id="rId43" Type="http://schemas.openxmlformats.org/officeDocument/2006/relationships/drawing" Target="../drawings/drawing6.xml"/><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https://doi.org/10.1007/s00267-004-0028-7" TargetMode="External"/><Relationship Id="rId9" Type="http://schemas.openxmlformats.org/officeDocument/2006/relationships/hyperlink" Target="https://doi.org/10.1371/journal.pone.0039337" TargetMode="External"/><Relationship Id="rId5" Type="http://schemas.openxmlformats.org/officeDocument/2006/relationships/hyperlink" Target="https://doi.org/10.1007/s10531-004-3509-3" TargetMode="External"/><Relationship Id="rId6" Type="http://schemas.openxmlformats.org/officeDocument/2006/relationships/hyperlink" Target="https://doi.org/10.1098/rspb.2007.1756" TargetMode="External"/><Relationship Id="rId7" Type="http://schemas.openxmlformats.org/officeDocument/2006/relationships/hyperlink" Target="https://doi.org/10.1007/s10531-008-9490-5" TargetMode="External"/><Relationship Id="rId8" Type="http://schemas.openxmlformats.org/officeDocument/2006/relationships/hyperlink" Target="https://doi.org/10.1098/rspb.2010.1713" TargetMode="External"/><Relationship Id="rId31" Type="http://schemas.openxmlformats.org/officeDocument/2006/relationships/hyperlink" Target="https://doi.org/10.1111/ddi.13466" TargetMode="External"/><Relationship Id="rId30" Type="http://schemas.openxmlformats.org/officeDocument/2006/relationships/hyperlink" Target="https://doi.org/10.3390/land10111124" TargetMode="External"/><Relationship Id="rId33" Type="http://schemas.openxmlformats.org/officeDocument/2006/relationships/hyperlink" Target="https://doi.org/10.1111/geb.13563" TargetMode="External"/><Relationship Id="rId32" Type="http://schemas.openxmlformats.org/officeDocument/2006/relationships/hyperlink" Target="http://dx.doi.org/10.3389/ffgc.2022.807214" TargetMode="External"/><Relationship Id="rId35" Type="http://schemas.openxmlformats.org/officeDocument/2006/relationships/hyperlink" Target="https://doi.org/10.1007/s11273-022-09894-0" TargetMode="External"/><Relationship Id="rId34" Type="http://schemas.openxmlformats.org/officeDocument/2006/relationships/hyperlink" Target="https://doi.org/10.1017/S0376892922000261" TargetMode="External"/><Relationship Id="rId37" Type="http://schemas.openxmlformats.org/officeDocument/2006/relationships/hyperlink" Target="http://dx.doi.org/10.3389/fenvs.2023.1122464" TargetMode="External"/><Relationship Id="rId36" Type="http://schemas.openxmlformats.org/officeDocument/2006/relationships/hyperlink" Target="https://doi.org/10.1111/gcb.16583" TargetMode="External"/><Relationship Id="rId39" Type="http://schemas.openxmlformats.org/officeDocument/2006/relationships/hyperlink" Target="https://doi.org/10.1111%2Fj.1523-1739.2007.00793.x" TargetMode="External"/><Relationship Id="rId38" Type="http://schemas.openxmlformats.org/officeDocument/2006/relationships/hyperlink" Target="https://doi.org/10.3389/fmars.2023.1187702" TargetMode="External"/><Relationship Id="rId20" Type="http://schemas.openxmlformats.org/officeDocument/2006/relationships/hyperlink" Target="https://doi.org/10.1007/s10113-016-1070-8" TargetMode="External"/><Relationship Id="rId22" Type="http://schemas.openxmlformats.org/officeDocument/2006/relationships/hyperlink" Target="https://doi.org/10.1016/j.landusepol.2017.06.009" TargetMode="External"/><Relationship Id="rId21" Type="http://schemas.openxmlformats.org/officeDocument/2006/relationships/hyperlink" Target="https://doi.org/10.1111/cobi.12851" TargetMode="External"/><Relationship Id="rId24" Type="http://schemas.openxmlformats.org/officeDocument/2006/relationships/hyperlink" Target="https://doi.org/10.1111/1365-2664.12965" TargetMode="External"/><Relationship Id="rId23" Type="http://schemas.openxmlformats.org/officeDocument/2006/relationships/hyperlink" Target="https://doi.org/10.1002/rse2.47" TargetMode="External"/><Relationship Id="rId26" Type="http://schemas.openxmlformats.org/officeDocument/2006/relationships/hyperlink" Target="https://doi.org/10.3390/su12135439" TargetMode="External"/><Relationship Id="rId25" Type="http://schemas.openxmlformats.org/officeDocument/2006/relationships/hyperlink" Target="https://doi.org/10.1016/j.biocon.2020.108424" TargetMode="External"/><Relationship Id="rId28" Type="http://schemas.openxmlformats.org/officeDocument/2006/relationships/hyperlink" Target="https://doi.org/10.1111/cobi.13687" TargetMode="External"/><Relationship Id="rId27" Type="http://schemas.openxmlformats.org/officeDocument/2006/relationships/hyperlink" Target="https://doi.org/10.1016/j.gecco.2020.e01222" TargetMode="External"/><Relationship Id="rId29" Type="http://schemas.openxmlformats.org/officeDocument/2006/relationships/hyperlink" Target="https://doi.org/10.1126/sciadv.abi8943" TargetMode="External"/><Relationship Id="rId11" Type="http://schemas.openxmlformats.org/officeDocument/2006/relationships/hyperlink" Target="https://doi.org/10.1016/j.biocon.2012.08.021" TargetMode="External"/><Relationship Id="rId10" Type="http://schemas.openxmlformats.org/officeDocument/2006/relationships/hyperlink" Target="https://doi.org/10.1007/s10661-011-2340-z" TargetMode="External"/><Relationship Id="rId13" Type="http://schemas.openxmlformats.org/officeDocument/2006/relationships/hyperlink" Target="https://doi.org/10.1088/1748-9326/9/3/035007" TargetMode="External"/><Relationship Id="rId12" Type="http://schemas.openxmlformats.org/officeDocument/2006/relationships/hyperlink" Target="https://doi.org/10.1007/s00267-013-0102-0" TargetMode="External"/><Relationship Id="rId15" Type="http://schemas.openxmlformats.org/officeDocument/2006/relationships/hyperlink" Target="https://doi.org/10.1016/j.landusepol.2014.11.021" TargetMode="External"/><Relationship Id="rId14" Type="http://schemas.openxmlformats.org/officeDocument/2006/relationships/hyperlink" Target="https://doi.org/10.1111/conl.12049" TargetMode="External"/><Relationship Id="rId17" Type="http://schemas.openxmlformats.org/officeDocument/2006/relationships/hyperlink" Target="https://doi.org/10.1016/j.apgeog.2015.06.013" TargetMode="External"/><Relationship Id="rId16" Type="http://schemas.openxmlformats.org/officeDocument/2006/relationships/hyperlink" Target="https://doi.org/10.1371/journal.pone.0124872" TargetMode="External"/><Relationship Id="rId19" Type="http://schemas.openxmlformats.org/officeDocument/2006/relationships/hyperlink" Target="https://doi.org/10.1016/j.biocon.2016.08.037" TargetMode="External"/><Relationship Id="rId18" Type="http://schemas.openxmlformats.org/officeDocument/2006/relationships/hyperlink" Target="https://doi.org/10.1371/journal.pone.0149292"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7.38"/>
    <col customWidth="1" min="3" max="3" width="55.75"/>
  </cols>
  <sheetData>
    <row r="3">
      <c r="B3" s="1" t="s">
        <v>0</v>
      </c>
      <c r="C3" s="2"/>
      <c r="D3" s="2"/>
      <c r="E3" s="2"/>
      <c r="F3" s="3"/>
    </row>
    <row r="4">
      <c r="B4" s="4" t="s">
        <v>1</v>
      </c>
      <c r="C4" s="2"/>
      <c r="D4" s="2"/>
      <c r="E4" s="2"/>
      <c r="F4" s="3"/>
    </row>
    <row r="5">
      <c r="B5" s="1" t="s">
        <v>2</v>
      </c>
      <c r="C5" s="2"/>
      <c r="D5" s="2"/>
      <c r="E5" s="2"/>
      <c r="F5" s="3"/>
    </row>
    <row r="7">
      <c r="B7" s="5" t="s">
        <v>3</v>
      </c>
      <c r="C7" s="5" t="s">
        <v>4</v>
      </c>
      <c r="D7" s="5" t="s">
        <v>5</v>
      </c>
    </row>
    <row r="8">
      <c r="B8" s="5" t="s">
        <v>6</v>
      </c>
      <c r="C8" s="6" t="s">
        <v>7</v>
      </c>
      <c r="D8" s="5">
        <v>105.0</v>
      </c>
    </row>
    <row r="9">
      <c r="B9" s="5" t="s">
        <v>8</v>
      </c>
      <c r="C9" s="6" t="s">
        <v>9</v>
      </c>
      <c r="D9" s="5">
        <v>105.0</v>
      </c>
    </row>
    <row r="10">
      <c r="B10" s="5" t="s">
        <v>10</v>
      </c>
      <c r="C10" s="6" t="s">
        <v>11</v>
      </c>
      <c r="D10" s="5">
        <v>75.0</v>
      </c>
    </row>
    <row r="11">
      <c r="B11" s="5" t="s">
        <v>12</v>
      </c>
      <c r="C11" s="5" t="s">
        <v>13</v>
      </c>
      <c r="D11" s="5">
        <v>73.0</v>
      </c>
    </row>
  </sheetData>
  <mergeCells count="3">
    <mergeCell ref="B3:F3"/>
    <mergeCell ref="B4:F4"/>
    <mergeCell ref="B5:F5"/>
  </mergeCells>
  <hyperlinks>
    <hyperlink r:id="rId1" ref="B4"/>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30.88"/>
    <col customWidth="1" min="2" max="2" width="10.5"/>
    <col customWidth="1" min="3" max="3" width="8.63"/>
    <col customWidth="1" min="4" max="4" width="38.0"/>
    <col customWidth="1" min="5" max="26" width="8.63"/>
  </cols>
  <sheetData>
    <row r="1" ht="14.25" customHeight="1">
      <c r="A1" s="7" t="s">
        <v>14</v>
      </c>
      <c r="B1" s="7" t="s">
        <v>15</v>
      </c>
      <c r="C1" s="7" t="s">
        <v>16</v>
      </c>
      <c r="D1" s="8" t="s">
        <v>17</v>
      </c>
    </row>
    <row r="2" ht="14.25" customHeight="1">
      <c r="A2" s="7" t="s">
        <v>18</v>
      </c>
      <c r="B2" s="7" t="s">
        <v>19</v>
      </c>
      <c r="C2" s="7">
        <v>2008.0</v>
      </c>
      <c r="D2" s="9" t="s">
        <v>20</v>
      </c>
    </row>
    <row r="3" ht="14.25" customHeight="1">
      <c r="A3" s="7" t="s">
        <v>21</v>
      </c>
      <c r="B3" s="7" t="s">
        <v>22</v>
      </c>
      <c r="C3" s="7">
        <v>2016.0</v>
      </c>
      <c r="D3" s="7" t="s">
        <v>23</v>
      </c>
    </row>
    <row r="4" ht="14.25" customHeight="1">
      <c r="A4" s="7" t="s">
        <v>24</v>
      </c>
      <c r="B4" s="7" t="s">
        <v>25</v>
      </c>
      <c r="C4" s="7">
        <v>2013.0</v>
      </c>
      <c r="D4" s="7" t="s">
        <v>26</v>
      </c>
    </row>
    <row r="5" ht="14.25" customHeight="1">
      <c r="A5" s="7" t="s">
        <v>27</v>
      </c>
      <c r="B5" s="7" t="s">
        <v>28</v>
      </c>
      <c r="C5" s="7">
        <v>2017.0</v>
      </c>
      <c r="D5" s="7" t="s">
        <v>29</v>
      </c>
    </row>
    <row r="6" ht="14.25" customHeight="1">
      <c r="A6" s="7" t="s">
        <v>30</v>
      </c>
      <c r="B6" s="7" t="s">
        <v>31</v>
      </c>
      <c r="C6" s="7">
        <v>2015.0</v>
      </c>
      <c r="D6" s="7" t="s">
        <v>32</v>
      </c>
    </row>
    <row r="7" ht="14.25" customHeight="1">
      <c r="A7" s="7" t="s">
        <v>33</v>
      </c>
      <c r="B7" s="7" t="s">
        <v>34</v>
      </c>
      <c r="C7" s="7">
        <v>2016.0</v>
      </c>
      <c r="D7" s="7" t="s">
        <v>35</v>
      </c>
    </row>
    <row r="8" ht="14.25" customHeight="1">
      <c r="A8" s="7" t="s">
        <v>36</v>
      </c>
      <c r="B8" s="7" t="s">
        <v>37</v>
      </c>
      <c r="C8" s="7">
        <v>2023.0</v>
      </c>
      <c r="D8" s="10" t="s">
        <v>38</v>
      </c>
    </row>
    <row r="9" ht="14.25" customHeight="1">
      <c r="A9" s="7" t="s">
        <v>39</v>
      </c>
      <c r="B9" s="7" t="s">
        <v>40</v>
      </c>
      <c r="C9" s="7">
        <v>2022.0</v>
      </c>
      <c r="D9" s="10" t="s">
        <v>41</v>
      </c>
    </row>
    <row r="10" ht="14.25" customHeight="1">
      <c r="A10" s="7" t="s">
        <v>42</v>
      </c>
      <c r="B10" s="7" t="s">
        <v>43</v>
      </c>
      <c r="C10" s="7">
        <v>2018.0</v>
      </c>
      <c r="D10" s="7" t="s">
        <v>44</v>
      </c>
    </row>
    <row r="11" ht="14.25" customHeight="1">
      <c r="A11" s="7" t="s">
        <v>45</v>
      </c>
      <c r="B11" s="7" t="s">
        <v>46</v>
      </c>
      <c r="C11" s="7">
        <v>2017.0</v>
      </c>
      <c r="D11" s="9" t="s">
        <v>47</v>
      </c>
    </row>
    <row r="12" ht="14.25" customHeight="1">
      <c r="A12" s="7" t="s">
        <v>48</v>
      </c>
      <c r="B12" s="7" t="s">
        <v>49</v>
      </c>
      <c r="C12" s="7">
        <v>2004.0</v>
      </c>
      <c r="D12" s="9" t="s">
        <v>50</v>
      </c>
    </row>
    <row r="13" ht="14.25" customHeight="1">
      <c r="A13" s="7" t="s">
        <v>51</v>
      </c>
      <c r="B13" s="7" t="s">
        <v>52</v>
      </c>
      <c r="C13" s="7">
        <v>2013.0</v>
      </c>
      <c r="D13" s="10" t="s">
        <v>53</v>
      </c>
    </row>
    <row r="14" ht="14.25" customHeight="1">
      <c r="A14" s="7" t="s">
        <v>54</v>
      </c>
      <c r="B14" s="7" t="s">
        <v>55</v>
      </c>
      <c r="C14" s="7">
        <v>2011.0</v>
      </c>
      <c r="D14" s="10" t="s">
        <v>56</v>
      </c>
    </row>
    <row r="15" ht="14.25" customHeight="1">
      <c r="A15" s="7" t="s">
        <v>57</v>
      </c>
      <c r="B15" s="7" t="s">
        <v>58</v>
      </c>
      <c r="C15" s="7">
        <v>2017.0</v>
      </c>
      <c r="D15" s="10" t="s">
        <v>59</v>
      </c>
    </row>
    <row r="16" ht="14.25" customHeight="1">
      <c r="A16" s="7" t="s">
        <v>60</v>
      </c>
      <c r="B16" s="7" t="s">
        <v>61</v>
      </c>
      <c r="C16" s="7">
        <v>2006.0</v>
      </c>
      <c r="D16" s="9" t="s">
        <v>62</v>
      </c>
    </row>
    <row r="17" ht="14.25" customHeight="1">
      <c r="A17" s="7" t="s">
        <v>63</v>
      </c>
      <c r="B17" s="7" t="s">
        <v>64</v>
      </c>
      <c r="C17" s="7">
        <v>2022.0</v>
      </c>
      <c r="D17" s="7" t="s">
        <v>65</v>
      </c>
    </row>
    <row r="18" ht="14.25" customHeight="1">
      <c r="A18" s="7" t="s">
        <v>66</v>
      </c>
      <c r="B18" s="7" t="s">
        <v>67</v>
      </c>
      <c r="C18" s="7">
        <v>2012.0</v>
      </c>
      <c r="D18" s="10" t="s">
        <v>68</v>
      </c>
    </row>
    <row r="19" ht="14.25" customHeight="1">
      <c r="A19" s="7" t="s">
        <v>69</v>
      </c>
      <c r="B19" s="7" t="s">
        <v>70</v>
      </c>
      <c r="C19" s="7">
        <v>2023.0</v>
      </c>
      <c r="D19" s="7" t="s">
        <v>71</v>
      </c>
    </row>
    <row r="20" ht="14.25" customHeight="1">
      <c r="A20" s="7" t="s">
        <v>72</v>
      </c>
      <c r="B20" s="7" t="s">
        <v>73</v>
      </c>
      <c r="C20" s="7">
        <v>2022.0</v>
      </c>
      <c r="D20" s="10" t="s">
        <v>74</v>
      </c>
    </row>
    <row r="21" ht="14.25" customHeight="1">
      <c r="A21" s="7" t="s">
        <v>75</v>
      </c>
      <c r="B21" s="7" t="s">
        <v>76</v>
      </c>
      <c r="C21" s="7">
        <v>2019.0</v>
      </c>
      <c r="D21" s="7" t="s">
        <v>77</v>
      </c>
    </row>
    <row r="22" ht="14.25" customHeight="1">
      <c r="A22" s="7" t="s">
        <v>78</v>
      </c>
      <c r="B22" s="7" t="s">
        <v>79</v>
      </c>
      <c r="C22" s="7">
        <v>2020.0</v>
      </c>
      <c r="D22" s="7" t="s">
        <v>80</v>
      </c>
    </row>
    <row r="23" ht="14.25" customHeight="1">
      <c r="A23" s="7" t="s">
        <v>81</v>
      </c>
      <c r="B23" s="7" t="s">
        <v>82</v>
      </c>
      <c r="C23" s="7">
        <v>2023.0</v>
      </c>
      <c r="D23" s="7" t="s">
        <v>83</v>
      </c>
    </row>
    <row r="24" ht="14.25" customHeight="1">
      <c r="A24" s="7" t="s">
        <v>84</v>
      </c>
      <c r="B24" s="7" t="s">
        <v>85</v>
      </c>
      <c r="C24" s="7">
        <v>2022.0</v>
      </c>
      <c r="D24" s="7" t="s">
        <v>86</v>
      </c>
    </row>
    <row r="25" ht="14.25" customHeight="1">
      <c r="A25" s="7" t="s">
        <v>87</v>
      </c>
      <c r="B25" s="7" t="s">
        <v>88</v>
      </c>
      <c r="C25" s="7">
        <v>2013.0</v>
      </c>
      <c r="D25" s="10" t="s">
        <v>89</v>
      </c>
    </row>
    <row r="26" ht="14.25" customHeight="1">
      <c r="A26" s="7" t="s">
        <v>90</v>
      </c>
      <c r="B26" s="7" t="s">
        <v>91</v>
      </c>
      <c r="C26" s="7">
        <v>2013.0</v>
      </c>
      <c r="D26" s="7" t="s">
        <v>92</v>
      </c>
    </row>
    <row r="27" ht="14.25" customHeight="1">
      <c r="A27" s="7" t="s">
        <v>93</v>
      </c>
      <c r="B27" s="7" t="s">
        <v>94</v>
      </c>
      <c r="C27" s="7">
        <v>2016.0</v>
      </c>
      <c r="D27" s="9" t="s">
        <v>95</v>
      </c>
    </row>
    <row r="28" ht="14.25" customHeight="1">
      <c r="A28" s="7" t="s">
        <v>96</v>
      </c>
      <c r="B28" s="7" t="s">
        <v>97</v>
      </c>
      <c r="C28" s="7">
        <v>2018.0</v>
      </c>
      <c r="D28" s="7" t="s">
        <v>98</v>
      </c>
    </row>
    <row r="29" ht="14.25" customHeight="1">
      <c r="A29" s="7" t="s">
        <v>99</v>
      </c>
      <c r="B29" s="7" t="s">
        <v>100</v>
      </c>
      <c r="C29" s="7">
        <v>2018.0</v>
      </c>
      <c r="D29" s="7" t="s">
        <v>101</v>
      </c>
    </row>
    <row r="30" ht="14.25" customHeight="1">
      <c r="A30" s="7" t="s">
        <v>102</v>
      </c>
      <c r="B30" s="7" t="s">
        <v>103</v>
      </c>
      <c r="C30" s="7">
        <v>2020.0</v>
      </c>
      <c r="D30" s="9" t="s">
        <v>104</v>
      </c>
    </row>
    <row r="31" ht="14.25" customHeight="1">
      <c r="A31" s="7" t="s">
        <v>105</v>
      </c>
      <c r="B31" s="7" t="s">
        <v>106</v>
      </c>
      <c r="C31" s="7">
        <v>2020.0</v>
      </c>
      <c r="D31" s="7" t="s">
        <v>107</v>
      </c>
    </row>
    <row r="32" ht="14.25" customHeight="1">
      <c r="A32" s="7" t="s">
        <v>108</v>
      </c>
      <c r="B32" s="7" t="s">
        <v>109</v>
      </c>
      <c r="C32" s="7">
        <v>2021.0</v>
      </c>
      <c r="D32" s="7" t="s">
        <v>110</v>
      </c>
    </row>
    <row r="33" ht="14.25" customHeight="1">
      <c r="A33" s="7" t="s">
        <v>111</v>
      </c>
      <c r="B33" s="7" t="s">
        <v>112</v>
      </c>
      <c r="C33" s="7">
        <v>2020.0</v>
      </c>
      <c r="D33" s="7" t="s">
        <v>113</v>
      </c>
    </row>
    <row r="34" ht="14.25" customHeight="1">
      <c r="A34" s="7" t="s">
        <v>114</v>
      </c>
      <c r="B34" s="7" t="s">
        <v>115</v>
      </c>
      <c r="C34" s="7">
        <v>2021.0</v>
      </c>
      <c r="D34" s="7" t="s">
        <v>116</v>
      </c>
    </row>
    <row r="35" ht="14.25" customHeight="1">
      <c r="A35" s="7" t="s">
        <v>117</v>
      </c>
      <c r="B35" s="7" t="s">
        <v>118</v>
      </c>
      <c r="C35" s="7">
        <v>2022.0</v>
      </c>
      <c r="D35" s="7" t="s">
        <v>119</v>
      </c>
    </row>
    <row r="36" ht="14.25" customHeight="1">
      <c r="A36" s="7" t="s">
        <v>120</v>
      </c>
      <c r="B36" s="7" t="s">
        <v>121</v>
      </c>
      <c r="C36" s="7">
        <v>2022.0</v>
      </c>
      <c r="D36" s="10" t="s">
        <v>122</v>
      </c>
    </row>
    <row r="37" ht="14.25" customHeight="1">
      <c r="A37" s="7" t="s">
        <v>123</v>
      </c>
      <c r="B37" s="7" t="s">
        <v>124</v>
      </c>
      <c r="C37" s="7">
        <v>2019.0</v>
      </c>
      <c r="D37" s="7" t="s">
        <v>125</v>
      </c>
    </row>
    <row r="38" ht="14.25" customHeight="1">
      <c r="A38" s="7" t="s">
        <v>126</v>
      </c>
      <c r="B38" s="7" t="s">
        <v>127</v>
      </c>
      <c r="C38" s="7">
        <v>2018.0</v>
      </c>
      <c r="D38" s="7" t="s">
        <v>128</v>
      </c>
    </row>
    <row r="39" ht="14.25" customHeight="1">
      <c r="A39" s="7" t="s">
        <v>129</v>
      </c>
      <c r="B39" s="7" t="s">
        <v>130</v>
      </c>
      <c r="C39" s="7">
        <v>2019.0</v>
      </c>
      <c r="D39" s="7" t="s">
        <v>131</v>
      </c>
    </row>
    <row r="40" ht="14.25" customHeight="1">
      <c r="A40" s="7" t="s">
        <v>132</v>
      </c>
      <c r="B40" s="7" t="s">
        <v>133</v>
      </c>
      <c r="C40" s="7">
        <v>2022.0</v>
      </c>
      <c r="D40" s="7" t="s">
        <v>134</v>
      </c>
    </row>
    <row r="41" ht="14.25" customHeight="1">
      <c r="A41" s="7" t="s">
        <v>135</v>
      </c>
      <c r="B41" s="7" t="s">
        <v>136</v>
      </c>
      <c r="C41" s="7">
        <v>2020.0</v>
      </c>
      <c r="D41" s="10" t="s">
        <v>137</v>
      </c>
    </row>
    <row r="42" ht="14.25" customHeight="1">
      <c r="A42" s="7" t="s">
        <v>138</v>
      </c>
      <c r="B42" s="7" t="s">
        <v>139</v>
      </c>
      <c r="C42" s="7">
        <v>2019.0</v>
      </c>
      <c r="D42" s="7" t="s">
        <v>140</v>
      </c>
    </row>
    <row r="43" ht="14.25" customHeight="1">
      <c r="A43" s="7" t="s">
        <v>141</v>
      </c>
      <c r="B43" s="7" t="s">
        <v>142</v>
      </c>
      <c r="C43" s="7">
        <v>2022.0</v>
      </c>
      <c r="D43" s="7" t="s">
        <v>143</v>
      </c>
    </row>
    <row r="44" ht="14.25" customHeight="1">
      <c r="A44" s="7" t="s">
        <v>144</v>
      </c>
      <c r="B44" s="7" t="s">
        <v>145</v>
      </c>
      <c r="C44" s="7">
        <v>2018.0</v>
      </c>
      <c r="D44" s="7" t="s">
        <v>146</v>
      </c>
    </row>
    <row r="45" ht="14.25" customHeight="1">
      <c r="A45" s="7" t="s">
        <v>147</v>
      </c>
      <c r="B45" s="7" t="s">
        <v>148</v>
      </c>
      <c r="C45" s="7">
        <v>2022.0</v>
      </c>
      <c r="D45" s="7" t="s">
        <v>149</v>
      </c>
    </row>
    <row r="46" ht="14.25" customHeight="1">
      <c r="A46" s="7" t="s">
        <v>150</v>
      </c>
      <c r="B46" s="7" t="s">
        <v>151</v>
      </c>
      <c r="C46" s="7">
        <v>2022.0</v>
      </c>
      <c r="D46" s="7" t="s">
        <v>152</v>
      </c>
    </row>
    <row r="47" ht="14.25" customHeight="1">
      <c r="A47" s="7" t="s">
        <v>153</v>
      </c>
      <c r="B47" s="7" t="s">
        <v>154</v>
      </c>
      <c r="C47" s="7">
        <v>2021.0</v>
      </c>
      <c r="D47" s="7" t="s">
        <v>155</v>
      </c>
    </row>
    <row r="48" ht="14.25" customHeight="1">
      <c r="A48" s="7" t="s">
        <v>156</v>
      </c>
      <c r="B48" s="7" t="s">
        <v>157</v>
      </c>
      <c r="C48" s="7">
        <v>2023.0</v>
      </c>
      <c r="D48" s="7" t="s">
        <v>158</v>
      </c>
    </row>
    <row r="49" ht="14.25" customHeight="1">
      <c r="A49" s="7" t="s">
        <v>159</v>
      </c>
      <c r="B49" s="7" t="s">
        <v>160</v>
      </c>
      <c r="C49" s="7">
        <v>2015.0</v>
      </c>
      <c r="D49" s="10" t="s">
        <v>161</v>
      </c>
    </row>
    <row r="50" ht="14.25" customHeight="1">
      <c r="A50" s="7" t="s">
        <v>162</v>
      </c>
      <c r="B50" s="7" t="s">
        <v>163</v>
      </c>
      <c r="C50" s="7">
        <v>2017.0</v>
      </c>
      <c r="D50" s="9" t="s">
        <v>164</v>
      </c>
    </row>
    <row r="51" ht="14.25" customHeight="1">
      <c r="A51" s="7" t="s">
        <v>165</v>
      </c>
      <c r="B51" s="7" t="s">
        <v>166</v>
      </c>
      <c r="C51" s="7">
        <v>2023.0</v>
      </c>
      <c r="D51" s="7" t="s">
        <v>167</v>
      </c>
    </row>
    <row r="52" ht="14.25" customHeight="1">
      <c r="A52" s="7" t="s">
        <v>168</v>
      </c>
      <c r="B52" s="7" t="s">
        <v>169</v>
      </c>
      <c r="C52" s="7">
        <v>2021.0</v>
      </c>
      <c r="D52" s="7" t="s">
        <v>170</v>
      </c>
    </row>
    <row r="53" ht="14.25" customHeight="1">
      <c r="A53" s="7" t="s">
        <v>171</v>
      </c>
      <c r="B53" s="7" t="s">
        <v>172</v>
      </c>
      <c r="C53" s="7">
        <v>2018.0</v>
      </c>
      <c r="D53" s="7" t="s">
        <v>173</v>
      </c>
    </row>
    <row r="54" ht="14.25" customHeight="1">
      <c r="A54" s="7" t="s">
        <v>174</v>
      </c>
      <c r="B54" s="7" t="s">
        <v>175</v>
      </c>
      <c r="C54" s="7">
        <v>2017.0</v>
      </c>
      <c r="D54" s="10" t="s">
        <v>176</v>
      </c>
    </row>
    <row r="55" ht="14.25" customHeight="1">
      <c r="A55" s="7" t="s">
        <v>177</v>
      </c>
      <c r="B55" s="7" t="s">
        <v>178</v>
      </c>
      <c r="C55" s="7">
        <v>2022.0</v>
      </c>
      <c r="D55" s="10" t="s">
        <v>179</v>
      </c>
    </row>
    <row r="56" ht="14.25" customHeight="1">
      <c r="A56" s="7" t="s">
        <v>180</v>
      </c>
      <c r="B56" s="7" t="s">
        <v>181</v>
      </c>
      <c r="C56" s="7">
        <v>2021.0</v>
      </c>
      <c r="D56" s="10" t="s">
        <v>182</v>
      </c>
    </row>
    <row r="57" ht="14.25" customHeight="1">
      <c r="A57" s="7" t="s">
        <v>183</v>
      </c>
      <c r="B57" s="7" t="s">
        <v>184</v>
      </c>
      <c r="C57" s="7">
        <v>2021.0</v>
      </c>
      <c r="D57" s="7" t="s">
        <v>185</v>
      </c>
    </row>
    <row r="58" ht="14.25" customHeight="1">
      <c r="A58" s="7" t="s">
        <v>186</v>
      </c>
      <c r="B58" s="7" t="s">
        <v>187</v>
      </c>
      <c r="C58" s="7">
        <v>2022.0</v>
      </c>
      <c r="D58" s="7" t="s">
        <v>188</v>
      </c>
    </row>
    <row r="59" ht="14.25" customHeight="1">
      <c r="A59" s="7" t="s">
        <v>189</v>
      </c>
      <c r="B59" s="7" t="s">
        <v>190</v>
      </c>
      <c r="C59" s="7">
        <v>2017.0</v>
      </c>
      <c r="D59" s="7" t="s">
        <v>191</v>
      </c>
    </row>
    <row r="60" ht="14.25" customHeight="1">
      <c r="A60" s="7" t="s">
        <v>192</v>
      </c>
      <c r="B60" s="7" t="s">
        <v>193</v>
      </c>
      <c r="C60" s="7">
        <v>2014.0</v>
      </c>
      <c r="D60" s="9" t="s">
        <v>194</v>
      </c>
    </row>
    <row r="61" ht="14.25" customHeight="1">
      <c r="A61" s="7" t="s">
        <v>195</v>
      </c>
      <c r="B61" s="7" t="s">
        <v>196</v>
      </c>
      <c r="C61" s="7">
        <v>2021.0</v>
      </c>
      <c r="D61" s="7" t="s">
        <v>197</v>
      </c>
    </row>
    <row r="62" ht="14.25" customHeight="1">
      <c r="A62" s="7" t="s">
        <v>198</v>
      </c>
      <c r="B62" s="7" t="s">
        <v>199</v>
      </c>
      <c r="C62" s="7">
        <v>2020.0</v>
      </c>
      <c r="D62" s="7" t="s">
        <v>200</v>
      </c>
    </row>
    <row r="63" ht="14.25" customHeight="1">
      <c r="A63" s="7" t="s">
        <v>201</v>
      </c>
      <c r="B63" s="7" t="s">
        <v>202</v>
      </c>
      <c r="C63" s="7">
        <v>2008.0</v>
      </c>
      <c r="D63" s="10" t="s">
        <v>203</v>
      </c>
    </row>
    <row r="64" ht="14.25" customHeight="1">
      <c r="A64" s="7" t="s">
        <v>204</v>
      </c>
      <c r="B64" s="7" t="s">
        <v>205</v>
      </c>
      <c r="C64" s="7">
        <v>2011.0</v>
      </c>
      <c r="D64" s="9" t="s">
        <v>206</v>
      </c>
    </row>
    <row r="65" ht="14.25" customHeight="1">
      <c r="A65" s="7" t="s">
        <v>207</v>
      </c>
      <c r="B65" s="7" t="s">
        <v>208</v>
      </c>
      <c r="C65" s="7">
        <v>2017.0</v>
      </c>
      <c r="D65" s="9" t="s">
        <v>209</v>
      </c>
    </row>
    <row r="66" ht="14.25" customHeight="1">
      <c r="A66" s="7" t="s">
        <v>210</v>
      </c>
      <c r="B66" s="7" t="s">
        <v>211</v>
      </c>
      <c r="C66" s="7">
        <v>2016.0</v>
      </c>
      <c r="D66" s="10" t="s">
        <v>212</v>
      </c>
    </row>
    <row r="67" ht="14.25" customHeight="1">
      <c r="A67" s="7" t="s">
        <v>213</v>
      </c>
      <c r="B67" s="7" t="s">
        <v>214</v>
      </c>
      <c r="C67" s="7">
        <v>2020.0</v>
      </c>
      <c r="D67" s="10" t="s">
        <v>215</v>
      </c>
    </row>
    <row r="68" ht="14.25" customHeight="1">
      <c r="A68" s="7" t="s">
        <v>216</v>
      </c>
      <c r="B68" s="7" t="s">
        <v>217</v>
      </c>
      <c r="C68" s="7">
        <v>2020.0</v>
      </c>
      <c r="D68" s="10" t="s">
        <v>218</v>
      </c>
    </row>
    <row r="69" ht="14.25" customHeight="1">
      <c r="A69" s="7" t="s">
        <v>219</v>
      </c>
      <c r="B69" s="7" t="s">
        <v>220</v>
      </c>
      <c r="C69" s="7">
        <v>2020.0</v>
      </c>
      <c r="D69" s="10" t="s">
        <v>221</v>
      </c>
    </row>
    <row r="70" ht="14.25" customHeight="1">
      <c r="A70" s="7" t="s">
        <v>222</v>
      </c>
      <c r="B70" s="7" t="s">
        <v>223</v>
      </c>
      <c r="C70" s="7">
        <v>2021.0</v>
      </c>
      <c r="D70" s="10" t="s">
        <v>224</v>
      </c>
    </row>
    <row r="71" ht="14.25" customHeight="1">
      <c r="A71" s="7" t="s">
        <v>225</v>
      </c>
      <c r="B71" s="7" t="s">
        <v>226</v>
      </c>
      <c r="C71" s="7">
        <v>2013.0</v>
      </c>
      <c r="D71" s="9" t="s">
        <v>227</v>
      </c>
    </row>
    <row r="72" ht="14.25" customHeight="1">
      <c r="A72" s="7" t="s">
        <v>228</v>
      </c>
      <c r="B72" s="7" t="s">
        <v>229</v>
      </c>
      <c r="C72" s="7">
        <v>2022.0</v>
      </c>
      <c r="D72" s="7" t="s">
        <v>230</v>
      </c>
    </row>
    <row r="73" ht="14.25" customHeight="1">
      <c r="A73" s="7" t="s">
        <v>231</v>
      </c>
      <c r="B73" s="7" t="s">
        <v>232</v>
      </c>
      <c r="C73" s="7">
        <v>2019.0</v>
      </c>
      <c r="D73" s="9" t="s">
        <v>233</v>
      </c>
    </row>
    <row r="74" ht="14.25" customHeight="1">
      <c r="A74" s="7" t="s">
        <v>234</v>
      </c>
      <c r="B74" s="7" t="s">
        <v>235</v>
      </c>
      <c r="C74" s="7">
        <v>2022.0</v>
      </c>
      <c r="D74" s="10" t="s">
        <v>236</v>
      </c>
    </row>
    <row r="75" ht="14.25" customHeight="1">
      <c r="A75" s="7" t="s">
        <v>237</v>
      </c>
      <c r="B75" s="7" t="s">
        <v>238</v>
      </c>
      <c r="C75" s="7">
        <v>2022.0</v>
      </c>
      <c r="D75" s="9" t="s">
        <v>239</v>
      </c>
    </row>
    <row r="76" ht="14.25" customHeight="1">
      <c r="A76" s="7" t="s">
        <v>240</v>
      </c>
      <c r="B76" s="7" t="s">
        <v>241</v>
      </c>
      <c r="C76" s="7">
        <v>2022.0</v>
      </c>
      <c r="D76" s="10" t="s">
        <v>242</v>
      </c>
    </row>
    <row r="77" ht="14.25" customHeight="1">
      <c r="A77" s="7" t="s">
        <v>243</v>
      </c>
      <c r="B77" s="7" t="s">
        <v>244</v>
      </c>
      <c r="C77" s="7">
        <v>2014.0</v>
      </c>
      <c r="D77" s="10" t="s">
        <v>245</v>
      </c>
    </row>
    <row r="78" ht="14.25" customHeight="1">
      <c r="A78" s="7" t="s">
        <v>246</v>
      </c>
      <c r="B78" s="7" t="s">
        <v>247</v>
      </c>
      <c r="C78" s="7">
        <v>2007.0</v>
      </c>
      <c r="D78" s="10" t="s">
        <v>248</v>
      </c>
    </row>
    <row r="79" ht="14.25" customHeight="1">
      <c r="A79" s="7" t="s">
        <v>249</v>
      </c>
      <c r="B79" s="7" t="s">
        <v>250</v>
      </c>
      <c r="C79" s="7">
        <v>2021.0</v>
      </c>
      <c r="D79" s="10" t="s">
        <v>251</v>
      </c>
    </row>
    <row r="80" ht="14.25" customHeight="1">
      <c r="A80" s="7" t="s">
        <v>252</v>
      </c>
      <c r="B80" s="7" t="s">
        <v>253</v>
      </c>
      <c r="C80" s="7">
        <v>2009.0</v>
      </c>
      <c r="D80" s="10" t="s">
        <v>254</v>
      </c>
    </row>
    <row r="81" ht="14.25" customHeight="1">
      <c r="A81" s="7" t="s">
        <v>255</v>
      </c>
      <c r="B81" s="7" t="s">
        <v>256</v>
      </c>
      <c r="C81" s="7">
        <v>2012.0</v>
      </c>
      <c r="D81" s="10" t="s">
        <v>257</v>
      </c>
    </row>
    <row r="82" ht="14.25" customHeight="1">
      <c r="A82" s="7" t="s">
        <v>258</v>
      </c>
      <c r="B82" s="7" t="s">
        <v>259</v>
      </c>
      <c r="C82" s="7">
        <v>2013.0</v>
      </c>
      <c r="D82" s="10" t="s">
        <v>260</v>
      </c>
    </row>
    <row r="83" ht="14.25" customHeight="1">
      <c r="A83" s="7" t="s">
        <v>261</v>
      </c>
      <c r="B83" s="7" t="s">
        <v>262</v>
      </c>
      <c r="C83" s="7">
        <v>2015.0</v>
      </c>
      <c r="D83" s="10" t="s">
        <v>263</v>
      </c>
    </row>
    <row r="84" ht="14.25" customHeight="1">
      <c r="A84" s="7" t="s">
        <v>264</v>
      </c>
      <c r="B84" s="7" t="s">
        <v>265</v>
      </c>
      <c r="C84" s="7">
        <v>2016.0</v>
      </c>
      <c r="D84" s="10" t="s">
        <v>266</v>
      </c>
    </row>
    <row r="85" ht="14.25" customHeight="1">
      <c r="A85" s="7" t="s">
        <v>267</v>
      </c>
      <c r="B85" s="7" t="s">
        <v>268</v>
      </c>
      <c r="C85" s="7">
        <v>2021.0</v>
      </c>
      <c r="D85" s="7" t="s">
        <v>269</v>
      </c>
    </row>
    <row r="86" ht="14.25" customHeight="1">
      <c r="A86" s="7" t="s">
        <v>270</v>
      </c>
      <c r="B86" s="7" t="s">
        <v>271</v>
      </c>
      <c r="C86" s="7">
        <v>2023.0</v>
      </c>
      <c r="D86" s="9" t="s">
        <v>272</v>
      </c>
    </row>
    <row r="87" ht="14.25" customHeight="1">
      <c r="A87" s="7" t="s">
        <v>273</v>
      </c>
      <c r="B87" s="7" t="s">
        <v>274</v>
      </c>
      <c r="C87" s="7">
        <v>2022.0</v>
      </c>
      <c r="D87" s="7" t="s">
        <v>275</v>
      </c>
    </row>
    <row r="88" ht="14.25" customHeight="1">
      <c r="A88" s="7" t="s">
        <v>276</v>
      </c>
      <c r="B88" s="7" t="s">
        <v>277</v>
      </c>
      <c r="C88" s="7">
        <v>2023.0</v>
      </c>
      <c r="D88" s="10" t="s">
        <v>278</v>
      </c>
    </row>
    <row r="89" ht="14.25" customHeight="1">
      <c r="A89" s="7" t="s">
        <v>279</v>
      </c>
      <c r="B89" s="7" t="s">
        <v>280</v>
      </c>
      <c r="C89" s="7">
        <v>2021.0</v>
      </c>
      <c r="D89" s="10" t="s">
        <v>281</v>
      </c>
    </row>
    <row r="90" ht="14.25" customHeight="1">
      <c r="A90" s="7" t="s">
        <v>282</v>
      </c>
      <c r="B90" s="7" t="s">
        <v>283</v>
      </c>
      <c r="C90" s="7">
        <v>2022.0</v>
      </c>
      <c r="D90" s="7" t="s">
        <v>284</v>
      </c>
    </row>
    <row r="91" ht="14.25" customHeight="1">
      <c r="A91" s="7" t="s">
        <v>285</v>
      </c>
      <c r="B91" s="7" t="s">
        <v>286</v>
      </c>
      <c r="C91" s="7">
        <v>2022.0</v>
      </c>
      <c r="D91" s="9" t="s">
        <v>287</v>
      </c>
    </row>
    <row r="92" ht="14.25" customHeight="1">
      <c r="A92" s="7" t="s">
        <v>288</v>
      </c>
      <c r="B92" s="7" t="s">
        <v>289</v>
      </c>
      <c r="C92" s="7">
        <v>2022.0</v>
      </c>
      <c r="D92" s="7" t="s">
        <v>290</v>
      </c>
    </row>
    <row r="93" ht="14.25" customHeight="1">
      <c r="A93" s="7" t="s">
        <v>291</v>
      </c>
      <c r="B93" s="7" t="s">
        <v>292</v>
      </c>
      <c r="C93" s="7">
        <v>2021.0</v>
      </c>
      <c r="D93" s="7" t="s">
        <v>293</v>
      </c>
    </row>
    <row r="94" ht="14.25" customHeight="1">
      <c r="A94" s="7" t="s">
        <v>294</v>
      </c>
      <c r="B94" s="7" t="s">
        <v>295</v>
      </c>
      <c r="C94" s="7">
        <v>2016.0</v>
      </c>
      <c r="D94" s="7" t="s">
        <v>296</v>
      </c>
    </row>
    <row r="95" ht="14.25" customHeight="1">
      <c r="A95" s="7" t="s">
        <v>297</v>
      </c>
      <c r="B95" s="7" t="s">
        <v>298</v>
      </c>
      <c r="C95" s="7">
        <v>2020.0</v>
      </c>
      <c r="D95" s="9" t="s">
        <v>299</v>
      </c>
    </row>
    <row r="96" ht="14.25" customHeight="1">
      <c r="A96" s="7" t="s">
        <v>300</v>
      </c>
      <c r="B96" s="7" t="s">
        <v>301</v>
      </c>
      <c r="C96" s="7">
        <v>2022.0</v>
      </c>
      <c r="D96" s="7" t="s">
        <v>302</v>
      </c>
    </row>
    <row r="97" ht="14.25" customHeight="1">
      <c r="A97" s="7" t="s">
        <v>303</v>
      </c>
      <c r="B97" s="7" t="s">
        <v>304</v>
      </c>
      <c r="C97" s="7">
        <v>2017.0</v>
      </c>
      <c r="D97" s="9" t="s">
        <v>305</v>
      </c>
    </row>
    <row r="98" ht="14.25" customHeight="1">
      <c r="A98" s="7" t="s">
        <v>306</v>
      </c>
      <c r="B98" s="7" t="s">
        <v>307</v>
      </c>
      <c r="C98" s="7">
        <v>2019.0</v>
      </c>
      <c r="D98" s="7" t="s">
        <v>308</v>
      </c>
    </row>
    <row r="99" ht="14.25" customHeight="1">
      <c r="A99" s="11" t="s">
        <v>309</v>
      </c>
      <c r="B99" s="7" t="s">
        <v>310</v>
      </c>
      <c r="C99" s="7">
        <v>2015.0</v>
      </c>
      <c r="D99" s="12" t="s">
        <v>311</v>
      </c>
    </row>
    <row r="100" ht="14.25" customHeight="1">
      <c r="A100" s="7" t="s">
        <v>312</v>
      </c>
      <c r="B100" s="7" t="s">
        <v>313</v>
      </c>
      <c r="C100" s="7">
        <v>2019.0</v>
      </c>
      <c r="D100" s="12" t="s">
        <v>314</v>
      </c>
    </row>
    <row r="101" ht="14.25" customHeight="1">
      <c r="A101" s="7" t="s">
        <v>315</v>
      </c>
      <c r="B101" s="7" t="s">
        <v>316</v>
      </c>
      <c r="C101" s="7">
        <v>2020.0</v>
      </c>
      <c r="D101" s="12" t="s">
        <v>317</v>
      </c>
    </row>
    <row r="102" ht="14.25" customHeight="1">
      <c r="A102" s="7" t="s">
        <v>318</v>
      </c>
      <c r="B102" s="7" t="s">
        <v>319</v>
      </c>
      <c r="C102" s="7">
        <v>2016.0</v>
      </c>
    </row>
    <row r="103" ht="14.25" customHeight="1">
      <c r="A103" s="7" t="s">
        <v>320</v>
      </c>
      <c r="B103" s="7" t="s">
        <v>321</v>
      </c>
      <c r="C103" s="7">
        <v>2017.0</v>
      </c>
      <c r="D103" s="12" t="s">
        <v>322</v>
      </c>
    </row>
    <row r="104" ht="14.25" customHeight="1">
      <c r="A104" s="7" t="s">
        <v>323</v>
      </c>
      <c r="B104" s="7" t="s">
        <v>324</v>
      </c>
      <c r="C104" s="7">
        <v>2020.0</v>
      </c>
      <c r="D104" s="12" t="s">
        <v>325</v>
      </c>
    </row>
    <row r="105" ht="14.25" customHeight="1">
      <c r="A105" s="7" t="s">
        <v>326</v>
      </c>
      <c r="B105" s="7" t="s">
        <v>327</v>
      </c>
      <c r="C105" s="7">
        <v>2005.0</v>
      </c>
      <c r="D105" s="12" t="s">
        <v>328</v>
      </c>
    </row>
    <row r="106" ht="14.25" customHeight="1">
      <c r="A106" s="7" t="s">
        <v>329</v>
      </c>
      <c r="B106" s="7" t="s">
        <v>330</v>
      </c>
      <c r="C106" s="7">
        <v>2021.0</v>
      </c>
      <c r="D106" s="13" t="s">
        <v>331</v>
      </c>
    </row>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autoFilter ref="$A$1:$D$106">
    <sortState ref="A1:D106">
      <sortCondition ref="D1:D106"/>
    </sortState>
  </autoFilter>
  <hyperlinks>
    <hyperlink r:id="rId4" ref="D2"/>
    <hyperlink r:id="rId5" ref="D8"/>
    <hyperlink r:id="rId6" ref="D9"/>
    <hyperlink r:id="rId7" ref="D11"/>
    <hyperlink r:id="rId8" ref="D12"/>
    <hyperlink r:id="rId9" ref="D13"/>
    <hyperlink r:id="rId10" ref="D14"/>
    <hyperlink r:id="rId11" ref="D15"/>
    <hyperlink r:id="rId12" ref="D16"/>
    <hyperlink r:id="rId13" ref="D18"/>
    <hyperlink r:id="rId14" ref="D20"/>
    <hyperlink r:id="rId15" ref="D25"/>
    <hyperlink r:id="rId16" ref="D27"/>
    <hyperlink r:id="rId17" ref="D30"/>
    <hyperlink r:id="rId18" ref="D36"/>
    <hyperlink r:id="rId19" ref="D41"/>
    <hyperlink r:id="rId20" ref="D49"/>
    <hyperlink r:id="rId21" ref="D50"/>
    <hyperlink r:id="rId22" ref="D54"/>
    <hyperlink r:id="rId23" ref="D55"/>
    <hyperlink r:id="rId24" ref="D56"/>
    <hyperlink r:id="rId25" ref="D60"/>
    <hyperlink r:id="rId26" ref="D63"/>
    <hyperlink r:id="rId27" ref="D64"/>
    <hyperlink r:id="rId28" ref="D65"/>
    <hyperlink r:id="rId29" ref="D66"/>
    <hyperlink r:id="rId30" ref="D67"/>
    <hyperlink r:id="rId31" ref="D68"/>
    <hyperlink r:id="rId32" ref="D69"/>
    <hyperlink r:id="rId33" ref="D70"/>
    <hyperlink r:id="rId34" ref="D71"/>
    <hyperlink r:id="rId35" ref="D73"/>
    <hyperlink r:id="rId36" ref="D74"/>
    <hyperlink r:id="rId37" ref="D75"/>
    <hyperlink r:id="rId38" ref="D76"/>
    <hyperlink r:id="rId39" ref="D77"/>
    <hyperlink r:id="rId40" ref="D78"/>
    <hyperlink r:id="rId41" ref="D79"/>
    <hyperlink r:id="rId42" ref="D80"/>
    <hyperlink r:id="rId43" ref="D81"/>
    <hyperlink r:id="rId44" ref="D82"/>
    <hyperlink r:id="rId45" ref="D83"/>
    <hyperlink r:id="rId46" ref="D84"/>
    <hyperlink r:id="rId47" ref="D86"/>
    <hyperlink r:id="rId48" ref="D88"/>
    <hyperlink r:id="rId49" ref="D89"/>
    <hyperlink r:id="rId50" ref="D91"/>
    <hyperlink r:id="rId51" ref="D95"/>
    <hyperlink r:id="rId52" ref="D97"/>
    <hyperlink r:id="rId53" ref="D99"/>
    <hyperlink r:id="rId54" ref="D100"/>
    <hyperlink r:id="rId55" ref="D101"/>
    <hyperlink r:id="rId56" ref="D103"/>
    <hyperlink r:id="rId57" ref="D104"/>
    <hyperlink r:id="rId58" ref="D105"/>
    <hyperlink r:id="rId59" ref="D106"/>
  </hyperlinks>
  <printOptions/>
  <pageMargins bottom="0.75" footer="0.0" header="0.0" left="0.7" right="0.7" top="0.75"/>
  <pageSetup orientation="landscape"/>
  <drawing r:id="rId60"/>
  <legacyDrawing r:id="rId6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263" width="8.63"/>
  </cols>
  <sheetData>
    <row r="1" ht="14.25" customHeight="1">
      <c r="A1" s="7" t="s">
        <v>332</v>
      </c>
      <c r="B1" s="7" t="s">
        <v>333</v>
      </c>
      <c r="C1" s="7" t="s">
        <v>14</v>
      </c>
      <c r="D1" s="7" t="s">
        <v>334</v>
      </c>
      <c r="E1" s="7" t="s">
        <v>14</v>
      </c>
      <c r="F1" s="7" t="s">
        <v>15</v>
      </c>
      <c r="G1" s="7" t="s">
        <v>16</v>
      </c>
      <c r="H1" s="7" t="s">
        <v>335</v>
      </c>
      <c r="I1" s="7" t="s">
        <v>336</v>
      </c>
      <c r="J1" s="7" t="s">
        <v>337</v>
      </c>
      <c r="K1" s="7" t="s">
        <v>338</v>
      </c>
      <c r="L1" s="7" t="s">
        <v>339</v>
      </c>
      <c r="M1" s="7" t="s">
        <v>340</v>
      </c>
      <c r="N1" s="7" t="s">
        <v>341</v>
      </c>
      <c r="O1" s="7" t="s">
        <v>342</v>
      </c>
      <c r="P1" s="7" t="s">
        <v>343</v>
      </c>
      <c r="Q1" s="7" t="s">
        <v>344</v>
      </c>
      <c r="R1" s="7" t="s">
        <v>345</v>
      </c>
      <c r="S1" s="7" t="s">
        <v>346</v>
      </c>
      <c r="T1" s="7" t="s">
        <v>347</v>
      </c>
      <c r="U1" s="7" t="s">
        <v>348</v>
      </c>
      <c r="V1" s="7" t="s">
        <v>349</v>
      </c>
      <c r="W1" s="7" t="s">
        <v>350</v>
      </c>
      <c r="X1" s="7" t="s">
        <v>351</v>
      </c>
      <c r="Y1" s="7" t="s">
        <v>352</v>
      </c>
      <c r="Z1" s="7" t="s">
        <v>353</v>
      </c>
      <c r="AA1" s="7" t="s">
        <v>352</v>
      </c>
      <c r="AB1" s="7" t="s">
        <v>354</v>
      </c>
      <c r="AC1" s="7" t="s">
        <v>355</v>
      </c>
      <c r="AD1" s="7" t="s">
        <v>356</v>
      </c>
      <c r="AE1" s="7" t="s">
        <v>357</v>
      </c>
      <c r="AF1" s="7" t="s">
        <v>358</v>
      </c>
      <c r="AG1" s="7" t="s">
        <v>359</v>
      </c>
      <c r="AH1" s="7" t="s">
        <v>360</v>
      </c>
      <c r="AI1" s="7" t="s">
        <v>360</v>
      </c>
      <c r="AJ1" s="7" t="s">
        <v>361</v>
      </c>
      <c r="AK1" s="7" t="s">
        <v>362</v>
      </c>
      <c r="AL1" s="7" t="s">
        <v>363</v>
      </c>
      <c r="AM1" s="7" t="s">
        <v>364</v>
      </c>
      <c r="AN1" s="7" t="s">
        <v>365</v>
      </c>
      <c r="AO1" s="7" t="s">
        <v>366</v>
      </c>
      <c r="AP1" s="7" t="s">
        <v>367</v>
      </c>
      <c r="AQ1" s="7" t="s">
        <v>368</v>
      </c>
    </row>
    <row r="2" ht="14.25" customHeight="1">
      <c r="A2" s="7">
        <v>387.0</v>
      </c>
      <c r="B2" s="7" t="s">
        <v>369</v>
      </c>
      <c r="C2" s="7" t="s">
        <v>144</v>
      </c>
      <c r="D2" s="7" t="s">
        <v>370</v>
      </c>
      <c r="E2" s="7" t="s">
        <v>144</v>
      </c>
      <c r="F2" s="7" t="s">
        <v>145</v>
      </c>
      <c r="G2" s="7">
        <v>2018.0</v>
      </c>
      <c r="H2" s="7" t="s">
        <v>146</v>
      </c>
      <c r="I2" s="7" t="s">
        <v>371</v>
      </c>
      <c r="J2" s="7" t="s">
        <v>372</v>
      </c>
      <c r="K2" s="7" t="s">
        <v>373</v>
      </c>
      <c r="L2" s="7" t="s">
        <v>374</v>
      </c>
      <c r="M2" s="7" t="s">
        <v>375</v>
      </c>
      <c r="N2" s="7" t="s">
        <v>374</v>
      </c>
      <c r="O2" s="7" t="s">
        <v>376</v>
      </c>
      <c r="Q2" s="7" t="s">
        <v>377</v>
      </c>
      <c r="R2" s="7" t="s">
        <v>378</v>
      </c>
      <c r="S2" s="7" t="s">
        <v>379</v>
      </c>
      <c r="T2" s="7" t="s">
        <v>380</v>
      </c>
      <c r="U2" s="7" t="s">
        <v>381</v>
      </c>
      <c r="V2" s="7" t="s">
        <v>371</v>
      </c>
      <c r="AB2" s="7" t="s">
        <v>382</v>
      </c>
      <c r="AC2" s="7" t="s">
        <v>371</v>
      </c>
      <c r="AD2" s="7" t="s">
        <v>383</v>
      </c>
      <c r="AE2" s="7" t="s">
        <v>384</v>
      </c>
      <c r="AF2" s="7" t="s">
        <v>385</v>
      </c>
      <c r="AH2" s="7" t="s">
        <v>385</v>
      </c>
      <c r="AI2" s="7" t="s">
        <v>379</v>
      </c>
      <c r="AJ2" s="7" t="s">
        <v>386</v>
      </c>
      <c r="AK2" s="7" t="s">
        <v>379</v>
      </c>
      <c r="AL2" s="7" t="s">
        <v>387</v>
      </c>
      <c r="AM2" s="7" t="s">
        <v>387</v>
      </c>
      <c r="AN2" s="7" t="s">
        <v>388</v>
      </c>
      <c r="AO2" s="7" t="s">
        <v>389</v>
      </c>
      <c r="AP2" s="7" t="s">
        <v>390</v>
      </c>
      <c r="AQ2" s="7" t="s">
        <v>379</v>
      </c>
    </row>
    <row r="3" ht="14.25" customHeight="1">
      <c r="A3" s="7">
        <v>385.0</v>
      </c>
      <c r="B3" s="7" t="s">
        <v>391</v>
      </c>
      <c r="C3" s="7" t="s">
        <v>198</v>
      </c>
      <c r="D3" s="7" t="s">
        <v>370</v>
      </c>
      <c r="E3" s="7" t="s">
        <v>198</v>
      </c>
      <c r="F3" s="7" t="s">
        <v>199</v>
      </c>
      <c r="G3" s="7">
        <v>2020.0</v>
      </c>
      <c r="H3" s="7" t="s">
        <v>200</v>
      </c>
      <c r="I3" s="7" t="s">
        <v>371</v>
      </c>
      <c r="J3" s="7" t="s">
        <v>392</v>
      </c>
      <c r="K3" s="7" t="s">
        <v>393</v>
      </c>
      <c r="L3" s="7" t="s">
        <v>394</v>
      </c>
      <c r="M3" s="7" t="s">
        <v>394</v>
      </c>
      <c r="N3" s="7" t="s">
        <v>394</v>
      </c>
      <c r="O3" s="7" t="s">
        <v>395</v>
      </c>
      <c r="P3" s="7" t="s">
        <v>396</v>
      </c>
      <c r="Q3" s="7" t="s">
        <v>377</v>
      </c>
      <c r="T3" s="7" t="s">
        <v>397</v>
      </c>
      <c r="V3" s="7" t="s">
        <v>371</v>
      </c>
      <c r="Z3" s="7">
        <v>2001.0</v>
      </c>
      <c r="AA3" s="7">
        <v>2011.0</v>
      </c>
      <c r="AB3" s="7">
        <v>10.0</v>
      </c>
      <c r="AC3" s="7" t="s">
        <v>385</v>
      </c>
      <c r="AE3" s="7" t="s">
        <v>398</v>
      </c>
      <c r="AF3" s="7" t="s">
        <v>385</v>
      </c>
      <c r="AH3" s="7" t="s">
        <v>399</v>
      </c>
      <c r="AJ3" s="7" t="s">
        <v>386</v>
      </c>
      <c r="AL3" s="7" t="s">
        <v>400</v>
      </c>
      <c r="AM3" s="7" t="s">
        <v>387</v>
      </c>
      <c r="AN3" s="7" t="s">
        <v>401</v>
      </c>
      <c r="AO3" s="7" t="s">
        <v>402</v>
      </c>
      <c r="AP3" s="7" t="s">
        <v>403</v>
      </c>
    </row>
    <row r="4" ht="14.25" customHeight="1">
      <c r="A4" s="7">
        <v>380.0</v>
      </c>
      <c r="C4" s="7" t="s">
        <v>63</v>
      </c>
      <c r="D4" s="7" t="s">
        <v>370</v>
      </c>
      <c r="E4" s="7" t="s">
        <v>63</v>
      </c>
      <c r="F4" s="7" t="s">
        <v>64</v>
      </c>
      <c r="G4" s="7">
        <v>2022.0</v>
      </c>
      <c r="H4" s="7" t="s">
        <v>65</v>
      </c>
      <c r="I4" s="7" t="s">
        <v>371</v>
      </c>
      <c r="J4" s="7" t="s">
        <v>404</v>
      </c>
      <c r="K4" s="7" t="s">
        <v>405</v>
      </c>
      <c r="L4" s="7" t="s">
        <v>406</v>
      </c>
      <c r="M4" s="7" t="s">
        <v>406</v>
      </c>
      <c r="N4" s="7" t="s">
        <v>407</v>
      </c>
      <c r="O4" s="7" t="s">
        <v>408</v>
      </c>
      <c r="Q4" s="7" t="s">
        <v>377</v>
      </c>
      <c r="R4" s="7" t="s">
        <v>409</v>
      </c>
      <c r="T4" s="7" t="s">
        <v>397</v>
      </c>
      <c r="U4" s="7" t="s">
        <v>410</v>
      </c>
      <c r="V4" s="7" t="s">
        <v>385</v>
      </c>
      <c r="AC4" s="7" t="s">
        <v>371</v>
      </c>
      <c r="AD4" s="7" t="s">
        <v>411</v>
      </c>
      <c r="AE4" s="7" t="s">
        <v>398</v>
      </c>
      <c r="AF4" s="7" t="s">
        <v>385</v>
      </c>
      <c r="AH4" s="7" t="s">
        <v>399</v>
      </c>
      <c r="AJ4" s="7" t="s">
        <v>386</v>
      </c>
      <c r="AL4" s="7" t="s">
        <v>412</v>
      </c>
      <c r="AM4" s="7" t="s">
        <v>413</v>
      </c>
      <c r="AN4" s="7" t="s">
        <v>414</v>
      </c>
      <c r="AO4" s="7" t="s">
        <v>415</v>
      </c>
      <c r="AP4" s="7" t="s">
        <v>416</v>
      </c>
    </row>
    <row r="5" ht="14.25" customHeight="1">
      <c r="A5" s="7">
        <v>375.0</v>
      </c>
      <c r="B5" s="7" t="s">
        <v>417</v>
      </c>
      <c r="C5" s="7" t="s">
        <v>108</v>
      </c>
      <c r="D5" s="7" t="s">
        <v>370</v>
      </c>
      <c r="E5" s="7" t="s">
        <v>108</v>
      </c>
      <c r="F5" s="7" t="s">
        <v>109</v>
      </c>
      <c r="G5" s="7">
        <v>2021.0</v>
      </c>
      <c r="H5" s="7" t="s">
        <v>110</v>
      </c>
      <c r="I5" s="7" t="s">
        <v>371</v>
      </c>
      <c r="J5" s="7" t="s">
        <v>418</v>
      </c>
      <c r="K5" s="7" t="s">
        <v>373</v>
      </c>
      <c r="L5" s="7" t="s">
        <v>419</v>
      </c>
      <c r="M5" s="7" t="s">
        <v>419</v>
      </c>
      <c r="N5" s="7" t="s">
        <v>420</v>
      </c>
      <c r="O5" s="7" t="s">
        <v>421</v>
      </c>
      <c r="Q5" s="7" t="s">
        <v>377</v>
      </c>
      <c r="R5" s="7" t="s">
        <v>422</v>
      </c>
      <c r="T5" s="7" t="s">
        <v>380</v>
      </c>
      <c r="U5" s="7" t="s">
        <v>423</v>
      </c>
      <c r="V5" s="7" t="s">
        <v>371</v>
      </c>
      <c r="X5" s="7">
        <v>2013.0</v>
      </c>
      <c r="AA5" s="7">
        <v>2018.0</v>
      </c>
      <c r="AC5" s="7" t="s">
        <v>371</v>
      </c>
      <c r="AD5" s="7" t="s">
        <v>424</v>
      </c>
      <c r="AE5" s="7" t="s">
        <v>425</v>
      </c>
      <c r="AF5" s="7" t="s">
        <v>371</v>
      </c>
      <c r="AG5" s="7" t="s">
        <v>426</v>
      </c>
      <c r="AH5" s="7" t="s">
        <v>399</v>
      </c>
      <c r="AJ5" s="7" t="s">
        <v>386</v>
      </c>
      <c r="AL5" s="7" t="s">
        <v>427</v>
      </c>
      <c r="AM5" s="7" t="s">
        <v>428</v>
      </c>
      <c r="AN5" s="7" t="s">
        <v>429</v>
      </c>
      <c r="AO5" s="7" t="s">
        <v>430</v>
      </c>
      <c r="AP5" s="7" t="s">
        <v>431</v>
      </c>
      <c r="AQ5" s="7" t="s">
        <v>432</v>
      </c>
    </row>
    <row r="6" ht="14.25" customHeight="1">
      <c r="A6" s="7">
        <v>360.0</v>
      </c>
      <c r="B6" s="7" t="s">
        <v>433</v>
      </c>
      <c r="C6" s="14" t="s">
        <v>141</v>
      </c>
      <c r="D6" s="7" t="s">
        <v>370</v>
      </c>
      <c r="E6" s="7" t="s">
        <v>141</v>
      </c>
      <c r="F6" s="7" t="s">
        <v>142</v>
      </c>
      <c r="G6" s="7">
        <v>2022.0</v>
      </c>
      <c r="H6" s="7" t="s">
        <v>143</v>
      </c>
      <c r="I6" s="7" t="s">
        <v>371</v>
      </c>
      <c r="J6" s="7" t="s">
        <v>434</v>
      </c>
      <c r="K6" s="7" t="s">
        <v>435</v>
      </c>
      <c r="L6" s="7" t="s">
        <v>394</v>
      </c>
      <c r="M6" s="7" t="s">
        <v>394</v>
      </c>
      <c r="N6" s="7" t="s">
        <v>436</v>
      </c>
      <c r="O6" s="7" t="s">
        <v>437</v>
      </c>
      <c r="Q6" s="7" t="s">
        <v>377</v>
      </c>
      <c r="R6" s="7" t="s">
        <v>438</v>
      </c>
      <c r="T6" s="7" t="s">
        <v>380</v>
      </c>
      <c r="V6" s="7" t="s">
        <v>371</v>
      </c>
      <c r="W6" s="7">
        <v>2008.0</v>
      </c>
      <c r="X6" s="7">
        <v>2005.0</v>
      </c>
      <c r="Y6" s="7">
        <v>2007.0</v>
      </c>
      <c r="Z6" s="7">
        <v>2008.0</v>
      </c>
      <c r="AA6" s="7">
        <v>2015.0</v>
      </c>
      <c r="AB6" s="7">
        <v>12.0</v>
      </c>
      <c r="AC6" s="7" t="s">
        <v>371</v>
      </c>
      <c r="AD6" s="7" t="s">
        <v>439</v>
      </c>
      <c r="AE6" s="7" t="s">
        <v>425</v>
      </c>
      <c r="AF6" s="7" t="s">
        <v>371</v>
      </c>
      <c r="AG6" s="7" t="s">
        <v>440</v>
      </c>
      <c r="AH6" s="7" t="s">
        <v>371</v>
      </c>
      <c r="AJ6" s="7" t="s">
        <v>386</v>
      </c>
      <c r="AL6" s="7" t="s">
        <v>387</v>
      </c>
      <c r="AM6" s="7" t="s">
        <v>387</v>
      </c>
      <c r="AN6" s="7" t="s">
        <v>441</v>
      </c>
      <c r="AO6" s="7" t="s">
        <v>442</v>
      </c>
      <c r="AP6" s="7" t="s">
        <v>440</v>
      </c>
      <c r="AQ6" s="7" t="s">
        <v>443</v>
      </c>
    </row>
    <row r="7" ht="14.25" customHeight="1">
      <c r="A7" s="7">
        <v>356.0</v>
      </c>
      <c r="C7" s="7" t="s">
        <v>219</v>
      </c>
      <c r="D7" s="7" t="s">
        <v>370</v>
      </c>
      <c r="E7" s="7" t="s">
        <v>219</v>
      </c>
      <c r="F7" s="7" t="s">
        <v>220</v>
      </c>
      <c r="G7" s="7">
        <v>2020.0</v>
      </c>
      <c r="H7" s="7" t="s">
        <v>444</v>
      </c>
      <c r="I7" s="7" t="s">
        <v>371</v>
      </c>
      <c r="J7" s="7" t="s">
        <v>445</v>
      </c>
      <c r="K7" s="7" t="s">
        <v>393</v>
      </c>
      <c r="L7" s="7" t="s">
        <v>406</v>
      </c>
      <c r="M7" s="7" t="s">
        <v>406</v>
      </c>
      <c r="N7" s="7" t="s">
        <v>446</v>
      </c>
      <c r="O7" s="7" t="s">
        <v>447</v>
      </c>
      <c r="P7" s="7" t="s">
        <v>448</v>
      </c>
      <c r="Q7" s="7" t="s">
        <v>377</v>
      </c>
      <c r="R7" s="7" t="s">
        <v>374</v>
      </c>
      <c r="S7" s="7" t="s">
        <v>379</v>
      </c>
      <c r="T7" s="7" t="s">
        <v>397</v>
      </c>
      <c r="U7" s="7" t="s">
        <v>449</v>
      </c>
      <c r="V7" s="7" t="s">
        <v>371</v>
      </c>
      <c r="W7" s="7" t="s">
        <v>379</v>
      </c>
      <c r="X7" s="7" t="s">
        <v>379</v>
      </c>
      <c r="Y7" s="7" t="s">
        <v>379</v>
      </c>
      <c r="Z7" s="7">
        <v>2006.0</v>
      </c>
      <c r="AA7" s="7">
        <v>2015.0</v>
      </c>
      <c r="AC7" s="7" t="s">
        <v>385</v>
      </c>
      <c r="AD7" s="7" t="s">
        <v>379</v>
      </c>
      <c r="AE7" s="7" t="s">
        <v>450</v>
      </c>
      <c r="AF7" s="7" t="s">
        <v>385</v>
      </c>
      <c r="AH7" s="7" t="s">
        <v>399</v>
      </c>
      <c r="AI7" s="7" t="s">
        <v>379</v>
      </c>
      <c r="AJ7" s="7" t="s">
        <v>386</v>
      </c>
      <c r="AK7" s="7" t="s">
        <v>379</v>
      </c>
      <c r="AL7" s="7" t="s">
        <v>387</v>
      </c>
      <c r="AM7" s="7" t="s">
        <v>387</v>
      </c>
      <c r="AN7" s="7" t="s">
        <v>451</v>
      </c>
      <c r="AO7" s="7" t="s">
        <v>452</v>
      </c>
      <c r="AP7" s="7" t="s">
        <v>453</v>
      </c>
      <c r="AQ7" s="7" t="s">
        <v>454</v>
      </c>
    </row>
    <row r="8" ht="14.25" customHeight="1">
      <c r="A8" s="7">
        <v>354.0</v>
      </c>
      <c r="B8" s="7" t="s">
        <v>455</v>
      </c>
      <c r="C8" s="7" t="s">
        <v>153</v>
      </c>
      <c r="D8" s="7" t="s">
        <v>370</v>
      </c>
      <c r="E8" s="7" t="s">
        <v>153</v>
      </c>
      <c r="F8" s="7" t="s">
        <v>154</v>
      </c>
      <c r="G8" s="7">
        <v>2021.0</v>
      </c>
      <c r="H8" s="7" t="s">
        <v>155</v>
      </c>
      <c r="I8" s="7" t="s">
        <v>385</v>
      </c>
      <c r="J8" s="7" t="s">
        <v>456</v>
      </c>
      <c r="K8" s="7" t="s">
        <v>435</v>
      </c>
      <c r="L8" s="7" t="s">
        <v>394</v>
      </c>
      <c r="M8" s="7" t="s">
        <v>394</v>
      </c>
      <c r="N8" s="7" t="s">
        <v>457</v>
      </c>
      <c r="O8" s="7" t="s">
        <v>437</v>
      </c>
      <c r="Q8" s="7" t="s">
        <v>377</v>
      </c>
      <c r="R8" s="7" t="s">
        <v>458</v>
      </c>
      <c r="T8" s="7" t="s">
        <v>397</v>
      </c>
      <c r="U8" s="7" t="s">
        <v>456</v>
      </c>
      <c r="V8" s="7" t="s">
        <v>371</v>
      </c>
      <c r="W8" s="7">
        <v>1980.0</v>
      </c>
      <c r="Z8" s="7">
        <v>1984.0</v>
      </c>
      <c r="AA8" s="7">
        <v>2017.0</v>
      </c>
      <c r="AB8" s="7" t="s">
        <v>459</v>
      </c>
      <c r="AC8" s="7" t="s">
        <v>371</v>
      </c>
      <c r="AD8" s="7" t="s">
        <v>460</v>
      </c>
      <c r="AE8" s="7" t="s">
        <v>398</v>
      </c>
      <c r="AF8" s="7" t="s">
        <v>385</v>
      </c>
      <c r="AH8" s="7" t="s">
        <v>399</v>
      </c>
      <c r="AJ8" s="7" t="s">
        <v>386</v>
      </c>
      <c r="AK8" s="7" t="s">
        <v>379</v>
      </c>
      <c r="AL8" s="7" t="s">
        <v>387</v>
      </c>
      <c r="AM8" s="7" t="s">
        <v>387</v>
      </c>
      <c r="AN8" s="7" t="s">
        <v>461</v>
      </c>
      <c r="AO8" s="7" t="s">
        <v>462</v>
      </c>
      <c r="AQ8" s="7" t="s">
        <v>463</v>
      </c>
    </row>
    <row r="9" ht="14.25" customHeight="1">
      <c r="A9" s="7">
        <v>351.0</v>
      </c>
      <c r="B9" s="7" t="s">
        <v>464</v>
      </c>
      <c r="C9" s="7" t="s">
        <v>156</v>
      </c>
      <c r="D9" s="7" t="s">
        <v>370</v>
      </c>
      <c r="E9" s="7" t="s">
        <v>156</v>
      </c>
      <c r="F9" s="7" t="s">
        <v>157</v>
      </c>
      <c r="G9" s="7">
        <v>2023.0</v>
      </c>
      <c r="H9" s="7" t="s">
        <v>158</v>
      </c>
      <c r="I9" s="7" t="s">
        <v>371</v>
      </c>
      <c r="J9" s="7" t="s">
        <v>465</v>
      </c>
      <c r="K9" s="7" t="s">
        <v>373</v>
      </c>
      <c r="L9" s="7" t="s">
        <v>394</v>
      </c>
      <c r="M9" s="7" t="s">
        <v>394</v>
      </c>
      <c r="N9" s="7" t="s">
        <v>457</v>
      </c>
      <c r="O9" s="7" t="s">
        <v>437</v>
      </c>
      <c r="Q9" s="7" t="s">
        <v>377</v>
      </c>
      <c r="R9" s="7" t="s">
        <v>458</v>
      </c>
      <c r="S9" s="7" t="s">
        <v>379</v>
      </c>
      <c r="T9" s="7" t="s">
        <v>380</v>
      </c>
      <c r="U9" s="7" t="s">
        <v>466</v>
      </c>
      <c r="V9" s="7" t="s">
        <v>371</v>
      </c>
      <c r="W9" s="7" t="s">
        <v>467</v>
      </c>
      <c r="X9" s="7">
        <v>1990.0</v>
      </c>
      <c r="Y9" s="7">
        <v>2005.0</v>
      </c>
      <c r="Z9" s="7">
        <v>2006.0</v>
      </c>
      <c r="AA9" s="7">
        <v>2017.0</v>
      </c>
      <c r="AB9" s="7">
        <v>28.0</v>
      </c>
      <c r="AC9" s="7" t="s">
        <v>371</v>
      </c>
      <c r="AD9" s="7" t="s">
        <v>468</v>
      </c>
      <c r="AE9" s="7" t="s">
        <v>398</v>
      </c>
      <c r="AF9" s="7" t="s">
        <v>385</v>
      </c>
      <c r="AH9" s="7" t="s">
        <v>399</v>
      </c>
      <c r="AI9" s="7" t="s">
        <v>379</v>
      </c>
      <c r="AJ9" s="7" t="s">
        <v>386</v>
      </c>
      <c r="AK9" s="7" t="s">
        <v>379</v>
      </c>
      <c r="AL9" s="7" t="s">
        <v>387</v>
      </c>
      <c r="AM9" s="7" t="s">
        <v>387</v>
      </c>
      <c r="AN9" s="7" t="s">
        <v>469</v>
      </c>
      <c r="AO9" s="7" t="s">
        <v>470</v>
      </c>
      <c r="AP9" s="7" t="s">
        <v>471</v>
      </c>
      <c r="AQ9" s="7" t="s">
        <v>472</v>
      </c>
    </row>
    <row r="10" ht="14.25" customHeight="1">
      <c r="A10" s="7">
        <v>340.0</v>
      </c>
      <c r="C10" s="7" t="s">
        <v>33</v>
      </c>
      <c r="D10" s="7" t="s">
        <v>370</v>
      </c>
      <c r="E10" s="7" t="s">
        <v>33</v>
      </c>
      <c r="F10" s="7" t="s">
        <v>34</v>
      </c>
      <c r="G10" s="7">
        <v>2016.0</v>
      </c>
      <c r="H10" s="7" t="s">
        <v>35</v>
      </c>
      <c r="I10" s="7" t="s">
        <v>385</v>
      </c>
      <c r="J10" s="7" t="s">
        <v>473</v>
      </c>
      <c r="K10" s="7" t="s">
        <v>373</v>
      </c>
      <c r="L10" s="7" t="s">
        <v>406</v>
      </c>
      <c r="M10" s="7" t="s">
        <v>406</v>
      </c>
      <c r="N10" s="7" t="s">
        <v>379</v>
      </c>
      <c r="O10" s="7" t="s">
        <v>474</v>
      </c>
      <c r="P10" s="7" t="s">
        <v>448</v>
      </c>
      <c r="Q10" s="7" t="s">
        <v>377</v>
      </c>
      <c r="R10" s="7" t="s">
        <v>475</v>
      </c>
      <c r="S10" s="7" t="s">
        <v>476</v>
      </c>
      <c r="T10" s="7" t="s">
        <v>397</v>
      </c>
      <c r="U10" s="7" t="s">
        <v>477</v>
      </c>
      <c r="V10" s="7" t="s">
        <v>371</v>
      </c>
      <c r="W10" s="7" t="s">
        <v>379</v>
      </c>
      <c r="X10" s="7" t="s">
        <v>379</v>
      </c>
      <c r="Y10" s="7" t="s">
        <v>379</v>
      </c>
      <c r="Z10" s="7">
        <v>1990.0</v>
      </c>
      <c r="AA10" s="7">
        <v>2006.0</v>
      </c>
      <c r="AB10" s="7">
        <v>17.0</v>
      </c>
      <c r="AC10" s="7" t="s">
        <v>385</v>
      </c>
      <c r="AD10" s="7" t="s">
        <v>379</v>
      </c>
      <c r="AE10" s="7" t="s">
        <v>398</v>
      </c>
      <c r="AF10" s="7" t="s">
        <v>385</v>
      </c>
      <c r="AH10" s="7" t="s">
        <v>399</v>
      </c>
      <c r="AI10" s="7" t="s">
        <v>379</v>
      </c>
      <c r="AJ10" s="7" t="s">
        <v>386</v>
      </c>
      <c r="AK10" s="7" t="s">
        <v>379</v>
      </c>
      <c r="AL10" s="7" t="s">
        <v>400</v>
      </c>
      <c r="AM10" s="7" t="s">
        <v>387</v>
      </c>
      <c r="AN10" s="7" t="s">
        <v>478</v>
      </c>
      <c r="AO10" s="7" t="s">
        <v>479</v>
      </c>
      <c r="AP10" s="7" t="s">
        <v>480</v>
      </c>
      <c r="AQ10" s="7" t="s">
        <v>481</v>
      </c>
    </row>
    <row r="11" ht="14.25" customHeight="1">
      <c r="A11" s="7">
        <v>339.0</v>
      </c>
      <c r="C11" s="7" t="s">
        <v>240</v>
      </c>
      <c r="D11" s="7" t="s">
        <v>370</v>
      </c>
      <c r="E11" s="7" t="s">
        <v>240</v>
      </c>
      <c r="F11" s="7" t="s">
        <v>241</v>
      </c>
      <c r="G11" s="7">
        <v>2022.0</v>
      </c>
      <c r="H11" s="7" t="s">
        <v>482</v>
      </c>
      <c r="I11" s="7" t="s">
        <v>385</v>
      </c>
      <c r="J11" s="7" t="s">
        <v>483</v>
      </c>
      <c r="K11" s="7" t="s">
        <v>435</v>
      </c>
      <c r="L11" s="7" t="s">
        <v>394</v>
      </c>
      <c r="M11" s="7" t="s">
        <v>394</v>
      </c>
      <c r="N11" s="7" t="s">
        <v>484</v>
      </c>
      <c r="O11" s="7" t="s">
        <v>437</v>
      </c>
      <c r="Q11" s="7" t="s">
        <v>485</v>
      </c>
      <c r="R11" s="7" t="s">
        <v>486</v>
      </c>
      <c r="S11" s="7" t="s">
        <v>487</v>
      </c>
      <c r="T11" s="7" t="s">
        <v>397</v>
      </c>
      <c r="U11" s="7" t="s">
        <v>488</v>
      </c>
      <c r="V11" s="7" t="s">
        <v>371</v>
      </c>
      <c r="Z11" s="7">
        <v>2003.0</v>
      </c>
      <c r="AA11" s="7">
        <v>2020.0</v>
      </c>
      <c r="AC11" s="7" t="s">
        <v>385</v>
      </c>
      <c r="AE11" s="7" t="s">
        <v>384</v>
      </c>
      <c r="AF11" s="7" t="s">
        <v>385</v>
      </c>
      <c r="AH11" s="7" t="s">
        <v>399</v>
      </c>
      <c r="AJ11" s="7" t="s">
        <v>386</v>
      </c>
      <c r="AL11" s="7" t="s">
        <v>387</v>
      </c>
      <c r="AM11" s="7" t="s">
        <v>387</v>
      </c>
      <c r="AN11" s="7" t="s">
        <v>469</v>
      </c>
      <c r="AO11" s="7" t="s">
        <v>489</v>
      </c>
      <c r="AP11" s="7" t="s">
        <v>490</v>
      </c>
      <c r="AQ11" s="7" t="s">
        <v>491</v>
      </c>
    </row>
    <row r="12" ht="14.25" customHeight="1">
      <c r="A12" s="7">
        <v>329.0</v>
      </c>
      <c r="C12" s="7" t="s">
        <v>129</v>
      </c>
      <c r="D12" s="7" t="s">
        <v>370</v>
      </c>
      <c r="E12" s="7" t="s">
        <v>129</v>
      </c>
      <c r="F12" s="7" t="s">
        <v>130</v>
      </c>
      <c r="G12" s="7">
        <v>2019.0</v>
      </c>
      <c r="H12" s="7" t="s">
        <v>131</v>
      </c>
      <c r="I12" s="7" t="s">
        <v>371</v>
      </c>
      <c r="J12" s="7" t="s">
        <v>492</v>
      </c>
      <c r="K12" s="7" t="s">
        <v>373</v>
      </c>
      <c r="L12" s="7" t="s">
        <v>394</v>
      </c>
      <c r="M12" s="7" t="s">
        <v>394</v>
      </c>
      <c r="N12" s="7" t="s">
        <v>493</v>
      </c>
      <c r="O12" s="7" t="s">
        <v>494</v>
      </c>
      <c r="Q12" s="7" t="s">
        <v>377</v>
      </c>
      <c r="R12" s="7" t="s">
        <v>495</v>
      </c>
      <c r="T12" s="7" t="s">
        <v>397</v>
      </c>
      <c r="U12" s="7" t="s">
        <v>496</v>
      </c>
      <c r="V12" s="7" t="s">
        <v>371</v>
      </c>
      <c r="W12" s="7" t="s">
        <v>379</v>
      </c>
      <c r="X12" s="7" t="s">
        <v>379</v>
      </c>
      <c r="Y12" s="7" t="s">
        <v>379</v>
      </c>
      <c r="Z12" s="7">
        <v>2010.0</v>
      </c>
      <c r="AA12" s="7">
        <v>2015.0</v>
      </c>
      <c r="AB12" s="7">
        <v>5.0</v>
      </c>
      <c r="AC12" s="7" t="s">
        <v>385</v>
      </c>
      <c r="AD12" s="7" t="s">
        <v>379</v>
      </c>
      <c r="AE12" s="7" t="s">
        <v>398</v>
      </c>
      <c r="AF12" s="7" t="s">
        <v>385</v>
      </c>
      <c r="AH12" s="7" t="s">
        <v>399</v>
      </c>
      <c r="AI12" s="7" t="s">
        <v>379</v>
      </c>
      <c r="AJ12" s="7" t="s">
        <v>386</v>
      </c>
      <c r="AK12" s="7" t="s">
        <v>379</v>
      </c>
      <c r="AL12" s="7" t="s">
        <v>387</v>
      </c>
      <c r="AM12" s="7" t="s">
        <v>497</v>
      </c>
      <c r="AN12" s="7" t="s">
        <v>498</v>
      </c>
      <c r="AP12" s="7" t="s">
        <v>499</v>
      </c>
      <c r="AQ12" s="7" t="s">
        <v>500</v>
      </c>
    </row>
    <row r="13" ht="14.25" customHeight="1">
      <c r="A13" s="7">
        <v>327.0</v>
      </c>
      <c r="B13" s="7" t="s">
        <v>501</v>
      </c>
      <c r="C13" s="7" t="s">
        <v>27</v>
      </c>
      <c r="D13" s="7" t="s">
        <v>370</v>
      </c>
      <c r="E13" s="7" t="s">
        <v>502</v>
      </c>
      <c r="F13" s="7" t="s">
        <v>28</v>
      </c>
      <c r="G13" s="7">
        <v>2017.0</v>
      </c>
      <c r="H13" s="7" t="s">
        <v>29</v>
      </c>
      <c r="I13" s="7" t="s">
        <v>385</v>
      </c>
      <c r="J13" s="7" t="s">
        <v>503</v>
      </c>
      <c r="K13" s="7" t="s">
        <v>373</v>
      </c>
      <c r="L13" s="7" t="s">
        <v>504</v>
      </c>
      <c r="M13" s="7" t="s">
        <v>504</v>
      </c>
      <c r="N13" s="7" t="s">
        <v>505</v>
      </c>
      <c r="O13" s="7" t="s">
        <v>506</v>
      </c>
      <c r="Q13" s="7" t="s">
        <v>507</v>
      </c>
      <c r="R13" s="7" t="s">
        <v>508</v>
      </c>
      <c r="T13" s="7" t="s">
        <v>397</v>
      </c>
      <c r="U13" s="7" t="s">
        <v>509</v>
      </c>
      <c r="V13" s="7" t="s">
        <v>385</v>
      </c>
      <c r="W13" s="7" t="s">
        <v>379</v>
      </c>
      <c r="X13" s="7" t="s">
        <v>379</v>
      </c>
      <c r="Y13" s="7" t="s">
        <v>379</v>
      </c>
      <c r="Z13" s="7">
        <v>2013.0</v>
      </c>
      <c r="AA13" s="7">
        <v>2014.0</v>
      </c>
      <c r="AB13" s="7">
        <v>1.0</v>
      </c>
      <c r="AC13" s="7" t="s">
        <v>385</v>
      </c>
      <c r="AD13" s="7" t="s">
        <v>379</v>
      </c>
      <c r="AE13" s="7" t="s">
        <v>510</v>
      </c>
      <c r="AF13" s="7" t="s">
        <v>385</v>
      </c>
      <c r="AH13" s="7" t="s">
        <v>399</v>
      </c>
      <c r="AI13" s="7" t="s">
        <v>379</v>
      </c>
      <c r="AJ13" s="7" t="s">
        <v>386</v>
      </c>
      <c r="AK13" s="7" t="s">
        <v>379</v>
      </c>
      <c r="AL13" s="7" t="s">
        <v>511</v>
      </c>
      <c r="AM13" s="7" t="s">
        <v>428</v>
      </c>
      <c r="AN13" s="7" t="s">
        <v>512</v>
      </c>
      <c r="AO13" s="7" t="s">
        <v>513</v>
      </c>
      <c r="AP13" s="7" t="s">
        <v>514</v>
      </c>
    </row>
    <row r="14" ht="14.25" customHeight="1">
      <c r="A14" s="7">
        <v>324.0</v>
      </c>
      <c r="B14" s="7" t="s">
        <v>515</v>
      </c>
      <c r="C14" s="7" t="s">
        <v>90</v>
      </c>
      <c r="D14" s="7" t="s">
        <v>370</v>
      </c>
      <c r="E14" s="7" t="s">
        <v>90</v>
      </c>
      <c r="F14" s="7" t="s">
        <v>91</v>
      </c>
      <c r="G14" s="7">
        <v>2013.0</v>
      </c>
      <c r="H14" s="7" t="s">
        <v>92</v>
      </c>
      <c r="I14" s="7" t="s">
        <v>385</v>
      </c>
      <c r="J14" s="7" t="s">
        <v>516</v>
      </c>
      <c r="K14" s="7" t="s">
        <v>435</v>
      </c>
      <c r="L14" s="7" t="s">
        <v>517</v>
      </c>
      <c r="M14" s="7" t="s">
        <v>517</v>
      </c>
      <c r="N14" s="7" t="s">
        <v>518</v>
      </c>
      <c r="O14" s="7" t="s">
        <v>519</v>
      </c>
      <c r="Q14" s="7" t="s">
        <v>377</v>
      </c>
      <c r="R14" s="7" t="s">
        <v>520</v>
      </c>
      <c r="T14" s="7" t="s">
        <v>397</v>
      </c>
      <c r="V14" s="7" t="s">
        <v>371</v>
      </c>
      <c r="Z14" s="7">
        <v>1975.0</v>
      </c>
      <c r="AA14" s="7">
        <v>2000.0</v>
      </c>
      <c r="AB14" s="7">
        <v>25.0</v>
      </c>
      <c r="AC14" s="7" t="s">
        <v>385</v>
      </c>
      <c r="AE14" s="7" t="s">
        <v>450</v>
      </c>
      <c r="AF14" s="7" t="s">
        <v>371</v>
      </c>
      <c r="AG14" s="7" t="s">
        <v>521</v>
      </c>
      <c r="AH14" s="7" t="s">
        <v>371</v>
      </c>
      <c r="AI14" s="7" t="s">
        <v>522</v>
      </c>
      <c r="AJ14" s="7" t="s">
        <v>386</v>
      </c>
      <c r="AL14" s="7" t="s">
        <v>387</v>
      </c>
      <c r="AM14" s="7" t="s">
        <v>387</v>
      </c>
      <c r="AN14" s="7" t="s">
        <v>523</v>
      </c>
      <c r="AO14" s="7" t="s">
        <v>524</v>
      </c>
      <c r="AP14" s="7" t="s">
        <v>525</v>
      </c>
      <c r="AQ14" s="7" t="s">
        <v>526</v>
      </c>
    </row>
    <row r="15" ht="14.25" customHeight="1">
      <c r="A15" s="7">
        <v>322.0</v>
      </c>
      <c r="C15" s="7" t="s">
        <v>126</v>
      </c>
      <c r="D15" s="7" t="s">
        <v>370</v>
      </c>
      <c r="E15" s="7" t="s">
        <v>126</v>
      </c>
      <c r="F15" s="7" t="s">
        <v>127</v>
      </c>
      <c r="G15" s="7">
        <v>2018.0</v>
      </c>
      <c r="H15" s="7" t="s">
        <v>128</v>
      </c>
      <c r="I15" s="7" t="s">
        <v>371</v>
      </c>
      <c r="J15" s="7" t="s">
        <v>527</v>
      </c>
      <c r="K15" s="7" t="s">
        <v>435</v>
      </c>
      <c r="L15" s="7" t="s">
        <v>406</v>
      </c>
      <c r="M15" s="7" t="s">
        <v>406</v>
      </c>
      <c r="N15" s="7" t="s">
        <v>528</v>
      </c>
      <c r="O15" s="7" t="s">
        <v>408</v>
      </c>
      <c r="Q15" s="7" t="s">
        <v>485</v>
      </c>
      <c r="T15" s="7" t="s">
        <v>397</v>
      </c>
      <c r="V15" s="7" t="s">
        <v>385</v>
      </c>
      <c r="AC15" s="7" t="s">
        <v>371</v>
      </c>
      <c r="AD15" s="7" t="s">
        <v>529</v>
      </c>
      <c r="AE15" s="7" t="s">
        <v>530</v>
      </c>
      <c r="AF15" s="7" t="s">
        <v>385</v>
      </c>
      <c r="AH15" s="7" t="s">
        <v>399</v>
      </c>
      <c r="AJ15" s="7" t="s">
        <v>386</v>
      </c>
      <c r="AL15" s="7" t="s">
        <v>412</v>
      </c>
      <c r="AM15" s="7" t="s">
        <v>413</v>
      </c>
      <c r="AN15" s="7" t="s">
        <v>531</v>
      </c>
      <c r="AO15" s="7" t="s">
        <v>532</v>
      </c>
      <c r="AP15" s="7" t="s">
        <v>416</v>
      </c>
      <c r="AQ15" s="7" t="s">
        <v>533</v>
      </c>
    </row>
    <row r="16" ht="14.25" customHeight="1">
      <c r="A16" s="7">
        <v>321.0</v>
      </c>
      <c r="C16" s="7" t="s">
        <v>99</v>
      </c>
      <c r="D16" s="7" t="s">
        <v>370</v>
      </c>
      <c r="E16" s="7" t="s">
        <v>99</v>
      </c>
      <c r="F16" s="7" t="s">
        <v>100</v>
      </c>
      <c r="G16" s="7">
        <v>2018.0</v>
      </c>
      <c r="H16" s="7" t="s">
        <v>101</v>
      </c>
      <c r="I16" s="7" t="s">
        <v>385</v>
      </c>
      <c r="J16" s="7" t="s">
        <v>534</v>
      </c>
      <c r="K16" s="7" t="s">
        <v>535</v>
      </c>
      <c r="L16" s="7" t="s">
        <v>536</v>
      </c>
      <c r="M16" s="7" t="s">
        <v>536</v>
      </c>
      <c r="O16" s="7" t="s">
        <v>536</v>
      </c>
      <c r="Q16" s="7" t="s">
        <v>377</v>
      </c>
      <c r="R16" s="7" t="s">
        <v>374</v>
      </c>
      <c r="T16" s="7" t="s">
        <v>397</v>
      </c>
      <c r="U16" s="7" t="s">
        <v>537</v>
      </c>
      <c r="V16" s="7" t="s">
        <v>371</v>
      </c>
      <c r="W16" s="7" t="s">
        <v>379</v>
      </c>
      <c r="X16" s="7" t="s">
        <v>379</v>
      </c>
      <c r="Y16" s="7" t="s">
        <v>379</v>
      </c>
      <c r="Z16" s="7">
        <v>1993.0</v>
      </c>
      <c r="AA16" s="7">
        <v>2012.0</v>
      </c>
      <c r="AB16" s="7">
        <v>20.0</v>
      </c>
      <c r="AC16" s="7" t="s">
        <v>385</v>
      </c>
      <c r="AD16" s="7" t="s">
        <v>379</v>
      </c>
      <c r="AE16" s="7" t="s">
        <v>450</v>
      </c>
      <c r="AF16" s="7" t="s">
        <v>385</v>
      </c>
      <c r="AH16" s="7" t="s">
        <v>399</v>
      </c>
      <c r="AI16" s="7" t="s">
        <v>379</v>
      </c>
      <c r="AJ16" s="7" t="s">
        <v>386</v>
      </c>
      <c r="AK16" s="7" t="s">
        <v>379</v>
      </c>
      <c r="AL16" s="7" t="s">
        <v>387</v>
      </c>
      <c r="AM16" s="7" t="s">
        <v>387</v>
      </c>
      <c r="AN16" s="7" t="s">
        <v>538</v>
      </c>
      <c r="AO16" s="7" t="s">
        <v>539</v>
      </c>
      <c r="AP16" s="7" t="s">
        <v>540</v>
      </c>
      <c r="AQ16" s="7" t="s">
        <v>541</v>
      </c>
    </row>
    <row r="17" ht="14.25" customHeight="1">
      <c r="A17" s="7">
        <v>319.0</v>
      </c>
      <c r="B17" s="7" t="s">
        <v>542</v>
      </c>
      <c r="C17" s="7" t="s">
        <v>192</v>
      </c>
      <c r="D17" s="7" t="s">
        <v>370</v>
      </c>
      <c r="E17" s="7" t="s">
        <v>192</v>
      </c>
      <c r="F17" s="7" t="s">
        <v>193</v>
      </c>
      <c r="G17" s="7">
        <v>2014.0</v>
      </c>
      <c r="H17" s="7" t="s">
        <v>543</v>
      </c>
      <c r="I17" s="7" t="s">
        <v>371</v>
      </c>
      <c r="J17" s="7" t="s">
        <v>544</v>
      </c>
      <c r="K17" s="7" t="s">
        <v>405</v>
      </c>
      <c r="L17" s="7" t="s">
        <v>545</v>
      </c>
      <c r="M17" s="7" t="s">
        <v>545</v>
      </c>
      <c r="O17" s="7" t="s">
        <v>546</v>
      </c>
      <c r="Q17" s="7" t="s">
        <v>377</v>
      </c>
      <c r="R17" s="7" t="s">
        <v>547</v>
      </c>
      <c r="T17" s="7" t="s">
        <v>548</v>
      </c>
      <c r="U17" s="7" t="s">
        <v>549</v>
      </c>
      <c r="V17" s="7" t="s">
        <v>371</v>
      </c>
      <c r="W17" s="7">
        <v>1992.0</v>
      </c>
      <c r="X17" s="7">
        <v>2000.0</v>
      </c>
      <c r="Z17" s="7">
        <v>2000.0</v>
      </c>
      <c r="AA17" s="7">
        <v>2008.0</v>
      </c>
      <c r="AC17" s="7" t="s">
        <v>385</v>
      </c>
      <c r="AD17" s="7" t="s">
        <v>550</v>
      </c>
      <c r="AE17" s="7" t="s">
        <v>425</v>
      </c>
      <c r="AF17" s="7" t="s">
        <v>371</v>
      </c>
      <c r="AG17" s="7" t="s">
        <v>440</v>
      </c>
      <c r="AH17" s="7" t="s">
        <v>371</v>
      </c>
      <c r="AI17" s="7" t="s">
        <v>379</v>
      </c>
      <c r="AJ17" s="7" t="s">
        <v>386</v>
      </c>
      <c r="AL17" s="7" t="s">
        <v>387</v>
      </c>
      <c r="AM17" s="7" t="s">
        <v>387</v>
      </c>
      <c r="AN17" s="7" t="s">
        <v>523</v>
      </c>
      <c r="AP17" s="7" t="s">
        <v>440</v>
      </c>
      <c r="AQ17" s="7" t="s">
        <v>551</v>
      </c>
    </row>
    <row r="18" ht="14.25" customHeight="1">
      <c r="A18" s="7">
        <v>317.0</v>
      </c>
      <c r="B18" s="7" t="s">
        <v>552</v>
      </c>
      <c r="C18" s="7" t="s">
        <v>120</v>
      </c>
      <c r="D18" s="7" t="s">
        <v>370</v>
      </c>
      <c r="E18" s="7" t="s">
        <v>120</v>
      </c>
      <c r="F18" s="7" t="s">
        <v>121</v>
      </c>
      <c r="G18" s="7">
        <v>2022.0</v>
      </c>
      <c r="H18" s="7" t="s">
        <v>553</v>
      </c>
      <c r="I18" s="7" t="s">
        <v>371</v>
      </c>
      <c r="J18" s="7" t="s">
        <v>554</v>
      </c>
      <c r="K18" s="7" t="s">
        <v>435</v>
      </c>
      <c r="L18" s="7" t="s">
        <v>555</v>
      </c>
      <c r="M18" s="7" t="s">
        <v>555</v>
      </c>
      <c r="N18" s="7" t="s">
        <v>556</v>
      </c>
      <c r="O18" s="7" t="s">
        <v>557</v>
      </c>
      <c r="Q18" s="7" t="s">
        <v>377</v>
      </c>
      <c r="R18" s="7" t="s">
        <v>558</v>
      </c>
      <c r="S18" s="7" t="s">
        <v>559</v>
      </c>
      <c r="T18" s="7" t="s">
        <v>397</v>
      </c>
      <c r="U18" s="7" t="s">
        <v>560</v>
      </c>
      <c r="V18" s="7" t="s">
        <v>385</v>
      </c>
      <c r="AC18" s="7" t="s">
        <v>371</v>
      </c>
      <c r="AD18" s="7" t="s">
        <v>561</v>
      </c>
      <c r="AE18" s="7" t="s">
        <v>562</v>
      </c>
      <c r="AF18" s="7" t="s">
        <v>385</v>
      </c>
      <c r="AH18" s="7" t="s">
        <v>399</v>
      </c>
      <c r="AJ18" s="7" t="s">
        <v>386</v>
      </c>
      <c r="AL18" s="7" t="s">
        <v>387</v>
      </c>
      <c r="AM18" s="7" t="s">
        <v>497</v>
      </c>
      <c r="AN18" s="7" t="s">
        <v>563</v>
      </c>
      <c r="AO18" s="7" t="s">
        <v>564</v>
      </c>
      <c r="AP18" s="7" t="s">
        <v>565</v>
      </c>
      <c r="AQ18" s="7" t="s">
        <v>566</v>
      </c>
    </row>
    <row r="19" ht="14.25" customHeight="1">
      <c r="A19" s="7">
        <v>314.0</v>
      </c>
      <c r="B19" s="7" t="s">
        <v>567</v>
      </c>
      <c r="C19" s="7" t="s">
        <v>132</v>
      </c>
      <c r="D19" s="7" t="s">
        <v>370</v>
      </c>
      <c r="E19" s="7" t="s">
        <v>568</v>
      </c>
      <c r="F19" s="7" t="s">
        <v>133</v>
      </c>
      <c r="G19" s="7">
        <v>2022.0</v>
      </c>
      <c r="H19" s="7" t="s">
        <v>134</v>
      </c>
      <c r="I19" s="7" t="s">
        <v>385</v>
      </c>
      <c r="J19" s="7" t="s">
        <v>569</v>
      </c>
      <c r="K19" s="7" t="s">
        <v>435</v>
      </c>
      <c r="L19" s="7" t="s">
        <v>570</v>
      </c>
      <c r="M19" s="7" t="s">
        <v>570</v>
      </c>
      <c r="N19" s="7" t="s">
        <v>571</v>
      </c>
      <c r="O19" s="7" t="s">
        <v>572</v>
      </c>
      <c r="Q19" s="7" t="s">
        <v>377</v>
      </c>
      <c r="R19" s="7" t="s">
        <v>573</v>
      </c>
      <c r="T19" s="7" t="s">
        <v>397</v>
      </c>
      <c r="V19" s="7" t="s">
        <v>371</v>
      </c>
      <c r="X19" s="7">
        <v>2000.0</v>
      </c>
      <c r="Y19" s="7">
        <v>2010.0</v>
      </c>
      <c r="Z19" s="7">
        <v>2011.0</v>
      </c>
      <c r="AA19" s="7">
        <v>2020.0</v>
      </c>
      <c r="AC19" s="7" t="s">
        <v>385</v>
      </c>
      <c r="AE19" s="7" t="s">
        <v>450</v>
      </c>
      <c r="AF19" s="7" t="s">
        <v>385</v>
      </c>
      <c r="AH19" s="7" t="s">
        <v>371</v>
      </c>
      <c r="AI19" s="7" t="s">
        <v>574</v>
      </c>
      <c r="AJ19" s="7" t="s">
        <v>386</v>
      </c>
      <c r="AL19" s="7" t="s">
        <v>387</v>
      </c>
      <c r="AM19" s="7" t="s">
        <v>387</v>
      </c>
      <c r="AN19" s="7" t="s">
        <v>523</v>
      </c>
      <c r="AO19" s="7" t="s">
        <v>575</v>
      </c>
      <c r="AP19" s="7" t="s">
        <v>576</v>
      </c>
      <c r="AQ19" s="7" t="s">
        <v>577</v>
      </c>
    </row>
    <row r="20" ht="14.25" customHeight="1">
      <c r="A20" s="7">
        <v>310.0</v>
      </c>
      <c r="B20" s="7" t="s">
        <v>578</v>
      </c>
      <c r="C20" s="7" t="s">
        <v>123</v>
      </c>
      <c r="D20" s="7" t="s">
        <v>370</v>
      </c>
      <c r="E20" s="7" t="s">
        <v>123</v>
      </c>
      <c r="F20" s="7" t="s">
        <v>124</v>
      </c>
      <c r="G20" s="7">
        <v>2019.0</v>
      </c>
      <c r="H20" s="7" t="s">
        <v>125</v>
      </c>
      <c r="I20" s="7" t="s">
        <v>385</v>
      </c>
      <c r="J20" s="7" t="s">
        <v>579</v>
      </c>
      <c r="K20" s="7" t="s">
        <v>373</v>
      </c>
      <c r="L20" s="7" t="s">
        <v>570</v>
      </c>
      <c r="M20" s="7" t="s">
        <v>570</v>
      </c>
      <c r="O20" s="7" t="s">
        <v>580</v>
      </c>
      <c r="Q20" s="7" t="s">
        <v>377</v>
      </c>
      <c r="R20" s="7" t="s">
        <v>581</v>
      </c>
      <c r="T20" s="7" t="s">
        <v>582</v>
      </c>
      <c r="V20" s="7" t="s">
        <v>371</v>
      </c>
      <c r="W20" s="7">
        <v>2004.0</v>
      </c>
      <c r="X20" s="7">
        <v>2004.0</v>
      </c>
      <c r="Y20" s="7">
        <v>2011.0</v>
      </c>
      <c r="Z20" s="7">
        <v>2011.0</v>
      </c>
      <c r="AA20" s="7">
        <v>2017.0</v>
      </c>
      <c r="AC20" s="7" t="s">
        <v>371</v>
      </c>
      <c r="AD20" s="7" t="s">
        <v>583</v>
      </c>
      <c r="AE20" s="7" t="s">
        <v>584</v>
      </c>
      <c r="AF20" s="7" t="s">
        <v>385</v>
      </c>
      <c r="AH20" s="7" t="s">
        <v>371</v>
      </c>
      <c r="AI20" s="7" t="s">
        <v>585</v>
      </c>
      <c r="AJ20" s="7" t="s">
        <v>386</v>
      </c>
      <c r="AL20" s="7" t="s">
        <v>586</v>
      </c>
      <c r="AM20" s="7" t="s">
        <v>387</v>
      </c>
      <c r="AN20" s="7" t="s">
        <v>523</v>
      </c>
      <c r="AO20" s="7" t="s">
        <v>587</v>
      </c>
      <c r="AP20" s="7" t="s">
        <v>588</v>
      </c>
      <c r="AQ20" s="7" t="s">
        <v>589</v>
      </c>
    </row>
    <row r="21" ht="14.25" customHeight="1">
      <c r="A21" s="7">
        <v>302.0</v>
      </c>
      <c r="B21" s="7" t="s">
        <v>590</v>
      </c>
      <c r="C21" s="7" t="s">
        <v>189</v>
      </c>
      <c r="D21" s="7" t="s">
        <v>370</v>
      </c>
      <c r="E21" s="7" t="s">
        <v>189</v>
      </c>
      <c r="F21" s="7" t="s">
        <v>190</v>
      </c>
      <c r="G21" s="7">
        <v>2017.0</v>
      </c>
      <c r="H21" s="7" t="s">
        <v>191</v>
      </c>
      <c r="I21" s="7" t="s">
        <v>371</v>
      </c>
      <c r="J21" s="7" t="s">
        <v>591</v>
      </c>
      <c r="K21" s="7" t="s">
        <v>373</v>
      </c>
      <c r="L21" s="7" t="s">
        <v>504</v>
      </c>
      <c r="M21" s="7" t="s">
        <v>504</v>
      </c>
      <c r="N21" s="7" t="s">
        <v>592</v>
      </c>
      <c r="O21" s="7" t="s">
        <v>593</v>
      </c>
      <c r="Q21" s="7" t="s">
        <v>507</v>
      </c>
      <c r="R21" s="7" t="s">
        <v>594</v>
      </c>
      <c r="T21" s="7" t="s">
        <v>380</v>
      </c>
      <c r="U21" s="7" t="s">
        <v>595</v>
      </c>
      <c r="V21" s="7" t="s">
        <v>371</v>
      </c>
      <c r="W21" s="7">
        <v>2009.0</v>
      </c>
      <c r="X21" s="7">
        <v>2008.0</v>
      </c>
      <c r="Y21" s="7">
        <v>2009.0</v>
      </c>
      <c r="Z21" s="7">
        <v>2009.0</v>
      </c>
      <c r="AA21" s="7">
        <v>2011.0</v>
      </c>
      <c r="AC21" s="7" t="s">
        <v>371</v>
      </c>
      <c r="AD21" s="7" t="s">
        <v>596</v>
      </c>
      <c r="AE21" s="7" t="s">
        <v>425</v>
      </c>
      <c r="AF21" s="7" t="s">
        <v>371</v>
      </c>
      <c r="AG21" s="7" t="s">
        <v>426</v>
      </c>
      <c r="AH21" s="7" t="s">
        <v>371</v>
      </c>
      <c r="AI21" s="7" t="s">
        <v>597</v>
      </c>
      <c r="AJ21" s="7" t="s">
        <v>386</v>
      </c>
      <c r="AL21" s="7" t="s">
        <v>598</v>
      </c>
      <c r="AM21" s="7" t="s">
        <v>428</v>
      </c>
      <c r="AN21" s="7" t="s">
        <v>599</v>
      </c>
      <c r="AO21" s="7" t="s">
        <v>600</v>
      </c>
      <c r="AP21" s="7" t="s">
        <v>601</v>
      </c>
      <c r="AQ21" s="7" t="s">
        <v>602</v>
      </c>
    </row>
    <row r="22" ht="14.25" customHeight="1">
      <c r="A22" s="7">
        <v>301.0</v>
      </c>
      <c r="B22" s="7" t="s">
        <v>603</v>
      </c>
      <c r="C22" s="7" t="s">
        <v>24</v>
      </c>
      <c r="D22" s="7" t="s">
        <v>370</v>
      </c>
      <c r="E22" s="7" t="s">
        <v>24</v>
      </c>
      <c r="F22" s="7" t="s">
        <v>25</v>
      </c>
      <c r="G22" s="7">
        <v>2013.0</v>
      </c>
      <c r="H22" s="7" t="s">
        <v>26</v>
      </c>
      <c r="I22" s="7" t="s">
        <v>385</v>
      </c>
      <c r="J22" s="7" t="s">
        <v>604</v>
      </c>
      <c r="K22" s="7" t="s">
        <v>373</v>
      </c>
      <c r="L22" s="7" t="s">
        <v>570</v>
      </c>
      <c r="M22" s="7" t="s">
        <v>570</v>
      </c>
      <c r="N22" s="7" t="s">
        <v>605</v>
      </c>
      <c r="O22" s="7" t="s">
        <v>606</v>
      </c>
      <c r="Q22" s="7" t="s">
        <v>377</v>
      </c>
      <c r="R22" s="7" t="s">
        <v>607</v>
      </c>
      <c r="T22" s="7" t="s">
        <v>397</v>
      </c>
      <c r="V22" s="7" t="s">
        <v>371</v>
      </c>
      <c r="Z22" s="7">
        <v>2001.0</v>
      </c>
      <c r="AA22" s="7">
        <v>2009.0</v>
      </c>
      <c r="AB22" s="7">
        <v>8.0</v>
      </c>
      <c r="AC22" s="7" t="s">
        <v>385</v>
      </c>
      <c r="AE22" s="7" t="s">
        <v>398</v>
      </c>
      <c r="AF22" s="7" t="s">
        <v>371</v>
      </c>
      <c r="AG22" s="7" t="s">
        <v>426</v>
      </c>
      <c r="AH22" s="7" t="s">
        <v>399</v>
      </c>
      <c r="AJ22" s="7" t="s">
        <v>386</v>
      </c>
      <c r="AL22" s="7" t="s">
        <v>387</v>
      </c>
      <c r="AM22" s="7" t="s">
        <v>387</v>
      </c>
      <c r="AN22" s="7" t="s">
        <v>608</v>
      </c>
      <c r="AO22" s="7" t="s">
        <v>609</v>
      </c>
      <c r="AP22" s="7" t="s">
        <v>610</v>
      </c>
    </row>
    <row r="23" ht="14.25" customHeight="1">
      <c r="A23" s="7">
        <v>299.0</v>
      </c>
      <c r="B23" s="7" t="s">
        <v>611</v>
      </c>
      <c r="C23" s="7" t="s">
        <v>309</v>
      </c>
      <c r="D23" s="7" t="s">
        <v>370</v>
      </c>
      <c r="E23" s="7" t="s">
        <v>309</v>
      </c>
      <c r="F23" s="7" t="s">
        <v>310</v>
      </c>
      <c r="G23" s="7">
        <v>2015.0</v>
      </c>
      <c r="I23" s="7" t="s">
        <v>385</v>
      </c>
      <c r="J23" s="7" t="s">
        <v>612</v>
      </c>
      <c r="K23" s="7" t="s">
        <v>373</v>
      </c>
      <c r="L23" s="7" t="s">
        <v>406</v>
      </c>
      <c r="M23" s="7" t="s">
        <v>406</v>
      </c>
      <c r="N23" s="7" t="s">
        <v>613</v>
      </c>
      <c r="O23" s="7" t="s">
        <v>614</v>
      </c>
      <c r="Q23" s="7" t="s">
        <v>377</v>
      </c>
      <c r="R23" s="7" t="s">
        <v>615</v>
      </c>
      <c r="T23" s="7" t="s">
        <v>397</v>
      </c>
      <c r="V23" s="7" t="s">
        <v>371</v>
      </c>
      <c r="Z23" s="7">
        <v>1987.0</v>
      </c>
      <c r="AA23" s="7">
        <v>2013.0</v>
      </c>
      <c r="AC23" s="7" t="s">
        <v>385</v>
      </c>
      <c r="AE23" s="7" t="s">
        <v>450</v>
      </c>
      <c r="AF23" s="7" t="s">
        <v>385</v>
      </c>
      <c r="AH23" s="7" t="s">
        <v>371</v>
      </c>
      <c r="AI23" s="7" t="s">
        <v>616</v>
      </c>
      <c r="AJ23" s="7" t="s">
        <v>386</v>
      </c>
      <c r="AL23" s="7" t="s">
        <v>387</v>
      </c>
      <c r="AM23" s="7" t="s">
        <v>387</v>
      </c>
      <c r="AN23" s="7" t="s">
        <v>523</v>
      </c>
      <c r="AO23" s="7" t="s">
        <v>617</v>
      </c>
      <c r="AP23" s="7" t="s">
        <v>400</v>
      </c>
      <c r="AQ23" s="7" t="s">
        <v>618</v>
      </c>
    </row>
    <row r="24" ht="14.25" customHeight="1">
      <c r="A24" s="7">
        <v>295.0</v>
      </c>
      <c r="B24" s="7" t="s">
        <v>619</v>
      </c>
      <c r="C24" s="7" t="s">
        <v>30</v>
      </c>
      <c r="D24" s="7" t="s">
        <v>370</v>
      </c>
      <c r="E24" s="7" t="s">
        <v>30</v>
      </c>
      <c r="F24" s="7" t="s">
        <v>31</v>
      </c>
      <c r="G24" s="7">
        <v>2015.0</v>
      </c>
      <c r="H24" s="7" t="s">
        <v>32</v>
      </c>
      <c r="I24" s="7" t="s">
        <v>385</v>
      </c>
      <c r="J24" s="7" t="s">
        <v>620</v>
      </c>
      <c r="K24" s="7" t="s">
        <v>373</v>
      </c>
      <c r="L24" s="7" t="s">
        <v>517</v>
      </c>
      <c r="M24" s="7" t="s">
        <v>517</v>
      </c>
      <c r="N24" s="7" t="s">
        <v>621</v>
      </c>
      <c r="O24" s="7" t="s">
        <v>622</v>
      </c>
      <c r="Q24" s="7" t="s">
        <v>377</v>
      </c>
      <c r="R24" s="7" t="s">
        <v>623</v>
      </c>
      <c r="T24" s="7" t="s">
        <v>397</v>
      </c>
      <c r="V24" s="7" t="s">
        <v>371</v>
      </c>
      <c r="W24" s="7">
        <v>1994.0</v>
      </c>
      <c r="Z24" s="7">
        <v>1980.0</v>
      </c>
      <c r="AA24" s="7">
        <v>2013.0</v>
      </c>
      <c r="AC24" s="7" t="s">
        <v>371</v>
      </c>
      <c r="AD24" s="7" t="s">
        <v>624</v>
      </c>
      <c r="AE24" s="7" t="s">
        <v>398</v>
      </c>
      <c r="AF24" s="7" t="s">
        <v>385</v>
      </c>
      <c r="AH24" s="7" t="s">
        <v>399</v>
      </c>
      <c r="AJ24" s="7" t="s">
        <v>386</v>
      </c>
      <c r="AL24" s="7" t="s">
        <v>625</v>
      </c>
      <c r="AM24" s="7" t="s">
        <v>387</v>
      </c>
      <c r="AN24" s="7" t="s">
        <v>626</v>
      </c>
      <c r="AO24" s="7" t="s">
        <v>523</v>
      </c>
      <c r="AP24" s="7" t="s">
        <v>627</v>
      </c>
    </row>
    <row r="25" ht="14.25" customHeight="1">
      <c r="A25" s="7">
        <v>294.0</v>
      </c>
      <c r="C25" s="7" t="s">
        <v>105</v>
      </c>
      <c r="D25" s="7" t="s">
        <v>370</v>
      </c>
      <c r="E25" s="7" t="s">
        <v>105</v>
      </c>
      <c r="F25" s="7" t="s">
        <v>106</v>
      </c>
      <c r="G25" s="7">
        <v>2020.0</v>
      </c>
      <c r="H25" s="7" t="s">
        <v>107</v>
      </c>
      <c r="I25" s="7" t="s">
        <v>385</v>
      </c>
      <c r="J25" s="7" t="s">
        <v>628</v>
      </c>
      <c r="K25" s="7" t="s">
        <v>373</v>
      </c>
      <c r="L25" s="7" t="s">
        <v>406</v>
      </c>
      <c r="M25" s="7" t="s">
        <v>406</v>
      </c>
      <c r="O25" s="7" t="s">
        <v>629</v>
      </c>
      <c r="Q25" s="7" t="s">
        <v>507</v>
      </c>
      <c r="R25" s="7" t="s">
        <v>630</v>
      </c>
      <c r="T25" s="7" t="s">
        <v>397</v>
      </c>
      <c r="U25" s="7" t="s">
        <v>631</v>
      </c>
      <c r="V25" s="7" t="s">
        <v>371</v>
      </c>
      <c r="Z25" s="7">
        <v>2013.0</v>
      </c>
      <c r="AA25" s="7">
        <v>2015.0</v>
      </c>
      <c r="AB25" s="7">
        <v>3.0</v>
      </c>
      <c r="AC25" s="7" t="s">
        <v>371</v>
      </c>
      <c r="AD25" s="7" t="s">
        <v>632</v>
      </c>
      <c r="AE25" s="7" t="s">
        <v>562</v>
      </c>
      <c r="AF25" s="7" t="s">
        <v>385</v>
      </c>
      <c r="AH25" s="7" t="s">
        <v>399</v>
      </c>
      <c r="AJ25" s="7" t="s">
        <v>386</v>
      </c>
      <c r="AL25" s="7" t="s">
        <v>633</v>
      </c>
      <c r="AM25" s="7" t="s">
        <v>428</v>
      </c>
      <c r="AN25" s="7" t="s">
        <v>634</v>
      </c>
      <c r="AO25" s="7" t="s">
        <v>635</v>
      </c>
      <c r="AP25" s="7" t="s">
        <v>636</v>
      </c>
      <c r="AQ25" s="7" t="s">
        <v>637</v>
      </c>
    </row>
    <row r="26" ht="14.25" customHeight="1">
      <c r="A26" s="7">
        <v>292.0</v>
      </c>
      <c r="C26" s="7" t="s">
        <v>312</v>
      </c>
      <c r="D26" s="7" t="s">
        <v>370</v>
      </c>
      <c r="E26" s="7" t="s">
        <v>638</v>
      </c>
      <c r="F26" s="7" t="s">
        <v>313</v>
      </c>
      <c r="G26" s="7">
        <v>2019.0</v>
      </c>
      <c r="I26" s="7" t="s">
        <v>385</v>
      </c>
      <c r="J26" s="7" t="s">
        <v>639</v>
      </c>
      <c r="K26" s="7" t="s">
        <v>373</v>
      </c>
      <c r="L26" s="7" t="s">
        <v>570</v>
      </c>
      <c r="M26" s="7" t="s">
        <v>570</v>
      </c>
      <c r="N26" s="7" t="s">
        <v>640</v>
      </c>
      <c r="O26" s="7" t="s">
        <v>641</v>
      </c>
      <c r="Q26" s="7" t="s">
        <v>377</v>
      </c>
      <c r="T26" s="7" t="s">
        <v>397</v>
      </c>
      <c r="V26" s="7" t="s">
        <v>371</v>
      </c>
      <c r="Z26" s="7">
        <v>1988.0</v>
      </c>
      <c r="AA26" s="7">
        <v>2012.0</v>
      </c>
      <c r="AB26" s="7">
        <v>24.0</v>
      </c>
      <c r="AC26" s="7" t="s">
        <v>385</v>
      </c>
      <c r="AE26" s="7" t="s">
        <v>398</v>
      </c>
      <c r="AF26" s="7" t="s">
        <v>385</v>
      </c>
      <c r="AH26" s="7" t="s">
        <v>371</v>
      </c>
      <c r="AI26" s="7" t="s">
        <v>642</v>
      </c>
      <c r="AJ26" s="7" t="s">
        <v>386</v>
      </c>
      <c r="AL26" s="7" t="s">
        <v>387</v>
      </c>
      <c r="AM26" s="7" t="s">
        <v>387</v>
      </c>
      <c r="AN26" s="7" t="s">
        <v>523</v>
      </c>
      <c r="AO26" s="7" t="s">
        <v>643</v>
      </c>
      <c r="AP26" s="7" t="s">
        <v>644</v>
      </c>
      <c r="AQ26" s="7" t="s">
        <v>645</v>
      </c>
    </row>
    <row r="27" ht="14.25" customHeight="1">
      <c r="A27" s="7">
        <v>288.0</v>
      </c>
      <c r="B27" s="7" t="s">
        <v>646</v>
      </c>
      <c r="C27" s="7" t="s">
        <v>315</v>
      </c>
      <c r="D27" s="7" t="s">
        <v>370</v>
      </c>
      <c r="E27" s="7" t="s">
        <v>315</v>
      </c>
      <c r="F27" s="7" t="s">
        <v>316</v>
      </c>
      <c r="G27" s="7">
        <v>2020.0</v>
      </c>
      <c r="I27" s="7" t="s">
        <v>371</v>
      </c>
      <c r="J27" s="7" t="s">
        <v>647</v>
      </c>
      <c r="K27" s="7" t="s">
        <v>405</v>
      </c>
      <c r="L27" s="7" t="s">
        <v>570</v>
      </c>
      <c r="M27" s="7" t="s">
        <v>570</v>
      </c>
      <c r="N27" s="7" t="s">
        <v>648</v>
      </c>
      <c r="O27" s="7" t="s">
        <v>572</v>
      </c>
      <c r="Q27" s="7" t="s">
        <v>377</v>
      </c>
      <c r="T27" s="7" t="s">
        <v>397</v>
      </c>
      <c r="V27" s="7" t="s">
        <v>371</v>
      </c>
      <c r="Z27" s="7">
        <v>1992.0</v>
      </c>
      <c r="AA27" s="7">
        <v>2012.0</v>
      </c>
      <c r="AC27" s="7" t="s">
        <v>385</v>
      </c>
      <c r="AE27" s="7" t="s">
        <v>398</v>
      </c>
      <c r="AF27" s="7" t="s">
        <v>385</v>
      </c>
      <c r="AH27" s="7" t="s">
        <v>399</v>
      </c>
      <c r="AJ27" s="7" t="s">
        <v>386</v>
      </c>
      <c r="AL27" s="7" t="s">
        <v>523</v>
      </c>
      <c r="AM27" s="7" t="s">
        <v>387</v>
      </c>
      <c r="AN27" s="7" t="s">
        <v>649</v>
      </c>
      <c r="AO27" s="7" t="s">
        <v>650</v>
      </c>
      <c r="AP27" s="7" t="s">
        <v>651</v>
      </c>
      <c r="AQ27" s="7" t="s">
        <v>652</v>
      </c>
    </row>
    <row r="28" ht="14.25" customHeight="1">
      <c r="A28" s="7">
        <v>286.0</v>
      </c>
      <c r="B28" s="7" t="s">
        <v>653</v>
      </c>
      <c r="C28" s="7" t="s">
        <v>171</v>
      </c>
      <c r="D28" s="7" t="s">
        <v>370</v>
      </c>
      <c r="E28" s="7" t="s">
        <v>171</v>
      </c>
      <c r="F28" s="7" t="s">
        <v>172</v>
      </c>
      <c r="G28" s="7">
        <v>2018.0</v>
      </c>
      <c r="H28" s="7" t="s">
        <v>173</v>
      </c>
      <c r="I28" s="7" t="s">
        <v>371</v>
      </c>
      <c r="J28" s="7" t="s">
        <v>654</v>
      </c>
      <c r="K28" s="7" t="s">
        <v>405</v>
      </c>
      <c r="L28" s="7" t="s">
        <v>570</v>
      </c>
      <c r="M28" s="7" t="s">
        <v>570</v>
      </c>
      <c r="N28" s="7" t="s">
        <v>655</v>
      </c>
      <c r="O28" s="7" t="s">
        <v>656</v>
      </c>
      <c r="Q28" s="7" t="s">
        <v>377</v>
      </c>
      <c r="R28" s="7" t="s">
        <v>374</v>
      </c>
      <c r="T28" s="7" t="s">
        <v>397</v>
      </c>
      <c r="V28" s="7" t="s">
        <v>371</v>
      </c>
      <c r="Z28" s="7">
        <v>1990.0</v>
      </c>
      <c r="AA28" s="7">
        <v>2010.0</v>
      </c>
      <c r="AB28" s="7">
        <v>20.0</v>
      </c>
      <c r="AC28" s="7" t="s">
        <v>385</v>
      </c>
      <c r="AE28" s="7" t="s">
        <v>425</v>
      </c>
      <c r="AF28" s="7" t="s">
        <v>371</v>
      </c>
      <c r="AG28" s="7" t="s">
        <v>657</v>
      </c>
      <c r="AH28" s="7" t="s">
        <v>399</v>
      </c>
      <c r="AJ28" s="7" t="s">
        <v>386</v>
      </c>
      <c r="AL28" s="7" t="s">
        <v>387</v>
      </c>
      <c r="AM28" s="7" t="s">
        <v>497</v>
      </c>
      <c r="AN28" s="7" t="s">
        <v>658</v>
      </c>
      <c r="AO28" s="7" t="s">
        <v>659</v>
      </c>
      <c r="AQ28" s="7" t="s">
        <v>660</v>
      </c>
    </row>
    <row r="29" ht="14.25" customHeight="1">
      <c r="A29" s="7">
        <v>280.0</v>
      </c>
      <c r="B29" s="7" t="s">
        <v>661</v>
      </c>
      <c r="C29" s="7" t="s">
        <v>150</v>
      </c>
      <c r="D29" s="7" t="s">
        <v>370</v>
      </c>
      <c r="E29" s="7" t="s">
        <v>662</v>
      </c>
      <c r="F29" s="7" t="s">
        <v>151</v>
      </c>
      <c r="G29" s="7">
        <v>2022.0</v>
      </c>
      <c r="H29" s="7" t="s">
        <v>152</v>
      </c>
      <c r="I29" s="7" t="s">
        <v>371</v>
      </c>
      <c r="J29" s="7" t="s">
        <v>663</v>
      </c>
      <c r="K29" s="7" t="s">
        <v>405</v>
      </c>
      <c r="L29" s="7" t="s">
        <v>570</v>
      </c>
      <c r="M29" s="7" t="s">
        <v>570</v>
      </c>
      <c r="N29" s="7" t="s">
        <v>374</v>
      </c>
      <c r="O29" s="7" t="s">
        <v>572</v>
      </c>
      <c r="Q29" s="7" t="s">
        <v>377</v>
      </c>
      <c r="R29" s="7" t="s">
        <v>664</v>
      </c>
      <c r="T29" s="7" t="s">
        <v>397</v>
      </c>
      <c r="U29" s="7" t="s">
        <v>665</v>
      </c>
      <c r="V29" s="7" t="s">
        <v>371</v>
      </c>
      <c r="Z29" s="7">
        <v>2001.0</v>
      </c>
      <c r="AA29" s="7">
        <v>2018.0</v>
      </c>
      <c r="AC29" s="7" t="s">
        <v>385</v>
      </c>
      <c r="AE29" s="7" t="s">
        <v>530</v>
      </c>
      <c r="AF29" s="7" t="s">
        <v>385</v>
      </c>
      <c r="AH29" s="7" t="s">
        <v>399</v>
      </c>
      <c r="AJ29" s="7" t="s">
        <v>386</v>
      </c>
      <c r="AL29" s="7" t="s">
        <v>400</v>
      </c>
      <c r="AM29" s="7" t="s">
        <v>387</v>
      </c>
      <c r="AN29" s="7" t="s">
        <v>666</v>
      </c>
      <c r="AO29" s="7" t="s">
        <v>667</v>
      </c>
      <c r="AP29" s="7" t="s">
        <v>668</v>
      </c>
    </row>
    <row r="30" ht="14.25" customHeight="1">
      <c r="A30" s="7">
        <v>279.0</v>
      </c>
      <c r="C30" s="7" t="s">
        <v>111</v>
      </c>
      <c r="D30" s="7" t="s">
        <v>370</v>
      </c>
      <c r="E30" s="7" t="s">
        <v>111</v>
      </c>
      <c r="F30" s="7" t="s">
        <v>112</v>
      </c>
      <c r="G30" s="7">
        <v>2020.0</v>
      </c>
      <c r="H30" s="7" t="s">
        <v>113</v>
      </c>
      <c r="I30" s="7" t="s">
        <v>371</v>
      </c>
      <c r="J30" s="7" t="s">
        <v>669</v>
      </c>
      <c r="K30" s="7" t="s">
        <v>373</v>
      </c>
      <c r="L30" s="7" t="s">
        <v>394</v>
      </c>
      <c r="M30" s="7" t="s">
        <v>394</v>
      </c>
      <c r="N30" s="7" t="s">
        <v>670</v>
      </c>
      <c r="O30" s="7" t="s">
        <v>671</v>
      </c>
      <c r="Q30" s="7" t="s">
        <v>377</v>
      </c>
      <c r="R30" s="7" t="s">
        <v>672</v>
      </c>
      <c r="T30" s="7" t="s">
        <v>397</v>
      </c>
      <c r="V30" s="7" t="s">
        <v>371</v>
      </c>
      <c r="W30" s="7">
        <v>2012.0</v>
      </c>
      <c r="X30" s="7">
        <v>1989.0</v>
      </c>
      <c r="Y30" s="7">
        <v>2001.0</v>
      </c>
      <c r="Z30" s="7">
        <v>1989.0</v>
      </c>
      <c r="AA30" s="7">
        <v>2016.0</v>
      </c>
      <c r="AC30" s="7" t="s">
        <v>371</v>
      </c>
      <c r="AD30" s="7" t="s">
        <v>673</v>
      </c>
      <c r="AE30" s="7" t="s">
        <v>584</v>
      </c>
      <c r="AF30" s="7" t="s">
        <v>385</v>
      </c>
      <c r="AH30" s="7" t="s">
        <v>371</v>
      </c>
      <c r="AJ30" s="7" t="s">
        <v>386</v>
      </c>
      <c r="AL30" s="7" t="s">
        <v>387</v>
      </c>
      <c r="AM30" s="7" t="s">
        <v>387</v>
      </c>
      <c r="AN30" s="7" t="s">
        <v>523</v>
      </c>
      <c r="AO30" s="7" t="s">
        <v>674</v>
      </c>
      <c r="AQ30" s="7" t="s">
        <v>675</v>
      </c>
    </row>
    <row r="31" ht="14.25" customHeight="1">
      <c r="A31" s="7">
        <v>273.0</v>
      </c>
      <c r="C31" s="7" t="s">
        <v>135</v>
      </c>
      <c r="D31" s="7" t="s">
        <v>370</v>
      </c>
      <c r="E31" s="7" t="s">
        <v>135</v>
      </c>
      <c r="F31" s="7" t="s">
        <v>136</v>
      </c>
      <c r="G31" s="7">
        <v>2020.0</v>
      </c>
      <c r="H31" s="7" t="s">
        <v>676</v>
      </c>
      <c r="I31" s="7" t="s">
        <v>371</v>
      </c>
      <c r="J31" s="7" t="s">
        <v>677</v>
      </c>
      <c r="K31" s="7" t="s">
        <v>535</v>
      </c>
      <c r="L31" s="7" t="s">
        <v>536</v>
      </c>
      <c r="M31" s="7" t="s">
        <v>536</v>
      </c>
      <c r="O31" s="7" t="s">
        <v>536</v>
      </c>
      <c r="Q31" s="7" t="s">
        <v>678</v>
      </c>
      <c r="R31" s="7" t="s">
        <v>679</v>
      </c>
      <c r="T31" s="7" t="s">
        <v>548</v>
      </c>
      <c r="U31" s="7" t="s">
        <v>680</v>
      </c>
      <c r="V31" s="7" t="s">
        <v>385</v>
      </c>
      <c r="Z31" s="7">
        <v>1993.0</v>
      </c>
      <c r="AA31" s="7">
        <v>2016.0</v>
      </c>
      <c r="AB31" s="7">
        <v>16.0</v>
      </c>
      <c r="AC31" s="7" t="s">
        <v>385</v>
      </c>
      <c r="AE31" s="7" t="s">
        <v>425</v>
      </c>
      <c r="AF31" s="7" t="s">
        <v>371</v>
      </c>
      <c r="AG31" s="7" t="s">
        <v>440</v>
      </c>
      <c r="AH31" s="7" t="s">
        <v>399</v>
      </c>
      <c r="AJ31" s="7" t="s">
        <v>386</v>
      </c>
      <c r="AL31" s="7" t="s">
        <v>681</v>
      </c>
      <c r="AM31" s="7" t="s">
        <v>497</v>
      </c>
      <c r="AN31" s="7" t="s">
        <v>682</v>
      </c>
      <c r="AO31" s="7" t="s">
        <v>683</v>
      </c>
      <c r="AP31" s="7" t="s">
        <v>684</v>
      </c>
      <c r="AQ31" s="7" t="s">
        <v>685</v>
      </c>
    </row>
    <row r="32" ht="14.25" customHeight="1">
      <c r="A32" s="7">
        <v>270.0</v>
      </c>
      <c r="C32" s="7" t="s">
        <v>159</v>
      </c>
      <c r="D32" s="7" t="s">
        <v>370</v>
      </c>
      <c r="E32" s="7" t="s">
        <v>159</v>
      </c>
      <c r="F32" s="7" t="s">
        <v>160</v>
      </c>
      <c r="G32" s="7">
        <v>2015.0</v>
      </c>
      <c r="H32" s="7" t="s">
        <v>686</v>
      </c>
      <c r="I32" s="7" t="s">
        <v>371</v>
      </c>
      <c r="J32" s="7" t="s">
        <v>687</v>
      </c>
      <c r="K32" s="7" t="s">
        <v>405</v>
      </c>
      <c r="L32" s="7" t="s">
        <v>406</v>
      </c>
      <c r="M32" s="7" t="s">
        <v>406</v>
      </c>
      <c r="N32" s="7" t="s">
        <v>688</v>
      </c>
      <c r="O32" s="7" t="s">
        <v>408</v>
      </c>
      <c r="Q32" s="7" t="s">
        <v>377</v>
      </c>
      <c r="R32" s="7" t="s">
        <v>689</v>
      </c>
      <c r="T32" s="7" t="s">
        <v>397</v>
      </c>
      <c r="U32" s="7" t="s">
        <v>690</v>
      </c>
      <c r="V32" s="7" t="s">
        <v>371</v>
      </c>
      <c r="Z32" s="7">
        <v>1987.0</v>
      </c>
      <c r="AA32" s="7">
        <v>2006.0</v>
      </c>
      <c r="AB32" s="7">
        <v>20.0</v>
      </c>
      <c r="AC32" s="7" t="s">
        <v>371</v>
      </c>
      <c r="AD32" s="7" t="s">
        <v>691</v>
      </c>
      <c r="AE32" s="7" t="s">
        <v>398</v>
      </c>
      <c r="AF32" s="7" t="s">
        <v>385</v>
      </c>
      <c r="AH32" s="7" t="s">
        <v>399</v>
      </c>
      <c r="AJ32" s="7" t="s">
        <v>386</v>
      </c>
      <c r="AL32" s="7" t="s">
        <v>387</v>
      </c>
      <c r="AM32" s="7" t="s">
        <v>387</v>
      </c>
      <c r="AN32" s="7" t="s">
        <v>523</v>
      </c>
      <c r="AO32" s="7" t="s">
        <v>692</v>
      </c>
      <c r="AP32" s="7" t="s">
        <v>693</v>
      </c>
      <c r="AQ32" s="7" t="s">
        <v>694</v>
      </c>
    </row>
    <row r="33" ht="14.25" customHeight="1">
      <c r="A33" s="7">
        <v>267.0</v>
      </c>
      <c r="B33" s="7" t="s">
        <v>695</v>
      </c>
      <c r="C33" s="7" t="s">
        <v>84</v>
      </c>
      <c r="D33" s="7" t="s">
        <v>370</v>
      </c>
      <c r="E33" s="7" t="s">
        <v>84</v>
      </c>
      <c r="F33" s="7" t="s">
        <v>85</v>
      </c>
      <c r="G33" s="7">
        <v>2022.0</v>
      </c>
      <c r="H33" s="7" t="s">
        <v>86</v>
      </c>
      <c r="I33" s="7" t="s">
        <v>371</v>
      </c>
      <c r="J33" s="7" t="s">
        <v>696</v>
      </c>
      <c r="K33" s="7" t="s">
        <v>405</v>
      </c>
      <c r="L33" s="7" t="s">
        <v>570</v>
      </c>
      <c r="M33" s="7" t="s">
        <v>570</v>
      </c>
      <c r="N33" s="7" t="s">
        <v>572</v>
      </c>
      <c r="O33" s="7" t="s">
        <v>572</v>
      </c>
      <c r="Q33" s="7" t="s">
        <v>485</v>
      </c>
      <c r="R33" s="7" t="s">
        <v>697</v>
      </c>
      <c r="T33" s="7" t="s">
        <v>397</v>
      </c>
      <c r="V33" s="7" t="s">
        <v>371</v>
      </c>
      <c r="Z33" s="7">
        <v>2000.0</v>
      </c>
      <c r="AA33" s="7">
        <v>2018.0</v>
      </c>
      <c r="AC33" s="7" t="s">
        <v>385</v>
      </c>
      <c r="AE33" s="7" t="s">
        <v>398</v>
      </c>
      <c r="AF33" s="7" t="s">
        <v>385</v>
      </c>
      <c r="AH33" s="7" t="s">
        <v>371</v>
      </c>
      <c r="AJ33" s="7" t="s">
        <v>386</v>
      </c>
      <c r="AL33" s="7" t="s">
        <v>387</v>
      </c>
      <c r="AM33" s="7" t="s">
        <v>497</v>
      </c>
      <c r="AN33" s="7" t="s">
        <v>698</v>
      </c>
      <c r="AO33" s="7" t="s">
        <v>699</v>
      </c>
      <c r="AP33" s="7" t="s">
        <v>540</v>
      </c>
      <c r="AQ33" s="7" t="s">
        <v>700</v>
      </c>
    </row>
    <row r="34" ht="14.25" customHeight="1">
      <c r="A34" s="7">
        <v>266.0</v>
      </c>
      <c r="C34" s="7" t="s">
        <v>165</v>
      </c>
      <c r="D34" s="7" t="s">
        <v>370</v>
      </c>
      <c r="E34" s="7" t="s">
        <v>165</v>
      </c>
      <c r="F34" s="7" t="s">
        <v>166</v>
      </c>
      <c r="G34" s="7">
        <v>2023.0</v>
      </c>
      <c r="H34" s="7" t="s">
        <v>167</v>
      </c>
      <c r="I34" s="7" t="s">
        <v>385</v>
      </c>
      <c r="J34" s="7" t="s">
        <v>701</v>
      </c>
      <c r="K34" s="7" t="s">
        <v>393</v>
      </c>
      <c r="L34" s="7" t="s">
        <v>406</v>
      </c>
      <c r="M34" s="7" t="s">
        <v>406</v>
      </c>
      <c r="O34" s="7" t="s">
        <v>702</v>
      </c>
      <c r="P34" s="7" t="s">
        <v>448</v>
      </c>
      <c r="Q34" s="7" t="s">
        <v>377</v>
      </c>
      <c r="S34" s="7" t="s">
        <v>703</v>
      </c>
      <c r="T34" s="7" t="s">
        <v>380</v>
      </c>
      <c r="V34" s="7" t="s">
        <v>371</v>
      </c>
      <c r="W34" s="7">
        <v>1980.0</v>
      </c>
      <c r="X34" s="7">
        <v>1986.0</v>
      </c>
      <c r="Z34" s="7">
        <v>1986.0</v>
      </c>
      <c r="AA34" s="7">
        <v>2018.0</v>
      </c>
      <c r="AC34" s="7" t="s">
        <v>371</v>
      </c>
      <c r="AD34" s="7" t="s">
        <v>704</v>
      </c>
      <c r="AE34" s="7" t="s">
        <v>398</v>
      </c>
      <c r="AF34" s="7" t="s">
        <v>385</v>
      </c>
      <c r="AH34" s="7" t="s">
        <v>399</v>
      </c>
      <c r="AJ34" s="7" t="s">
        <v>386</v>
      </c>
      <c r="AL34" s="7" t="s">
        <v>387</v>
      </c>
      <c r="AM34" s="7" t="s">
        <v>387</v>
      </c>
      <c r="AN34" s="7" t="s">
        <v>523</v>
      </c>
      <c r="AO34" s="7" t="s">
        <v>705</v>
      </c>
      <c r="AP34" s="7" t="s">
        <v>706</v>
      </c>
      <c r="AQ34" s="7" t="s">
        <v>707</v>
      </c>
    </row>
    <row r="35" ht="14.25" customHeight="1">
      <c r="A35" s="7">
        <v>264.0</v>
      </c>
      <c r="C35" s="7" t="s">
        <v>177</v>
      </c>
      <c r="D35" s="7" t="s">
        <v>370</v>
      </c>
      <c r="E35" s="7" t="s">
        <v>177</v>
      </c>
      <c r="F35" s="7" t="s">
        <v>178</v>
      </c>
      <c r="G35" s="7">
        <v>2022.0</v>
      </c>
      <c r="H35" s="7" t="s">
        <v>708</v>
      </c>
      <c r="I35" s="7" t="s">
        <v>371</v>
      </c>
      <c r="J35" s="7" t="s">
        <v>709</v>
      </c>
      <c r="K35" s="7" t="s">
        <v>435</v>
      </c>
      <c r="L35" s="7" t="s">
        <v>394</v>
      </c>
      <c r="M35" s="7" t="s">
        <v>394</v>
      </c>
      <c r="N35" s="7" t="s">
        <v>710</v>
      </c>
      <c r="O35" s="7" t="s">
        <v>437</v>
      </c>
      <c r="Q35" s="7" t="s">
        <v>678</v>
      </c>
      <c r="R35" s="7" t="s">
        <v>711</v>
      </c>
      <c r="T35" s="7" t="s">
        <v>397</v>
      </c>
      <c r="U35" s="7" t="s">
        <v>712</v>
      </c>
      <c r="V35" s="7" t="s">
        <v>385</v>
      </c>
      <c r="Z35" s="15">
        <v>44136.0</v>
      </c>
      <c r="AA35" s="15">
        <v>44501.0</v>
      </c>
      <c r="AC35" s="7" t="s">
        <v>385</v>
      </c>
      <c r="AE35" s="7" t="s">
        <v>398</v>
      </c>
      <c r="AF35" s="7" t="s">
        <v>385</v>
      </c>
      <c r="AH35" s="7" t="s">
        <v>399</v>
      </c>
      <c r="AJ35" s="7" t="s">
        <v>386</v>
      </c>
      <c r="AL35" s="7" t="s">
        <v>713</v>
      </c>
      <c r="AM35" s="7" t="s">
        <v>428</v>
      </c>
      <c r="AN35" s="7" t="s">
        <v>714</v>
      </c>
      <c r="AO35" s="7" t="s">
        <v>715</v>
      </c>
      <c r="AP35" s="7" t="s">
        <v>471</v>
      </c>
      <c r="AQ35" s="7" t="s">
        <v>716</v>
      </c>
    </row>
    <row r="36" ht="14.25" customHeight="1">
      <c r="A36" s="7">
        <v>261.0</v>
      </c>
      <c r="C36" s="7" t="s">
        <v>207</v>
      </c>
      <c r="D36" s="7" t="s">
        <v>370</v>
      </c>
      <c r="E36" s="7" t="s">
        <v>207</v>
      </c>
      <c r="F36" s="7" t="s">
        <v>208</v>
      </c>
      <c r="G36" s="7">
        <v>2017.0</v>
      </c>
      <c r="H36" s="7" t="s">
        <v>717</v>
      </c>
      <c r="I36" s="7" t="s">
        <v>371</v>
      </c>
      <c r="J36" s="7" t="s">
        <v>718</v>
      </c>
      <c r="K36" s="7" t="s">
        <v>373</v>
      </c>
      <c r="L36" s="7" t="s">
        <v>517</v>
      </c>
      <c r="M36" s="7" t="s">
        <v>517</v>
      </c>
      <c r="N36" s="7" t="s">
        <v>719</v>
      </c>
      <c r="O36" s="7" t="s">
        <v>720</v>
      </c>
      <c r="Q36" s="7" t="s">
        <v>377</v>
      </c>
      <c r="R36" s="7" t="s">
        <v>721</v>
      </c>
      <c r="T36" s="7" t="s">
        <v>397</v>
      </c>
      <c r="V36" s="7" t="s">
        <v>371</v>
      </c>
      <c r="W36" s="7">
        <v>2006.0</v>
      </c>
      <c r="Z36" s="7">
        <v>2006.0</v>
      </c>
      <c r="AA36" s="7">
        <v>2015.0</v>
      </c>
      <c r="AB36" s="7">
        <v>10.0</v>
      </c>
      <c r="AC36" s="7" t="s">
        <v>371</v>
      </c>
      <c r="AD36" s="7" t="s">
        <v>722</v>
      </c>
      <c r="AE36" s="7" t="s">
        <v>584</v>
      </c>
      <c r="AF36" s="7" t="s">
        <v>385</v>
      </c>
      <c r="AH36" s="7" t="s">
        <v>399</v>
      </c>
      <c r="AJ36" s="7" t="s">
        <v>386</v>
      </c>
      <c r="AL36" s="7" t="s">
        <v>598</v>
      </c>
      <c r="AM36" s="7" t="s">
        <v>428</v>
      </c>
      <c r="AN36" s="7" t="s">
        <v>723</v>
      </c>
      <c r="AO36" s="7" t="s">
        <v>724</v>
      </c>
      <c r="AP36" s="7" t="s">
        <v>725</v>
      </c>
      <c r="AQ36" s="7" t="s">
        <v>726</v>
      </c>
    </row>
    <row r="37" ht="14.25" customHeight="1">
      <c r="A37" s="7">
        <v>258.0</v>
      </c>
      <c r="B37" s="7" t="s">
        <v>727</v>
      </c>
      <c r="C37" s="7" t="s">
        <v>168</v>
      </c>
      <c r="D37" s="7" t="s">
        <v>370</v>
      </c>
      <c r="E37" s="7" t="s">
        <v>168</v>
      </c>
      <c r="F37" s="7" t="s">
        <v>169</v>
      </c>
      <c r="G37" s="7">
        <v>2021.0</v>
      </c>
      <c r="H37" s="7" t="s">
        <v>170</v>
      </c>
      <c r="I37" s="7" t="s">
        <v>371</v>
      </c>
      <c r="J37" s="7" t="s">
        <v>728</v>
      </c>
      <c r="K37" s="7" t="s">
        <v>373</v>
      </c>
      <c r="L37" s="7" t="s">
        <v>419</v>
      </c>
      <c r="M37" s="7" t="s">
        <v>419</v>
      </c>
      <c r="N37" s="7" t="s">
        <v>729</v>
      </c>
      <c r="O37" s="7" t="s">
        <v>421</v>
      </c>
      <c r="Q37" s="7" t="s">
        <v>507</v>
      </c>
      <c r="T37" s="7" t="s">
        <v>397</v>
      </c>
      <c r="V37" s="7" t="s">
        <v>371</v>
      </c>
      <c r="Z37" s="7">
        <v>2018.0</v>
      </c>
      <c r="AA37" s="7">
        <v>2019.0</v>
      </c>
      <c r="AB37" s="7" t="s">
        <v>730</v>
      </c>
      <c r="AC37" s="7" t="s">
        <v>385</v>
      </c>
      <c r="AE37" s="7" t="s">
        <v>450</v>
      </c>
      <c r="AF37" s="7" t="s">
        <v>385</v>
      </c>
      <c r="AH37" s="7" t="s">
        <v>399</v>
      </c>
      <c r="AJ37" s="7" t="s">
        <v>386</v>
      </c>
      <c r="AL37" s="7" t="s">
        <v>731</v>
      </c>
      <c r="AM37" s="7" t="s">
        <v>428</v>
      </c>
      <c r="AN37" s="7" t="s">
        <v>732</v>
      </c>
      <c r="AO37" s="7" t="s">
        <v>733</v>
      </c>
      <c r="AP37" s="7" t="s">
        <v>734</v>
      </c>
      <c r="AQ37" s="7" t="s">
        <v>735</v>
      </c>
    </row>
    <row r="38" ht="14.25" customHeight="1">
      <c r="A38" s="7">
        <v>257.0</v>
      </c>
      <c r="B38" s="7" t="s">
        <v>736</v>
      </c>
      <c r="C38" s="7" t="s">
        <v>93</v>
      </c>
      <c r="D38" s="7" t="s">
        <v>370</v>
      </c>
      <c r="E38" s="7" t="s">
        <v>93</v>
      </c>
      <c r="F38" s="7" t="s">
        <v>94</v>
      </c>
      <c r="G38" s="7">
        <v>2016.0</v>
      </c>
      <c r="H38" s="7" t="s">
        <v>737</v>
      </c>
      <c r="I38" s="7" t="s">
        <v>371</v>
      </c>
      <c r="J38" s="7" t="s">
        <v>738</v>
      </c>
      <c r="K38" s="7" t="s">
        <v>393</v>
      </c>
      <c r="L38" s="7" t="s">
        <v>739</v>
      </c>
      <c r="M38" s="7" t="s">
        <v>739</v>
      </c>
      <c r="N38" s="7" t="s">
        <v>740</v>
      </c>
      <c r="O38" s="7" t="s">
        <v>741</v>
      </c>
      <c r="P38" s="7" t="s">
        <v>396</v>
      </c>
      <c r="Q38" s="7" t="s">
        <v>377</v>
      </c>
      <c r="R38" s="7" t="s">
        <v>742</v>
      </c>
      <c r="T38" s="7" t="s">
        <v>397</v>
      </c>
      <c r="V38" s="7" t="s">
        <v>371</v>
      </c>
      <c r="Z38" s="7">
        <v>2000.0</v>
      </c>
      <c r="AA38" s="7">
        <v>2012.0</v>
      </c>
      <c r="AB38" s="7">
        <v>12.0</v>
      </c>
      <c r="AC38" s="7" t="s">
        <v>385</v>
      </c>
      <c r="AE38" s="7" t="s">
        <v>450</v>
      </c>
      <c r="AF38" s="7" t="s">
        <v>385</v>
      </c>
      <c r="AH38" s="7" t="s">
        <v>399</v>
      </c>
      <c r="AJ38" s="7" t="s">
        <v>386</v>
      </c>
      <c r="AL38" s="7" t="s">
        <v>387</v>
      </c>
      <c r="AM38" s="7" t="s">
        <v>387</v>
      </c>
      <c r="AN38" s="7" t="s">
        <v>743</v>
      </c>
      <c r="AO38" s="7" t="s">
        <v>744</v>
      </c>
      <c r="AP38" s="7" t="s">
        <v>745</v>
      </c>
      <c r="AQ38" s="7" t="s">
        <v>746</v>
      </c>
    </row>
    <row r="39" ht="14.25" customHeight="1">
      <c r="A39" s="7">
        <v>245.0</v>
      </c>
      <c r="C39" s="7" t="s">
        <v>138</v>
      </c>
      <c r="D39" s="7" t="s">
        <v>370</v>
      </c>
      <c r="E39" s="7" t="s">
        <v>747</v>
      </c>
      <c r="F39" s="7" t="s">
        <v>139</v>
      </c>
      <c r="G39" s="7">
        <v>2019.0</v>
      </c>
      <c r="H39" s="7" t="s">
        <v>140</v>
      </c>
      <c r="I39" s="7" t="s">
        <v>371</v>
      </c>
      <c r="J39" s="7" t="s">
        <v>748</v>
      </c>
      <c r="K39" s="7" t="s">
        <v>405</v>
      </c>
      <c r="L39" s="7" t="s">
        <v>406</v>
      </c>
      <c r="M39" s="7" t="s">
        <v>406</v>
      </c>
      <c r="N39" s="7" t="s">
        <v>688</v>
      </c>
      <c r="O39" s="7" t="s">
        <v>408</v>
      </c>
      <c r="Q39" s="7" t="s">
        <v>377</v>
      </c>
      <c r="R39" s="7" t="s">
        <v>749</v>
      </c>
      <c r="T39" s="7" t="s">
        <v>397</v>
      </c>
      <c r="U39" s="7" t="s">
        <v>750</v>
      </c>
      <c r="V39" s="7" t="s">
        <v>371</v>
      </c>
      <c r="Z39" s="7">
        <v>1987.0</v>
      </c>
      <c r="AA39" s="7">
        <v>2006.0</v>
      </c>
      <c r="AC39" s="7" t="s">
        <v>371</v>
      </c>
      <c r="AD39" s="7" t="s">
        <v>751</v>
      </c>
      <c r="AE39" s="7" t="s">
        <v>398</v>
      </c>
      <c r="AF39" s="7" t="s">
        <v>385</v>
      </c>
      <c r="AH39" s="7" t="s">
        <v>371</v>
      </c>
      <c r="AJ39" s="7" t="s">
        <v>386</v>
      </c>
      <c r="AL39" s="7" t="s">
        <v>387</v>
      </c>
      <c r="AM39" s="7" t="s">
        <v>387</v>
      </c>
      <c r="AN39" s="7" t="s">
        <v>523</v>
      </c>
      <c r="AO39" s="7" t="s">
        <v>752</v>
      </c>
      <c r="AP39" s="7" t="s">
        <v>753</v>
      </c>
      <c r="AQ39" s="7" t="s">
        <v>754</v>
      </c>
    </row>
    <row r="40" ht="14.25" customHeight="1">
      <c r="A40" s="7">
        <v>243.0</v>
      </c>
      <c r="C40" s="7" t="s">
        <v>162</v>
      </c>
      <c r="D40" s="7" t="s">
        <v>370</v>
      </c>
      <c r="E40" s="7" t="s">
        <v>162</v>
      </c>
      <c r="F40" s="7" t="s">
        <v>163</v>
      </c>
      <c r="G40" s="7">
        <v>2017.0</v>
      </c>
      <c r="H40" s="7" t="s">
        <v>755</v>
      </c>
      <c r="I40" s="7" t="s">
        <v>371</v>
      </c>
      <c r="J40" s="7" t="s">
        <v>756</v>
      </c>
      <c r="K40" s="7" t="s">
        <v>373</v>
      </c>
      <c r="L40" s="7" t="s">
        <v>419</v>
      </c>
      <c r="M40" s="7" t="s">
        <v>419</v>
      </c>
      <c r="N40" s="7" t="s">
        <v>757</v>
      </c>
      <c r="O40" s="7" t="s">
        <v>494</v>
      </c>
      <c r="Q40" s="7" t="s">
        <v>758</v>
      </c>
      <c r="R40" s="7" t="s">
        <v>759</v>
      </c>
      <c r="S40" s="7" t="s">
        <v>760</v>
      </c>
      <c r="T40" s="7" t="s">
        <v>397</v>
      </c>
      <c r="V40" s="7" t="s">
        <v>371</v>
      </c>
      <c r="Z40" s="7">
        <v>1992.0</v>
      </c>
      <c r="AA40" s="7">
        <v>2014.0</v>
      </c>
      <c r="AB40" s="7">
        <v>24.0</v>
      </c>
      <c r="AC40" s="7" t="s">
        <v>385</v>
      </c>
      <c r="AE40" s="7" t="s">
        <v>398</v>
      </c>
      <c r="AF40" s="7" t="s">
        <v>385</v>
      </c>
      <c r="AH40" s="7" t="s">
        <v>371</v>
      </c>
      <c r="AJ40" s="7" t="s">
        <v>386</v>
      </c>
      <c r="AL40" s="7" t="s">
        <v>387</v>
      </c>
      <c r="AM40" s="7" t="s">
        <v>387</v>
      </c>
      <c r="AN40" s="7" t="s">
        <v>523</v>
      </c>
      <c r="AO40" s="7" t="s">
        <v>761</v>
      </c>
      <c r="AP40" s="7" t="s">
        <v>762</v>
      </c>
      <c r="AQ40" s="7" t="s">
        <v>763</v>
      </c>
    </row>
    <row r="41" ht="14.25" customHeight="1">
      <c r="A41" s="7">
        <v>237.0</v>
      </c>
      <c r="C41" s="7" t="s">
        <v>45</v>
      </c>
      <c r="D41" s="7" t="s">
        <v>370</v>
      </c>
      <c r="E41" s="7" t="s">
        <v>45</v>
      </c>
      <c r="F41" s="7" t="s">
        <v>46</v>
      </c>
      <c r="G41" s="7">
        <v>2017.0</v>
      </c>
      <c r="H41" s="7" t="s">
        <v>764</v>
      </c>
      <c r="I41" s="7" t="s">
        <v>371</v>
      </c>
      <c r="J41" s="7" t="s">
        <v>765</v>
      </c>
      <c r="K41" s="7" t="s">
        <v>435</v>
      </c>
      <c r="L41" s="7" t="s">
        <v>517</v>
      </c>
      <c r="M41" s="7" t="s">
        <v>517</v>
      </c>
      <c r="N41" s="7" t="s">
        <v>766</v>
      </c>
      <c r="O41" s="7" t="s">
        <v>767</v>
      </c>
      <c r="Q41" s="7" t="s">
        <v>377</v>
      </c>
      <c r="R41" s="7" t="s">
        <v>768</v>
      </c>
      <c r="T41" s="7" t="s">
        <v>397</v>
      </c>
      <c r="U41" s="7" t="s">
        <v>769</v>
      </c>
      <c r="V41" s="7" t="s">
        <v>371</v>
      </c>
      <c r="Z41" s="7" t="s">
        <v>770</v>
      </c>
      <c r="AA41" s="7">
        <v>2013.0</v>
      </c>
      <c r="AB41" s="7">
        <v>13.0</v>
      </c>
      <c r="AC41" s="7" t="s">
        <v>385</v>
      </c>
      <c r="AD41" s="7" t="s">
        <v>771</v>
      </c>
      <c r="AE41" s="7" t="s">
        <v>398</v>
      </c>
      <c r="AF41" s="7" t="s">
        <v>385</v>
      </c>
      <c r="AH41" s="7" t="s">
        <v>371</v>
      </c>
      <c r="AI41" s="7" t="s">
        <v>772</v>
      </c>
      <c r="AJ41" s="7" t="s">
        <v>386</v>
      </c>
      <c r="AL41" s="7" t="s">
        <v>387</v>
      </c>
      <c r="AM41" s="7" t="s">
        <v>387</v>
      </c>
      <c r="AN41" s="7" t="s">
        <v>523</v>
      </c>
      <c r="AO41" s="7" t="s">
        <v>773</v>
      </c>
      <c r="AP41" s="7" t="s">
        <v>774</v>
      </c>
    </row>
    <row r="42" ht="14.25" customHeight="1">
      <c r="A42" s="7">
        <v>234.0</v>
      </c>
      <c r="B42" s="7" t="s">
        <v>775</v>
      </c>
      <c r="C42" s="7" t="s">
        <v>102</v>
      </c>
      <c r="D42" s="7" t="s">
        <v>370</v>
      </c>
      <c r="E42" s="7" t="s">
        <v>102</v>
      </c>
      <c r="F42" s="7" t="s">
        <v>103</v>
      </c>
      <c r="G42" s="7">
        <v>2020.0</v>
      </c>
      <c r="H42" s="7" t="s">
        <v>776</v>
      </c>
      <c r="I42" s="7" t="s">
        <v>371</v>
      </c>
      <c r="J42" s="7" t="s">
        <v>777</v>
      </c>
      <c r="K42" s="7" t="s">
        <v>373</v>
      </c>
      <c r="L42" s="7" t="s">
        <v>555</v>
      </c>
      <c r="M42" s="7" t="s">
        <v>555</v>
      </c>
      <c r="N42" s="7" t="s">
        <v>374</v>
      </c>
      <c r="O42" s="7" t="s">
        <v>778</v>
      </c>
      <c r="P42" s="7" t="s">
        <v>374</v>
      </c>
      <c r="Q42" s="7" t="s">
        <v>377</v>
      </c>
      <c r="R42" s="7" t="s">
        <v>779</v>
      </c>
      <c r="S42" s="7" t="s">
        <v>780</v>
      </c>
      <c r="T42" s="7" t="s">
        <v>582</v>
      </c>
      <c r="U42" s="7" t="s">
        <v>781</v>
      </c>
      <c r="V42" s="7" t="s">
        <v>371</v>
      </c>
      <c r="W42" s="7" t="s">
        <v>782</v>
      </c>
      <c r="AA42" s="7" t="s">
        <v>783</v>
      </c>
      <c r="AB42" s="7">
        <v>30.0</v>
      </c>
      <c r="AC42" s="7" t="s">
        <v>371</v>
      </c>
      <c r="AD42" s="7" t="s">
        <v>784</v>
      </c>
      <c r="AE42" s="7" t="s">
        <v>584</v>
      </c>
      <c r="AF42" s="7" t="s">
        <v>385</v>
      </c>
      <c r="AH42" s="7" t="s">
        <v>371</v>
      </c>
      <c r="AI42" s="7" t="s">
        <v>785</v>
      </c>
      <c r="AJ42" s="7" t="s">
        <v>386</v>
      </c>
      <c r="AL42" s="7" t="s">
        <v>786</v>
      </c>
      <c r="AM42" s="7" t="s">
        <v>428</v>
      </c>
      <c r="AN42" s="7" t="s">
        <v>787</v>
      </c>
      <c r="AO42" s="7" t="s">
        <v>788</v>
      </c>
      <c r="AP42" s="7" t="s">
        <v>789</v>
      </c>
      <c r="AQ42" s="7" t="s">
        <v>790</v>
      </c>
    </row>
    <row r="43" ht="14.25" customHeight="1">
      <c r="A43" s="7">
        <v>233.0</v>
      </c>
      <c r="C43" s="7" t="s">
        <v>195</v>
      </c>
      <c r="D43" s="7" t="s">
        <v>370</v>
      </c>
      <c r="E43" s="7" t="s">
        <v>195</v>
      </c>
      <c r="F43" s="7" t="s">
        <v>196</v>
      </c>
      <c r="G43" s="7">
        <v>2021.0</v>
      </c>
      <c r="H43" s="7" t="s">
        <v>197</v>
      </c>
      <c r="I43" s="7" t="s">
        <v>371</v>
      </c>
      <c r="J43" s="7" t="s">
        <v>791</v>
      </c>
      <c r="K43" s="7" t="s">
        <v>535</v>
      </c>
      <c r="L43" s="7" t="s">
        <v>536</v>
      </c>
      <c r="M43" s="7" t="s">
        <v>536</v>
      </c>
      <c r="O43" s="7" t="s">
        <v>792</v>
      </c>
      <c r="P43" s="7" t="s">
        <v>555</v>
      </c>
      <c r="Q43" s="7" t="s">
        <v>377</v>
      </c>
      <c r="R43" s="7" t="s">
        <v>793</v>
      </c>
      <c r="S43" s="7" t="s">
        <v>794</v>
      </c>
      <c r="T43" s="7" t="s">
        <v>548</v>
      </c>
      <c r="U43" s="7" t="s">
        <v>795</v>
      </c>
      <c r="V43" s="7" t="s">
        <v>385</v>
      </c>
      <c r="Z43" s="7">
        <v>2000.0</v>
      </c>
      <c r="AA43" s="7">
        <v>2012.0</v>
      </c>
      <c r="AC43" s="7" t="s">
        <v>385</v>
      </c>
      <c r="AE43" s="7" t="s">
        <v>425</v>
      </c>
      <c r="AF43" s="7" t="s">
        <v>371</v>
      </c>
      <c r="AG43" s="7" t="s">
        <v>440</v>
      </c>
      <c r="AH43" s="7" t="s">
        <v>399</v>
      </c>
      <c r="AJ43" s="7" t="s">
        <v>386</v>
      </c>
      <c r="AL43" s="7" t="s">
        <v>387</v>
      </c>
      <c r="AM43" s="7" t="s">
        <v>387</v>
      </c>
      <c r="AN43" s="7" t="s">
        <v>743</v>
      </c>
      <c r="AO43" s="7" t="s">
        <v>796</v>
      </c>
      <c r="AP43" s="7" t="s">
        <v>797</v>
      </c>
      <c r="AQ43" s="7" t="s">
        <v>798</v>
      </c>
    </row>
    <row r="44" ht="14.25" customHeight="1">
      <c r="A44" s="7">
        <v>225.0</v>
      </c>
      <c r="B44" s="7" t="s">
        <v>799</v>
      </c>
      <c r="C44" s="7" t="s">
        <v>21</v>
      </c>
      <c r="D44" s="7" t="s">
        <v>370</v>
      </c>
      <c r="E44" s="7" t="s">
        <v>21</v>
      </c>
      <c r="F44" s="7" t="s">
        <v>22</v>
      </c>
      <c r="G44" s="7">
        <v>2016.0</v>
      </c>
      <c r="H44" s="7" t="s">
        <v>23</v>
      </c>
      <c r="I44" s="7" t="s">
        <v>371</v>
      </c>
      <c r="J44" s="7" t="s">
        <v>800</v>
      </c>
      <c r="K44" s="7" t="s">
        <v>435</v>
      </c>
      <c r="L44" s="7" t="s">
        <v>394</v>
      </c>
      <c r="M44" s="7" t="s">
        <v>394</v>
      </c>
      <c r="N44" s="7" t="s">
        <v>801</v>
      </c>
      <c r="O44" s="7" t="s">
        <v>671</v>
      </c>
      <c r="Q44" s="7" t="s">
        <v>377</v>
      </c>
      <c r="R44" s="7" t="s">
        <v>374</v>
      </c>
      <c r="S44" s="7" t="s">
        <v>802</v>
      </c>
      <c r="T44" s="7" t="s">
        <v>397</v>
      </c>
      <c r="V44" s="7" t="s">
        <v>371</v>
      </c>
      <c r="X44" s="7">
        <v>1982.0</v>
      </c>
      <c r="Z44" s="7">
        <v>1990.0</v>
      </c>
      <c r="AA44" s="7">
        <v>2008.0</v>
      </c>
      <c r="AC44" s="7" t="s">
        <v>385</v>
      </c>
      <c r="AE44" s="7" t="s">
        <v>425</v>
      </c>
      <c r="AF44" s="7" t="s">
        <v>371</v>
      </c>
      <c r="AG44" s="7" t="s">
        <v>426</v>
      </c>
      <c r="AH44" s="7" t="s">
        <v>399</v>
      </c>
      <c r="AJ44" s="7" t="s">
        <v>386</v>
      </c>
      <c r="AL44" s="7" t="s">
        <v>658</v>
      </c>
      <c r="AM44" s="7" t="s">
        <v>497</v>
      </c>
      <c r="AN44" s="7" t="s">
        <v>658</v>
      </c>
      <c r="AO44" s="7" t="s">
        <v>803</v>
      </c>
      <c r="AP44" s="7" t="s">
        <v>804</v>
      </c>
      <c r="AQ44" s="7" t="s">
        <v>805</v>
      </c>
    </row>
    <row r="45" ht="14.25" customHeight="1">
      <c r="A45" s="7">
        <v>223.0</v>
      </c>
      <c r="C45" s="7" t="s">
        <v>318</v>
      </c>
      <c r="D45" s="7" t="s">
        <v>370</v>
      </c>
      <c r="E45" s="7" t="s">
        <v>318</v>
      </c>
      <c r="F45" s="7" t="s">
        <v>319</v>
      </c>
      <c r="G45" s="7">
        <v>2016.0</v>
      </c>
      <c r="I45" s="7" t="s">
        <v>371</v>
      </c>
      <c r="J45" s="7" t="s">
        <v>806</v>
      </c>
      <c r="K45" s="7" t="s">
        <v>405</v>
      </c>
      <c r="L45" s="7" t="s">
        <v>406</v>
      </c>
      <c r="M45" s="7" t="s">
        <v>406</v>
      </c>
      <c r="N45" s="7" t="s">
        <v>807</v>
      </c>
      <c r="O45" s="7" t="s">
        <v>808</v>
      </c>
      <c r="Q45" s="7" t="s">
        <v>377</v>
      </c>
      <c r="T45" s="7" t="s">
        <v>397</v>
      </c>
      <c r="V45" s="7" t="s">
        <v>385</v>
      </c>
      <c r="Z45" s="7" t="s">
        <v>809</v>
      </c>
      <c r="AB45" s="7" t="s">
        <v>810</v>
      </c>
      <c r="AC45" s="7" t="s">
        <v>385</v>
      </c>
      <c r="AE45" s="7" t="s">
        <v>450</v>
      </c>
      <c r="AF45" s="7" t="s">
        <v>385</v>
      </c>
      <c r="AH45" s="7" t="s">
        <v>399</v>
      </c>
      <c r="AJ45" s="7" t="s">
        <v>386</v>
      </c>
      <c r="AL45" s="7" t="s">
        <v>387</v>
      </c>
      <c r="AM45" s="7" t="s">
        <v>387</v>
      </c>
      <c r="AN45" s="7" t="s">
        <v>523</v>
      </c>
      <c r="AO45" s="7" t="s">
        <v>811</v>
      </c>
      <c r="AP45" s="7" t="s">
        <v>812</v>
      </c>
      <c r="AQ45" s="7" t="s">
        <v>813</v>
      </c>
    </row>
    <row r="46" ht="14.25" customHeight="1">
      <c r="A46" s="7">
        <v>218.0</v>
      </c>
      <c r="B46" s="7" t="s">
        <v>814</v>
      </c>
      <c r="C46" s="7" t="s">
        <v>114</v>
      </c>
      <c r="D46" s="7" t="s">
        <v>370</v>
      </c>
      <c r="E46" s="7" t="s">
        <v>114</v>
      </c>
      <c r="F46" s="7" t="s">
        <v>115</v>
      </c>
      <c r="G46" s="7">
        <v>2021.0</v>
      </c>
      <c r="H46" s="7" t="s">
        <v>116</v>
      </c>
      <c r="I46" s="7" t="s">
        <v>371</v>
      </c>
      <c r="J46" s="7" t="s">
        <v>815</v>
      </c>
      <c r="K46" s="7" t="s">
        <v>373</v>
      </c>
      <c r="L46" s="7" t="s">
        <v>570</v>
      </c>
      <c r="M46" s="7" t="s">
        <v>570</v>
      </c>
      <c r="N46" s="7" t="s">
        <v>816</v>
      </c>
      <c r="O46" s="7" t="s">
        <v>572</v>
      </c>
      <c r="Q46" s="7" t="s">
        <v>377</v>
      </c>
      <c r="T46" s="7" t="s">
        <v>397</v>
      </c>
      <c r="V46" s="7" t="s">
        <v>371</v>
      </c>
      <c r="Z46" s="7">
        <v>1986.0</v>
      </c>
      <c r="AA46" s="7">
        <v>2015.0</v>
      </c>
      <c r="AB46" s="7">
        <v>30.0</v>
      </c>
      <c r="AC46" s="7" t="s">
        <v>371</v>
      </c>
      <c r="AD46" s="7" t="s">
        <v>817</v>
      </c>
      <c r="AE46" s="7" t="s">
        <v>530</v>
      </c>
      <c r="AF46" s="7" t="s">
        <v>385</v>
      </c>
      <c r="AH46" s="7" t="s">
        <v>371</v>
      </c>
      <c r="AI46" s="7" t="s">
        <v>818</v>
      </c>
      <c r="AJ46" s="7" t="s">
        <v>386</v>
      </c>
      <c r="AL46" s="7" t="s">
        <v>387</v>
      </c>
      <c r="AM46" s="7" t="s">
        <v>387</v>
      </c>
      <c r="AN46" s="7" t="s">
        <v>523</v>
      </c>
      <c r="AO46" s="7" t="s">
        <v>819</v>
      </c>
      <c r="AP46" s="7" t="s">
        <v>820</v>
      </c>
    </row>
    <row r="47" ht="14.25" customHeight="1">
      <c r="A47" s="7">
        <v>213.0</v>
      </c>
      <c r="B47" s="7" t="s">
        <v>821</v>
      </c>
      <c r="C47" s="7" t="s">
        <v>117</v>
      </c>
      <c r="D47" s="7" t="s">
        <v>370</v>
      </c>
      <c r="E47" s="7" t="s">
        <v>822</v>
      </c>
      <c r="F47" s="7" t="s">
        <v>118</v>
      </c>
      <c r="G47" s="7">
        <v>2022.0</v>
      </c>
      <c r="H47" s="7" t="s">
        <v>119</v>
      </c>
      <c r="I47" s="7" t="s">
        <v>371</v>
      </c>
      <c r="J47" s="7" t="s">
        <v>823</v>
      </c>
      <c r="K47" s="7" t="s">
        <v>435</v>
      </c>
      <c r="L47" s="7" t="s">
        <v>570</v>
      </c>
      <c r="M47" s="7" t="s">
        <v>570</v>
      </c>
      <c r="N47" s="7" t="s">
        <v>824</v>
      </c>
      <c r="O47" s="7" t="s">
        <v>572</v>
      </c>
      <c r="Q47" s="7" t="s">
        <v>377</v>
      </c>
      <c r="R47" s="7" t="s">
        <v>825</v>
      </c>
      <c r="T47" s="7" t="s">
        <v>548</v>
      </c>
      <c r="V47" s="7" t="s">
        <v>371</v>
      </c>
      <c r="Z47" s="7">
        <v>2000.0</v>
      </c>
      <c r="AA47" s="7">
        <v>2018.0</v>
      </c>
      <c r="AC47" s="7" t="s">
        <v>385</v>
      </c>
      <c r="AE47" s="7" t="s">
        <v>398</v>
      </c>
      <c r="AF47" s="7" t="s">
        <v>371</v>
      </c>
      <c r="AG47" s="7" t="s">
        <v>440</v>
      </c>
      <c r="AH47" s="7" t="s">
        <v>399</v>
      </c>
      <c r="AJ47" s="7" t="s">
        <v>386</v>
      </c>
      <c r="AL47" s="7" t="s">
        <v>658</v>
      </c>
      <c r="AM47" s="7" t="s">
        <v>497</v>
      </c>
      <c r="AN47" s="7" t="s">
        <v>826</v>
      </c>
      <c r="AP47" s="7" t="s">
        <v>827</v>
      </c>
      <c r="AQ47" s="7" t="s">
        <v>828</v>
      </c>
    </row>
    <row r="48" ht="14.25" customHeight="1">
      <c r="A48" s="7">
        <v>209.0</v>
      </c>
      <c r="B48" s="7" t="s">
        <v>829</v>
      </c>
      <c r="C48" s="14" t="s">
        <v>147</v>
      </c>
      <c r="D48" s="7" t="s">
        <v>370</v>
      </c>
      <c r="E48" s="7" t="s">
        <v>147</v>
      </c>
      <c r="F48" s="7" t="s">
        <v>148</v>
      </c>
      <c r="G48" s="7">
        <v>2022.0</v>
      </c>
      <c r="H48" s="7" t="s">
        <v>149</v>
      </c>
      <c r="I48" s="7" t="s">
        <v>371</v>
      </c>
      <c r="J48" s="7" t="s">
        <v>830</v>
      </c>
      <c r="K48" s="7" t="s">
        <v>405</v>
      </c>
      <c r="L48" s="7" t="s">
        <v>570</v>
      </c>
      <c r="M48" s="7" t="s">
        <v>570</v>
      </c>
      <c r="N48" s="7" t="s">
        <v>572</v>
      </c>
      <c r="O48" s="7" t="s">
        <v>572</v>
      </c>
      <c r="Q48" s="7" t="s">
        <v>377</v>
      </c>
      <c r="R48" s="7" t="s">
        <v>793</v>
      </c>
      <c r="T48" s="7" t="s">
        <v>397</v>
      </c>
      <c r="U48" s="7" t="s">
        <v>831</v>
      </c>
      <c r="V48" s="7" t="s">
        <v>371</v>
      </c>
      <c r="Z48" s="7">
        <v>1990.0</v>
      </c>
      <c r="AA48" s="7">
        <v>2019.0</v>
      </c>
      <c r="AC48" s="7" t="s">
        <v>371</v>
      </c>
      <c r="AE48" s="7" t="s">
        <v>425</v>
      </c>
      <c r="AF48" s="7" t="s">
        <v>371</v>
      </c>
      <c r="AG48" s="7" t="s">
        <v>832</v>
      </c>
      <c r="AH48" s="7" t="s">
        <v>371</v>
      </c>
      <c r="AJ48" s="7" t="s">
        <v>386</v>
      </c>
      <c r="AL48" s="7" t="s">
        <v>387</v>
      </c>
      <c r="AM48" s="7" t="s">
        <v>387</v>
      </c>
      <c r="AN48" s="7" t="s">
        <v>743</v>
      </c>
      <c r="AO48" s="7" t="s">
        <v>833</v>
      </c>
      <c r="AP48" s="7" t="s">
        <v>834</v>
      </c>
    </row>
    <row r="49" ht="14.25" customHeight="1">
      <c r="A49" s="7">
        <v>204.0</v>
      </c>
      <c r="B49" s="7" t="s">
        <v>835</v>
      </c>
      <c r="C49" s="7" t="s">
        <v>87</v>
      </c>
      <c r="D49" s="7" t="s">
        <v>370</v>
      </c>
      <c r="E49" s="7" t="s">
        <v>87</v>
      </c>
      <c r="F49" s="7" t="s">
        <v>88</v>
      </c>
      <c r="G49" s="7">
        <v>2013.0</v>
      </c>
      <c r="H49" s="7" t="s">
        <v>836</v>
      </c>
      <c r="I49" s="7" t="s">
        <v>371</v>
      </c>
      <c r="J49" s="7" t="s">
        <v>837</v>
      </c>
      <c r="K49" s="7" t="s">
        <v>373</v>
      </c>
      <c r="L49" s="7" t="s">
        <v>570</v>
      </c>
      <c r="M49" s="7" t="s">
        <v>570</v>
      </c>
      <c r="N49" s="7" t="s">
        <v>838</v>
      </c>
      <c r="O49" s="7" t="s">
        <v>572</v>
      </c>
      <c r="Q49" s="7" t="s">
        <v>377</v>
      </c>
      <c r="R49" s="7" t="s">
        <v>839</v>
      </c>
      <c r="S49" s="7" t="s">
        <v>840</v>
      </c>
      <c r="T49" s="7" t="s">
        <v>397</v>
      </c>
      <c r="U49" s="7" t="s">
        <v>841</v>
      </c>
      <c r="V49" s="7" t="s">
        <v>371</v>
      </c>
      <c r="W49" s="7">
        <v>1978.0</v>
      </c>
      <c r="X49" s="7">
        <v>2000.0</v>
      </c>
      <c r="AA49" s="7">
        <v>2007.0</v>
      </c>
      <c r="AB49" s="7">
        <v>29.0</v>
      </c>
      <c r="AC49" s="7" t="s">
        <v>371</v>
      </c>
      <c r="AD49" s="7" t="s">
        <v>842</v>
      </c>
      <c r="AE49" s="7" t="s">
        <v>530</v>
      </c>
      <c r="AF49" s="7" t="s">
        <v>385</v>
      </c>
      <c r="AH49" s="7" t="s">
        <v>399</v>
      </c>
      <c r="AJ49" s="7" t="s">
        <v>386</v>
      </c>
      <c r="AL49" s="7" t="s">
        <v>843</v>
      </c>
      <c r="AM49" s="7" t="s">
        <v>387</v>
      </c>
      <c r="AN49" s="7" t="s">
        <v>844</v>
      </c>
      <c r="AO49" s="7" t="s">
        <v>845</v>
      </c>
      <c r="AP49" s="7" t="s">
        <v>846</v>
      </c>
      <c r="AQ49" s="7" t="s">
        <v>847</v>
      </c>
    </row>
    <row r="50" ht="14.25" customHeight="1">
      <c r="A50" s="7">
        <v>201.0</v>
      </c>
      <c r="C50" s="7" t="s">
        <v>96</v>
      </c>
      <c r="D50" s="7" t="s">
        <v>370</v>
      </c>
      <c r="E50" s="7" t="s">
        <v>96</v>
      </c>
      <c r="F50" s="7" t="s">
        <v>97</v>
      </c>
      <c r="G50" s="7">
        <v>2018.0</v>
      </c>
      <c r="H50" s="7" t="s">
        <v>98</v>
      </c>
      <c r="I50" s="7" t="s">
        <v>371</v>
      </c>
      <c r="J50" s="7" t="s">
        <v>848</v>
      </c>
      <c r="K50" s="7" t="s">
        <v>373</v>
      </c>
      <c r="L50" s="7" t="s">
        <v>406</v>
      </c>
      <c r="M50" s="7" t="s">
        <v>406</v>
      </c>
      <c r="N50" s="7" t="s">
        <v>849</v>
      </c>
      <c r="O50" s="7" t="s">
        <v>850</v>
      </c>
      <c r="Q50" s="7" t="s">
        <v>507</v>
      </c>
      <c r="R50" s="7" t="s">
        <v>507</v>
      </c>
      <c r="T50" s="7" t="s">
        <v>397</v>
      </c>
      <c r="V50" s="7" t="s">
        <v>385</v>
      </c>
      <c r="AC50" s="7" t="s">
        <v>371</v>
      </c>
      <c r="AE50" s="7" t="s">
        <v>398</v>
      </c>
      <c r="AF50" s="7" t="s">
        <v>385</v>
      </c>
      <c r="AH50" s="7" t="s">
        <v>399</v>
      </c>
      <c r="AJ50" s="7" t="s">
        <v>386</v>
      </c>
      <c r="AL50" s="7" t="s">
        <v>851</v>
      </c>
      <c r="AM50" s="7" t="s">
        <v>497</v>
      </c>
      <c r="AN50" s="7" t="s">
        <v>852</v>
      </c>
      <c r="AO50" s="7" t="s">
        <v>853</v>
      </c>
      <c r="AP50" s="7" t="s">
        <v>854</v>
      </c>
    </row>
    <row r="51" ht="14.25" customHeight="1">
      <c r="A51" s="7">
        <v>196.0</v>
      </c>
      <c r="B51" s="7" t="s">
        <v>855</v>
      </c>
      <c r="C51" s="7" t="s">
        <v>222</v>
      </c>
      <c r="D51" s="7" t="s">
        <v>370</v>
      </c>
      <c r="E51" s="7" t="s">
        <v>222</v>
      </c>
      <c r="F51" s="7" t="s">
        <v>223</v>
      </c>
      <c r="G51" s="7">
        <v>2021.0</v>
      </c>
      <c r="H51" s="7" t="s">
        <v>856</v>
      </c>
      <c r="I51" s="7" t="s">
        <v>371</v>
      </c>
      <c r="J51" s="7" t="s">
        <v>857</v>
      </c>
      <c r="K51" s="7" t="s">
        <v>405</v>
      </c>
      <c r="L51" s="7" t="s">
        <v>570</v>
      </c>
      <c r="M51" s="7" t="s">
        <v>570</v>
      </c>
      <c r="N51" s="7" t="s">
        <v>572</v>
      </c>
      <c r="O51" s="7" t="s">
        <v>572</v>
      </c>
      <c r="Q51" s="7" t="s">
        <v>485</v>
      </c>
      <c r="T51" s="7" t="s">
        <v>548</v>
      </c>
      <c r="V51" s="7" t="s">
        <v>371</v>
      </c>
      <c r="Z51" s="7">
        <v>2010.0</v>
      </c>
      <c r="AA51" s="7">
        <v>2020.0</v>
      </c>
      <c r="AB51" s="7">
        <v>10.0</v>
      </c>
      <c r="AC51" s="7" t="s">
        <v>385</v>
      </c>
      <c r="AE51" s="7" t="s">
        <v>425</v>
      </c>
      <c r="AF51" s="7" t="s">
        <v>371</v>
      </c>
      <c r="AG51" s="7" t="s">
        <v>440</v>
      </c>
      <c r="AH51" s="7" t="s">
        <v>371</v>
      </c>
      <c r="AI51" s="7" t="s">
        <v>858</v>
      </c>
      <c r="AJ51" s="7" t="s">
        <v>386</v>
      </c>
      <c r="AL51" s="7" t="s">
        <v>586</v>
      </c>
      <c r="AM51" s="7" t="s">
        <v>497</v>
      </c>
      <c r="AN51" s="7" t="s">
        <v>859</v>
      </c>
      <c r="AO51" s="7" t="s">
        <v>860</v>
      </c>
      <c r="AP51" s="7" t="s">
        <v>440</v>
      </c>
      <c r="AQ51" s="7" t="s">
        <v>861</v>
      </c>
    </row>
    <row r="52" ht="14.25" customHeight="1">
      <c r="A52" s="7">
        <v>195.0</v>
      </c>
      <c r="B52" s="7" t="s">
        <v>862</v>
      </c>
      <c r="C52" s="7" t="s">
        <v>297</v>
      </c>
      <c r="D52" s="7" t="s">
        <v>370</v>
      </c>
      <c r="E52" s="7" t="s">
        <v>297</v>
      </c>
      <c r="F52" s="7" t="s">
        <v>298</v>
      </c>
      <c r="G52" s="7">
        <v>2020.0</v>
      </c>
      <c r="H52" s="7" t="s">
        <v>863</v>
      </c>
      <c r="I52" s="7" t="s">
        <v>385</v>
      </c>
      <c r="J52" s="7" t="s">
        <v>864</v>
      </c>
      <c r="K52" s="7" t="s">
        <v>373</v>
      </c>
      <c r="L52" s="7" t="s">
        <v>517</v>
      </c>
      <c r="M52" s="7" t="s">
        <v>517</v>
      </c>
      <c r="N52" s="7" t="s">
        <v>865</v>
      </c>
      <c r="O52" s="7" t="s">
        <v>866</v>
      </c>
      <c r="Q52" s="7" t="s">
        <v>377</v>
      </c>
      <c r="R52" s="7" t="s">
        <v>867</v>
      </c>
      <c r="T52" s="7" t="s">
        <v>397</v>
      </c>
      <c r="V52" s="7" t="s">
        <v>371</v>
      </c>
      <c r="W52" s="7">
        <v>1974.0</v>
      </c>
      <c r="X52" s="7">
        <v>1986.0</v>
      </c>
      <c r="Z52" s="7">
        <v>2013.0</v>
      </c>
      <c r="AA52" s="7">
        <v>2016.0</v>
      </c>
      <c r="AC52" s="7" t="s">
        <v>385</v>
      </c>
      <c r="AE52" s="7" t="s">
        <v>450</v>
      </c>
      <c r="AF52" s="7" t="s">
        <v>385</v>
      </c>
      <c r="AH52" s="7" t="s">
        <v>385</v>
      </c>
      <c r="AI52" s="7" t="s">
        <v>868</v>
      </c>
      <c r="AJ52" s="7" t="s">
        <v>386</v>
      </c>
      <c r="AL52" s="7" t="s">
        <v>387</v>
      </c>
      <c r="AM52" s="7" t="s">
        <v>387</v>
      </c>
      <c r="AN52" s="7" t="s">
        <v>523</v>
      </c>
      <c r="AO52" s="7" t="s">
        <v>869</v>
      </c>
      <c r="AP52" s="7" t="s">
        <v>870</v>
      </c>
      <c r="AQ52" s="7" t="s">
        <v>871</v>
      </c>
    </row>
    <row r="53" ht="14.25" customHeight="1">
      <c r="A53" s="7">
        <v>187.0</v>
      </c>
      <c r="B53" s="7" t="s">
        <v>872</v>
      </c>
      <c r="C53" s="7" t="s">
        <v>249</v>
      </c>
      <c r="D53" s="7" t="s">
        <v>370</v>
      </c>
      <c r="E53" s="7" t="s">
        <v>249</v>
      </c>
      <c r="F53" s="7" t="s">
        <v>250</v>
      </c>
      <c r="G53" s="7">
        <v>2021.0</v>
      </c>
      <c r="H53" s="7" t="s">
        <v>873</v>
      </c>
      <c r="I53" s="7" t="s">
        <v>371</v>
      </c>
      <c r="J53" s="7" t="s">
        <v>874</v>
      </c>
      <c r="K53" s="7" t="s">
        <v>435</v>
      </c>
      <c r="L53" s="7" t="s">
        <v>570</v>
      </c>
      <c r="M53" s="7" t="s">
        <v>570</v>
      </c>
      <c r="N53" s="7" t="s">
        <v>875</v>
      </c>
      <c r="O53" s="7" t="s">
        <v>572</v>
      </c>
      <c r="Q53" s="7" t="s">
        <v>507</v>
      </c>
      <c r="R53" s="7" t="s">
        <v>876</v>
      </c>
      <c r="T53" s="7" t="s">
        <v>380</v>
      </c>
      <c r="U53" s="7" t="s">
        <v>877</v>
      </c>
      <c r="V53" s="7" t="s">
        <v>371</v>
      </c>
      <c r="Z53" s="7">
        <v>1985.0</v>
      </c>
      <c r="AA53" s="7">
        <v>2015.0</v>
      </c>
      <c r="AC53" s="7" t="s">
        <v>371</v>
      </c>
      <c r="AD53" s="7" t="s">
        <v>878</v>
      </c>
      <c r="AE53" s="7" t="s">
        <v>425</v>
      </c>
      <c r="AF53" s="7" t="s">
        <v>371</v>
      </c>
      <c r="AG53" s="7" t="s">
        <v>440</v>
      </c>
      <c r="AH53" s="7" t="s">
        <v>371</v>
      </c>
      <c r="AJ53" s="7" t="s">
        <v>386</v>
      </c>
      <c r="AL53" s="7" t="s">
        <v>387</v>
      </c>
      <c r="AM53" s="7" t="s">
        <v>387</v>
      </c>
      <c r="AN53" s="7" t="s">
        <v>879</v>
      </c>
      <c r="AO53" s="7" t="s">
        <v>880</v>
      </c>
      <c r="AP53" s="7" t="s">
        <v>881</v>
      </c>
      <c r="AQ53" s="7" t="s">
        <v>882</v>
      </c>
    </row>
    <row r="54" ht="14.25" customHeight="1">
      <c r="A54" s="7">
        <v>185.0</v>
      </c>
      <c r="B54" s="7" t="s">
        <v>883</v>
      </c>
      <c r="C54" s="7" t="s">
        <v>258</v>
      </c>
      <c r="D54" s="7" t="s">
        <v>370</v>
      </c>
      <c r="E54" s="7" t="s">
        <v>884</v>
      </c>
      <c r="F54" s="7" t="s">
        <v>259</v>
      </c>
      <c r="G54" s="7">
        <v>2013.0</v>
      </c>
      <c r="H54" s="7" t="s">
        <v>885</v>
      </c>
      <c r="I54" s="7" t="s">
        <v>371</v>
      </c>
      <c r="J54" s="7" t="s">
        <v>886</v>
      </c>
      <c r="K54" s="7" t="s">
        <v>435</v>
      </c>
      <c r="L54" s="7" t="s">
        <v>570</v>
      </c>
      <c r="M54" s="7" t="s">
        <v>570</v>
      </c>
      <c r="N54" s="7" t="s">
        <v>887</v>
      </c>
      <c r="O54" s="7" t="s">
        <v>888</v>
      </c>
      <c r="P54" s="7" t="s">
        <v>889</v>
      </c>
      <c r="Q54" s="7" t="s">
        <v>377</v>
      </c>
      <c r="R54" s="7" t="s">
        <v>379</v>
      </c>
      <c r="S54" s="7" t="s">
        <v>890</v>
      </c>
      <c r="T54" s="7" t="s">
        <v>380</v>
      </c>
      <c r="U54" s="7" t="s">
        <v>891</v>
      </c>
      <c r="V54" s="7" t="s">
        <v>371</v>
      </c>
      <c r="X54" s="7">
        <v>1850.0</v>
      </c>
      <c r="Y54" s="7">
        <v>2000.0</v>
      </c>
      <c r="Z54" s="7">
        <v>1999.0</v>
      </c>
      <c r="AA54" s="7">
        <v>2000.0</v>
      </c>
      <c r="AB54" s="7" t="s">
        <v>892</v>
      </c>
      <c r="AC54" s="7" t="s">
        <v>371</v>
      </c>
      <c r="AD54" s="7" t="s">
        <v>893</v>
      </c>
      <c r="AE54" s="7" t="s">
        <v>425</v>
      </c>
      <c r="AF54" s="7" t="s">
        <v>385</v>
      </c>
      <c r="AH54" s="7" t="s">
        <v>399</v>
      </c>
      <c r="AI54" s="7" t="s">
        <v>379</v>
      </c>
      <c r="AJ54" s="7" t="s">
        <v>386</v>
      </c>
      <c r="AK54" s="7" t="s">
        <v>379</v>
      </c>
      <c r="AL54" s="7" t="s">
        <v>523</v>
      </c>
      <c r="AM54" s="7" t="s">
        <v>387</v>
      </c>
      <c r="AN54" s="7" t="s">
        <v>894</v>
      </c>
      <c r="AO54" s="7" t="s">
        <v>895</v>
      </c>
      <c r="AP54" s="7" t="s">
        <v>896</v>
      </c>
    </row>
    <row r="55" ht="14.25" customHeight="1">
      <c r="A55" s="7">
        <v>180.0</v>
      </c>
      <c r="B55" s="7" t="s">
        <v>897</v>
      </c>
      <c r="C55" s="7" t="s">
        <v>210</v>
      </c>
      <c r="D55" s="7" t="s">
        <v>370</v>
      </c>
      <c r="E55" s="7" t="s">
        <v>210</v>
      </c>
      <c r="F55" s="7" t="s">
        <v>211</v>
      </c>
      <c r="G55" s="7">
        <v>2016.0</v>
      </c>
      <c r="H55" s="7" t="s">
        <v>898</v>
      </c>
      <c r="I55" s="7" t="s">
        <v>371</v>
      </c>
      <c r="J55" s="7" t="s">
        <v>899</v>
      </c>
      <c r="K55" s="7" t="s">
        <v>393</v>
      </c>
      <c r="L55" s="7" t="s">
        <v>517</v>
      </c>
      <c r="M55" s="7" t="s">
        <v>517</v>
      </c>
      <c r="N55" s="7" t="s">
        <v>900</v>
      </c>
      <c r="O55" s="7" t="s">
        <v>901</v>
      </c>
      <c r="P55" s="7" t="s">
        <v>902</v>
      </c>
      <c r="Q55" s="7" t="s">
        <v>377</v>
      </c>
      <c r="R55" s="7" t="s">
        <v>903</v>
      </c>
      <c r="T55" s="7" t="s">
        <v>548</v>
      </c>
      <c r="U55" s="7" t="s">
        <v>904</v>
      </c>
      <c r="V55" s="7" t="s">
        <v>371</v>
      </c>
      <c r="Z55" s="7">
        <v>2000.0</v>
      </c>
      <c r="AA55" s="7">
        <v>2013.0</v>
      </c>
      <c r="AB55" s="7" t="s">
        <v>905</v>
      </c>
      <c r="AC55" s="7" t="s">
        <v>385</v>
      </c>
      <c r="AD55" s="7" t="s">
        <v>379</v>
      </c>
      <c r="AE55" s="7" t="s">
        <v>425</v>
      </c>
      <c r="AF55" s="7" t="s">
        <v>371</v>
      </c>
      <c r="AG55" s="7" t="s">
        <v>440</v>
      </c>
      <c r="AH55" s="7" t="s">
        <v>399</v>
      </c>
      <c r="AI55" s="7" t="s">
        <v>379</v>
      </c>
      <c r="AJ55" s="7" t="s">
        <v>386</v>
      </c>
      <c r="AK55" s="7" t="s">
        <v>379</v>
      </c>
      <c r="AL55" s="7" t="s">
        <v>906</v>
      </c>
      <c r="AM55" s="7" t="s">
        <v>387</v>
      </c>
      <c r="AN55" s="7" t="s">
        <v>666</v>
      </c>
      <c r="AO55" s="7" t="s">
        <v>907</v>
      </c>
      <c r="AP55" s="7" t="s">
        <v>734</v>
      </c>
      <c r="AQ55" s="7" t="s">
        <v>908</v>
      </c>
    </row>
    <row r="56" ht="14.25" customHeight="1">
      <c r="A56" s="7">
        <v>179.0</v>
      </c>
      <c r="B56" s="7" t="s">
        <v>909</v>
      </c>
      <c r="C56" s="7" t="s">
        <v>42</v>
      </c>
      <c r="D56" s="7" t="s">
        <v>370</v>
      </c>
      <c r="E56" s="7" t="s">
        <v>42</v>
      </c>
      <c r="F56" s="7" t="s">
        <v>43</v>
      </c>
      <c r="G56" s="7">
        <v>2018.0</v>
      </c>
      <c r="H56" s="7" t="s">
        <v>44</v>
      </c>
      <c r="I56" s="7" t="s">
        <v>371</v>
      </c>
      <c r="J56" s="7" t="s">
        <v>910</v>
      </c>
      <c r="K56" s="7" t="s">
        <v>435</v>
      </c>
      <c r="L56" s="7" t="s">
        <v>406</v>
      </c>
      <c r="M56" s="7" t="s">
        <v>406</v>
      </c>
      <c r="N56" s="7" t="s">
        <v>911</v>
      </c>
      <c r="O56" s="7" t="s">
        <v>912</v>
      </c>
      <c r="P56" s="7" t="s">
        <v>555</v>
      </c>
      <c r="Q56" s="7" t="s">
        <v>507</v>
      </c>
      <c r="R56" s="7" t="s">
        <v>913</v>
      </c>
      <c r="S56" s="7" t="s">
        <v>914</v>
      </c>
      <c r="T56" s="7" t="s">
        <v>397</v>
      </c>
      <c r="V56" s="7" t="s">
        <v>385</v>
      </c>
      <c r="Z56" s="7">
        <v>2016.0</v>
      </c>
      <c r="AB56" s="7" t="s">
        <v>915</v>
      </c>
      <c r="AC56" s="7" t="s">
        <v>385</v>
      </c>
      <c r="AE56" s="7" t="s">
        <v>450</v>
      </c>
      <c r="AF56" s="7" t="s">
        <v>385</v>
      </c>
      <c r="AH56" s="7" t="s">
        <v>399</v>
      </c>
      <c r="AJ56" s="7" t="s">
        <v>386</v>
      </c>
      <c r="AL56" s="7" t="s">
        <v>598</v>
      </c>
      <c r="AM56" s="7" t="s">
        <v>428</v>
      </c>
      <c r="AN56" s="7" t="s">
        <v>787</v>
      </c>
      <c r="AP56" s="7" t="s">
        <v>916</v>
      </c>
      <c r="AQ56" s="7" t="s">
        <v>917</v>
      </c>
    </row>
    <row r="57" ht="14.25" customHeight="1">
      <c r="A57" s="7">
        <v>177.0</v>
      </c>
      <c r="B57" s="7" t="s">
        <v>918</v>
      </c>
      <c r="C57" s="7" t="s">
        <v>174</v>
      </c>
      <c r="D57" s="7" t="s">
        <v>370</v>
      </c>
      <c r="E57" s="7" t="s">
        <v>174</v>
      </c>
      <c r="F57" s="7" t="s">
        <v>175</v>
      </c>
      <c r="G57" s="7">
        <v>2017.0</v>
      </c>
      <c r="H57" s="7" t="s">
        <v>919</v>
      </c>
      <c r="I57" s="7" t="s">
        <v>385</v>
      </c>
      <c r="J57" s="7" t="s">
        <v>920</v>
      </c>
      <c r="K57" s="7" t="s">
        <v>393</v>
      </c>
      <c r="L57" s="7" t="s">
        <v>517</v>
      </c>
      <c r="M57" s="7" t="s">
        <v>517</v>
      </c>
      <c r="N57" s="7" t="s">
        <v>517</v>
      </c>
      <c r="O57" s="7" t="s">
        <v>555</v>
      </c>
      <c r="P57" s="7" t="s">
        <v>902</v>
      </c>
      <c r="Q57" s="7" t="s">
        <v>377</v>
      </c>
      <c r="T57" s="7" t="s">
        <v>548</v>
      </c>
      <c r="V57" s="7" t="s">
        <v>385</v>
      </c>
      <c r="Z57" s="7">
        <v>1981.0</v>
      </c>
      <c r="AA57" s="7">
        <v>2009.0</v>
      </c>
      <c r="AB57" s="7">
        <v>30.0</v>
      </c>
      <c r="AC57" s="7" t="s">
        <v>385</v>
      </c>
      <c r="AE57" s="7" t="s">
        <v>425</v>
      </c>
      <c r="AF57" s="7" t="s">
        <v>371</v>
      </c>
      <c r="AG57" s="7" t="s">
        <v>440</v>
      </c>
      <c r="AH57" s="7" t="s">
        <v>371</v>
      </c>
      <c r="AJ57" s="7" t="s">
        <v>386</v>
      </c>
      <c r="AL57" s="7" t="s">
        <v>387</v>
      </c>
      <c r="AM57" s="7" t="s">
        <v>387</v>
      </c>
      <c r="AN57" s="7" t="s">
        <v>523</v>
      </c>
      <c r="AO57" s="7" t="s">
        <v>921</v>
      </c>
      <c r="AP57" s="7" t="s">
        <v>922</v>
      </c>
      <c r="AQ57" s="7" t="s">
        <v>923</v>
      </c>
    </row>
    <row r="58" ht="14.25" customHeight="1">
      <c r="A58" s="7">
        <v>175.0</v>
      </c>
      <c r="B58" s="7" t="s">
        <v>924</v>
      </c>
      <c r="C58" s="7" t="s">
        <v>320</v>
      </c>
      <c r="D58" s="7" t="s">
        <v>370</v>
      </c>
      <c r="E58" s="7" t="s">
        <v>320</v>
      </c>
      <c r="F58" s="7" t="s">
        <v>321</v>
      </c>
      <c r="G58" s="7">
        <v>2017.0</v>
      </c>
      <c r="I58" s="7" t="s">
        <v>385</v>
      </c>
      <c r="J58" s="7" t="s">
        <v>925</v>
      </c>
      <c r="K58" s="7" t="s">
        <v>535</v>
      </c>
      <c r="L58" s="7" t="s">
        <v>536</v>
      </c>
      <c r="M58" s="7" t="s">
        <v>536</v>
      </c>
      <c r="N58" s="7" t="s">
        <v>374</v>
      </c>
      <c r="O58" s="7" t="s">
        <v>535</v>
      </c>
      <c r="P58" s="7" t="s">
        <v>555</v>
      </c>
      <c r="Q58" s="7" t="s">
        <v>377</v>
      </c>
      <c r="R58" s="7" t="s">
        <v>839</v>
      </c>
      <c r="S58" s="7" t="s">
        <v>926</v>
      </c>
      <c r="T58" s="7" t="s">
        <v>548</v>
      </c>
      <c r="V58" s="7" t="s">
        <v>385</v>
      </c>
      <c r="Z58" s="7">
        <v>2000.0</v>
      </c>
      <c r="AA58" s="7">
        <v>2013.0</v>
      </c>
      <c r="AB58" s="7">
        <v>13.0</v>
      </c>
      <c r="AC58" s="7" t="s">
        <v>385</v>
      </c>
      <c r="AE58" s="7" t="s">
        <v>425</v>
      </c>
      <c r="AF58" s="7" t="s">
        <v>371</v>
      </c>
      <c r="AG58" s="7" t="s">
        <v>440</v>
      </c>
      <c r="AH58" s="7" t="s">
        <v>371</v>
      </c>
      <c r="AI58" s="7" t="s">
        <v>927</v>
      </c>
      <c r="AJ58" s="7" t="s">
        <v>386</v>
      </c>
      <c r="AL58" s="7" t="s">
        <v>387</v>
      </c>
      <c r="AM58" s="7" t="s">
        <v>387</v>
      </c>
      <c r="AN58" s="7" t="s">
        <v>743</v>
      </c>
      <c r="AO58" s="7" t="s">
        <v>928</v>
      </c>
      <c r="AP58" s="7" t="s">
        <v>929</v>
      </c>
      <c r="AQ58" s="7" t="s">
        <v>930</v>
      </c>
    </row>
    <row r="59" ht="14.25" hidden="1" customHeight="1">
      <c r="A59" s="7">
        <v>170.0</v>
      </c>
      <c r="B59" s="7" t="s">
        <v>931</v>
      </c>
      <c r="C59" s="7" t="s">
        <v>932</v>
      </c>
      <c r="D59" s="7" t="s">
        <v>370</v>
      </c>
      <c r="E59" s="7" t="s">
        <v>932</v>
      </c>
      <c r="F59" s="7" t="s">
        <v>933</v>
      </c>
      <c r="G59" s="7">
        <v>2010.0</v>
      </c>
      <c r="H59" s="7" t="s">
        <v>934</v>
      </c>
      <c r="I59" s="7" t="s">
        <v>385</v>
      </c>
      <c r="K59" s="7" t="s">
        <v>405</v>
      </c>
      <c r="L59" s="7" t="s">
        <v>517</v>
      </c>
      <c r="M59" s="7" t="s">
        <v>517</v>
      </c>
      <c r="O59" s="7" t="s">
        <v>935</v>
      </c>
      <c r="Q59" s="7" t="s">
        <v>377</v>
      </c>
      <c r="R59" s="7" t="s">
        <v>936</v>
      </c>
      <c r="T59" s="7" t="s">
        <v>397</v>
      </c>
      <c r="V59" s="7" t="s">
        <v>385</v>
      </c>
      <c r="X59" s="7">
        <v>1999.0</v>
      </c>
      <c r="Z59" s="7">
        <v>2004.0</v>
      </c>
      <c r="AA59" s="7">
        <v>2005.0</v>
      </c>
      <c r="AC59" s="7" t="s">
        <v>385</v>
      </c>
      <c r="AE59" s="7" t="s">
        <v>450</v>
      </c>
      <c r="AF59" s="7" t="s">
        <v>385</v>
      </c>
      <c r="AH59" s="7" t="s">
        <v>399</v>
      </c>
      <c r="AJ59" s="7" t="s">
        <v>937</v>
      </c>
      <c r="AL59" s="7" t="s">
        <v>938</v>
      </c>
      <c r="AM59" s="7" t="s">
        <v>387</v>
      </c>
      <c r="AN59" s="7" t="s">
        <v>939</v>
      </c>
      <c r="AO59" s="7" t="s">
        <v>940</v>
      </c>
      <c r="AP59" s="7" t="s">
        <v>941</v>
      </c>
    </row>
    <row r="60" ht="14.25" customHeight="1">
      <c r="A60" s="7">
        <v>169.0</v>
      </c>
      <c r="B60" s="7" t="s">
        <v>942</v>
      </c>
      <c r="C60" s="7" t="s">
        <v>243</v>
      </c>
      <c r="D60" s="7" t="s">
        <v>370</v>
      </c>
      <c r="E60" s="7" t="s">
        <v>943</v>
      </c>
      <c r="F60" s="7" t="s">
        <v>244</v>
      </c>
      <c r="G60" s="7">
        <v>2014.0</v>
      </c>
      <c r="H60" s="7" t="s">
        <v>944</v>
      </c>
      <c r="I60" s="7" t="s">
        <v>385</v>
      </c>
      <c r="J60" s="7" t="s">
        <v>945</v>
      </c>
      <c r="K60" s="7" t="s">
        <v>535</v>
      </c>
      <c r="L60" s="7" t="s">
        <v>536</v>
      </c>
      <c r="M60" s="7" t="s">
        <v>536</v>
      </c>
      <c r="N60" s="7" t="s">
        <v>379</v>
      </c>
      <c r="O60" s="7" t="s">
        <v>536</v>
      </c>
      <c r="Q60" s="7" t="s">
        <v>377</v>
      </c>
      <c r="R60" s="7" t="s">
        <v>379</v>
      </c>
      <c r="S60" s="7" t="s">
        <v>946</v>
      </c>
      <c r="T60" s="7" t="s">
        <v>397</v>
      </c>
      <c r="U60" s="7" t="s">
        <v>379</v>
      </c>
      <c r="V60" s="7" t="s">
        <v>371</v>
      </c>
      <c r="W60" s="7" t="s">
        <v>379</v>
      </c>
      <c r="X60" s="7" t="s">
        <v>379</v>
      </c>
      <c r="Y60" s="7" t="s">
        <v>379</v>
      </c>
      <c r="Z60" s="7">
        <v>1990.0</v>
      </c>
      <c r="AA60" s="7">
        <v>2010.0</v>
      </c>
      <c r="AB60" s="7">
        <v>20.0</v>
      </c>
      <c r="AC60" s="7" t="s">
        <v>371</v>
      </c>
      <c r="AD60" s="7" t="s">
        <v>561</v>
      </c>
      <c r="AE60" s="7" t="s">
        <v>584</v>
      </c>
      <c r="AF60" s="7" t="s">
        <v>385</v>
      </c>
      <c r="AH60" s="7" t="s">
        <v>399</v>
      </c>
      <c r="AI60" s="7" t="s">
        <v>379</v>
      </c>
      <c r="AJ60" s="7" t="s">
        <v>386</v>
      </c>
      <c r="AK60" s="7" t="s">
        <v>379</v>
      </c>
      <c r="AL60" s="7" t="s">
        <v>387</v>
      </c>
      <c r="AM60" s="7" t="s">
        <v>497</v>
      </c>
      <c r="AN60" s="7" t="s">
        <v>947</v>
      </c>
      <c r="AO60" s="7" t="s">
        <v>948</v>
      </c>
      <c r="AP60" s="7" t="s">
        <v>540</v>
      </c>
      <c r="AQ60" s="7" t="s">
        <v>949</v>
      </c>
    </row>
    <row r="61" ht="14.25" customHeight="1">
      <c r="A61" s="7">
        <v>162.0</v>
      </c>
      <c r="B61" s="7" t="s">
        <v>950</v>
      </c>
      <c r="C61" s="7" t="s">
        <v>213</v>
      </c>
      <c r="D61" s="7" t="s">
        <v>370</v>
      </c>
      <c r="E61" s="7" t="s">
        <v>213</v>
      </c>
      <c r="F61" s="7" t="s">
        <v>214</v>
      </c>
      <c r="G61" s="7">
        <v>2020.0</v>
      </c>
      <c r="H61" s="7" t="s">
        <v>951</v>
      </c>
      <c r="I61" s="7" t="s">
        <v>371</v>
      </c>
      <c r="J61" s="7" t="s">
        <v>952</v>
      </c>
      <c r="K61" s="7" t="s">
        <v>435</v>
      </c>
      <c r="L61" s="7" t="s">
        <v>953</v>
      </c>
      <c r="M61" s="7" t="s">
        <v>953</v>
      </c>
      <c r="N61" s="7" t="s">
        <v>954</v>
      </c>
      <c r="O61" s="7" t="s">
        <v>955</v>
      </c>
      <c r="P61" s="7" t="s">
        <v>555</v>
      </c>
      <c r="Q61" s="7" t="s">
        <v>507</v>
      </c>
      <c r="R61" s="7" t="s">
        <v>507</v>
      </c>
      <c r="S61" s="7" t="s">
        <v>956</v>
      </c>
      <c r="T61" s="7" t="s">
        <v>582</v>
      </c>
      <c r="U61" s="7" t="s">
        <v>957</v>
      </c>
      <c r="V61" s="7" t="s">
        <v>371</v>
      </c>
      <c r="X61" s="7">
        <v>2013.0</v>
      </c>
      <c r="AC61" s="7" t="s">
        <v>371</v>
      </c>
      <c r="AD61" s="7" t="s">
        <v>958</v>
      </c>
      <c r="AE61" s="7" t="s">
        <v>450</v>
      </c>
      <c r="AF61" s="7" t="s">
        <v>385</v>
      </c>
      <c r="AH61" s="7" t="s">
        <v>371</v>
      </c>
      <c r="AJ61" s="7" t="s">
        <v>386</v>
      </c>
      <c r="AL61" s="7" t="s">
        <v>387</v>
      </c>
      <c r="AM61" s="7" t="s">
        <v>387</v>
      </c>
      <c r="AN61" s="7" t="s">
        <v>959</v>
      </c>
      <c r="AO61" s="7" t="s">
        <v>960</v>
      </c>
      <c r="AP61" s="7" t="s">
        <v>961</v>
      </c>
      <c r="AQ61" s="7" t="s">
        <v>962</v>
      </c>
    </row>
    <row r="62" ht="14.25" customHeight="1">
      <c r="A62" s="7">
        <v>157.0</v>
      </c>
      <c r="B62" s="7" t="s">
        <v>963</v>
      </c>
      <c r="C62" s="7" t="s">
        <v>201</v>
      </c>
      <c r="D62" s="7" t="s">
        <v>370</v>
      </c>
      <c r="E62" s="7" t="s">
        <v>201</v>
      </c>
      <c r="F62" s="7" t="s">
        <v>202</v>
      </c>
      <c r="G62" s="7">
        <v>2008.0</v>
      </c>
      <c r="H62" s="7" t="s">
        <v>964</v>
      </c>
      <c r="I62" s="7" t="s">
        <v>371</v>
      </c>
      <c r="J62" s="7" t="s">
        <v>965</v>
      </c>
      <c r="K62" s="7" t="s">
        <v>405</v>
      </c>
      <c r="L62" s="7" t="s">
        <v>406</v>
      </c>
      <c r="M62" s="7" t="s">
        <v>406</v>
      </c>
      <c r="O62" s="7" t="s">
        <v>966</v>
      </c>
      <c r="Q62" s="7" t="s">
        <v>377</v>
      </c>
      <c r="T62" s="7" t="s">
        <v>397</v>
      </c>
      <c r="U62" s="7" t="s">
        <v>967</v>
      </c>
      <c r="V62" s="7" t="s">
        <v>371</v>
      </c>
      <c r="Z62" s="7">
        <v>1990.0</v>
      </c>
      <c r="AA62" s="7">
        <v>2000.0</v>
      </c>
      <c r="AB62" s="7">
        <v>10.0</v>
      </c>
      <c r="AC62" s="7" t="s">
        <v>385</v>
      </c>
      <c r="AE62" s="7" t="s">
        <v>398</v>
      </c>
      <c r="AF62" s="7" t="s">
        <v>385</v>
      </c>
      <c r="AH62" s="7" t="s">
        <v>399</v>
      </c>
      <c r="AJ62" s="7" t="s">
        <v>386</v>
      </c>
      <c r="AL62" s="7" t="s">
        <v>387</v>
      </c>
      <c r="AM62" s="7" t="s">
        <v>387</v>
      </c>
      <c r="AN62" s="7" t="s">
        <v>523</v>
      </c>
      <c r="AO62" s="7" t="s">
        <v>968</v>
      </c>
      <c r="AP62" s="7" t="s">
        <v>969</v>
      </c>
      <c r="AQ62" s="7" t="s">
        <v>970</v>
      </c>
    </row>
    <row r="63" ht="14.25" customHeight="1">
      <c r="A63" s="7">
        <v>153.0</v>
      </c>
      <c r="B63" s="7" t="s">
        <v>971</v>
      </c>
      <c r="C63" s="7" t="s">
        <v>180</v>
      </c>
      <c r="D63" s="7" t="s">
        <v>370</v>
      </c>
      <c r="E63" s="7" t="s">
        <v>180</v>
      </c>
      <c r="F63" s="7" t="s">
        <v>181</v>
      </c>
      <c r="G63" s="7">
        <v>2021.0</v>
      </c>
      <c r="H63" s="7" t="s">
        <v>972</v>
      </c>
      <c r="I63" s="7" t="s">
        <v>371</v>
      </c>
      <c r="J63" s="7" t="s">
        <v>973</v>
      </c>
      <c r="K63" s="7" t="s">
        <v>435</v>
      </c>
      <c r="L63" s="7" t="s">
        <v>570</v>
      </c>
      <c r="M63" s="7" t="s">
        <v>570</v>
      </c>
      <c r="N63" s="7" t="s">
        <v>974</v>
      </c>
      <c r="O63" s="7" t="s">
        <v>975</v>
      </c>
      <c r="P63" s="7" t="s">
        <v>976</v>
      </c>
      <c r="Q63" s="7" t="s">
        <v>377</v>
      </c>
      <c r="S63" s="7" t="s">
        <v>977</v>
      </c>
      <c r="T63" s="7" t="s">
        <v>548</v>
      </c>
      <c r="U63" s="7" t="s">
        <v>978</v>
      </c>
      <c r="V63" s="7" t="s">
        <v>371</v>
      </c>
      <c r="Z63" s="7">
        <v>2000.0</v>
      </c>
      <c r="AA63" s="7">
        <v>2018.0</v>
      </c>
      <c r="AB63" s="7">
        <v>19.0</v>
      </c>
      <c r="AC63" s="7" t="s">
        <v>371</v>
      </c>
      <c r="AD63" s="7" t="s">
        <v>979</v>
      </c>
      <c r="AE63" s="7" t="s">
        <v>425</v>
      </c>
      <c r="AF63" s="7" t="s">
        <v>371</v>
      </c>
      <c r="AG63" s="7" t="s">
        <v>440</v>
      </c>
      <c r="AH63" s="7" t="s">
        <v>371</v>
      </c>
      <c r="AJ63" s="7" t="s">
        <v>386</v>
      </c>
      <c r="AL63" s="7" t="s">
        <v>387</v>
      </c>
      <c r="AM63" s="7" t="s">
        <v>387</v>
      </c>
      <c r="AN63" s="7" t="s">
        <v>743</v>
      </c>
      <c r="AO63" s="7" t="s">
        <v>980</v>
      </c>
      <c r="AP63" s="7" t="s">
        <v>981</v>
      </c>
      <c r="AQ63" s="7" t="s">
        <v>982</v>
      </c>
    </row>
    <row r="64" ht="14.25" customHeight="1">
      <c r="A64" s="7">
        <v>148.0</v>
      </c>
      <c r="B64" s="7" t="s">
        <v>983</v>
      </c>
      <c r="C64" s="7" t="s">
        <v>246</v>
      </c>
      <c r="D64" s="7" t="s">
        <v>370</v>
      </c>
      <c r="E64" s="7" t="s">
        <v>984</v>
      </c>
      <c r="F64" s="7" t="s">
        <v>247</v>
      </c>
      <c r="G64" s="7">
        <v>2007.0</v>
      </c>
      <c r="H64" s="7" t="s">
        <v>985</v>
      </c>
      <c r="I64" s="7" t="s">
        <v>385</v>
      </c>
      <c r="J64" s="7" t="s">
        <v>986</v>
      </c>
      <c r="K64" s="7" t="s">
        <v>373</v>
      </c>
      <c r="L64" s="7" t="s">
        <v>394</v>
      </c>
      <c r="M64" s="7" t="s">
        <v>394</v>
      </c>
      <c r="N64" s="7" t="s">
        <v>987</v>
      </c>
      <c r="O64" s="7" t="s">
        <v>988</v>
      </c>
      <c r="Q64" s="7" t="s">
        <v>377</v>
      </c>
      <c r="R64" s="7" t="s">
        <v>989</v>
      </c>
      <c r="T64" s="7" t="s">
        <v>397</v>
      </c>
      <c r="V64" s="7" t="s">
        <v>371</v>
      </c>
      <c r="X64" s="7">
        <v>1987.0</v>
      </c>
      <c r="Y64" s="7" t="s">
        <v>990</v>
      </c>
      <c r="Z64" s="7">
        <v>2001.0</v>
      </c>
      <c r="AA64" s="7">
        <v>2002.0</v>
      </c>
      <c r="AC64" s="7" t="s">
        <v>371</v>
      </c>
      <c r="AD64" s="7" t="s">
        <v>991</v>
      </c>
      <c r="AE64" s="7" t="s">
        <v>398</v>
      </c>
      <c r="AF64" s="7" t="s">
        <v>385</v>
      </c>
      <c r="AH64" s="7" t="s">
        <v>399</v>
      </c>
      <c r="AJ64" s="7" t="s">
        <v>386</v>
      </c>
      <c r="AL64" s="7" t="s">
        <v>387</v>
      </c>
      <c r="AM64" s="7" t="s">
        <v>387</v>
      </c>
      <c r="AN64" s="7" t="s">
        <v>523</v>
      </c>
      <c r="AO64" s="7" t="s">
        <v>992</v>
      </c>
      <c r="AP64" s="7" t="s">
        <v>993</v>
      </c>
    </row>
    <row r="65" ht="14.25" customHeight="1">
      <c r="A65" s="7">
        <v>147.0</v>
      </c>
      <c r="B65" s="7" t="s">
        <v>994</v>
      </c>
      <c r="C65" s="7" t="s">
        <v>279</v>
      </c>
      <c r="D65" s="7" t="s">
        <v>370</v>
      </c>
      <c r="E65" s="7" t="s">
        <v>995</v>
      </c>
      <c r="F65" s="7" t="s">
        <v>280</v>
      </c>
      <c r="G65" s="7">
        <v>2021.0</v>
      </c>
      <c r="H65" s="7" t="s">
        <v>996</v>
      </c>
      <c r="I65" s="7" t="s">
        <v>385</v>
      </c>
      <c r="J65" s="7" t="s">
        <v>997</v>
      </c>
      <c r="K65" s="7" t="s">
        <v>435</v>
      </c>
      <c r="L65" s="7" t="s">
        <v>570</v>
      </c>
      <c r="M65" s="7" t="s">
        <v>570</v>
      </c>
      <c r="N65" s="7" t="s">
        <v>998</v>
      </c>
      <c r="O65" s="7" t="s">
        <v>572</v>
      </c>
      <c r="Q65" s="7" t="s">
        <v>377</v>
      </c>
      <c r="R65" s="7" t="s">
        <v>839</v>
      </c>
      <c r="S65" s="7" t="s">
        <v>999</v>
      </c>
      <c r="T65" s="7" t="s">
        <v>397</v>
      </c>
      <c r="U65" s="7" t="s">
        <v>1000</v>
      </c>
      <c r="V65" s="7" t="s">
        <v>371</v>
      </c>
      <c r="Z65" s="7">
        <v>2010.0</v>
      </c>
      <c r="AA65" s="7">
        <v>2017.0</v>
      </c>
      <c r="AB65" s="7">
        <v>7.0</v>
      </c>
      <c r="AC65" s="7" t="s">
        <v>385</v>
      </c>
      <c r="AE65" s="7" t="s">
        <v>398</v>
      </c>
      <c r="AF65" s="7" t="s">
        <v>385</v>
      </c>
      <c r="AH65" s="7" t="s">
        <v>399</v>
      </c>
      <c r="AJ65" s="7" t="s">
        <v>386</v>
      </c>
      <c r="AL65" s="7" t="s">
        <v>523</v>
      </c>
      <c r="AM65" s="7" t="s">
        <v>387</v>
      </c>
      <c r="AN65" s="7" t="s">
        <v>1001</v>
      </c>
      <c r="AO65" s="7" t="s">
        <v>1002</v>
      </c>
      <c r="AP65" s="7" t="s">
        <v>1003</v>
      </c>
      <c r="AQ65" s="7" t="s">
        <v>1004</v>
      </c>
    </row>
    <row r="66" ht="14.25" customHeight="1">
      <c r="A66" s="7">
        <v>132.0</v>
      </c>
      <c r="B66" s="7" t="s">
        <v>1005</v>
      </c>
      <c r="C66" s="14" t="s">
        <v>282</v>
      </c>
      <c r="D66" s="7" t="s">
        <v>370</v>
      </c>
      <c r="E66" s="7" t="s">
        <v>282</v>
      </c>
      <c r="F66" s="7" t="s">
        <v>283</v>
      </c>
      <c r="G66" s="7">
        <v>2022.0</v>
      </c>
      <c r="H66" s="7" t="s">
        <v>284</v>
      </c>
      <c r="I66" s="7" t="s">
        <v>371</v>
      </c>
      <c r="J66" s="7" t="s">
        <v>1006</v>
      </c>
      <c r="K66" s="7" t="s">
        <v>373</v>
      </c>
      <c r="L66" s="7" t="s">
        <v>570</v>
      </c>
      <c r="M66" s="7" t="s">
        <v>570</v>
      </c>
      <c r="N66" s="7" t="s">
        <v>1007</v>
      </c>
      <c r="O66" s="7" t="s">
        <v>572</v>
      </c>
      <c r="Q66" s="7" t="s">
        <v>377</v>
      </c>
      <c r="T66" s="7" t="s">
        <v>380</v>
      </c>
      <c r="U66" s="7" t="s">
        <v>1008</v>
      </c>
      <c r="V66" s="7" t="s">
        <v>371</v>
      </c>
      <c r="W66" s="7">
        <v>2005.0</v>
      </c>
      <c r="X66" s="7">
        <v>1995.0</v>
      </c>
      <c r="Y66" s="7">
        <v>2005.0</v>
      </c>
      <c r="AA66" s="7">
        <v>2015.0</v>
      </c>
      <c r="AC66" s="7" t="s">
        <v>371</v>
      </c>
      <c r="AD66" s="7" t="s">
        <v>1009</v>
      </c>
      <c r="AE66" s="7" t="s">
        <v>530</v>
      </c>
      <c r="AF66" s="7" t="s">
        <v>385</v>
      </c>
      <c r="AH66" s="7" t="s">
        <v>371</v>
      </c>
      <c r="AJ66" s="7" t="s">
        <v>386</v>
      </c>
      <c r="AL66" s="7" t="s">
        <v>658</v>
      </c>
      <c r="AM66" s="7" t="s">
        <v>497</v>
      </c>
      <c r="AN66" s="7" t="s">
        <v>658</v>
      </c>
      <c r="AO66" s="7" t="s">
        <v>1010</v>
      </c>
      <c r="AQ66" s="7" t="s">
        <v>1011</v>
      </c>
    </row>
    <row r="67" ht="14.25" customHeight="1">
      <c r="A67" s="7">
        <v>128.0</v>
      </c>
      <c r="B67" s="7" t="s">
        <v>1012</v>
      </c>
      <c r="C67" s="7" t="s">
        <v>36</v>
      </c>
      <c r="D67" s="7" t="s">
        <v>370</v>
      </c>
      <c r="E67" s="7" t="s">
        <v>36</v>
      </c>
      <c r="F67" s="7" t="s">
        <v>37</v>
      </c>
      <c r="G67" s="7">
        <v>2023.0</v>
      </c>
      <c r="H67" s="7" t="s">
        <v>1013</v>
      </c>
      <c r="I67" s="7" t="s">
        <v>371</v>
      </c>
      <c r="J67" s="7" t="s">
        <v>1014</v>
      </c>
      <c r="K67" s="7" t="s">
        <v>405</v>
      </c>
      <c r="L67" s="7" t="s">
        <v>406</v>
      </c>
      <c r="M67" s="7" t="s">
        <v>406</v>
      </c>
      <c r="N67" s="7" t="s">
        <v>409</v>
      </c>
      <c r="O67" s="7" t="s">
        <v>966</v>
      </c>
      <c r="Q67" s="7" t="s">
        <v>678</v>
      </c>
      <c r="R67" s="7" t="s">
        <v>1015</v>
      </c>
      <c r="T67" s="7" t="s">
        <v>397</v>
      </c>
      <c r="V67" s="7" t="s">
        <v>385</v>
      </c>
      <c r="AC67" s="7" t="s">
        <v>385</v>
      </c>
      <c r="AE67" s="7" t="s">
        <v>398</v>
      </c>
      <c r="AF67" s="7" t="s">
        <v>385</v>
      </c>
      <c r="AH67" s="7" t="s">
        <v>399</v>
      </c>
      <c r="AJ67" s="7" t="s">
        <v>386</v>
      </c>
      <c r="AL67" s="7" t="s">
        <v>713</v>
      </c>
      <c r="AM67" s="7" t="s">
        <v>497</v>
      </c>
      <c r="AN67" s="7" t="s">
        <v>658</v>
      </c>
      <c r="AO67" s="7" t="s">
        <v>658</v>
      </c>
      <c r="AP67" s="7" t="s">
        <v>1016</v>
      </c>
      <c r="AQ67" s="7" t="s">
        <v>1017</v>
      </c>
    </row>
    <row r="68" ht="14.25" customHeight="1">
      <c r="A68" s="7">
        <v>125.0</v>
      </c>
      <c r="B68" s="7" t="s">
        <v>1018</v>
      </c>
      <c r="C68" s="7" t="s">
        <v>323</v>
      </c>
      <c r="D68" s="7" t="s">
        <v>370</v>
      </c>
      <c r="E68" s="7" t="s">
        <v>323</v>
      </c>
      <c r="F68" s="7" t="s">
        <v>324</v>
      </c>
      <c r="G68" s="7">
        <v>2020.0</v>
      </c>
      <c r="I68" s="7" t="s">
        <v>371</v>
      </c>
      <c r="J68" s="7" t="s">
        <v>1019</v>
      </c>
      <c r="K68" s="7" t="s">
        <v>373</v>
      </c>
      <c r="L68" s="7" t="s">
        <v>517</v>
      </c>
      <c r="M68" s="7" t="s">
        <v>517</v>
      </c>
      <c r="O68" s="7" t="s">
        <v>1020</v>
      </c>
      <c r="Q68" s="7" t="s">
        <v>377</v>
      </c>
      <c r="T68" s="7" t="s">
        <v>397</v>
      </c>
      <c r="V68" s="7" t="s">
        <v>371</v>
      </c>
      <c r="Z68" s="7">
        <v>2006.0</v>
      </c>
      <c r="AA68" s="7">
        <v>2017.0</v>
      </c>
      <c r="AC68" s="7" t="s">
        <v>385</v>
      </c>
      <c r="AE68" s="7" t="s">
        <v>450</v>
      </c>
      <c r="AF68" s="7" t="s">
        <v>385</v>
      </c>
      <c r="AH68" s="7" t="s">
        <v>399</v>
      </c>
      <c r="AJ68" s="7" t="s">
        <v>386</v>
      </c>
      <c r="AL68" s="7" t="s">
        <v>387</v>
      </c>
      <c r="AM68" s="7" t="s">
        <v>387</v>
      </c>
      <c r="AO68" s="7" t="s">
        <v>1021</v>
      </c>
    </row>
    <row r="69" ht="14.25" customHeight="1">
      <c r="A69" s="7">
        <v>117.0</v>
      </c>
      <c r="B69" s="7" t="s">
        <v>1022</v>
      </c>
      <c r="C69" s="7" t="s">
        <v>261</v>
      </c>
      <c r="D69" s="7" t="s">
        <v>370</v>
      </c>
      <c r="E69" s="7" t="s">
        <v>1023</v>
      </c>
      <c r="F69" s="7" t="s">
        <v>262</v>
      </c>
      <c r="G69" s="7">
        <v>2015.0</v>
      </c>
      <c r="H69" s="7" t="s">
        <v>1024</v>
      </c>
      <c r="I69" s="7" t="s">
        <v>371</v>
      </c>
      <c r="J69" s="7" t="s">
        <v>1025</v>
      </c>
      <c r="K69" s="7" t="s">
        <v>405</v>
      </c>
      <c r="L69" s="7" t="s">
        <v>570</v>
      </c>
      <c r="M69" s="7" t="s">
        <v>570</v>
      </c>
      <c r="N69" s="7" t="s">
        <v>1026</v>
      </c>
      <c r="O69" s="7" t="s">
        <v>1027</v>
      </c>
      <c r="Q69" s="7" t="s">
        <v>377</v>
      </c>
      <c r="T69" s="7" t="s">
        <v>548</v>
      </c>
      <c r="U69" s="7" t="s">
        <v>1028</v>
      </c>
      <c r="V69" s="7" t="s">
        <v>385</v>
      </c>
      <c r="Z69" s="7">
        <v>1999.0</v>
      </c>
      <c r="AA69" s="7">
        <v>2012.0</v>
      </c>
      <c r="AC69" s="7" t="s">
        <v>385</v>
      </c>
      <c r="AE69" s="7" t="s">
        <v>425</v>
      </c>
      <c r="AF69" s="7" t="s">
        <v>371</v>
      </c>
      <c r="AG69" s="7" t="s">
        <v>440</v>
      </c>
      <c r="AH69" s="7" t="s">
        <v>399</v>
      </c>
      <c r="AJ69" s="7" t="s">
        <v>386</v>
      </c>
      <c r="AL69" s="7" t="s">
        <v>1029</v>
      </c>
      <c r="AM69" s="7" t="s">
        <v>387</v>
      </c>
      <c r="AN69" s="7" t="s">
        <v>743</v>
      </c>
      <c r="AO69" s="7" t="s">
        <v>1030</v>
      </c>
      <c r="AP69" s="7" t="s">
        <v>1031</v>
      </c>
      <c r="AQ69" s="7" t="s">
        <v>1032</v>
      </c>
    </row>
    <row r="70" ht="14.25" customHeight="1">
      <c r="A70" s="7">
        <v>113.0</v>
      </c>
      <c r="B70" s="7" t="s">
        <v>1033</v>
      </c>
      <c r="C70" s="7" t="s">
        <v>264</v>
      </c>
      <c r="D70" s="7" t="s">
        <v>370</v>
      </c>
      <c r="E70" s="7" t="s">
        <v>264</v>
      </c>
      <c r="F70" s="7" t="s">
        <v>265</v>
      </c>
      <c r="G70" s="7">
        <v>2016.0</v>
      </c>
      <c r="H70" s="7" t="s">
        <v>1034</v>
      </c>
      <c r="I70" s="7" t="s">
        <v>371</v>
      </c>
      <c r="J70" s="7" t="s">
        <v>1035</v>
      </c>
      <c r="K70" s="7" t="s">
        <v>435</v>
      </c>
      <c r="L70" s="7" t="s">
        <v>394</v>
      </c>
      <c r="M70" s="7" t="s">
        <v>394</v>
      </c>
      <c r="N70" s="7" t="s">
        <v>1036</v>
      </c>
      <c r="O70" s="7" t="s">
        <v>437</v>
      </c>
      <c r="Q70" s="7" t="s">
        <v>377</v>
      </c>
      <c r="R70" s="7" t="s">
        <v>438</v>
      </c>
      <c r="T70" s="7" t="s">
        <v>380</v>
      </c>
      <c r="V70" s="7" t="s">
        <v>371</v>
      </c>
      <c r="W70" s="7" t="s">
        <v>1037</v>
      </c>
      <c r="X70" s="7">
        <v>2001.0</v>
      </c>
      <c r="AA70" s="7">
        <v>2009.0</v>
      </c>
      <c r="AB70" s="7" t="s">
        <v>1038</v>
      </c>
      <c r="AC70" s="7" t="s">
        <v>371</v>
      </c>
      <c r="AD70" s="7" t="s">
        <v>1039</v>
      </c>
      <c r="AE70" s="7" t="s">
        <v>425</v>
      </c>
      <c r="AF70" s="7" t="s">
        <v>385</v>
      </c>
      <c r="AH70" s="7" t="s">
        <v>399</v>
      </c>
      <c r="AJ70" s="7" t="s">
        <v>386</v>
      </c>
      <c r="AK70" s="7" t="s">
        <v>379</v>
      </c>
      <c r="AL70" s="7" t="s">
        <v>387</v>
      </c>
      <c r="AM70" s="7" t="s">
        <v>387</v>
      </c>
      <c r="AN70" s="7" t="s">
        <v>1040</v>
      </c>
      <c r="AQ70" s="7" t="s">
        <v>1041</v>
      </c>
    </row>
    <row r="71" ht="14.25" customHeight="1">
      <c r="A71" s="7">
        <v>112.0</v>
      </c>
      <c r="B71" s="7" t="s">
        <v>1042</v>
      </c>
      <c r="C71" s="14" t="s">
        <v>300</v>
      </c>
      <c r="D71" s="7" t="s">
        <v>370</v>
      </c>
      <c r="E71" s="7" t="s">
        <v>300</v>
      </c>
      <c r="F71" s="7" t="s">
        <v>301</v>
      </c>
      <c r="G71" s="7">
        <v>2022.0</v>
      </c>
      <c r="H71" s="7" t="s">
        <v>302</v>
      </c>
      <c r="I71" s="7" t="s">
        <v>385</v>
      </c>
      <c r="J71" s="7" t="s">
        <v>1043</v>
      </c>
      <c r="K71" s="7" t="s">
        <v>405</v>
      </c>
      <c r="L71" s="7" t="s">
        <v>406</v>
      </c>
      <c r="M71" s="7" t="s">
        <v>406</v>
      </c>
      <c r="N71" s="7" t="s">
        <v>1044</v>
      </c>
      <c r="O71" s="7" t="s">
        <v>1045</v>
      </c>
      <c r="Q71" s="7" t="s">
        <v>377</v>
      </c>
      <c r="R71" s="7" t="s">
        <v>1046</v>
      </c>
      <c r="T71" s="7" t="s">
        <v>397</v>
      </c>
      <c r="U71" s="7" t="s">
        <v>1047</v>
      </c>
      <c r="V71" s="7" t="s">
        <v>371</v>
      </c>
      <c r="Z71" s="7">
        <v>2000.0</v>
      </c>
      <c r="AA71" s="7">
        <v>2018.0</v>
      </c>
      <c r="AB71" s="7">
        <v>18.0</v>
      </c>
      <c r="AC71" s="7" t="s">
        <v>385</v>
      </c>
      <c r="AE71" s="7" t="s">
        <v>398</v>
      </c>
      <c r="AF71" s="7" t="s">
        <v>385</v>
      </c>
      <c r="AH71" s="7" t="s">
        <v>399</v>
      </c>
      <c r="AJ71" s="7" t="s">
        <v>386</v>
      </c>
      <c r="AL71" s="7" t="s">
        <v>387</v>
      </c>
      <c r="AM71" s="7" t="s">
        <v>387</v>
      </c>
      <c r="AN71" s="7" t="s">
        <v>523</v>
      </c>
      <c r="AO71" s="7" t="s">
        <v>1048</v>
      </c>
      <c r="AP71" s="7" t="s">
        <v>1049</v>
      </c>
      <c r="AQ71" s="7" t="s">
        <v>1050</v>
      </c>
    </row>
    <row r="72" ht="14.25" customHeight="1">
      <c r="A72" s="7">
        <v>105.0</v>
      </c>
      <c r="B72" s="7" t="s">
        <v>1051</v>
      </c>
      <c r="C72" s="7" t="s">
        <v>39</v>
      </c>
      <c r="D72" s="7" t="s">
        <v>370</v>
      </c>
      <c r="E72" s="7" t="s">
        <v>39</v>
      </c>
      <c r="F72" s="7" t="s">
        <v>40</v>
      </c>
      <c r="G72" s="7">
        <v>2022.0</v>
      </c>
      <c r="H72" s="7" t="s">
        <v>1052</v>
      </c>
      <c r="I72" s="7" t="s">
        <v>385</v>
      </c>
      <c r="J72" s="7" t="s">
        <v>1053</v>
      </c>
      <c r="K72" s="7" t="s">
        <v>393</v>
      </c>
      <c r="L72" s="7" t="s">
        <v>517</v>
      </c>
      <c r="M72" s="7" t="s">
        <v>517</v>
      </c>
      <c r="N72" s="7" t="s">
        <v>1054</v>
      </c>
      <c r="O72" s="7" t="s">
        <v>1055</v>
      </c>
      <c r="P72" s="7" t="s">
        <v>902</v>
      </c>
      <c r="Q72" s="7" t="s">
        <v>377</v>
      </c>
      <c r="R72" s="7" t="s">
        <v>374</v>
      </c>
      <c r="S72" s="7" t="s">
        <v>1056</v>
      </c>
      <c r="T72" s="7" t="s">
        <v>397</v>
      </c>
      <c r="U72" s="7" t="s">
        <v>1057</v>
      </c>
      <c r="V72" s="7" t="s">
        <v>385</v>
      </c>
      <c r="W72" s="7" t="s">
        <v>379</v>
      </c>
      <c r="X72" s="7" t="s">
        <v>379</v>
      </c>
      <c r="Y72" s="7" t="s">
        <v>379</v>
      </c>
      <c r="Z72" s="7">
        <v>2008.0</v>
      </c>
      <c r="AA72" s="7">
        <v>2017.0</v>
      </c>
      <c r="AB72" s="7">
        <v>10.0</v>
      </c>
      <c r="AC72" s="7" t="s">
        <v>371</v>
      </c>
      <c r="AD72" s="7" t="s">
        <v>1058</v>
      </c>
      <c r="AE72" s="7" t="s">
        <v>584</v>
      </c>
      <c r="AF72" s="7" t="s">
        <v>379</v>
      </c>
      <c r="AH72" s="7" t="s">
        <v>399</v>
      </c>
      <c r="AI72" s="7" t="s">
        <v>379</v>
      </c>
      <c r="AJ72" s="7" t="s">
        <v>386</v>
      </c>
      <c r="AK72" s="7" t="s">
        <v>379</v>
      </c>
      <c r="AL72" s="7" t="s">
        <v>387</v>
      </c>
      <c r="AM72" s="7" t="s">
        <v>387</v>
      </c>
      <c r="AN72" s="7" t="s">
        <v>1059</v>
      </c>
      <c r="AO72" s="7" t="s">
        <v>1060</v>
      </c>
      <c r="AP72" s="7" t="s">
        <v>540</v>
      </c>
      <c r="AQ72" s="7" t="s">
        <v>1061</v>
      </c>
    </row>
    <row r="73" ht="14.25" customHeight="1">
      <c r="A73" s="7">
        <v>102.0</v>
      </c>
      <c r="B73" s="7" t="s">
        <v>1062</v>
      </c>
      <c r="C73" s="7" t="s">
        <v>294</v>
      </c>
      <c r="D73" s="7" t="s">
        <v>370</v>
      </c>
      <c r="E73" s="7" t="s">
        <v>1063</v>
      </c>
      <c r="F73" s="7" t="s">
        <v>295</v>
      </c>
      <c r="G73" s="7">
        <v>2016.0</v>
      </c>
      <c r="H73" s="7" t="s">
        <v>296</v>
      </c>
      <c r="I73" s="7" t="s">
        <v>385</v>
      </c>
      <c r="J73" s="7" t="s">
        <v>1064</v>
      </c>
      <c r="K73" s="7" t="s">
        <v>373</v>
      </c>
      <c r="L73" s="7" t="s">
        <v>517</v>
      </c>
      <c r="M73" s="7" t="s">
        <v>517</v>
      </c>
      <c r="N73" s="7" t="s">
        <v>1065</v>
      </c>
      <c r="O73" s="7" t="s">
        <v>519</v>
      </c>
      <c r="Q73" s="7" t="s">
        <v>377</v>
      </c>
      <c r="R73" s="7" t="s">
        <v>1066</v>
      </c>
      <c r="S73" s="7" t="s">
        <v>1067</v>
      </c>
      <c r="T73" s="7" t="s">
        <v>397</v>
      </c>
      <c r="U73" s="7" t="s">
        <v>1068</v>
      </c>
      <c r="V73" s="7" t="s">
        <v>371</v>
      </c>
      <c r="Z73" s="7">
        <v>1990.0</v>
      </c>
      <c r="AA73" s="7">
        <v>2010.0</v>
      </c>
      <c r="AB73" s="7" t="s">
        <v>1069</v>
      </c>
      <c r="AC73" s="7" t="s">
        <v>385</v>
      </c>
      <c r="AE73" s="7" t="s">
        <v>398</v>
      </c>
      <c r="AF73" s="7" t="s">
        <v>385</v>
      </c>
      <c r="AH73" s="7" t="s">
        <v>399</v>
      </c>
      <c r="AJ73" s="7" t="s">
        <v>386</v>
      </c>
      <c r="AK73" s="7" t="s">
        <v>379</v>
      </c>
      <c r="AL73" s="7" t="s">
        <v>1070</v>
      </c>
      <c r="AM73" s="7" t="s">
        <v>387</v>
      </c>
      <c r="AN73" s="7" t="s">
        <v>523</v>
      </c>
      <c r="AO73" s="7" t="s">
        <v>1071</v>
      </c>
      <c r="AP73" s="7" t="s">
        <v>379</v>
      </c>
      <c r="AQ73" s="7" t="s">
        <v>1072</v>
      </c>
    </row>
    <row r="74" ht="14.25" customHeight="1">
      <c r="A74" s="7">
        <v>98.0</v>
      </c>
      <c r="B74" s="7" t="s">
        <v>1073</v>
      </c>
      <c r="C74" s="7" t="s">
        <v>81</v>
      </c>
      <c r="D74" s="7" t="s">
        <v>370</v>
      </c>
      <c r="E74" s="7" t="s">
        <v>81</v>
      </c>
      <c r="F74" s="7" t="s">
        <v>82</v>
      </c>
      <c r="G74" s="7">
        <v>2023.0</v>
      </c>
      <c r="H74" s="7" t="s">
        <v>83</v>
      </c>
      <c r="I74" s="7" t="s">
        <v>371</v>
      </c>
      <c r="J74" s="7" t="s">
        <v>1074</v>
      </c>
      <c r="K74" s="7" t="s">
        <v>435</v>
      </c>
      <c r="L74" s="7" t="s">
        <v>394</v>
      </c>
      <c r="M74" s="7" t="s">
        <v>394</v>
      </c>
      <c r="N74" s="7" t="s">
        <v>1075</v>
      </c>
      <c r="O74" s="7" t="s">
        <v>437</v>
      </c>
      <c r="Q74" s="7" t="s">
        <v>377</v>
      </c>
      <c r="R74" s="7" t="s">
        <v>1076</v>
      </c>
      <c r="S74" s="7" t="s">
        <v>1077</v>
      </c>
      <c r="T74" s="7" t="s">
        <v>380</v>
      </c>
      <c r="U74" s="7" t="s">
        <v>1078</v>
      </c>
      <c r="V74" s="7" t="s">
        <v>371</v>
      </c>
      <c r="W74" s="7">
        <v>1998.0</v>
      </c>
      <c r="X74" s="7">
        <v>1989.0</v>
      </c>
      <c r="Y74" s="7">
        <v>1998.0</v>
      </c>
      <c r="Z74" s="7" t="s">
        <v>1079</v>
      </c>
      <c r="AA74" s="7">
        <v>2018.0</v>
      </c>
      <c r="AB74" s="7">
        <v>30.0</v>
      </c>
      <c r="AC74" s="7" t="s">
        <v>371</v>
      </c>
      <c r="AD74" s="7" t="s">
        <v>1080</v>
      </c>
      <c r="AE74" s="7" t="s">
        <v>562</v>
      </c>
      <c r="AF74" s="7" t="s">
        <v>385</v>
      </c>
      <c r="AH74" s="7" t="s">
        <v>385</v>
      </c>
      <c r="AI74" s="7" t="s">
        <v>399</v>
      </c>
      <c r="AJ74" s="7" t="s">
        <v>386</v>
      </c>
      <c r="AL74" s="7" t="s">
        <v>387</v>
      </c>
      <c r="AM74" s="7" t="s">
        <v>387</v>
      </c>
      <c r="AN74" s="7" t="s">
        <v>523</v>
      </c>
      <c r="AO74" s="7" t="s">
        <v>1081</v>
      </c>
      <c r="AP74" s="7" t="s">
        <v>1082</v>
      </c>
    </row>
    <row r="75" ht="14.25" customHeight="1">
      <c r="A75" s="7">
        <v>96.0</v>
      </c>
      <c r="B75" s="7" t="s">
        <v>1083</v>
      </c>
      <c r="C75" s="7" t="s">
        <v>267</v>
      </c>
      <c r="D75" s="7" t="s">
        <v>370</v>
      </c>
      <c r="E75" s="7" t="s">
        <v>267</v>
      </c>
      <c r="F75" s="7" t="s">
        <v>268</v>
      </c>
      <c r="G75" s="7">
        <v>2021.0</v>
      </c>
      <c r="H75" s="7" t="s">
        <v>269</v>
      </c>
      <c r="I75" s="7" t="s">
        <v>385</v>
      </c>
      <c r="J75" s="7" t="s">
        <v>1084</v>
      </c>
      <c r="K75" s="7" t="s">
        <v>393</v>
      </c>
      <c r="L75" s="7" t="s">
        <v>406</v>
      </c>
      <c r="M75" s="7" t="s">
        <v>406</v>
      </c>
      <c r="N75" s="7" t="s">
        <v>1085</v>
      </c>
      <c r="O75" s="7" t="s">
        <v>1086</v>
      </c>
      <c r="P75" s="7" t="s">
        <v>1087</v>
      </c>
      <c r="Q75" s="7" t="s">
        <v>377</v>
      </c>
      <c r="R75" s="7" t="s">
        <v>1088</v>
      </c>
      <c r="T75" s="7" t="s">
        <v>397</v>
      </c>
      <c r="V75" s="7" t="s">
        <v>385</v>
      </c>
      <c r="Z75" s="7">
        <v>2012.0</v>
      </c>
      <c r="AC75" s="7" t="s">
        <v>385</v>
      </c>
      <c r="AE75" s="7" t="s">
        <v>398</v>
      </c>
      <c r="AF75" s="7" t="s">
        <v>385</v>
      </c>
      <c r="AH75" s="7" t="s">
        <v>399</v>
      </c>
      <c r="AJ75" s="7" t="s">
        <v>386</v>
      </c>
      <c r="AL75" s="7" t="s">
        <v>523</v>
      </c>
      <c r="AM75" s="7" t="s">
        <v>387</v>
      </c>
      <c r="AN75" s="7" t="s">
        <v>608</v>
      </c>
      <c r="AO75" s="7" t="s">
        <v>1089</v>
      </c>
      <c r="AP75" s="7" t="s">
        <v>1090</v>
      </c>
      <c r="AQ75" s="7" t="s">
        <v>1091</v>
      </c>
    </row>
    <row r="76" ht="14.25" customHeight="1">
      <c r="A76" s="7">
        <v>94.0</v>
      </c>
      <c r="B76" s="7" t="s">
        <v>1092</v>
      </c>
      <c r="C76" s="7" t="s">
        <v>326</v>
      </c>
      <c r="D76" s="7" t="s">
        <v>370</v>
      </c>
      <c r="E76" s="7" t="s">
        <v>326</v>
      </c>
      <c r="F76" s="7" t="s">
        <v>327</v>
      </c>
      <c r="G76" s="7">
        <v>2005.0</v>
      </c>
      <c r="I76" s="7" t="s">
        <v>371</v>
      </c>
      <c r="J76" s="7" t="s">
        <v>1093</v>
      </c>
      <c r="K76" s="7" t="s">
        <v>435</v>
      </c>
      <c r="L76" s="7" t="s">
        <v>406</v>
      </c>
      <c r="M76" s="7" t="s">
        <v>406</v>
      </c>
      <c r="N76" s="7" t="s">
        <v>1094</v>
      </c>
      <c r="O76" s="7" t="s">
        <v>966</v>
      </c>
      <c r="Q76" s="7" t="s">
        <v>678</v>
      </c>
      <c r="R76" s="7" t="s">
        <v>1095</v>
      </c>
      <c r="T76" s="7" t="s">
        <v>397</v>
      </c>
      <c r="U76" s="7" t="s">
        <v>1096</v>
      </c>
      <c r="V76" s="7" t="s">
        <v>385</v>
      </c>
      <c r="Z76" s="7">
        <v>2002.0</v>
      </c>
      <c r="AC76" s="7" t="s">
        <v>385</v>
      </c>
      <c r="AE76" s="7" t="s">
        <v>398</v>
      </c>
      <c r="AF76" s="7" t="s">
        <v>385</v>
      </c>
      <c r="AH76" s="7" t="s">
        <v>385</v>
      </c>
      <c r="AJ76" s="7" t="s">
        <v>386</v>
      </c>
      <c r="AL76" s="7" t="s">
        <v>1097</v>
      </c>
      <c r="AM76" s="7" t="s">
        <v>387</v>
      </c>
      <c r="AN76" s="7" t="s">
        <v>1098</v>
      </c>
      <c r="AO76" s="7" t="s">
        <v>1099</v>
      </c>
      <c r="AP76" s="7" t="s">
        <v>1100</v>
      </c>
      <c r="AQ76" s="7" t="s">
        <v>1101</v>
      </c>
    </row>
    <row r="77" ht="14.25" customHeight="1">
      <c r="A77" s="7">
        <v>92.0</v>
      </c>
      <c r="B77" s="7" t="s">
        <v>1102</v>
      </c>
      <c r="C77" s="7" t="s">
        <v>69</v>
      </c>
      <c r="D77" s="7" t="s">
        <v>370</v>
      </c>
      <c r="E77" s="7" t="s">
        <v>69</v>
      </c>
      <c r="F77" s="7" t="s">
        <v>70</v>
      </c>
      <c r="G77" s="7">
        <v>2023.0</v>
      </c>
      <c r="H77" s="7" t="s">
        <v>71</v>
      </c>
      <c r="I77" s="7" t="s">
        <v>385</v>
      </c>
      <c r="J77" s="7" t="s">
        <v>1103</v>
      </c>
      <c r="K77" s="7" t="s">
        <v>373</v>
      </c>
      <c r="L77" s="7" t="s">
        <v>406</v>
      </c>
      <c r="M77" s="7" t="s">
        <v>406</v>
      </c>
      <c r="N77" s="7" t="s">
        <v>1104</v>
      </c>
      <c r="O77" s="7" t="s">
        <v>966</v>
      </c>
      <c r="Q77" s="7" t="s">
        <v>377</v>
      </c>
      <c r="R77" s="7" t="s">
        <v>1105</v>
      </c>
      <c r="T77" s="7" t="s">
        <v>397</v>
      </c>
      <c r="V77" s="7" t="s">
        <v>385</v>
      </c>
      <c r="Z77" s="7">
        <v>1945.0</v>
      </c>
      <c r="AA77" s="7">
        <v>2015.0</v>
      </c>
      <c r="AB77" s="7">
        <v>70.0</v>
      </c>
      <c r="AC77" s="7" t="s">
        <v>385</v>
      </c>
      <c r="AE77" s="7" t="s">
        <v>450</v>
      </c>
      <c r="AF77" s="7" t="s">
        <v>385</v>
      </c>
      <c r="AG77" s="7" t="s">
        <v>1106</v>
      </c>
      <c r="AH77" s="7" t="s">
        <v>371</v>
      </c>
      <c r="AJ77" s="7" t="s">
        <v>386</v>
      </c>
      <c r="AL77" s="7" t="s">
        <v>1107</v>
      </c>
      <c r="AM77" s="7" t="s">
        <v>387</v>
      </c>
      <c r="AN77" s="7" t="s">
        <v>523</v>
      </c>
      <c r="AO77" s="7" t="s">
        <v>1108</v>
      </c>
      <c r="AP77" s="7" t="s">
        <v>610</v>
      </c>
      <c r="AQ77" s="7" t="s">
        <v>1109</v>
      </c>
    </row>
    <row r="78" ht="14.25" customHeight="1">
      <c r="A78" s="7">
        <v>89.0</v>
      </c>
      <c r="B78" s="7" t="s">
        <v>1110</v>
      </c>
      <c r="C78" s="7" t="s">
        <v>270</v>
      </c>
      <c r="D78" s="7" t="s">
        <v>370</v>
      </c>
      <c r="E78" s="7" t="s">
        <v>1111</v>
      </c>
      <c r="F78" s="7" t="s">
        <v>271</v>
      </c>
      <c r="G78" s="7">
        <v>2023.0</v>
      </c>
      <c r="H78" s="7" t="s">
        <v>1112</v>
      </c>
      <c r="I78" s="7" t="s">
        <v>371</v>
      </c>
      <c r="J78" s="7" t="s">
        <v>1113</v>
      </c>
      <c r="K78" s="7" t="s">
        <v>373</v>
      </c>
      <c r="L78" s="7" t="s">
        <v>394</v>
      </c>
      <c r="M78" s="7" t="s">
        <v>394</v>
      </c>
      <c r="N78" s="7" t="s">
        <v>1114</v>
      </c>
      <c r="O78" s="7" t="s">
        <v>437</v>
      </c>
      <c r="Q78" s="7" t="s">
        <v>758</v>
      </c>
      <c r="R78" s="7" t="s">
        <v>1115</v>
      </c>
      <c r="T78" s="7" t="s">
        <v>582</v>
      </c>
      <c r="U78" s="7" t="s">
        <v>1116</v>
      </c>
      <c r="V78" s="7" t="s">
        <v>371</v>
      </c>
      <c r="W78" s="7" t="s">
        <v>1117</v>
      </c>
      <c r="X78" s="7" t="s">
        <v>1118</v>
      </c>
      <c r="Z78" s="7" t="s">
        <v>1119</v>
      </c>
      <c r="AA78" s="7">
        <v>2016.0</v>
      </c>
      <c r="AB78" s="7" t="s">
        <v>1120</v>
      </c>
      <c r="AC78" s="7" t="s">
        <v>371</v>
      </c>
      <c r="AD78" s="7" t="s">
        <v>1121</v>
      </c>
      <c r="AE78" s="7" t="s">
        <v>584</v>
      </c>
      <c r="AF78" s="7" t="s">
        <v>379</v>
      </c>
      <c r="AH78" s="7" t="s">
        <v>399</v>
      </c>
      <c r="AJ78" s="7" t="s">
        <v>386</v>
      </c>
      <c r="AL78" s="7" t="s">
        <v>387</v>
      </c>
      <c r="AM78" s="7" t="s">
        <v>387</v>
      </c>
      <c r="AN78" s="7" t="s">
        <v>743</v>
      </c>
      <c r="AO78" s="7" t="s">
        <v>1122</v>
      </c>
      <c r="AP78" s="7" t="s">
        <v>1123</v>
      </c>
      <c r="AQ78" s="7" t="s">
        <v>1124</v>
      </c>
    </row>
    <row r="79" ht="14.25" customHeight="1">
      <c r="A79" s="7">
        <v>86.0</v>
      </c>
      <c r="B79" s="7" t="s">
        <v>1125</v>
      </c>
      <c r="C79" s="7" t="s">
        <v>288</v>
      </c>
      <c r="D79" s="7" t="s">
        <v>370</v>
      </c>
      <c r="E79" s="7" t="s">
        <v>288</v>
      </c>
      <c r="F79" s="7" t="s">
        <v>289</v>
      </c>
      <c r="G79" s="7">
        <v>2022.0</v>
      </c>
      <c r="H79" s="7" t="s">
        <v>290</v>
      </c>
      <c r="I79" s="7" t="s">
        <v>371</v>
      </c>
      <c r="J79" s="7" t="s">
        <v>1126</v>
      </c>
      <c r="K79" s="7" t="s">
        <v>373</v>
      </c>
      <c r="L79" s="7" t="s">
        <v>570</v>
      </c>
      <c r="M79" s="7" t="s">
        <v>570</v>
      </c>
      <c r="N79" s="7" t="s">
        <v>1127</v>
      </c>
      <c r="O79" s="7" t="s">
        <v>572</v>
      </c>
      <c r="Q79" s="7" t="s">
        <v>377</v>
      </c>
      <c r="T79" s="7" t="s">
        <v>397</v>
      </c>
      <c r="U79" s="7" t="s">
        <v>1128</v>
      </c>
      <c r="V79" s="7" t="s">
        <v>371</v>
      </c>
      <c r="W79" s="7">
        <v>1990.0</v>
      </c>
      <c r="X79" s="7">
        <v>1980.0</v>
      </c>
      <c r="Y79" s="7">
        <v>1990.0</v>
      </c>
      <c r="Z79" s="7">
        <v>2010.0</v>
      </c>
      <c r="AA79" s="7">
        <v>2020.0</v>
      </c>
      <c r="AB79" s="7">
        <v>40.0</v>
      </c>
      <c r="AC79" s="7" t="s">
        <v>385</v>
      </c>
      <c r="AE79" s="7" t="s">
        <v>450</v>
      </c>
      <c r="AF79" s="7" t="s">
        <v>385</v>
      </c>
      <c r="AH79" s="7" t="s">
        <v>399</v>
      </c>
      <c r="AJ79" s="7" t="s">
        <v>386</v>
      </c>
      <c r="AL79" s="7" t="s">
        <v>387</v>
      </c>
      <c r="AM79" s="7" t="s">
        <v>497</v>
      </c>
      <c r="AN79" s="7" t="s">
        <v>658</v>
      </c>
      <c r="AP79" s="7" t="s">
        <v>658</v>
      </c>
      <c r="AQ79" s="7" t="s">
        <v>1129</v>
      </c>
    </row>
    <row r="80" ht="14.25" customHeight="1">
      <c r="A80" s="7">
        <v>83.0</v>
      </c>
      <c r="B80" s="7" t="s">
        <v>1130</v>
      </c>
      <c r="C80" s="7" t="s">
        <v>252</v>
      </c>
      <c r="D80" s="7" t="s">
        <v>370</v>
      </c>
      <c r="E80" s="7" t="s">
        <v>1131</v>
      </c>
      <c r="F80" s="7" t="s">
        <v>253</v>
      </c>
      <c r="G80" s="7">
        <v>2009.0</v>
      </c>
      <c r="H80" s="7" t="s">
        <v>1132</v>
      </c>
      <c r="I80" s="7" t="s">
        <v>371</v>
      </c>
      <c r="J80" s="7" t="s">
        <v>1133</v>
      </c>
      <c r="K80" s="7" t="s">
        <v>435</v>
      </c>
      <c r="L80" s="7" t="s">
        <v>394</v>
      </c>
      <c r="M80" s="7" t="s">
        <v>394</v>
      </c>
      <c r="N80" s="7" t="s">
        <v>436</v>
      </c>
      <c r="O80" s="7" t="s">
        <v>437</v>
      </c>
      <c r="Q80" s="7" t="s">
        <v>377</v>
      </c>
      <c r="R80" s="7" t="s">
        <v>438</v>
      </c>
      <c r="T80" s="7" t="s">
        <v>397</v>
      </c>
      <c r="U80" s="7" t="s">
        <v>1134</v>
      </c>
      <c r="V80" s="7" t="s">
        <v>371</v>
      </c>
      <c r="Z80" s="7">
        <v>1996.0</v>
      </c>
      <c r="AA80" s="7">
        <v>2006.0</v>
      </c>
      <c r="AB80" s="7" t="s">
        <v>1135</v>
      </c>
      <c r="AC80" s="7" t="s">
        <v>385</v>
      </c>
      <c r="AD80" s="7" t="s">
        <v>379</v>
      </c>
      <c r="AE80" s="7" t="s">
        <v>384</v>
      </c>
      <c r="AF80" s="7" t="s">
        <v>385</v>
      </c>
      <c r="AH80" s="7" t="s">
        <v>371</v>
      </c>
      <c r="AI80" s="7" t="s">
        <v>1136</v>
      </c>
      <c r="AJ80" s="7" t="s">
        <v>386</v>
      </c>
      <c r="AK80" s="7" t="s">
        <v>379</v>
      </c>
      <c r="AL80" s="7" t="s">
        <v>387</v>
      </c>
      <c r="AM80" s="7" t="s">
        <v>387</v>
      </c>
      <c r="AN80" s="7" t="s">
        <v>469</v>
      </c>
      <c r="AO80" s="7" t="s">
        <v>1137</v>
      </c>
      <c r="AP80" s="7" t="s">
        <v>1138</v>
      </c>
      <c r="AQ80" s="7" t="s">
        <v>1139</v>
      </c>
    </row>
    <row r="81" ht="14.25" customHeight="1">
      <c r="A81" s="7">
        <v>82.0</v>
      </c>
      <c r="B81" s="7" t="s">
        <v>1140</v>
      </c>
      <c r="C81" s="7" t="s">
        <v>228</v>
      </c>
      <c r="D81" s="7" t="s">
        <v>370</v>
      </c>
      <c r="E81" s="7" t="s">
        <v>228</v>
      </c>
      <c r="F81" s="7" t="s">
        <v>229</v>
      </c>
      <c r="G81" s="7">
        <v>2022.0</v>
      </c>
      <c r="H81" s="7" t="s">
        <v>230</v>
      </c>
      <c r="I81" s="7" t="s">
        <v>371</v>
      </c>
      <c r="J81" s="7" t="s">
        <v>1141</v>
      </c>
      <c r="K81" s="7" t="s">
        <v>435</v>
      </c>
      <c r="L81" s="7" t="s">
        <v>517</v>
      </c>
      <c r="M81" s="7" t="s">
        <v>517</v>
      </c>
      <c r="N81" s="7" t="s">
        <v>1142</v>
      </c>
      <c r="O81" s="7" t="s">
        <v>519</v>
      </c>
      <c r="Q81" s="7" t="s">
        <v>377</v>
      </c>
      <c r="R81" s="7" t="s">
        <v>1143</v>
      </c>
      <c r="T81" s="7" t="s">
        <v>397</v>
      </c>
      <c r="V81" s="7" t="s">
        <v>371</v>
      </c>
      <c r="Z81" s="7">
        <v>1991.0</v>
      </c>
      <c r="AA81" s="7">
        <v>2018.0</v>
      </c>
      <c r="AC81" s="7" t="s">
        <v>385</v>
      </c>
      <c r="AE81" s="7" t="s">
        <v>1144</v>
      </c>
      <c r="AF81" s="7" t="s">
        <v>385</v>
      </c>
      <c r="AH81" s="7" t="s">
        <v>371</v>
      </c>
      <c r="AI81" s="7" t="s">
        <v>1145</v>
      </c>
      <c r="AJ81" s="7" t="s">
        <v>386</v>
      </c>
      <c r="AL81" s="7" t="s">
        <v>387</v>
      </c>
      <c r="AM81" s="7" t="s">
        <v>387</v>
      </c>
      <c r="AN81" s="7" t="s">
        <v>523</v>
      </c>
      <c r="AO81" s="7" t="s">
        <v>1146</v>
      </c>
      <c r="AP81" s="7" t="s">
        <v>1147</v>
      </c>
      <c r="AQ81" s="7" t="s">
        <v>1148</v>
      </c>
    </row>
    <row r="82" ht="14.25" customHeight="1">
      <c r="A82" s="7">
        <v>81.0</v>
      </c>
      <c r="B82" s="7" t="s">
        <v>1149</v>
      </c>
      <c r="C82" s="7" t="s">
        <v>186</v>
      </c>
      <c r="D82" s="7" t="s">
        <v>370</v>
      </c>
      <c r="E82" s="7" t="s">
        <v>186</v>
      </c>
      <c r="F82" s="7" t="s">
        <v>187</v>
      </c>
      <c r="G82" s="7">
        <v>2022.0</v>
      </c>
      <c r="H82" s="7" t="s">
        <v>188</v>
      </c>
      <c r="I82" s="7" t="s">
        <v>385</v>
      </c>
      <c r="J82" s="7" t="s">
        <v>1150</v>
      </c>
      <c r="K82" s="7" t="s">
        <v>405</v>
      </c>
      <c r="L82" s="7" t="s">
        <v>517</v>
      </c>
      <c r="M82" s="7" t="s">
        <v>517</v>
      </c>
      <c r="N82" s="7" t="s">
        <v>1151</v>
      </c>
      <c r="O82" s="7" t="s">
        <v>1152</v>
      </c>
      <c r="Q82" s="7" t="s">
        <v>377</v>
      </c>
      <c r="R82" s="7" t="s">
        <v>1153</v>
      </c>
      <c r="S82" s="7" t="s">
        <v>379</v>
      </c>
      <c r="T82" s="7" t="s">
        <v>582</v>
      </c>
      <c r="U82" s="7" t="s">
        <v>1154</v>
      </c>
      <c r="V82" s="7" t="s">
        <v>371</v>
      </c>
      <c r="W82" s="7">
        <v>2020.0</v>
      </c>
      <c r="X82" s="7">
        <v>2012.0</v>
      </c>
      <c r="Y82" s="7">
        <v>2019.0</v>
      </c>
      <c r="Z82" s="7">
        <v>2019.0</v>
      </c>
      <c r="AA82" s="7">
        <v>2020.0</v>
      </c>
      <c r="AB82" s="7">
        <v>8.0</v>
      </c>
      <c r="AC82" s="7" t="s">
        <v>371</v>
      </c>
      <c r="AD82" s="7" t="s">
        <v>1155</v>
      </c>
      <c r="AE82" s="7" t="s">
        <v>584</v>
      </c>
      <c r="AF82" s="7" t="s">
        <v>379</v>
      </c>
      <c r="AH82" s="7" t="s">
        <v>399</v>
      </c>
      <c r="AI82" s="7" t="s">
        <v>379</v>
      </c>
      <c r="AJ82" s="7" t="s">
        <v>386</v>
      </c>
      <c r="AK82" s="7" t="s">
        <v>379</v>
      </c>
      <c r="AL82" s="7" t="s">
        <v>387</v>
      </c>
      <c r="AM82" s="7" t="s">
        <v>497</v>
      </c>
      <c r="AN82" s="7" t="s">
        <v>469</v>
      </c>
      <c r="AO82" s="7" t="s">
        <v>1156</v>
      </c>
      <c r="AP82" s="7" t="s">
        <v>1157</v>
      </c>
      <c r="AQ82" s="7" t="s">
        <v>1158</v>
      </c>
    </row>
    <row r="83" ht="14.25" customHeight="1">
      <c r="A83" s="7">
        <v>80.0</v>
      </c>
      <c r="B83" s="7" t="s">
        <v>1159</v>
      </c>
      <c r="C83" s="7" t="s">
        <v>78</v>
      </c>
      <c r="D83" s="7" t="s">
        <v>370</v>
      </c>
      <c r="E83" s="7" t="s">
        <v>78</v>
      </c>
      <c r="F83" s="7" t="s">
        <v>79</v>
      </c>
      <c r="G83" s="7">
        <v>2020.0</v>
      </c>
      <c r="H83" s="7" t="s">
        <v>80</v>
      </c>
      <c r="I83" s="7" t="s">
        <v>371</v>
      </c>
      <c r="J83" s="7" t="s">
        <v>1160</v>
      </c>
      <c r="K83" s="7" t="s">
        <v>405</v>
      </c>
      <c r="L83" s="7" t="s">
        <v>570</v>
      </c>
      <c r="M83" s="7" t="s">
        <v>570</v>
      </c>
      <c r="N83" s="7" t="s">
        <v>379</v>
      </c>
      <c r="O83" s="7" t="s">
        <v>606</v>
      </c>
      <c r="Q83" s="7" t="s">
        <v>377</v>
      </c>
      <c r="R83" s="7" t="s">
        <v>1161</v>
      </c>
      <c r="S83" s="7" t="s">
        <v>379</v>
      </c>
      <c r="T83" s="7" t="s">
        <v>397</v>
      </c>
      <c r="U83" s="7" t="s">
        <v>379</v>
      </c>
      <c r="V83" s="7" t="s">
        <v>385</v>
      </c>
      <c r="W83" s="7" t="s">
        <v>379</v>
      </c>
      <c r="X83" s="7" t="s">
        <v>379</v>
      </c>
      <c r="Y83" s="7" t="s">
        <v>379</v>
      </c>
      <c r="Z83" s="7" t="s">
        <v>379</v>
      </c>
      <c r="AA83" s="7" t="s">
        <v>379</v>
      </c>
      <c r="AB83" s="7" t="s">
        <v>379</v>
      </c>
      <c r="AC83" s="7" t="s">
        <v>385</v>
      </c>
      <c r="AD83" s="7" t="s">
        <v>379</v>
      </c>
      <c r="AE83" s="7" t="s">
        <v>1162</v>
      </c>
      <c r="AF83" s="7" t="s">
        <v>385</v>
      </c>
      <c r="AH83" s="7" t="s">
        <v>399</v>
      </c>
      <c r="AI83" s="7" t="s">
        <v>379</v>
      </c>
      <c r="AJ83" s="7" t="s">
        <v>386</v>
      </c>
      <c r="AK83" s="7" t="s">
        <v>379</v>
      </c>
      <c r="AL83" s="7" t="s">
        <v>658</v>
      </c>
      <c r="AM83" s="7" t="s">
        <v>497</v>
      </c>
      <c r="AN83" s="7" t="s">
        <v>379</v>
      </c>
      <c r="AO83" s="7" t="s">
        <v>1163</v>
      </c>
      <c r="AP83" s="7" t="s">
        <v>379</v>
      </c>
      <c r="AQ83" s="7" t="s">
        <v>1164</v>
      </c>
    </row>
    <row r="84" ht="14.25" customHeight="1">
      <c r="A84" s="7">
        <v>68.0</v>
      </c>
      <c r="B84" s="7" t="s">
        <v>1165</v>
      </c>
      <c r="C84" s="7" t="s">
        <v>306</v>
      </c>
      <c r="D84" s="7" t="s">
        <v>370</v>
      </c>
      <c r="E84" s="7" t="s">
        <v>306</v>
      </c>
      <c r="F84" s="7" t="s">
        <v>307</v>
      </c>
      <c r="G84" s="7">
        <v>2019.0</v>
      </c>
      <c r="H84" s="7" t="s">
        <v>308</v>
      </c>
      <c r="I84" s="7" t="s">
        <v>371</v>
      </c>
      <c r="J84" s="7" t="s">
        <v>1166</v>
      </c>
      <c r="K84" s="7" t="s">
        <v>535</v>
      </c>
      <c r="L84" s="7" t="s">
        <v>536</v>
      </c>
      <c r="M84" s="7" t="s">
        <v>536</v>
      </c>
      <c r="N84" s="7" t="s">
        <v>379</v>
      </c>
      <c r="O84" s="7" t="s">
        <v>536</v>
      </c>
      <c r="Q84" s="7" t="s">
        <v>377</v>
      </c>
      <c r="R84" s="7" t="s">
        <v>1167</v>
      </c>
      <c r="S84" s="7" t="s">
        <v>379</v>
      </c>
      <c r="T84" s="7" t="s">
        <v>548</v>
      </c>
      <c r="U84" s="7" t="s">
        <v>1168</v>
      </c>
      <c r="V84" s="7" t="s">
        <v>371</v>
      </c>
      <c r="W84" s="7" t="s">
        <v>379</v>
      </c>
      <c r="X84" s="7" t="s">
        <v>379</v>
      </c>
      <c r="Y84" s="7" t="s">
        <v>379</v>
      </c>
      <c r="Z84" s="7">
        <v>1995.0</v>
      </c>
      <c r="AA84" s="7">
        <v>2010.0</v>
      </c>
      <c r="AB84" s="7">
        <v>15.0</v>
      </c>
      <c r="AC84" s="7" t="s">
        <v>385</v>
      </c>
      <c r="AD84" s="7" t="s">
        <v>379</v>
      </c>
      <c r="AE84" s="7" t="s">
        <v>425</v>
      </c>
      <c r="AF84" s="7" t="s">
        <v>371</v>
      </c>
      <c r="AG84" s="7" t="s">
        <v>440</v>
      </c>
      <c r="AH84" s="7" t="s">
        <v>399</v>
      </c>
      <c r="AJ84" s="7" t="s">
        <v>386</v>
      </c>
      <c r="AK84" s="7" t="s">
        <v>379</v>
      </c>
      <c r="AL84" s="7" t="s">
        <v>387</v>
      </c>
      <c r="AM84" s="7" t="s">
        <v>497</v>
      </c>
      <c r="AN84" s="7" t="s">
        <v>1169</v>
      </c>
      <c r="AO84" s="7" t="s">
        <v>948</v>
      </c>
      <c r="AP84" s="7" t="s">
        <v>1170</v>
      </c>
      <c r="AQ84" s="7" t="s">
        <v>1171</v>
      </c>
    </row>
    <row r="85" ht="14.25" customHeight="1">
      <c r="A85" s="7">
        <v>66.0</v>
      </c>
      <c r="B85" s="7" t="s">
        <v>1172</v>
      </c>
      <c r="C85" s="7" t="s">
        <v>329</v>
      </c>
      <c r="D85" s="7" t="s">
        <v>370</v>
      </c>
      <c r="E85" s="7" t="s">
        <v>329</v>
      </c>
      <c r="F85" s="7" t="s">
        <v>330</v>
      </c>
      <c r="G85" s="7">
        <v>2021.0</v>
      </c>
      <c r="I85" s="7" t="s">
        <v>385</v>
      </c>
      <c r="J85" s="7" t="s">
        <v>1173</v>
      </c>
      <c r="K85" s="7" t="s">
        <v>405</v>
      </c>
      <c r="L85" s="7" t="s">
        <v>570</v>
      </c>
      <c r="M85" s="7" t="s">
        <v>570</v>
      </c>
      <c r="O85" s="7" t="s">
        <v>1174</v>
      </c>
      <c r="Q85" s="7" t="s">
        <v>377</v>
      </c>
      <c r="T85" s="7" t="s">
        <v>582</v>
      </c>
      <c r="U85" s="7" t="s">
        <v>1175</v>
      </c>
      <c r="V85" s="7" t="s">
        <v>371</v>
      </c>
      <c r="W85" s="7">
        <v>2020.0</v>
      </c>
      <c r="X85" s="7">
        <v>2019.0</v>
      </c>
      <c r="Y85" s="7" t="s">
        <v>1176</v>
      </c>
      <c r="Z85" s="7" t="s">
        <v>1176</v>
      </c>
      <c r="AA85" s="15">
        <v>44075.0</v>
      </c>
      <c r="AC85" s="7" t="s">
        <v>371</v>
      </c>
      <c r="AD85" s="7" t="s">
        <v>1177</v>
      </c>
      <c r="AE85" s="7" t="s">
        <v>584</v>
      </c>
      <c r="AF85" s="7" t="s">
        <v>385</v>
      </c>
      <c r="AH85" s="7" t="s">
        <v>371</v>
      </c>
      <c r="AI85" s="7" t="s">
        <v>1178</v>
      </c>
      <c r="AJ85" s="7" t="s">
        <v>386</v>
      </c>
      <c r="AL85" s="7" t="s">
        <v>763</v>
      </c>
      <c r="AM85" s="7" t="s">
        <v>428</v>
      </c>
      <c r="AN85" s="7" t="s">
        <v>1179</v>
      </c>
      <c r="AO85" s="7" t="s">
        <v>1180</v>
      </c>
      <c r="AP85" s="7" t="s">
        <v>1181</v>
      </c>
    </row>
    <row r="86" ht="14.25" customHeight="1">
      <c r="A86" s="7">
        <v>61.0</v>
      </c>
      <c r="B86" s="7" t="s">
        <v>1182</v>
      </c>
      <c r="C86" s="7" t="s">
        <v>57</v>
      </c>
      <c r="D86" s="7" t="s">
        <v>370</v>
      </c>
      <c r="E86" s="7" t="s">
        <v>57</v>
      </c>
      <c r="F86" s="7" t="s">
        <v>58</v>
      </c>
      <c r="G86" s="7">
        <v>2017.0</v>
      </c>
      <c r="H86" s="7" t="s">
        <v>1183</v>
      </c>
      <c r="I86" s="7" t="s">
        <v>385</v>
      </c>
      <c r="J86" s="7" t="s">
        <v>1184</v>
      </c>
      <c r="K86" s="7" t="s">
        <v>373</v>
      </c>
      <c r="L86" s="7" t="s">
        <v>517</v>
      </c>
      <c r="M86" s="7" t="s">
        <v>517</v>
      </c>
      <c r="N86" s="7" t="s">
        <v>1185</v>
      </c>
      <c r="O86" s="7" t="s">
        <v>1020</v>
      </c>
      <c r="Q86" s="7" t="s">
        <v>377</v>
      </c>
      <c r="R86" s="7" t="s">
        <v>1186</v>
      </c>
      <c r="T86" s="7" t="s">
        <v>582</v>
      </c>
      <c r="U86" s="7" t="s">
        <v>1187</v>
      </c>
      <c r="V86" s="7" t="s">
        <v>371</v>
      </c>
      <c r="W86" s="7">
        <v>1978.0</v>
      </c>
      <c r="X86" s="7">
        <v>1966.0</v>
      </c>
      <c r="Y86" s="7">
        <v>1978.0</v>
      </c>
      <c r="Z86" s="7">
        <v>1980.0</v>
      </c>
      <c r="AA86" s="7" t="s">
        <v>1188</v>
      </c>
      <c r="AC86" s="7" t="s">
        <v>371</v>
      </c>
      <c r="AD86" s="7" t="s">
        <v>1189</v>
      </c>
      <c r="AE86" s="7" t="s">
        <v>450</v>
      </c>
      <c r="AF86" s="7" t="s">
        <v>385</v>
      </c>
      <c r="AH86" s="7" t="s">
        <v>371</v>
      </c>
      <c r="AI86" s="7" t="s">
        <v>1190</v>
      </c>
      <c r="AJ86" s="7" t="s">
        <v>386</v>
      </c>
      <c r="AL86" s="7" t="s">
        <v>1191</v>
      </c>
      <c r="AM86" s="7" t="s">
        <v>387</v>
      </c>
      <c r="AN86" s="7" t="s">
        <v>523</v>
      </c>
      <c r="AO86" s="7" t="s">
        <v>1192</v>
      </c>
      <c r="AP86" s="7" t="s">
        <v>1193</v>
      </c>
      <c r="AQ86" s="7" t="s">
        <v>1194</v>
      </c>
    </row>
    <row r="87" ht="14.25" customHeight="1">
      <c r="A87" s="7">
        <v>58.0</v>
      </c>
      <c r="B87" s="7" t="s">
        <v>1195</v>
      </c>
      <c r="C87" s="7" t="s">
        <v>18</v>
      </c>
      <c r="D87" s="7" t="s">
        <v>370</v>
      </c>
      <c r="E87" s="7" t="s">
        <v>18</v>
      </c>
      <c r="F87" s="7" t="s">
        <v>19</v>
      </c>
      <c r="G87" s="7">
        <v>2008.0</v>
      </c>
      <c r="H87" s="7" t="s">
        <v>1196</v>
      </c>
      <c r="I87" s="7" t="s">
        <v>371</v>
      </c>
      <c r="J87" s="7" t="s">
        <v>1197</v>
      </c>
      <c r="K87" s="7" t="s">
        <v>373</v>
      </c>
      <c r="L87" s="7" t="s">
        <v>570</v>
      </c>
      <c r="M87" s="7" t="s">
        <v>570</v>
      </c>
      <c r="N87" s="7" t="s">
        <v>1198</v>
      </c>
      <c r="O87" s="7" t="s">
        <v>1199</v>
      </c>
      <c r="Q87" s="7" t="s">
        <v>377</v>
      </c>
      <c r="R87" s="7" t="s">
        <v>1200</v>
      </c>
      <c r="T87" s="7" t="s">
        <v>397</v>
      </c>
      <c r="U87" s="7" t="s">
        <v>1201</v>
      </c>
      <c r="V87" s="7" t="s">
        <v>371</v>
      </c>
      <c r="Z87" s="7">
        <v>1972.0</v>
      </c>
      <c r="AA87" s="7">
        <v>2005.0</v>
      </c>
      <c r="AB87" s="7">
        <v>33.0</v>
      </c>
      <c r="AC87" s="7" t="s">
        <v>385</v>
      </c>
      <c r="AE87" s="7" t="s">
        <v>398</v>
      </c>
      <c r="AF87" s="7" t="s">
        <v>385</v>
      </c>
      <c r="AH87" s="7" t="s">
        <v>371</v>
      </c>
      <c r="AJ87" s="7" t="s">
        <v>386</v>
      </c>
      <c r="AK87" s="7" t="s">
        <v>1202</v>
      </c>
      <c r="AL87" s="7" t="s">
        <v>387</v>
      </c>
      <c r="AM87" s="7" t="s">
        <v>387</v>
      </c>
      <c r="AN87" s="7" t="s">
        <v>743</v>
      </c>
      <c r="AO87" s="7" t="s">
        <v>1203</v>
      </c>
      <c r="AP87" s="7" t="s">
        <v>1204</v>
      </c>
      <c r="AQ87" s="7" t="s">
        <v>1205</v>
      </c>
    </row>
    <row r="88" ht="14.25" customHeight="1">
      <c r="A88" s="7">
        <v>55.0</v>
      </c>
      <c r="B88" s="7" t="s">
        <v>1206</v>
      </c>
      <c r="C88" s="7" t="s">
        <v>276</v>
      </c>
      <c r="D88" s="7" t="s">
        <v>370</v>
      </c>
      <c r="E88" s="7" t="s">
        <v>1207</v>
      </c>
      <c r="F88" s="7" t="s">
        <v>277</v>
      </c>
      <c r="G88" s="7">
        <v>2023.0</v>
      </c>
      <c r="H88" s="7" t="s">
        <v>1208</v>
      </c>
      <c r="I88" s="7" t="s">
        <v>385</v>
      </c>
      <c r="J88" s="7" t="s">
        <v>1209</v>
      </c>
      <c r="K88" s="7" t="s">
        <v>405</v>
      </c>
      <c r="L88" s="7" t="s">
        <v>570</v>
      </c>
      <c r="M88" s="7" t="s">
        <v>570</v>
      </c>
      <c r="N88" s="7" t="s">
        <v>1210</v>
      </c>
      <c r="O88" s="7" t="s">
        <v>572</v>
      </c>
      <c r="Q88" s="7" t="s">
        <v>758</v>
      </c>
      <c r="R88" s="7" t="s">
        <v>1115</v>
      </c>
      <c r="T88" s="7" t="s">
        <v>397</v>
      </c>
      <c r="V88" s="7" t="s">
        <v>385</v>
      </c>
      <c r="Z88" s="7">
        <v>1992.0</v>
      </c>
      <c r="AA88" s="7">
        <v>2020.0</v>
      </c>
      <c r="AC88" s="7" t="s">
        <v>385</v>
      </c>
      <c r="AE88" s="7" t="s">
        <v>450</v>
      </c>
      <c r="AF88" s="7" t="s">
        <v>385</v>
      </c>
      <c r="AH88" s="7" t="s">
        <v>399</v>
      </c>
      <c r="AJ88" s="7" t="s">
        <v>386</v>
      </c>
      <c r="AL88" s="7" t="s">
        <v>387</v>
      </c>
      <c r="AM88" s="7" t="s">
        <v>387</v>
      </c>
      <c r="AN88" s="7" t="s">
        <v>1211</v>
      </c>
      <c r="AO88" s="7" t="s">
        <v>1212</v>
      </c>
      <c r="AP88" s="7" t="s">
        <v>1213</v>
      </c>
      <c r="AQ88" s="7" t="s">
        <v>1214</v>
      </c>
    </row>
    <row r="89" ht="14.25" customHeight="1">
      <c r="A89" s="7">
        <v>45.0</v>
      </c>
      <c r="B89" s="7" t="s">
        <v>1215</v>
      </c>
      <c r="C89" s="7" t="s">
        <v>255</v>
      </c>
      <c r="D89" s="7" t="s">
        <v>370</v>
      </c>
      <c r="E89" s="7" t="s">
        <v>1216</v>
      </c>
      <c r="F89" s="7" t="s">
        <v>256</v>
      </c>
      <c r="G89" s="7">
        <v>2012.0</v>
      </c>
      <c r="H89" s="7" t="s">
        <v>1217</v>
      </c>
      <c r="I89" s="7" t="s">
        <v>371</v>
      </c>
      <c r="J89" s="7" t="s">
        <v>1218</v>
      </c>
      <c r="K89" s="7" t="s">
        <v>435</v>
      </c>
      <c r="L89" s="7" t="s">
        <v>517</v>
      </c>
      <c r="M89" s="7" t="s">
        <v>517</v>
      </c>
      <c r="N89" s="7" t="s">
        <v>1219</v>
      </c>
      <c r="O89" s="7" t="s">
        <v>1220</v>
      </c>
      <c r="P89" s="7" t="s">
        <v>902</v>
      </c>
      <c r="Q89" s="7" t="s">
        <v>377</v>
      </c>
      <c r="R89" s="7" t="s">
        <v>1221</v>
      </c>
      <c r="T89" s="7" t="s">
        <v>397</v>
      </c>
      <c r="V89" s="7" t="s">
        <v>371</v>
      </c>
      <c r="Z89" s="7">
        <v>2001.0</v>
      </c>
      <c r="AA89" s="7">
        <v>2009.0</v>
      </c>
      <c r="AC89" s="7" t="s">
        <v>385</v>
      </c>
      <c r="AE89" s="7" t="s">
        <v>1222</v>
      </c>
      <c r="AF89" s="7" t="s">
        <v>385</v>
      </c>
      <c r="AH89" s="7" t="s">
        <v>399</v>
      </c>
      <c r="AJ89" s="7" t="s">
        <v>386</v>
      </c>
      <c r="AL89" s="7" t="s">
        <v>387</v>
      </c>
      <c r="AM89" s="7" t="s">
        <v>387</v>
      </c>
      <c r="AN89" s="7" t="s">
        <v>743</v>
      </c>
      <c r="AO89" s="7" t="s">
        <v>1223</v>
      </c>
      <c r="AP89" s="7" t="s">
        <v>400</v>
      </c>
      <c r="AQ89" s="7" t="s">
        <v>1224</v>
      </c>
    </row>
    <row r="90" ht="14.25" customHeight="1">
      <c r="A90" s="7">
        <v>42.0</v>
      </c>
      <c r="B90" s="7" t="s">
        <v>1225</v>
      </c>
      <c r="C90" s="7" t="s">
        <v>48</v>
      </c>
      <c r="D90" s="7" t="s">
        <v>370</v>
      </c>
      <c r="E90" s="7" t="s">
        <v>1226</v>
      </c>
      <c r="F90" s="7" t="s">
        <v>49</v>
      </c>
      <c r="G90" s="7">
        <v>2004.0</v>
      </c>
      <c r="H90" s="7" t="s">
        <v>1227</v>
      </c>
      <c r="I90" s="7" t="s">
        <v>371</v>
      </c>
      <c r="J90" s="7" t="s">
        <v>1228</v>
      </c>
      <c r="K90" s="7" t="s">
        <v>373</v>
      </c>
      <c r="L90" s="7" t="s">
        <v>374</v>
      </c>
      <c r="M90" s="7" t="s">
        <v>1229</v>
      </c>
      <c r="N90" s="7" t="s">
        <v>1230</v>
      </c>
      <c r="O90" s="7" t="s">
        <v>1231</v>
      </c>
      <c r="Q90" s="7" t="s">
        <v>377</v>
      </c>
      <c r="T90" s="7" t="s">
        <v>397</v>
      </c>
      <c r="U90" s="7" t="s">
        <v>1232</v>
      </c>
      <c r="V90" s="7" t="s">
        <v>371</v>
      </c>
      <c r="Z90" s="7" t="s">
        <v>1233</v>
      </c>
      <c r="AA90" s="7">
        <v>2000.0</v>
      </c>
      <c r="AC90" s="7" t="s">
        <v>371</v>
      </c>
      <c r="AD90" s="7" t="s">
        <v>583</v>
      </c>
      <c r="AE90" s="7" t="s">
        <v>398</v>
      </c>
      <c r="AF90" s="7" t="s">
        <v>385</v>
      </c>
      <c r="AH90" s="7" t="s">
        <v>371</v>
      </c>
      <c r="AJ90" s="7" t="s">
        <v>386</v>
      </c>
      <c r="AL90" s="7" t="s">
        <v>387</v>
      </c>
      <c r="AM90" s="7" t="s">
        <v>387</v>
      </c>
      <c r="AN90" s="7" t="s">
        <v>523</v>
      </c>
      <c r="AO90" s="7" t="s">
        <v>1234</v>
      </c>
      <c r="AP90" s="7" t="s">
        <v>400</v>
      </c>
      <c r="AQ90" s="7" t="s">
        <v>1235</v>
      </c>
    </row>
    <row r="91" ht="14.25" customHeight="1">
      <c r="A91" s="7">
        <v>40.0</v>
      </c>
      <c r="B91" s="7" t="s">
        <v>1236</v>
      </c>
      <c r="C91" s="7" t="s">
        <v>72</v>
      </c>
      <c r="D91" s="7" t="s">
        <v>370</v>
      </c>
      <c r="E91" s="7" t="s">
        <v>1237</v>
      </c>
      <c r="F91" s="7" t="s">
        <v>73</v>
      </c>
      <c r="G91" s="7">
        <v>2022.0</v>
      </c>
      <c r="H91" s="7" t="s">
        <v>1238</v>
      </c>
      <c r="I91" s="7" t="s">
        <v>371</v>
      </c>
      <c r="J91" s="7" t="s">
        <v>1239</v>
      </c>
      <c r="K91" s="7" t="s">
        <v>373</v>
      </c>
      <c r="L91" s="7" t="s">
        <v>517</v>
      </c>
      <c r="M91" s="7" t="s">
        <v>517</v>
      </c>
      <c r="N91" s="7" t="s">
        <v>766</v>
      </c>
      <c r="O91" s="7" t="s">
        <v>1240</v>
      </c>
      <c r="Q91" s="7" t="s">
        <v>758</v>
      </c>
      <c r="R91" s="7" t="s">
        <v>1115</v>
      </c>
      <c r="S91" s="7" t="s">
        <v>379</v>
      </c>
      <c r="T91" s="7" t="s">
        <v>582</v>
      </c>
      <c r="U91" s="7" t="s">
        <v>379</v>
      </c>
      <c r="V91" s="7" t="s">
        <v>371</v>
      </c>
      <c r="W91" s="7">
        <v>2017.0</v>
      </c>
      <c r="X91" s="7" t="s">
        <v>379</v>
      </c>
      <c r="Y91" s="7" t="s">
        <v>379</v>
      </c>
      <c r="Z91" s="7" t="s">
        <v>379</v>
      </c>
      <c r="AA91" s="7" t="s">
        <v>379</v>
      </c>
      <c r="AB91" s="7" t="s">
        <v>379</v>
      </c>
      <c r="AC91" s="7" t="s">
        <v>371</v>
      </c>
      <c r="AD91" s="7" t="s">
        <v>583</v>
      </c>
      <c r="AE91" s="7" t="s">
        <v>584</v>
      </c>
      <c r="AF91" s="7" t="s">
        <v>385</v>
      </c>
      <c r="AH91" s="7" t="s">
        <v>399</v>
      </c>
      <c r="AI91" s="7" t="s">
        <v>379</v>
      </c>
      <c r="AJ91" s="7" t="s">
        <v>386</v>
      </c>
      <c r="AK91" s="7" t="s">
        <v>379</v>
      </c>
      <c r="AL91" s="7" t="s">
        <v>763</v>
      </c>
      <c r="AM91" s="7" t="s">
        <v>387</v>
      </c>
      <c r="AN91" s="7" t="s">
        <v>1241</v>
      </c>
      <c r="AO91" s="7" t="s">
        <v>1242</v>
      </c>
      <c r="AP91" s="7" t="s">
        <v>1243</v>
      </c>
    </row>
    <row r="92" ht="14.25" customHeight="1">
      <c r="A92" s="7">
        <v>34.0</v>
      </c>
      <c r="B92" s="7" t="s">
        <v>1244</v>
      </c>
      <c r="C92" s="7" t="s">
        <v>273</v>
      </c>
      <c r="D92" s="7" t="s">
        <v>370</v>
      </c>
      <c r="E92" s="7" t="s">
        <v>273</v>
      </c>
      <c r="F92" s="7" t="s">
        <v>274</v>
      </c>
      <c r="G92" s="7">
        <v>2022.0</v>
      </c>
      <c r="H92" s="7" t="s">
        <v>275</v>
      </c>
      <c r="I92" s="7" t="s">
        <v>385</v>
      </c>
      <c r="J92" s="7" t="s">
        <v>1245</v>
      </c>
      <c r="K92" s="7" t="s">
        <v>435</v>
      </c>
      <c r="L92" s="7" t="s">
        <v>570</v>
      </c>
      <c r="M92" s="7" t="s">
        <v>570</v>
      </c>
      <c r="N92" s="7" t="s">
        <v>1246</v>
      </c>
      <c r="O92" s="7" t="s">
        <v>572</v>
      </c>
      <c r="Q92" s="7" t="s">
        <v>377</v>
      </c>
      <c r="R92" s="7" t="s">
        <v>1247</v>
      </c>
      <c r="T92" s="7" t="s">
        <v>397</v>
      </c>
      <c r="V92" s="7" t="s">
        <v>371</v>
      </c>
      <c r="Z92" s="7">
        <v>2000.0</v>
      </c>
      <c r="AA92" s="7">
        <v>2020.0</v>
      </c>
      <c r="AC92" s="7" t="s">
        <v>385</v>
      </c>
      <c r="AE92" s="7" t="s">
        <v>450</v>
      </c>
      <c r="AF92" s="7" t="s">
        <v>385</v>
      </c>
      <c r="AH92" s="7" t="s">
        <v>399</v>
      </c>
      <c r="AJ92" s="7" t="s">
        <v>386</v>
      </c>
      <c r="AL92" s="7" t="s">
        <v>387</v>
      </c>
      <c r="AM92" s="7" t="s">
        <v>387</v>
      </c>
      <c r="AN92" s="7" t="s">
        <v>1248</v>
      </c>
      <c r="AO92" s="7" t="s">
        <v>1249</v>
      </c>
      <c r="AP92" s="7" t="s">
        <v>540</v>
      </c>
      <c r="AQ92" s="7" t="s">
        <v>1250</v>
      </c>
    </row>
    <row r="93" ht="14.25" customHeight="1">
      <c r="A93" s="7">
        <v>33.0</v>
      </c>
      <c r="B93" s="7" t="s">
        <v>1251</v>
      </c>
      <c r="C93" s="7" t="s">
        <v>303</v>
      </c>
      <c r="D93" s="7" t="s">
        <v>370</v>
      </c>
      <c r="E93" s="7" t="s">
        <v>1252</v>
      </c>
      <c r="F93" s="7" t="s">
        <v>304</v>
      </c>
      <c r="G93" s="7">
        <v>2017.0</v>
      </c>
      <c r="H93" s="7" t="s">
        <v>1253</v>
      </c>
      <c r="I93" s="7" t="s">
        <v>385</v>
      </c>
      <c r="J93" s="7" t="s">
        <v>1254</v>
      </c>
      <c r="K93" s="7" t="s">
        <v>373</v>
      </c>
      <c r="L93" s="7" t="s">
        <v>394</v>
      </c>
      <c r="M93" s="7" t="s">
        <v>394</v>
      </c>
      <c r="N93" s="7" t="s">
        <v>1255</v>
      </c>
      <c r="O93" s="7" t="s">
        <v>1256</v>
      </c>
      <c r="Q93" s="7" t="s">
        <v>377</v>
      </c>
      <c r="T93" s="7" t="s">
        <v>397</v>
      </c>
      <c r="V93" s="7" t="s">
        <v>371</v>
      </c>
      <c r="Z93" s="7">
        <v>2002.0</v>
      </c>
      <c r="AA93" s="7">
        <v>2014.0</v>
      </c>
      <c r="AC93" s="7" t="s">
        <v>385</v>
      </c>
      <c r="AE93" s="7" t="s">
        <v>398</v>
      </c>
      <c r="AF93" s="7" t="s">
        <v>385</v>
      </c>
      <c r="AH93" s="7" t="s">
        <v>399</v>
      </c>
      <c r="AJ93" s="7" t="s">
        <v>386</v>
      </c>
      <c r="AL93" s="7" t="s">
        <v>387</v>
      </c>
      <c r="AM93" s="7" t="s">
        <v>387</v>
      </c>
      <c r="AN93" s="7" t="s">
        <v>469</v>
      </c>
      <c r="AO93" s="7" t="s">
        <v>1257</v>
      </c>
      <c r="AQ93" s="7" t="s">
        <v>1258</v>
      </c>
    </row>
    <row r="94" ht="14.25" customHeight="1">
      <c r="A94" s="7">
        <v>30.0</v>
      </c>
      <c r="B94" s="7" t="s">
        <v>1259</v>
      </c>
      <c r="C94" s="7" t="s">
        <v>234</v>
      </c>
      <c r="D94" s="7" t="s">
        <v>370</v>
      </c>
      <c r="E94" s="7" t="s">
        <v>234</v>
      </c>
      <c r="F94" s="7" t="s">
        <v>235</v>
      </c>
      <c r="G94" s="7">
        <v>2022.0</v>
      </c>
      <c r="H94" s="7" t="s">
        <v>1260</v>
      </c>
      <c r="I94" s="7" t="s">
        <v>371</v>
      </c>
      <c r="J94" s="7" t="s">
        <v>1261</v>
      </c>
      <c r="K94" s="7" t="s">
        <v>435</v>
      </c>
      <c r="L94" s="7" t="s">
        <v>570</v>
      </c>
      <c r="M94" s="7" t="s">
        <v>570</v>
      </c>
      <c r="N94" s="7" t="s">
        <v>1262</v>
      </c>
      <c r="O94" s="7" t="s">
        <v>572</v>
      </c>
      <c r="Q94" s="7" t="s">
        <v>377</v>
      </c>
      <c r="R94" s="7" t="s">
        <v>793</v>
      </c>
      <c r="T94" s="7" t="s">
        <v>548</v>
      </c>
      <c r="U94" s="7" t="s">
        <v>1263</v>
      </c>
      <c r="V94" s="7" t="s">
        <v>371</v>
      </c>
      <c r="Z94" s="7">
        <v>2001.0</v>
      </c>
      <c r="AA94" s="7">
        <v>2009.0</v>
      </c>
      <c r="AB94" s="7">
        <v>18.0</v>
      </c>
      <c r="AC94" s="7" t="s">
        <v>371</v>
      </c>
      <c r="AD94" s="7" t="s">
        <v>751</v>
      </c>
      <c r="AE94" s="7" t="s">
        <v>425</v>
      </c>
      <c r="AF94" s="7" t="s">
        <v>371</v>
      </c>
      <c r="AG94" s="7" t="s">
        <v>440</v>
      </c>
      <c r="AH94" s="7" t="s">
        <v>371</v>
      </c>
      <c r="AJ94" s="7" t="s">
        <v>386</v>
      </c>
      <c r="AL94" s="7" t="s">
        <v>387</v>
      </c>
      <c r="AM94" s="7" t="s">
        <v>387</v>
      </c>
      <c r="AN94" s="7" t="s">
        <v>743</v>
      </c>
      <c r="AO94" s="7" t="s">
        <v>1264</v>
      </c>
      <c r="AP94" s="7" t="s">
        <v>1265</v>
      </c>
      <c r="AQ94" s="7" t="s">
        <v>1266</v>
      </c>
    </row>
    <row r="95" ht="14.25" customHeight="1">
      <c r="A95" s="7">
        <v>29.0</v>
      </c>
      <c r="B95" s="7" t="s">
        <v>1267</v>
      </c>
      <c r="C95" s="7" t="s">
        <v>204</v>
      </c>
      <c r="D95" s="7" t="s">
        <v>370</v>
      </c>
      <c r="E95" s="7" t="s">
        <v>204</v>
      </c>
      <c r="F95" s="7" t="s">
        <v>205</v>
      </c>
      <c r="G95" s="7">
        <v>2011.0</v>
      </c>
      <c r="H95" s="7" t="s">
        <v>1268</v>
      </c>
      <c r="I95" s="7" t="s">
        <v>371</v>
      </c>
      <c r="J95" s="7" t="s">
        <v>1269</v>
      </c>
      <c r="K95" s="7" t="s">
        <v>535</v>
      </c>
      <c r="L95" s="7" t="s">
        <v>536</v>
      </c>
      <c r="M95" s="7" t="s">
        <v>536</v>
      </c>
      <c r="O95" s="7" t="s">
        <v>536</v>
      </c>
      <c r="Q95" s="7" t="s">
        <v>377</v>
      </c>
      <c r="R95" s="7" t="s">
        <v>374</v>
      </c>
      <c r="T95" s="7" t="s">
        <v>548</v>
      </c>
      <c r="U95" s="7" t="s">
        <v>1270</v>
      </c>
      <c r="V95" s="7" t="s">
        <v>371</v>
      </c>
      <c r="Z95" s="7">
        <v>2000.0</v>
      </c>
      <c r="AA95" s="7">
        <v>2005.0</v>
      </c>
      <c r="AC95" s="7" t="s">
        <v>385</v>
      </c>
      <c r="AE95" s="7" t="s">
        <v>425</v>
      </c>
      <c r="AF95" s="7" t="s">
        <v>371</v>
      </c>
      <c r="AG95" s="7" t="s">
        <v>440</v>
      </c>
      <c r="AH95" s="7" t="s">
        <v>371</v>
      </c>
      <c r="AJ95" s="7" t="s">
        <v>386</v>
      </c>
      <c r="AL95" s="7" t="s">
        <v>523</v>
      </c>
      <c r="AM95" s="7" t="s">
        <v>387</v>
      </c>
      <c r="AN95" s="7" t="s">
        <v>1271</v>
      </c>
      <c r="AO95" s="7" t="s">
        <v>1272</v>
      </c>
      <c r="AP95" s="7" t="s">
        <v>440</v>
      </c>
      <c r="AQ95" s="7" t="s">
        <v>1273</v>
      </c>
    </row>
    <row r="96" ht="14.25" customHeight="1">
      <c r="A96" s="7">
        <v>26.0</v>
      </c>
      <c r="B96" s="7" t="s">
        <v>1274</v>
      </c>
      <c r="C96" s="7" t="s">
        <v>291</v>
      </c>
      <c r="D96" s="7" t="s">
        <v>370</v>
      </c>
      <c r="E96" s="7" t="s">
        <v>291</v>
      </c>
      <c r="F96" s="7" t="s">
        <v>292</v>
      </c>
      <c r="G96" s="7">
        <v>2021.0</v>
      </c>
      <c r="H96" s="7" t="s">
        <v>293</v>
      </c>
      <c r="I96" s="7" t="s">
        <v>385</v>
      </c>
      <c r="J96" s="7" t="s">
        <v>1275</v>
      </c>
      <c r="K96" s="7" t="s">
        <v>405</v>
      </c>
      <c r="L96" s="7" t="s">
        <v>406</v>
      </c>
      <c r="M96" s="7" t="s">
        <v>406</v>
      </c>
      <c r="N96" s="7" t="s">
        <v>405</v>
      </c>
      <c r="O96" s="7" t="s">
        <v>1276</v>
      </c>
      <c r="Q96" s="7" t="s">
        <v>377</v>
      </c>
      <c r="R96" s="7" t="s">
        <v>1277</v>
      </c>
      <c r="T96" s="7" t="s">
        <v>397</v>
      </c>
      <c r="U96" s="7" t="s">
        <v>1278</v>
      </c>
      <c r="V96" s="7" t="s">
        <v>385</v>
      </c>
      <c r="Z96" s="7">
        <v>2015.0</v>
      </c>
      <c r="AC96" s="7" t="s">
        <v>385</v>
      </c>
      <c r="AE96" s="7" t="s">
        <v>562</v>
      </c>
      <c r="AF96" s="7" t="s">
        <v>385</v>
      </c>
      <c r="AH96" s="7" t="s">
        <v>399</v>
      </c>
      <c r="AJ96" s="7" t="s">
        <v>386</v>
      </c>
      <c r="AL96" s="7" t="s">
        <v>1279</v>
      </c>
      <c r="AM96" s="7" t="s">
        <v>387</v>
      </c>
      <c r="AN96" s="7" t="s">
        <v>787</v>
      </c>
      <c r="AO96" s="7" t="s">
        <v>1280</v>
      </c>
      <c r="AP96" s="7" t="s">
        <v>400</v>
      </c>
      <c r="AQ96" s="7" t="s">
        <v>1281</v>
      </c>
    </row>
    <row r="97" ht="14.25" customHeight="1">
      <c r="A97" s="7">
        <v>23.0</v>
      </c>
      <c r="B97" s="7" t="s">
        <v>1282</v>
      </c>
      <c r="C97" s="7" t="s">
        <v>183</v>
      </c>
      <c r="D97" s="7" t="s">
        <v>370</v>
      </c>
      <c r="E97" s="7" t="s">
        <v>1283</v>
      </c>
      <c r="F97" s="7" t="s">
        <v>184</v>
      </c>
      <c r="G97" s="7">
        <v>2021.0</v>
      </c>
      <c r="H97" s="7" t="s">
        <v>185</v>
      </c>
      <c r="I97" s="7" t="s">
        <v>371</v>
      </c>
      <c r="J97" s="7" t="s">
        <v>1284</v>
      </c>
      <c r="K97" s="7" t="s">
        <v>405</v>
      </c>
      <c r="L97" s="7" t="s">
        <v>570</v>
      </c>
      <c r="M97" s="7" t="s">
        <v>570</v>
      </c>
      <c r="N97" s="7" t="s">
        <v>374</v>
      </c>
      <c r="O97" s="7" t="s">
        <v>1027</v>
      </c>
      <c r="Q97" s="7" t="s">
        <v>377</v>
      </c>
      <c r="R97" s="7" t="s">
        <v>379</v>
      </c>
      <c r="S97" s="7" t="s">
        <v>1285</v>
      </c>
      <c r="T97" s="7" t="s">
        <v>397</v>
      </c>
      <c r="V97" s="7" t="s">
        <v>371</v>
      </c>
      <c r="W97" s="7" t="s">
        <v>379</v>
      </c>
      <c r="X97" s="7" t="s">
        <v>379</v>
      </c>
      <c r="Y97" s="7" t="s">
        <v>379</v>
      </c>
      <c r="Z97" s="7">
        <v>2012.0</v>
      </c>
      <c r="AA97" s="7">
        <v>2017.0</v>
      </c>
      <c r="AB97" s="7">
        <v>5.0</v>
      </c>
      <c r="AC97" s="7" t="s">
        <v>371</v>
      </c>
      <c r="AD97" s="7" t="s">
        <v>1286</v>
      </c>
      <c r="AE97" s="7" t="s">
        <v>398</v>
      </c>
      <c r="AF97" s="7" t="s">
        <v>385</v>
      </c>
      <c r="AH97" s="7" t="s">
        <v>371</v>
      </c>
      <c r="AI97" s="7" t="s">
        <v>1287</v>
      </c>
      <c r="AJ97" s="7" t="s">
        <v>386</v>
      </c>
      <c r="AK97" s="7" t="s">
        <v>379</v>
      </c>
      <c r="AL97" s="7" t="s">
        <v>387</v>
      </c>
      <c r="AM97" s="7" t="s">
        <v>497</v>
      </c>
      <c r="AN97" s="7" t="s">
        <v>1288</v>
      </c>
      <c r="AO97" s="7" t="s">
        <v>1289</v>
      </c>
      <c r="AQ97" s="7" t="s">
        <v>1290</v>
      </c>
    </row>
    <row r="98" ht="14.25" customHeight="1">
      <c r="A98" s="7">
        <v>18.0</v>
      </c>
      <c r="B98" s="7" t="s">
        <v>1291</v>
      </c>
      <c r="C98" s="7" t="s">
        <v>285</v>
      </c>
      <c r="D98" s="7" t="s">
        <v>370</v>
      </c>
      <c r="E98" s="7" t="s">
        <v>285</v>
      </c>
      <c r="F98" s="7" t="s">
        <v>286</v>
      </c>
      <c r="G98" s="7">
        <v>2022.0</v>
      </c>
      <c r="H98" s="7" t="s">
        <v>1292</v>
      </c>
      <c r="I98" s="7" t="s">
        <v>371</v>
      </c>
      <c r="J98" s="7" t="s">
        <v>1293</v>
      </c>
      <c r="K98" s="7" t="s">
        <v>405</v>
      </c>
      <c r="L98" s="7" t="s">
        <v>394</v>
      </c>
      <c r="M98" s="7" t="s">
        <v>394</v>
      </c>
      <c r="O98" s="7" t="s">
        <v>671</v>
      </c>
      <c r="Q98" s="7" t="s">
        <v>377</v>
      </c>
      <c r="R98" s="7" t="s">
        <v>1294</v>
      </c>
      <c r="S98" s="7" t="s">
        <v>1295</v>
      </c>
      <c r="T98" s="7" t="s">
        <v>397</v>
      </c>
      <c r="V98" s="7" t="s">
        <v>371</v>
      </c>
      <c r="Z98" s="7">
        <v>1990.0</v>
      </c>
      <c r="AA98" s="7">
        <v>2018.0</v>
      </c>
      <c r="AC98" s="7" t="s">
        <v>385</v>
      </c>
      <c r="AE98" s="7" t="s">
        <v>398</v>
      </c>
      <c r="AF98" s="7" t="s">
        <v>385</v>
      </c>
      <c r="AH98" s="7" t="s">
        <v>399</v>
      </c>
      <c r="AJ98" s="7" t="s">
        <v>386</v>
      </c>
      <c r="AL98" s="7" t="s">
        <v>387</v>
      </c>
      <c r="AM98" s="7" t="s">
        <v>387</v>
      </c>
      <c r="AN98" s="7" t="s">
        <v>523</v>
      </c>
      <c r="AO98" s="7" t="s">
        <v>1296</v>
      </c>
      <c r="AP98" s="7" t="s">
        <v>1297</v>
      </c>
      <c r="AQ98" s="7" t="s">
        <v>1298</v>
      </c>
    </row>
    <row r="99" ht="14.25" customHeight="1">
      <c r="A99" s="7">
        <v>16.0</v>
      </c>
      <c r="B99" s="7" t="s">
        <v>1299</v>
      </c>
      <c r="C99" s="7" t="s">
        <v>237</v>
      </c>
      <c r="D99" s="7" t="s">
        <v>370</v>
      </c>
      <c r="E99" s="7" t="s">
        <v>237</v>
      </c>
      <c r="F99" s="7" t="s">
        <v>238</v>
      </c>
      <c r="G99" s="7">
        <v>2022.0</v>
      </c>
      <c r="H99" s="7" t="s">
        <v>1300</v>
      </c>
      <c r="I99" s="7" t="s">
        <v>371</v>
      </c>
      <c r="J99" s="7" t="s">
        <v>1301</v>
      </c>
      <c r="K99" s="7" t="s">
        <v>435</v>
      </c>
      <c r="L99" s="7" t="s">
        <v>570</v>
      </c>
      <c r="M99" s="7" t="s">
        <v>570</v>
      </c>
      <c r="N99" s="7" t="s">
        <v>1302</v>
      </c>
      <c r="O99" s="7" t="s">
        <v>572</v>
      </c>
      <c r="Q99" s="7" t="s">
        <v>678</v>
      </c>
      <c r="R99" s="7" t="s">
        <v>876</v>
      </c>
      <c r="T99" s="7" t="s">
        <v>582</v>
      </c>
      <c r="V99" s="7" t="s">
        <v>371</v>
      </c>
      <c r="X99" s="7">
        <v>1984.0</v>
      </c>
      <c r="Y99" s="7">
        <v>2020.0</v>
      </c>
      <c r="AC99" s="7" t="s">
        <v>371</v>
      </c>
      <c r="AD99" s="7" t="s">
        <v>1303</v>
      </c>
      <c r="AE99" s="7" t="s">
        <v>584</v>
      </c>
      <c r="AF99" s="7" t="s">
        <v>385</v>
      </c>
      <c r="AH99" s="7" t="s">
        <v>371</v>
      </c>
      <c r="AJ99" s="7" t="s">
        <v>386</v>
      </c>
      <c r="AL99" s="7" t="s">
        <v>387</v>
      </c>
      <c r="AM99" s="7" t="s">
        <v>387</v>
      </c>
      <c r="AN99" s="7" t="s">
        <v>1304</v>
      </c>
      <c r="AO99" s="7" t="s">
        <v>1305</v>
      </c>
      <c r="AP99" s="7" t="s">
        <v>1306</v>
      </c>
      <c r="AQ99" s="7" t="s">
        <v>1307</v>
      </c>
    </row>
    <row r="100" ht="14.25" customHeight="1">
      <c r="A100" s="7">
        <v>15.0</v>
      </c>
      <c r="B100" s="7" t="s">
        <v>1308</v>
      </c>
      <c r="C100" s="14" t="s">
        <v>225</v>
      </c>
      <c r="D100" s="7" t="s">
        <v>370</v>
      </c>
      <c r="E100" s="7" t="s">
        <v>225</v>
      </c>
      <c r="F100" s="7" t="s">
        <v>226</v>
      </c>
      <c r="G100" s="7">
        <v>2013.0</v>
      </c>
      <c r="H100" s="7" t="s">
        <v>1309</v>
      </c>
      <c r="I100" s="7" t="s">
        <v>371</v>
      </c>
      <c r="J100" s="7" t="s">
        <v>1310</v>
      </c>
      <c r="K100" s="7" t="s">
        <v>435</v>
      </c>
      <c r="L100" s="7" t="s">
        <v>394</v>
      </c>
      <c r="M100" s="7" t="s">
        <v>394</v>
      </c>
      <c r="N100" s="7" t="s">
        <v>1311</v>
      </c>
      <c r="O100" s="7" t="s">
        <v>437</v>
      </c>
      <c r="Q100" s="7" t="s">
        <v>377</v>
      </c>
      <c r="R100" s="7" t="s">
        <v>458</v>
      </c>
      <c r="S100" s="7" t="s">
        <v>379</v>
      </c>
      <c r="T100" s="7" t="s">
        <v>548</v>
      </c>
      <c r="U100" s="7" t="s">
        <v>1312</v>
      </c>
      <c r="V100" s="7" t="s">
        <v>385</v>
      </c>
      <c r="Z100" s="7">
        <v>2002.0</v>
      </c>
      <c r="AA100" s="7">
        <v>2009.0</v>
      </c>
      <c r="AB100" s="7" t="s">
        <v>1313</v>
      </c>
      <c r="AC100" s="7" t="s">
        <v>385</v>
      </c>
      <c r="AD100" s="7" t="s">
        <v>379</v>
      </c>
      <c r="AE100" s="7" t="s">
        <v>425</v>
      </c>
      <c r="AF100" s="7" t="s">
        <v>371</v>
      </c>
      <c r="AG100" s="7" t="s">
        <v>440</v>
      </c>
      <c r="AH100" s="7" t="s">
        <v>371</v>
      </c>
      <c r="AI100" s="7" t="s">
        <v>1314</v>
      </c>
      <c r="AJ100" s="7" t="s">
        <v>386</v>
      </c>
      <c r="AK100" s="7" t="s">
        <v>379</v>
      </c>
      <c r="AL100" s="7" t="s">
        <v>387</v>
      </c>
      <c r="AM100" s="7" t="s">
        <v>387</v>
      </c>
      <c r="AN100" s="7" t="s">
        <v>1315</v>
      </c>
      <c r="AO100" s="7" t="s">
        <v>1316</v>
      </c>
      <c r="AP100" s="7" t="s">
        <v>440</v>
      </c>
      <c r="AQ100" s="7" t="s">
        <v>1317</v>
      </c>
    </row>
    <row r="101" ht="14.25" customHeight="1">
      <c r="A101" s="7">
        <v>12.0</v>
      </c>
      <c r="B101" s="7" t="s">
        <v>1318</v>
      </c>
      <c r="C101" s="7" t="s">
        <v>54</v>
      </c>
      <c r="D101" s="7" t="s">
        <v>370</v>
      </c>
      <c r="E101" s="7" t="s">
        <v>54</v>
      </c>
      <c r="F101" s="7" t="s">
        <v>55</v>
      </c>
      <c r="G101" s="7">
        <v>2011.0</v>
      </c>
      <c r="H101" s="7" t="s">
        <v>1319</v>
      </c>
      <c r="I101" s="7" t="s">
        <v>371</v>
      </c>
      <c r="J101" s="7" t="s">
        <v>1320</v>
      </c>
      <c r="K101" s="7" t="s">
        <v>373</v>
      </c>
      <c r="L101" s="7" t="s">
        <v>406</v>
      </c>
      <c r="M101" s="7" t="s">
        <v>406</v>
      </c>
      <c r="N101" s="7" t="s">
        <v>1321</v>
      </c>
      <c r="O101" s="7" t="s">
        <v>408</v>
      </c>
      <c r="Q101" s="7" t="s">
        <v>377</v>
      </c>
      <c r="R101" s="7" t="s">
        <v>1322</v>
      </c>
      <c r="T101" s="7" t="s">
        <v>397</v>
      </c>
      <c r="U101" s="7" t="s">
        <v>1323</v>
      </c>
      <c r="V101" s="7" t="s">
        <v>371</v>
      </c>
      <c r="W101" s="7" t="s">
        <v>379</v>
      </c>
      <c r="X101" s="7" t="s">
        <v>379</v>
      </c>
      <c r="Y101" s="7" t="s">
        <v>379</v>
      </c>
      <c r="Z101" s="7">
        <v>1957.0</v>
      </c>
      <c r="AA101" s="7">
        <v>2005.0</v>
      </c>
      <c r="AC101" s="7" t="s">
        <v>385</v>
      </c>
      <c r="AD101" s="7" t="s">
        <v>379</v>
      </c>
      <c r="AE101" s="7" t="s">
        <v>450</v>
      </c>
      <c r="AF101" s="7" t="s">
        <v>385</v>
      </c>
      <c r="AH101" s="7" t="s">
        <v>399</v>
      </c>
      <c r="AI101" s="7" t="s">
        <v>379</v>
      </c>
      <c r="AJ101" s="7" t="s">
        <v>386</v>
      </c>
      <c r="AK101" s="7" t="s">
        <v>379</v>
      </c>
      <c r="AL101" s="7" t="s">
        <v>1324</v>
      </c>
      <c r="AM101" s="7" t="s">
        <v>387</v>
      </c>
      <c r="AN101" s="7" t="s">
        <v>1325</v>
      </c>
      <c r="AO101" s="7" t="s">
        <v>1326</v>
      </c>
      <c r="AP101" s="7" t="s">
        <v>1327</v>
      </c>
      <c r="AQ101" s="7" t="s">
        <v>1328</v>
      </c>
    </row>
    <row r="102" ht="14.25" customHeight="1">
      <c r="A102" s="7">
        <v>10.0</v>
      </c>
      <c r="B102" s="7" t="s">
        <v>1329</v>
      </c>
      <c r="C102" s="7" t="s">
        <v>60</v>
      </c>
      <c r="D102" s="7" t="s">
        <v>370</v>
      </c>
      <c r="E102" s="7" t="s">
        <v>1330</v>
      </c>
      <c r="F102" s="7" t="s">
        <v>61</v>
      </c>
      <c r="G102" s="7">
        <v>2006.0</v>
      </c>
      <c r="H102" s="7" t="s">
        <v>1331</v>
      </c>
      <c r="I102" s="7" t="s">
        <v>371</v>
      </c>
      <c r="J102" s="7" t="s">
        <v>1332</v>
      </c>
      <c r="K102" s="7" t="s">
        <v>373</v>
      </c>
      <c r="L102" s="7" t="s">
        <v>517</v>
      </c>
      <c r="M102" s="7" t="s">
        <v>517</v>
      </c>
      <c r="N102" s="7" t="s">
        <v>1333</v>
      </c>
      <c r="O102" s="7" t="s">
        <v>935</v>
      </c>
      <c r="Q102" s="7" t="s">
        <v>377</v>
      </c>
      <c r="R102" s="7" t="s">
        <v>438</v>
      </c>
      <c r="S102" s="7" t="s">
        <v>379</v>
      </c>
      <c r="T102" s="7" t="s">
        <v>380</v>
      </c>
      <c r="U102" s="7" t="s">
        <v>1334</v>
      </c>
      <c r="V102" s="7" t="s">
        <v>371</v>
      </c>
      <c r="W102" s="7">
        <v>1986.0</v>
      </c>
      <c r="X102" s="7">
        <v>1933.0</v>
      </c>
      <c r="Y102" s="7">
        <v>1986.0</v>
      </c>
      <c r="Z102" s="7">
        <v>1986.0</v>
      </c>
      <c r="AA102" s="7">
        <v>2003.0</v>
      </c>
      <c r="AB102" s="7" t="s">
        <v>1335</v>
      </c>
      <c r="AC102" s="7" t="s">
        <v>371</v>
      </c>
      <c r="AD102" s="7" t="s">
        <v>1336</v>
      </c>
      <c r="AE102" s="7" t="s">
        <v>384</v>
      </c>
      <c r="AF102" s="7" t="s">
        <v>385</v>
      </c>
      <c r="AH102" s="7" t="s">
        <v>399</v>
      </c>
      <c r="AI102" s="7" t="s">
        <v>379</v>
      </c>
      <c r="AJ102" s="7" t="s">
        <v>386</v>
      </c>
      <c r="AK102" s="7" t="s">
        <v>379</v>
      </c>
      <c r="AL102" s="7" t="s">
        <v>1337</v>
      </c>
      <c r="AM102" s="7" t="s">
        <v>428</v>
      </c>
      <c r="AN102" s="7" t="s">
        <v>1338</v>
      </c>
      <c r="AO102" s="7" t="s">
        <v>1339</v>
      </c>
    </row>
    <row r="103" ht="14.25" customHeight="1">
      <c r="A103" s="7">
        <v>9.0</v>
      </c>
      <c r="B103" s="7" t="s">
        <v>1340</v>
      </c>
      <c r="C103" s="7" t="s">
        <v>75</v>
      </c>
      <c r="D103" s="7" t="s">
        <v>370</v>
      </c>
      <c r="E103" s="7" t="s">
        <v>1341</v>
      </c>
      <c r="F103" s="7" t="s">
        <v>76</v>
      </c>
      <c r="G103" s="7">
        <v>2019.0</v>
      </c>
      <c r="H103" s="7" t="s">
        <v>77</v>
      </c>
      <c r="I103" s="7" t="s">
        <v>371</v>
      </c>
      <c r="J103" s="7" t="s">
        <v>1342</v>
      </c>
      <c r="K103" s="7" t="s">
        <v>535</v>
      </c>
      <c r="L103" s="7" t="s">
        <v>536</v>
      </c>
      <c r="M103" s="7" t="s">
        <v>536</v>
      </c>
      <c r="N103" s="7" t="s">
        <v>535</v>
      </c>
      <c r="O103" s="7" t="s">
        <v>536</v>
      </c>
      <c r="Q103" s="7" t="s">
        <v>377</v>
      </c>
      <c r="R103" s="7" t="s">
        <v>1343</v>
      </c>
      <c r="S103" s="7" t="s">
        <v>1344</v>
      </c>
      <c r="T103" s="7" t="s">
        <v>548</v>
      </c>
      <c r="V103" s="7" t="s">
        <v>371</v>
      </c>
      <c r="Z103" s="7">
        <v>1993.0</v>
      </c>
      <c r="AA103" s="7">
        <v>2009.0</v>
      </c>
      <c r="AB103" s="7" t="s">
        <v>1345</v>
      </c>
      <c r="AC103" s="7" t="s">
        <v>385</v>
      </c>
      <c r="AD103" s="7" t="s">
        <v>379</v>
      </c>
      <c r="AE103" s="7" t="s">
        <v>425</v>
      </c>
      <c r="AF103" s="7" t="s">
        <v>371</v>
      </c>
      <c r="AG103" s="7" t="s">
        <v>440</v>
      </c>
      <c r="AH103" s="7" t="s">
        <v>399</v>
      </c>
      <c r="AJ103" s="7" t="s">
        <v>386</v>
      </c>
      <c r="AK103" s="7" t="s">
        <v>379</v>
      </c>
      <c r="AL103" s="7" t="s">
        <v>658</v>
      </c>
      <c r="AM103" s="7" t="s">
        <v>497</v>
      </c>
      <c r="AN103" s="7" t="s">
        <v>1346</v>
      </c>
      <c r="AO103" s="7" t="s">
        <v>1347</v>
      </c>
      <c r="AP103" s="7" t="s">
        <v>1348</v>
      </c>
      <c r="AQ103" s="7" t="s">
        <v>1349</v>
      </c>
    </row>
    <row r="104" ht="14.25" customHeight="1">
      <c r="A104" s="7">
        <v>8.0</v>
      </c>
      <c r="B104" s="7" t="s">
        <v>1350</v>
      </c>
      <c r="C104" s="7" t="s">
        <v>216</v>
      </c>
      <c r="D104" s="7" t="s">
        <v>370</v>
      </c>
      <c r="E104" s="7" t="s">
        <v>216</v>
      </c>
      <c r="F104" s="7" t="s">
        <v>217</v>
      </c>
      <c r="G104" s="7">
        <v>2020.0</v>
      </c>
      <c r="H104" s="7" t="s">
        <v>1351</v>
      </c>
      <c r="I104" s="7" t="s">
        <v>371</v>
      </c>
      <c r="J104" s="7" t="s">
        <v>1352</v>
      </c>
      <c r="K104" s="7" t="s">
        <v>535</v>
      </c>
      <c r="L104" s="7" t="s">
        <v>536</v>
      </c>
      <c r="M104" s="7" t="s">
        <v>536</v>
      </c>
      <c r="N104" s="7" t="s">
        <v>535</v>
      </c>
      <c r="O104" s="7" t="s">
        <v>536</v>
      </c>
      <c r="Q104" s="7" t="s">
        <v>758</v>
      </c>
      <c r="R104" s="7" t="s">
        <v>1353</v>
      </c>
      <c r="T104" s="7" t="s">
        <v>397</v>
      </c>
      <c r="U104" s="7" t="s">
        <v>1354</v>
      </c>
      <c r="V104" s="7" t="s">
        <v>385</v>
      </c>
      <c r="X104" s="7">
        <v>1999.0</v>
      </c>
      <c r="Y104" s="7">
        <v>2001.0</v>
      </c>
      <c r="Z104" s="7">
        <v>2014.0</v>
      </c>
      <c r="AA104" s="7">
        <v>2016.0</v>
      </c>
      <c r="AC104" s="7" t="s">
        <v>385</v>
      </c>
      <c r="AE104" s="7" t="s">
        <v>450</v>
      </c>
      <c r="AF104" s="7" t="s">
        <v>385</v>
      </c>
      <c r="AH104" s="7" t="s">
        <v>399</v>
      </c>
      <c r="AJ104" s="7" t="s">
        <v>386</v>
      </c>
      <c r="AL104" s="7" t="s">
        <v>387</v>
      </c>
      <c r="AM104" s="7" t="s">
        <v>497</v>
      </c>
      <c r="AN104" s="7" t="s">
        <v>1355</v>
      </c>
      <c r="AO104" s="7" t="s">
        <v>1356</v>
      </c>
      <c r="AP104" s="7" t="s">
        <v>610</v>
      </c>
      <c r="AQ104" s="7" t="s">
        <v>1357</v>
      </c>
    </row>
    <row r="105" ht="14.25" customHeight="1">
      <c r="A105" s="7">
        <v>6.0</v>
      </c>
      <c r="B105" s="7" t="s">
        <v>1358</v>
      </c>
      <c r="C105" s="7" t="s">
        <v>231</v>
      </c>
      <c r="D105" s="7" t="s">
        <v>370</v>
      </c>
      <c r="E105" s="7" t="s">
        <v>231</v>
      </c>
      <c r="F105" s="7" t="s">
        <v>232</v>
      </c>
      <c r="G105" s="7">
        <v>2019.0</v>
      </c>
      <c r="H105" s="7" t="s">
        <v>1359</v>
      </c>
      <c r="I105" s="7" t="s">
        <v>385</v>
      </c>
      <c r="J105" s="7" t="s">
        <v>1360</v>
      </c>
      <c r="K105" s="7" t="s">
        <v>435</v>
      </c>
      <c r="L105" s="7" t="s">
        <v>570</v>
      </c>
      <c r="M105" s="7" t="s">
        <v>570</v>
      </c>
      <c r="N105" s="7" t="s">
        <v>1361</v>
      </c>
      <c r="O105" s="7" t="s">
        <v>1362</v>
      </c>
      <c r="P105" s="7" t="s">
        <v>976</v>
      </c>
      <c r="Q105" s="7" t="s">
        <v>377</v>
      </c>
      <c r="R105" s="7" t="s">
        <v>1363</v>
      </c>
      <c r="T105" s="7" t="s">
        <v>397</v>
      </c>
      <c r="V105" s="7" t="s">
        <v>371</v>
      </c>
      <c r="Z105" s="7">
        <v>1993.0</v>
      </c>
      <c r="AA105" s="7">
        <v>2009.0</v>
      </c>
      <c r="AC105" s="7" t="s">
        <v>385</v>
      </c>
      <c r="AE105" s="7" t="s">
        <v>562</v>
      </c>
      <c r="AF105" s="7" t="s">
        <v>385</v>
      </c>
      <c r="AH105" s="7" t="s">
        <v>399</v>
      </c>
      <c r="AJ105" s="7" t="s">
        <v>386</v>
      </c>
      <c r="AL105" s="7" t="s">
        <v>658</v>
      </c>
      <c r="AM105" s="7" t="s">
        <v>497</v>
      </c>
      <c r="AN105" s="7" t="s">
        <v>658</v>
      </c>
      <c r="AO105" s="7" t="s">
        <v>1346</v>
      </c>
      <c r="AP105" s="7" t="s">
        <v>1364</v>
      </c>
      <c r="AQ105" s="7" t="s">
        <v>1365</v>
      </c>
    </row>
    <row r="106" ht="14.25" customHeight="1">
      <c r="A106" s="7">
        <v>5.0</v>
      </c>
      <c r="B106" s="7" t="s">
        <v>1366</v>
      </c>
      <c r="C106" s="7" t="s">
        <v>51</v>
      </c>
      <c r="D106" s="7" t="s">
        <v>370</v>
      </c>
      <c r="E106" s="7" t="s">
        <v>1367</v>
      </c>
      <c r="F106" s="7" t="s">
        <v>52</v>
      </c>
      <c r="G106" s="7">
        <v>2013.0</v>
      </c>
      <c r="H106" s="7" t="s">
        <v>1368</v>
      </c>
      <c r="I106" s="7" t="s">
        <v>385</v>
      </c>
      <c r="J106" s="7" t="s">
        <v>1369</v>
      </c>
      <c r="K106" s="7" t="s">
        <v>373</v>
      </c>
      <c r="L106" s="7" t="s">
        <v>419</v>
      </c>
      <c r="M106" s="7" t="s">
        <v>419</v>
      </c>
      <c r="N106" s="7" t="s">
        <v>1370</v>
      </c>
      <c r="O106" s="7" t="s">
        <v>1371</v>
      </c>
      <c r="Q106" s="7" t="s">
        <v>377</v>
      </c>
      <c r="R106" s="7" t="s">
        <v>793</v>
      </c>
      <c r="S106" s="7" t="s">
        <v>379</v>
      </c>
      <c r="T106" s="7" t="s">
        <v>397</v>
      </c>
      <c r="V106" s="7" t="s">
        <v>371</v>
      </c>
      <c r="X106" s="7">
        <v>1850.0</v>
      </c>
      <c r="Z106" s="7">
        <v>1928.0</v>
      </c>
      <c r="AA106" s="7">
        <v>2000.0</v>
      </c>
      <c r="AC106" s="7" t="s">
        <v>385</v>
      </c>
      <c r="AD106" s="7" t="s">
        <v>379</v>
      </c>
      <c r="AE106" s="7" t="s">
        <v>398</v>
      </c>
      <c r="AF106" s="7" t="s">
        <v>385</v>
      </c>
      <c r="AH106" s="7" t="s">
        <v>399</v>
      </c>
      <c r="AI106" s="7" t="s">
        <v>379</v>
      </c>
      <c r="AJ106" s="7" t="s">
        <v>386</v>
      </c>
      <c r="AK106" s="7" t="s">
        <v>379</v>
      </c>
      <c r="AL106" s="7" t="s">
        <v>1372</v>
      </c>
      <c r="AM106" s="7" t="s">
        <v>387</v>
      </c>
      <c r="AN106" s="7" t="s">
        <v>1373</v>
      </c>
      <c r="AO106" s="7" t="s">
        <v>1374</v>
      </c>
    </row>
    <row r="107" ht="14.25" customHeight="1">
      <c r="A107" s="7">
        <v>4.0</v>
      </c>
      <c r="B107" s="7" t="s">
        <v>1375</v>
      </c>
      <c r="C107" s="7" t="s">
        <v>66</v>
      </c>
      <c r="D107" s="7" t="s">
        <v>370</v>
      </c>
      <c r="E107" s="7" t="s">
        <v>66</v>
      </c>
      <c r="F107" s="7" t="s">
        <v>67</v>
      </c>
      <c r="G107" s="7">
        <v>2012.0</v>
      </c>
      <c r="H107" s="7" t="s">
        <v>1376</v>
      </c>
      <c r="I107" s="7" t="s">
        <v>385</v>
      </c>
      <c r="J107" s="7" t="s">
        <v>1377</v>
      </c>
      <c r="K107" s="7" t="s">
        <v>373</v>
      </c>
      <c r="L107" s="7" t="s">
        <v>570</v>
      </c>
      <c r="M107" s="7" t="s">
        <v>570</v>
      </c>
      <c r="N107" s="7" t="s">
        <v>1378</v>
      </c>
      <c r="O107" s="7" t="s">
        <v>1379</v>
      </c>
      <c r="Q107" s="7" t="s">
        <v>678</v>
      </c>
      <c r="R107" s="7" t="s">
        <v>1380</v>
      </c>
      <c r="T107" s="7" t="s">
        <v>397</v>
      </c>
      <c r="U107" s="7" t="s">
        <v>1381</v>
      </c>
      <c r="V107" s="7" t="s">
        <v>385</v>
      </c>
      <c r="AB107" s="7" t="s">
        <v>1382</v>
      </c>
      <c r="AC107" s="7" t="s">
        <v>385</v>
      </c>
      <c r="AD107" s="7" t="s">
        <v>379</v>
      </c>
      <c r="AE107" s="7" t="s">
        <v>384</v>
      </c>
      <c r="AF107" s="7" t="s">
        <v>385</v>
      </c>
      <c r="AH107" s="7" t="s">
        <v>399</v>
      </c>
      <c r="AI107" s="7" t="s">
        <v>379</v>
      </c>
      <c r="AJ107" s="7" t="s">
        <v>386</v>
      </c>
      <c r="AK107" s="7" t="s">
        <v>379</v>
      </c>
      <c r="AL107" s="7" t="s">
        <v>1383</v>
      </c>
      <c r="AN107" s="7" t="s">
        <v>1384</v>
      </c>
      <c r="AO107" s="7" t="s">
        <v>1385</v>
      </c>
      <c r="AP107" s="7" t="s">
        <v>1383</v>
      </c>
    </row>
  </sheetData>
  <autoFilter ref="$A$1:$JC$107">
    <filterColumn colId="35">
      <filters>
        <filter val="Selected"/>
      </filters>
    </filterColumn>
  </autoFilter>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4.5"/>
    <col customWidth="1" min="3" max="21" width="8.63"/>
    <col customWidth="1" min="22" max="22" width="17.5"/>
    <col customWidth="1" min="23" max="23" width="8.63"/>
    <col customWidth="1" min="24" max="24" width="19.63"/>
    <col customWidth="1" min="25" max="25" width="24.13"/>
    <col customWidth="1" min="26" max="26" width="23.25"/>
    <col customWidth="1" min="27" max="27" width="24.0"/>
    <col customWidth="1" min="28" max="28" width="21.75"/>
    <col customWidth="1" min="29" max="29" width="14.0"/>
    <col customWidth="1" min="30" max="46" width="8.63"/>
    <col customWidth="1" min="47" max="47" width="17.88"/>
    <col customWidth="1" min="48" max="53" width="8.63"/>
    <col customWidth="1" min="54" max="54" width="18.25"/>
    <col customWidth="1" min="55" max="60" width="8.63"/>
    <col customWidth="1" min="61" max="61" width="20.0"/>
    <col customWidth="1" min="62" max="67" width="8.63"/>
    <col customWidth="1" min="68" max="68" width="18.88"/>
    <col customWidth="1" min="69" max="79" width="8.63"/>
    <col customWidth="1" min="80" max="80" width="20.38"/>
    <col customWidth="1" min="81" max="89" width="8.63"/>
    <col customWidth="1" min="90" max="90" width="19.75"/>
    <col customWidth="1" min="91" max="96" width="8.63"/>
    <col customWidth="1" min="97" max="97" width="21.38"/>
    <col customWidth="1" min="98" max="103" width="8.63"/>
    <col customWidth="1" min="104" max="104" width="17.75"/>
    <col customWidth="1" min="105" max="115" width="8.63"/>
    <col customWidth="1" min="116" max="116" width="17.13"/>
    <col customWidth="1" min="117" max="125" width="8.63"/>
    <col customWidth="1" min="126" max="126" width="15.0"/>
    <col customWidth="1" min="127" max="132" width="8.63"/>
    <col customWidth="1" min="133" max="133" width="14.0"/>
    <col customWidth="1" min="134" max="139" width="8.63"/>
    <col customWidth="1" min="140" max="140" width="20.88"/>
    <col customWidth="1" min="141" max="151" width="8.63"/>
    <col customWidth="1" min="152" max="152" width="21.75"/>
    <col customWidth="1" min="153" max="223" width="8.63"/>
  </cols>
  <sheetData>
    <row r="1" ht="14.25" customHeight="1">
      <c r="B1" s="7" t="s">
        <v>332</v>
      </c>
      <c r="C1" s="7" t="s">
        <v>14</v>
      </c>
      <c r="D1" s="7" t="s">
        <v>1386</v>
      </c>
      <c r="E1" s="7" t="s">
        <v>1387</v>
      </c>
      <c r="F1" s="7" t="s">
        <v>1388</v>
      </c>
      <c r="G1" s="7" t="s">
        <v>1389</v>
      </c>
      <c r="H1" s="7" t="s">
        <v>1390</v>
      </c>
      <c r="I1" s="7" t="s">
        <v>1391</v>
      </c>
      <c r="J1" s="7" t="s">
        <v>1392</v>
      </c>
      <c r="K1" s="7" t="s">
        <v>1393</v>
      </c>
      <c r="L1" s="7" t="s">
        <v>1394</v>
      </c>
      <c r="M1" s="7" t="s">
        <v>1395</v>
      </c>
      <c r="N1" s="7" t="s">
        <v>1396</v>
      </c>
      <c r="O1" s="7" t="s">
        <v>1397</v>
      </c>
      <c r="P1" s="7" t="s">
        <v>1398</v>
      </c>
      <c r="Q1" s="7" t="s">
        <v>1399</v>
      </c>
      <c r="R1" s="7" t="s">
        <v>1400</v>
      </c>
      <c r="S1" s="7" t="s">
        <v>1401</v>
      </c>
      <c r="T1" s="7" t="s">
        <v>1402</v>
      </c>
      <c r="U1" s="7" t="s">
        <v>1403</v>
      </c>
      <c r="V1" s="7" t="s">
        <v>1404</v>
      </c>
      <c r="W1" s="7" t="s">
        <v>1405</v>
      </c>
      <c r="X1" s="7" t="s">
        <v>1406</v>
      </c>
      <c r="Y1" s="16" t="s">
        <v>1407</v>
      </c>
      <c r="Z1" s="16" t="s">
        <v>1408</v>
      </c>
      <c r="AA1" s="7" t="s">
        <v>1409</v>
      </c>
      <c r="AB1" s="7" t="s">
        <v>1410</v>
      </c>
      <c r="AC1" s="14" t="s">
        <v>1411</v>
      </c>
      <c r="AD1" s="7" t="s">
        <v>1412</v>
      </c>
      <c r="AE1" s="7" t="s">
        <v>1413</v>
      </c>
      <c r="AF1" s="7" t="s">
        <v>1414</v>
      </c>
      <c r="AG1" s="7" t="s">
        <v>1415</v>
      </c>
      <c r="AH1" s="7" t="s">
        <v>1416</v>
      </c>
      <c r="AI1" s="7" t="s">
        <v>1417</v>
      </c>
      <c r="AJ1" s="7" t="s">
        <v>1418</v>
      </c>
      <c r="AK1" s="7" t="s">
        <v>1419</v>
      </c>
      <c r="AL1" s="7" t="s">
        <v>1420</v>
      </c>
      <c r="AM1" s="7" t="s">
        <v>1421</v>
      </c>
      <c r="AN1" s="7" t="s">
        <v>1422</v>
      </c>
      <c r="AO1" s="7" t="s">
        <v>1423</v>
      </c>
      <c r="AP1" s="7" t="s">
        <v>1424</v>
      </c>
      <c r="AQ1" s="7" t="s">
        <v>1425</v>
      </c>
      <c r="AR1" s="7" t="s">
        <v>1426</v>
      </c>
      <c r="AS1" s="7" t="s">
        <v>1427</v>
      </c>
      <c r="AT1" s="7" t="s">
        <v>1428</v>
      </c>
      <c r="AU1" s="14" t="s">
        <v>1429</v>
      </c>
      <c r="AV1" s="7" t="s">
        <v>1430</v>
      </c>
      <c r="AW1" s="7" t="s">
        <v>1431</v>
      </c>
      <c r="AX1" s="7" t="s">
        <v>1414</v>
      </c>
      <c r="AY1" s="7" t="s">
        <v>1432</v>
      </c>
      <c r="AZ1" s="7" t="s">
        <v>1416</v>
      </c>
      <c r="BA1" s="7" t="s">
        <v>1433</v>
      </c>
      <c r="BB1" s="14" t="s">
        <v>1434</v>
      </c>
      <c r="BC1" s="7" t="s">
        <v>1430</v>
      </c>
      <c r="BD1" s="7" t="s">
        <v>1435</v>
      </c>
      <c r="BE1" s="7" t="s">
        <v>1414</v>
      </c>
      <c r="BF1" s="7" t="s">
        <v>1436</v>
      </c>
      <c r="BG1" s="7" t="s">
        <v>1437</v>
      </c>
      <c r="BH1" s="7" t="s">
        <v>1438</v>
      </c>
      <c r="BI1" s="14" t="s">
        <v>1439</v>
      </c>
      <c r="BJ1" s="7" t="s">
        <v>1430</v>
      </c>
      <c r="BK1" s="7" t="s">
        <v>1440</v>
      </c>
      <c r="BL1" s="7" t="s">
        <v>1414</v>
      </c>
      <c r="BM1" s="7" t="s">
        <v>1441</v>
      </c>
      <c r="BN1" s="7" t="s">
        <v>1416</v>
      </c>
      <c r="BO1" s="7" t="s">
        <v>1442</v>
      </c>
      <c r="BP1" s="14" t="s">
        <v>1443</v>
      </c>
      <c r="BQ1" s="7" t="s">
        <v>1430</v>
      </c>
      <c r="BR1" s="7" t="s">
        <v>1444</v>
      </c>
      <c r="BS1" s="7" t="s">
        <v>1414</v>
      </c>
      <c r="BT1" s="7" t="s">
        <v>1445</v>
      </c>
      <c r="BU1" s="7" t="s">
        <v>1416</v>
      </c>
      <c r="BV1" s="7" t="s">
        <v>1446</v>
      </c>
      <c r="BW1" s="7" t="s">
        <v>1447</v>
      </c>
      <c r="BX1" s="7" t="s">
        <v>1448</v>
      </c>
      <c r="BY1" s="7" t="s">
        <v>1449</v>
      </c>
      <c r="BZ1" s="7" t="s">
        <v>1450</v>
      </c>
      <c r="CA1" s="7" t="s">
        <v>1451</v>
      </c>
      <c r="CB1" s="14" t="s">
        <v>1452</v>
      </c>
      <c r="CC1" s="7" t="s">
        <v>1453</v>
      </c>
      <c r="CD1" s="7" t="s">
        <v>1454</v>
      </c>
      <c r="CE1" s="7" t="s">
        <v>1455</v>
      </c>
      <c r="CF1" s="7" t="s">
        <v>1456</v>
      </c>
      <c r="CG1" s="7" t="s">
        <v>1457</v>
      </c>
      <c r="CH1" s="7" t="s">
        <v>1458</v>
      </c>
      <c r="CI1" s="7" t="s">
        <v>1459</v>
      </c>
      <c r="CJ1" s="7" t="s">
        <v>1460</v>
      </c>
      <c r="CK1" s="7" t="s">
        <v>1461</v>
      </c>
      <c r="CL1" s="14" t="s">
        <v>1462</v>
      </c>
      <c r="CM1" s="7" t="s">
        <v>1463</v>
      </c>
      <c r="CN1" s="7" t="s">
        <v>1454</v>
      </c>
      <c r="CO1" s="7" t="s">
        <v>1464</v>
      </c>
      <c r="CP1" s="7" t="s">
        <v>1456</v>
      </c>
      <c r="CQ1" s="7" t="s">
        <v>1465</v>
      </c>
      <c r="CR1" s="7" t="s">
        <v>1458</v>
      </c>
      <c r="CS1" s="14" t="s">
        <v>1466</v>
      </c>
      <c r="CT1" s="7" t="s">
        <v>1453</v>
      </c>
      <c r="CU1" s="7" t="s">
        <v>1454</v>
      </c>
      <c r="CV1" s="7" t="s">
        <v>1455</v>
      </c>
      <c r="CW1" s="7" t="s">
        <v>1456</v>
      </c>
      <c r="CX1" s="7" t="s">
        <v>1457</v>
      </c>
      <c r="CY1" s="7" t="s">
        <v>1458</v>
      </c>
      <c r="CZ1" s="14" t="s">
        <v>1467</v>
      </c>
      <c r="DA1" s="7" t="s">
        <v>1453</v>
      </c>
      <c r="DB1" s="7" t="s">
        <v>1454</v>
      </c>
      <c r="DC1" s="7" t="s">
        <v>1455</v>
      </c>
      <c r="DD1" s="7" t="s">
        <v>1456</v>
      </c>
      <c r="DE1" s="7" t="s">
        <v>1457</v>
      </c>
      <c r="DF1" s="7" t="s">
        <v>1458</v>
      </c>
      <c r="DG1" s="7" t="s">
        <v>1468</v>
      </c>
      <c r="DH1" s="7" t="s">
        <v>1469</v>
      </c>
      <c r="DI1" s="7" t="s">
        <v>1470</v>
      </c>
      <c r="DJ1" s="7" t="s">
        <v>1471</v>
      </c>
      <c r="DK1" s="7" t="s">
        <v>1472</v>
      </c>
      <c r="DL1" s="14" t="s">
        <v>1473</v>
      </c>
      <c r="DM1" s="7" t="s">
        <v>1474</v>
      </c>
      <c r="DN1" s="7" t="s">
        <v>1475</v>
      </c>
      <c r="DO1" s="7" t="s">
        <v>1476</v>
      </c>
      <c r="DP1" s="7" t="s">
        <v>1477</v>
      </c>
      <c r="DQ1" s="7" t="s">
        <v>1478</v>
      </c>
      <c r="DR1" s="7" t="s">
        <v>1479</v>
      </c>
      <c r="DS1" s="7" t="s">
        <v>1480</v>
      </c>
      <c r="DT1" s="7" t="s">
        <v>1481</v>
      </c>
      <c r="DU1" s="7" t="s">
        <v>1482</v>
      </c>
      <c r="DV1" s="14" t="s">
        <v>1483</v>
      </c>
      <c r="DW1" s="7" t="s">
        <v>1484</v>
      </c>
      <c r="DX1" s="7" t="s">
        <v>1475</v>
      </c>
      <c r="DY1" s="7" t="s">
        <v>1485</v>
      </c>
      <c r="DZ1" s="7" t="s">
        <v>1477</v>
      </c>
      <c r="EA1" s="7" t="s">
        <v>1486</v>
      </c>
      <c r="EB1" s="7" t="s">
        <v>1479</v>
      </c>
      <c r="EC1" s="14" t="s">
        <v>1487</v>
      </c>
      <c r="ED1" s="7" t="s">
        <v>1474</v>
      </c>
      <c r="EE1" s="7" t="s">
        <v>1475</v>
      </c>
      <c r="EF1" s="7" t="s">
        <v>1476</v>
      </c>
      <c r="EG1" s="7" t="s">
        <v>1477</v>
      </c>
      <c r="EH1" s="7" t="s">
        <v>1478</v>
      </c>
      <c r="EI1" s="7" t="s">
        <v>1479</v>
      </c>
      <c r="EJ1" s="14" t="s">
        <v>1488</v>
      </c>
      <c r="EK1" s="7" t="s">
        <v>1474</v>
      </c>
      <c r="EL1" s="7" t="s">
        <v>1475</v>
      </c>
      <c r="EM1" s="7" t="s">
        <v>1476</v>
      </c>
      <c r="EN1" s="7" t="s">
        <v>1477</v>
      </c>
      <c r="EO1" s="7" t="s">
        <v>1478</v>
      </c>
      <c r="EP1" s="7" t="s">
        <v>1479</v>
      </c>
      <c r="EQ1" s="7" t="s">
        <v>1489</v>
      </c>
      <c r="ER1" s="7" t="s">
        <v>1490</v>
      </c>
      <c r="ES1" s="7" t="s">
        <v>1491</v>
      </c>
      <c r="ET1" s="7" t="s">
        <v>1492</v>
      </c>
      <c r="EU1" s="7" t="s">
        <v>1493</v>
      </c>
      <c r="EV1" s="14" t="s">
        <v>1494</v>
      </c>
      <c r="EW1" s="7" t="s">
        <v>1495</v>
      </c>
      <c r="EX1" s="7" t="s">
        <v>1496</v>
      </c>
      <c r="EY1" s="7" t="s">
        <v>1497</v>
      </c>
      <c r="EZ1" s="7" t="s">
        <v>1498</v>
      </c>
      <c r="FA1" s="7" t="s">
        <v>1499</v>
      </c>
      <c r="FB1" s="7" t="s">
        <v>1500</v>
      </c>
      <c r="FC1" s="7" t="s">
        <v>1501</v>
      </c>
      <c r="FD1" s="7" t="s">
        <v>1502</v>
      </c>
      <c r="FE1" s="7" t="s">
        <v>1503</v>
      </c>
      <c r="FF1" s="7" t="s">
        <v>1504</v>
      </c>
      <c r="FG1" s="7" t="s">
        <v>1505</v>
      </c>
      <c r="FH1" s="7" t="s">
        <v>1496</v>
      </c>
      <c r="FI1" s="7" t="s">
        <v>1506</v>
      </c>
      <c r="FJ1" s="7" t="s">
        <v>1498</v>
      </c>
      <c r="FK1" s="7" t="s">
        <v>1507</v>
      </c>
      <c r="FL1" s="7" t="s">
        <v>1500</v>
      </c>
      <c r="FM1" s="7" t="s">
        <v>1508</v>
      </c>
      <c r="FN1" s="7" t="s">
        <v>1495</v>
      </c>
      <c r="FO1" s="7" t="s">
        <v>1496</v>
      </c>
      <c r="FP1" s="7" t="s">
        <v>1497</v>
      </c>
      <c r="FQ1" s="7" t="s">
        <v>1498</v>
      </c>
      <c r="FR1" s="7" t="s">
        <v>1499</v>
      </c>
      <c r="FS1" s="7" t="s">
        <v>1500</v>
      </c>
      <c r="FT1" s="7" t="s">
        <v>1509</v>
      </c>
      <c r="FU1" s="7" t="s">
        <v>1495</v>
      </c>
      <c r="FV1" s="7" t="s">
        <v>1496</v>
      </c>
      <c r="FW1" s="7" t="s">
        <v>1497</v>
      </c>
      <c r="FX1" s="7" t="s">
        <v>1498</v>
      </c>
      <c r="FY1" s="7" t="s">
        <v>1499</v>
      </c>
      <c r="FZ1" s="7" t="s">
        <v>1500</v>
      </c>
      <c r="GA1" s="7" t="s">
        <v>1510</v>
      </c>
      <c r="GB1" s="7" t="s">
        <v>1511</v>
      </c>
      <c r="GC1" s="7" t="s">
        <v>1512</v>
      </c>
      <c r="GD1" s="7" t="s">
        <v>1513</v>
      </c>
      <c r="GE1" s="7" t="s">
        <v>1514</v>
      </c>
      <c r="GF1" s="7" t="s">
        <v>1515</v>
      </c>
      <c r="GG1" s="7" t="s">
        <v>1516</v>
      </c>
      <c r="GH1" s="7" t="s">
        <v>1517</v>
      </c>
      <c r="GI1" s="7" t="s">
        <v>1518</v>
      </c>
      <c r="GJ1" s="7" t="s">
        <v>1519</v>
      </c>
      <c r="GK1" s="7" t="s">
        <v>1520</v>
      </c>
      <c r="GL1" s="7" t="s">
        <v>1521</v>
      </c>
      <c r="GM1" s="7" t="s">
        <v>1522</v>
      </c>
      <c r="GN1" s="7" t="s">
        <v>1523</v>
      </c>
      <c r="GO1" s="7" t="s">
        <v>1524</v>
      </c>
      <c r="GP1" s="7" t="s">
        <v>1525</v>
      </c>
      <c r="GQ1" s="7" t="s">
        <v>1526</v>
      </c>
      <c r="GR1" s="7" t="s">
        <v>1517</v>
      </c>
      <c r="GS1" s="7" t="s">
        <v>1527</v>
      </c>
      <c r="GT1" s="7" t="s">
        <v>1519</v>
      </c>
      <c r="GU1" s="7" t="s">
        <v>1528</v>
      </c>
      <c r="GV1" s="7" t="s">
        <v>1521</v>
      </c>
      <c r="GW1" s="7" t="s">
        <v>1529</v>
      </c>
      <c r="GX1" s="7" t="s">
        <v>1516</v>
      </c>
      <c r="GY1" s="7" t="s">
        <v>1517</v>
      </c>
      <c r="GZ1" s="7" t="s">
        <v>1518</v>
      </c>
      <c r="HA1" s="7" t="s">
        <v>1519</v>
      </c>
      <c r="HB1" s="7" t="s">
        <v>1520</v>
      </c>
      <c r="HC1" s="7" t="s">
        <v>1521</v>
      </c>
      <c r="HD1" s="7" t="s">
        <v>1530</v>
      </c>
      <c r="HE1" s="7" t="s">
        <v>1516</v>
      </c>
      <c r="HF1" s="7" t="s">
        <v>1517</v>
      </c>
      <c r="HG1" s="7" t="s">
        <v>1518</v>
      </c>
      <c r="HH1" s="7" t="s">
        <v>1519</v>
      </c>
      <c r="HI1" s="7" t="s">
        <v>1520</v>
      </c>
      <c r="HJ1" s="7" t="s">
        <v>1521</v>
      </c>
      <c r="HK1" s="7" t="s">
        <v>1531</v>
      </c>
      <c r="HL1" s="7" t="s">
        <v>1532</v>
      </c>
      <c r="HM1" s="7" t="s">
        <v>1533</v>
      </c>
      <c r="HN1" s="7" t="s">
        <v>1534</v>
      </c>
      <c r="HO1" s="7" t="s">
        <v>1535</v>
      </c>
    </row>
    <row r="2" ht="14.25" customHeight="1">
      <c r="A2" s="7" t="str">
        <f t="shared" ref="A2:A106" si="1">C2</f>
        <v>Management impacts on fire occurrence: A comparison of fire regimes of African and South American tropical savannas in different PAs</v>
      </c>
      <c r="B2" s="7">
        <v>387.0</v>
      </c>
      <c r="C2" s="7" t="s">
        <v>144</v>
      </c>
      <c r="D2" s="7" t="s">
        <v>1536</v>
      </c>
      <c r="E2" s="7" t="s">
        <v>1537</v>
      </c>
      <c r="F2" s="7" t="s">
        <v>1538</v>
      </c>
      <c r="G2" s="7" t="s">
        <v>382</v>
      </c>
      <c r="I2" s="7" t="s">
        <v>379</v>
      </c>
      <c r="J2" s="7" t="s">
        <v>374</v>
      </c>
      <c r="K2" s="7">
        <v>3.0</v>
      </c>
      <c r="L2" s="7" t="s">
        <v>382</v>
      </c>
      <c r="M2" s="7" t="s">
        <v>1539</v>
      </c>
      <c r="N2" s="7" t="s">
        <v>1539</v>
      </c>
      <c r="O2" s="7" t="s">
        <v>1540</v>
      </c>
      <c r="P2" s="7" t="s">
        <v>382</v>
      </c>
      <c r="Q2" s="7" t="s">
        <v>371</v>
      </c>
      <c r="R2" s="7" t="s">
        <v>371</v>
      </c>
      <c r="S2" s="7" t="s">
        <v>382</v>
      </c>
      <c r="T2" s="7" t="s">
        <v>371</v>
      </c>
      <c r="W2" s="7" t="s">
        <v>1541</v>
      </c>
      <c r="X2" s="7">
        <v>1.0</v>
      </c>
      <c r="Y2" s="7" t="s">
        <v>1542</v>
      </c>
      <c r="Z2" s="7" t="s">
        <v>1542</v>
      </c>
      <c r="AA2" s="7" t="s">
        <v>469</v>
      </c>
      <c r="AB2" s="7" t="s">
        <v>1543</v>
      </c>
      <c r="AC2" s="7" t="s">
        <v>469</v>
      </c>
      <c r="AD2" s="7" t="s">
        <v>1544</v>
      </c>
      <c r="AE2" s="7" t="s">
        <v>379</v>
      </c>
      <c r="AF2" s="7" t="s">
        <v>1544</v>
      </c>
      <c r="AH2" s="7" t="s">
        <v>1544</v>
      </c>
      <c r="AJ2" s="7" t="s">
        <v>379</v>
      </c>
      <c r="AL2" s="7" t="s">
        <v>379</v>
      </c>
      <c r="AN2" s="7" t="s">
        <v>379</v>
      </c>
      <c r="AO2" s="7" t="s">
        <v>1545</v>
      </c>
      <c r="AP2" s="7" t="s">
        <v>1546</v>
      </c>
      <c r="AQ2" s="7" t="s">
        <v>1547</v>
      </c>
      <c r="AR2" s="7" t="s">
        <v>371</v>
      </c>
      <c r="AS2" s="7" t="s">
        <v>1548</v>
      </c>
      <c r="AT2" s="7" t="s">
        <v>385</v>
      </c>
      <c r="HK2" s="7" t="s">
        <v>379</v>
      </c>
      <c r="HL2" s="7" t="s">
        <v>379</v>
      </c>
      <c r="HM2" s="7" t="s">
        <v>1549</v>
      </c>
      <c r="HN2" s="7" t="s">
        <v>1550</v>
      </c>
      <c r="HO2" s="7" t="s">
        <v>1551</v>
      </c>
    </row>
    <row r="3" ht="14.25" customHeight="1">
      <c r="A3" s="7" t="str">
        <f t="shared" si="1"/>
        <v>Using nighttime lights to assess infrastructure expansion within and around PAs in South America</v>
      </c>
      <c r="B3" s="7">
        <v>385.0</v>
      </c>
      <c r="C3" s="7" t="s">
        <v>198</v>
      </c>
      <c r="D3" s="7" t="s">
        <v>1552</v>
      </c>
      <c r="F3" s="7" t="s">
        <v>1553</v>
      </c>
      <c r="J3" s="7" t="s">
        <v>1554</v>
      </c>
      <c r="K3" s="7">
        <v>2902.0</v>
      </c>
      <c r="M3" s="7" t="s">
        <v>1555</v>
      </c>
      <c r="N3" s="7" t="s">
        <v>1555</v>
      </c>
      <c r="O3" s="7" t="s">
        <v>1556</v>
      </c>
      <c r="P3" s="7" t="s">
        <v>1557</v>
      </c>
      <c r="Q3" s="7" t="s">
        <v>1558</v>
      </c>
      <c r="R3" s="7" t="s">
        <v>1558</v>
      </c>
      <c r="T3" s="7" t="s">
        <v>399</v>
      </c>
      <c r="U3" s="7">
        <v>100.0</v>
      </c>
      <c r="V3" s="7">
        <v>100.0</v>
      </c>
      <c r="W3" s="7" t="s">
        <v>1559</v>
      </c>
      <c r="X3" s="7">
        <v>1.0</v>
      </c>
      <c r="Y3" s="7" t="s">
        <v>1560</v>
      </c>
      <c r="Z3" s="7" t="s">
        <v>1560</v>
      </c>
      <c r="AA3" s="7" t="s">
        <v>1561</v>
      </c>
      <c r="AB3" s="7" t="s">
        <v>1562</v>
      </c>
      <c r="AC3" s="7" t="s">
        <v>451</v>
      </c>
      <c r="AD3" s="7" t="s">
        <v>382</v>
      </c>
      <c r="AF3" s="7" t="s">
        <v>382</v>
      </c>
      <c r="AH3" s="7" t="s">
        <v>382</v>
      </c>
      <c r="AJ3" s="7" t="s">
        <v>371</v>
      </c>
      <c r="AK3" s="7" t="s">
        <v>1563</v>
      </c>
      <c r="AL3" s="7" t="s">
        <v>379</v>
      </c>
      <c r="AN3" s="7" t="s">
        <v>379</v>
      </c>
      <c r="AP3" s="7" t="s">
        <v>382</v>
      </c>
      <c r="AQ3" s="7" t="s">
        <v>1564</v>
      </c>
      <c r="AR3" s="7" t="s">
        <v>371</v>
      </c>
      <c r="AT3" s="7" t="s">
        <v>371</v>
      </c>
      <c r="BW3" s="7" t="s">
        <v>394</v>
      </c>
      <c r="BY3" s="7" t="s">
        <v>1565</v>
      </c>
      <c r="BZ3" s="7" t="s">
        <v>1566</v>
      </c>
      <c r="CB3" s="7" t="s">
        <v>451</v>
      </c>
      <c r="CC3" s="7" t="s">
        <v>1567</v>
      </c>
      <c r="CD3" s="7" t="s">
        <v>1568</v>
      </c>
      <c r="CE3" s="7" t="s">
        <v>1567</v>
      </c>
      <c r="CF3" s="7" t="s">
        <v>1569</v>
      </c>
      <c r="CG3" s="7" t="s">
        <v>371</v>
      </c>
      <c r="CH3" s="7" t="s">
        <v>1570</v>
      </c>
      <c r="CK3" s="7" t="s">
        <v>371</v>
      </c>
      <c r="DG3" s="7" t="s">
        <v>394</v>
      </c>
      <c r="DI3" s="7" t="s">
        <v>1571</v>
      </c>
      <c r="DJ3" s="7" t="s">
        <v>1572</v>
      </c>
      <c r="DL3" s="7" t="s">
        <v>451</v>
      </c>
      <c r="DM3" s="7" t="s">
        <v>1567</v>
      </c>
      <c r="DN3" s="17">
        <v>0.8193</v>
      </c>
      <c r="DO3" s="7" t="s">
        <v>1567</v>
      </c>
      <c r="DP3" s="7" t="s">
        <v>1573</v>
      </c>
      <c r="DQ3" s="7" t="s">
        <v>371</v>
      </c>
      <c r="DU3" s="7" t="s">
        <v>385</v>
      </c>
    </row>
    <row r="4" ht="14.25" customHeight="1">
      <c r="A4" s="7" t="str">
        <f t="shared" si="1"/>
        <v>Differential vulnerability to biological invasions: not all PAs (and not all invaders) are the same</v>
      </c>
      <c r="B4" s="7">
        <v>380.0</v>
      </c>
      <c r="C4" s="7" t="s">
        <v>63</v>
      </c>
      <c r="D4" s="7" t="s">
        <v>1538</v>
      </c>
      <c r="F4" s="7" t="s">
        <v>1536</v>
      </c>
      <c r="J4" s="7" t="s">
        <v>1554</v>
      </c>
      <c r="K4" s="7">
        <v>111.0</v>
      </c>
      <c r="M4" s="7" t="s">
        <v>1574</v>
      </c>
      <c r="N4" s="7" t="s">
        <v>1574</v>
      </c>
      <c r="O4" s="7" t="s">
        <v>1556</v>
      </c>
      <c r="Q4" s="7" t="s">
        <v>371</v>
      </c>
      <c r="R4" s="7" t="s">
        <v>1558</v>
      </c>
      <c r="T4" s="7" t="s">
        <v>399</v>
      </c>
      <c r="U4" s="7" t="s">
        <v>1575</v>
      </c>
      <c r="V4" s="7" t="s">
        <v>1382</v>
      </c>
      <c r="W4" s="7" t="s">
        <v>1541</v>
      </c>
      <c r="X4" s="7">
        <v>1.0</v>
      </c>
      <c r="Y4" s="7" t="s">
        <v>1576</v>
      </c>
      <c r="Z4" s="7" t="s">
        <v>1576</v>
      </c>
      <c r="AA4" s="7" t="s">
        <v>787</v>
      </c>
      <c r="AB4" s="7" t="s">
        <v>1577</v>
      </c>
      <c r="AC4" s="7" t="s">
        <v>787</v>
      </c>
      <c r="AD4" s="7" t="s">
        <v>379</v>
      </c>
      <c r="AF4" s="7" t="s">
        <v>379</v>
      </c>
      <c r="AH4" s="7" t="s">
        <v>382</v>
      </c>
      <c r="AI4" s="7" t="s">
        <v>1578</v>
      </c>
      <c r="AJ4" s="7" t="s">
        <v>371</v>
      </c>
      <c r="AK4" s="7" t="s">
        <v>1579</v>
      </c>
      <c r="AL4" s="7" t="s">
        <v>379</v>
      </c>
      <c r="AN4" s="7" t="s">
        <v>379</v>
      </c>
      <c r="AP4" s="7" t="s">
        <v>382</v>
      </c>
      <c r="AQ4" s="7" t="s">
        <v>1580</v>
      </c>
      <c r="AR4" s="7" t="s">
        <v>371</v>
      </c>
      <c r="AT4" s="7" t="s">
        <v>371</v>
      </c>
      <c r="BW4" s="7" t="s">
        <v>688</v>
      </c>
      <c r="BZ4" s="7" t="s">
        <v>1581</v>
      </c>
      <c r="CB4" s="7" t="s">
        <v>787</v>
      </c>
      <c r="CG4" s="7" t="s">
        <v>371</v>
      </c>
      <c r="CH4" s="7" t="s">
        <v>1582</v>
      </c>
      <c r="CK4" s="7" t="s">
        <v>1546</v>
      </c>
      <c r="DG4" s="7" t="s">
        <v>688</v>
      </c>
      <c r="DJ4" s="7" t="s">
        <v>1583</v>
      </c>
      <c r="DL4" s="7" t="s">
        <v>787</v>
      </c>
      <c r="DQ4" s="7" t="s">
        <v>1544</v>
      </c>
      <c r="DR4" s="7" t="s">
        <v>1578</v>
      </c>
      <c r="DU4" s="7" t="s">
        <v>385</v>
      </c>
    </row>
    <row r="5" ht="14.25" customHeight="1">
      <c r="A5" s="7" t="str">
        <f t="shared" si="1"/>
        <v>Road-effect mitigation promotes connectivity and reduces mortality at the population-level</v>
      </c>
      <c r="B5" s="7">
        <v>375.0</v>
      </c>
      <c r="C5" s="7" t="s">
        <v>108</v>
      </c>
      <c r="D5" s="7" t="s">
        <v>1536</v>
      </c>
      <c r="F5" s="7" t="s">
        <v>1553</v>
      </c>
      <c r="J5" s="7" t="s">
        <v>1541</v>
      </c>
      <c r="K5" s="7">
        <v>1.0</v>
      </c>
      <c r="L5" s="7" t="s">
        <v>1584</v>
      </c>
      <c r="O5" s="7" t="s">
        <v>1558</v>
      </c>
      <c r="Q5" s="7" t="s">
        <v>371</v>
      </c>
      <c r="R5" s="7" t="s">
        <v>1558</v>
      </c>
      <c r="T5" s="7" t="s">
        <v>399</v>
      </c>
      <c r="U5" s="7" t="s">
        <v>1585</v>
      </c>
      <c r="V5" s="7">
        <v>3.0</v>
      </c>
      <c r="W5" s="7" t="s">
        <v>1541</v>
      </c>
      <c r="X5" s="7">
        <v>1.0</v>
      </c>
      <c r="Y5" s="7" t="s">
        <v>1586</v>
      </c>
      <c r="Z5" s="7" t="s">
        <v>1586</v>
      </c>
      <c r="AA5" s="7" t="s">
        <v>1587</v>
      </c>
      <c r="AB5" s="7" t="s">
        <v>1588</v>
      </c>
      <c r="AC5" s="7" t="s">
        <v>1587</v>
      </c>
      <c r="AD5" s="7" t="s">
        <v>1589</v>
      </c>
      <c r="AE5" s="7" t="s">
        <v>1590</v>
      </c>
      <c r="AF5" s="7" t="s">
        <v>379</v>
      </c>
      <c r="AH5" s="7" t="s">
        <v>371</v>
      </c>
      <c r="AI5" s="7" t="s">
        <v>1591</v>
      </c>
      <c r="AJ5" s="7" t="s">
        <v>379</v>
      </c>
      <c r="AL5" s="7" t="s">
        <v>379</v>
      </c>
      <c r="AN5" s="7" t="s">
        <v>379</v>
      </c>
      <c r="AP5" s="7" t="s">
        <v>371</v>
      </c>
      <c r="AQ5" s="7" t="s">
        <v>1592</v>
      </c>
      <c r="AR5" s="7" t="s">
        <v>379</v>
      </c>
      <c r="AT5" s="7" t="s">
        <v>385</v>
      </c>
    </row>
    <row r="6" ht="14.25" customHeight="1">
      <c r="A6" s="7" t="str">
        <f t="shared" si="1"/>
        <v>Impacts of conservation incentives in PAs: The case of Bolsa Floresta, Brazil</v>
      </c>
      <c r="B6" s="7">
        <v>360.0</v>
      </c>
      <c r="C6" s="14" t="s">
        <v>141</v>
      </c>
      <c r="D6" s="7" t="s">
        <v>1536</v>
      </c>
      <c r="F6" s="7" t="s">
        <v>1538</v>
      </c>
      <c r="J6" s="7" t="s">
        <v>374</v>
      </c>
      <c r="K6" s="7">
        <v>15.0</v>
      </c>
      <c r="L6" s="7" t="s">
        <v>379</v>
      </c>
      <c r="M6" s="7" t="s">
        <v>1593</v>
      </c>
      <c r="N6" s="7" t="s">
        <v>1593</v>
      </c>
      <c r="O6" s="7" t="s">
        <v>1558</v>
      </c>
      <c r="Q6" s="7" t="s">
        <v>371</v>
      </c>
      <c r="R6" s="7" t="s">
        <v>371</v>
      </c>
      <c r="T6" s="7" t="s">
        <v>399</v>
      </c>
      <c r="U6" s="7" t="s">
        <v>379</v>
      </c>
      <c r="V6" s="7" t="s">
        <v>1382</v>
      </c>
      <c r="W6" s="7" t="s">
        <v>374</v>
      </c>
      <c r="X6" s="7">
        <v>2.0</v>
      </c>
      <c r="Y6" s="7" t="s">
        <v>1594</v>
      </c>
      <c r="Z6" s="7" t="s">
        <v>1594</v>
      </c>
      <c r="AA6" s="7" t="s">
        <v>1595</v>
      </c>
      <c r="AB6" s="7" t="s">
        <v>1596</v>
      </c>
      <c r="AC6" s="7" t="s">
        <v>743</v>
      </c>
      <c r="AD6" s="7" t="s">
        <v>1589</v>
      </c>
      <c r="AE6" s="7" t="s">
        <v>1597</v>
      </c>
      <c r="AF6" s="7" t="s">
        <v>1589</v>
      </c>
      <c r="AH6" s="7" t="s">
        <v>371</v>
      </c>
      <c r="AI6" s="7" t="s">
        <v>1598</v>
      </c>
      <c r="AJ6" s="7" t="s">
        <v>379</v>
      </c>
      <c r="AL6" s="7" t="s">
        <v>371</v>
      </c>
      <c r="AM6" s="7" t="s">
        <v>1599</v>
      </c>
      <c r="AN6" s="7" t="s">
        <v>385</v>
      </c>
      <c r="AO6" s="7" t="s">
        <v>1600</v>
      </c>
      <c r="AP6" s="7" t="s">
        <v>385</v>
      </c>
      <c r="AQ6" s="7" t="s">
        <v>1601</v>
      </c>
      <c r="AR6" s="7" t="s">
        <v>379</v>
      </c>
      <c r="AT6" s="7" t="s">
        <v>385</v>
      </c>
      <c r="AU6" s="7" t="s">
        <v>469</v>
      </c>
      <c r="AV6" s="7" t="s">
        <v>1544</v>
      </c>
      <c r="AW6" s="7" t="s">
        <v>1602</v>
      </c>
      <c r="AX6" s="7" t="s">
        <v>1544</v>
      </c>
      <c r="AY6" s="7" t="s">
        <v>1602</v>
      </c>
      <c r="AZ6" s="7" t="s">
        <v>1544</v>
      </c>
      <c r="BA6" s="7" t="s">
        <v>1602</v>
      </c>
      <c r="HN6" s="7" t="s">
        <v>1603</v>
      </c>
    </row>
    <row r="7" ht="14.25" customHeight="1">
      <c r="A7" s="7" t="str">
        <f t="shared" si="1"/>
        <v>Urban sprawl into Natura 2000 network over Europe</v>
      </c>
      <c r="B7" s="7">
        <v>356.0</v>
      </c>
      <c r="C7" s="7" t="s">
        <v>219</v>
      </c>
      <c r="D7" s="7" t="s">
        <v>1553</v>
      </c>
      <c r="J7" s="7" t="s">
        <v>374</v>
      </c>
      <c r="K7" s="7" t="s">
        <v>379</v>
      </c>
      <c r="L7" s="7" t="s">
        <v>379</v>
      </c>
      <c r="M7" s="7" t="s">
        <v>1604</v>
      </c>
      <c r="N7" s="7" t="s">
        <v>1604</v>
      </c>
      <c r="O7" s="7" t="s">
        <v>1558</v>
      </c>
      <c r="P7" s="7" t="s">
        <v>379</v>
      </c>
      <c r="Q7" s="7" t="s">
        <v>1558</v>
      </c>
      <c r="R7" s="7" t="s">
        <v>1558</v>
      </c>
      <c r="S7" s="7" t="s">
        <v>379</v>
      </c>
      <c r="T7" s="7" t="s">
        <v>385</v>
      </c>
      <c r="U7" s="7" t="s">
        <v>379</v>
      </c>
      <c r="V7" s="7" t="s">
        <v>1382</v>
      </c>
      <c r="W7" s="7" t="s">
        <v>1541</v>
      </c>
      <c r="X7" s="7">
        <v>1.0</v>
      </c>
      <c r="Y7" s="7" t="s">
        <v>1605</v>
      </c>
      <c r="Z7" s="7" t="s">
        <v>1605</v>
      </c>
      <c r="AA7" s="7" t="s">
        <v>451</v>
      </c>
      <c r="AB7" s="7" t="s">
        <v>1606</v>
      </c>
      <c r="AC7" s="7" t="s">
        <v>451</v>
      </c>
      <c r="AD7" s="7" t="s">
        <v>1567</v>
      </c>
      <c r="AE7" s="7" t="s">
        <v>1607</v>
      </c>
      <c r="AF7" s="7" t="s">
        <v>1567</v>
      </c>
      <c r="AH7" s="7" t="s">
        <v>371</v>
      </c>
      <c r="AI7" s="7" t="s">
        <v>1608</v>
      </c>
      <c r="AJ7" s="7" t="s">
        <v>379</v>
      </c>
      <c r="AK7" s="7" t="s">
        <v>379</v>
      </c>
      <c r="AL7" s="7" t="s">
        <v>379</v>
      </c>
      <c r="AM7" s="7" t="s">
        <v>379</v>
      </c>
      <c r="AN7" s="7" t="s">
        <v>371</v>
      </c>
      <c r="AO7" s="7" t="s">
        <v>1609</v>
      </c>
      <c r="AP7" s="7" t="s">
        <v>1546</v>
      </c>
      <c r="AQ7" s="7" t="s">
        <v>1610</v>
      </c>
      <c r="AR7" s="7" t="s">
        <v>371</v>
      </c>
      <c r="AS7" s="7" t="s">
        <v>1611</v>
      </c>
      <c r="AT7" s="7" t="s">
        <v>385</v>
      </c>
      <c r="HN7" s="7" t="s">
        <v>1612</v>
      </c>
    </row>
    <row r="8" ht="14.25" customHeight="1">
      <c r="A8" s="7" t="str">
        <f t="shared" si="1"/>
        <v>Human-climate interactions shape fire regimes in the Cerrado of SÌ£o Paulo state, Brazil</v>
      </c>
      <c r="B8" s="7">
        <v>354.0</v>
      </c>
      <c r="C8" s="7" t="s">
        <v>153</v>
      </c>
      <c r="D8" s="7" t="s">
        <v>1538</v>
      </c>
      <c r="J8" s="7" t="s">
        <v>374</v>
      </c>
      <c r="K8" s="7">
        <v>3.0</v>
      </c>
      <c r="L8" s="7" t="s">
        <v>1613</v>
      </c>
      <c r="M8" s="7" t="s">
        <v>1614</v>
      </c>
      <c r="N8" s="7" t="s">
        <v>1614</v>
      </c>
      <c r="O8" s="7" t="s">
        <v>1540</v>
      </c>
      <c r="P8" s="7" t="s">
        <v>1615</v>
      </c>
      <c r="Q8" s="7" t="s">
        <v>371</v>
      </c>
      <c r="R8" s="7" t="s">
        <v>1558</v>
      </c>
      <c r="S8" s="7">
        <v>1980.0</v>
      </c>
      <c r="T8" s="7" t="s">
        <v>371</v>
      </c>
      <c r="U8" s="7" t="s">
        <v>1616</v>
      </c>
      <c r="V8" s="7">
        <v>7.0</v>
      </c>
      <c r="W8" s="7" t="s">
        <v>1541</v>
      </c>
      <c r="X8" s="7">
        <v>1.0</v>
      </c>
      <c r="Y8" s="7" t="s">
        <v>1542</v>
      </c>
      <c r="Z8" s="7" t="s">
        <v>1542</v>
      </c>
      <c r="AA8" s="7" t="s">
        <v>469</v>
      </c>
      <c r="AB8" s="7" t="s">
        <v>1617</v>
      </c>
      <c r="AC8" s="7" t="s">
        <v>469</v>
      </c>
      <c r="AD8" s="7" t="s">
        <v>1567</v>
      </c>
      <c r="AE8" s="7" t="s">
        <v>1618</v>
      </c>
      <c r="AF8" s="7" t="s">
        <v>1567</v>
      </c>
      <c r="AG8" s="7" t="s">
        <v>1618</v>
      </c>
      <c r="AH8" s="7" t="s">
        <v>385</v>
      </c>
      <c r="AI8" s="7" t="s">
        <v>1619</v>
      </c>
      <c r="AJ8" s="7" t="s">
        <v>379</v>
      </c>
      <c r="AK8" s="7" t="s">
        <v>379</v>
      </c>
      <c r="AL8" s="7" t="s">
        <v>379</v>
      </c>
      <c r="AM8" s="7" t="s">
        <v>379</v>
      </c>
      <c r="AN8" s="7" t="s">
        <v>379</v>
      </c>
      <c r="AO8" s="7" t="s">
        <v>379</v>
      </c>
      <c r="AP8" s="7" t="s">
        <v>385</v>
      </c>
      <c r="AQ8" s="7" t="s">
        <v>1620</v>
      </c>
      <c r="AR8" s="7" t="s">
        <v>371</v>
      </c>
      <c r="AT8" s="7" t="s">
        <v>385</v>
      </c>
      <c r="CF8" s="7" t="s">
        <v>1621</v>
      </c>
      <c r="HK8" s="7" t="s">
        <v>1622</v>
      </c>
      <c r="HL8" s="7" t="s">
        <v>1623</v>
      </c>
    </row>
    <row r="9" ht="14.25" customHeight="1">
      <c r="A9" s="7" t="str">
        <f t="shared" si="1"/>
        <v>How does the fire regime change after creating a PA in the Brazilian Cerrado?</v>
      </c>
      <c r="B9" s="7">
        <v>351.0</v>
      </c>
      <c r="C9" s="7" t="s">
        <v>156</v>
      </c>
      <c r="D9" s="7" t="s">
        <v>1536</v>
      </c>
      <c r="E9" s="7" t="s">
        <v>379</v>
      </c>
      <c r="F9" s="7" t="s">
        <v>1538</v>
      </c>
      <c r="J9" s="7" t="s">
        <v>1541</v>
      </c>
      <c r="K9" s="7">
        <v>1.0</v>
      </c>
      <c r="L9" s="7" t="s">
        <v>1624</v>
      </c>
      <c r="M9" s="7" t="s">
        <v>1539</v>
      </c>
      <c r="N9" s="7" t="s">
        <v>1539</v>
      </c>
      <c r="O9" s="7" t="s">
        <v>1540</v>
      </c>
      <c r="P9" s="7" t="s">
        <v>379</v>
      </c>
      <c r="Q9" s="7" t="s">
        <v>371</v>
      </c>
      <c r="R9" s="7" t="s">
        <v>1558</v>
      </c>
      <c r="S9" s="7" t="s">
        <v>1625</v>
      </c>
      <c r="T9" s="7" t="s">
        <v>399</v>
      </c>
      <c r="U9" s="7" t="s">
        <v>1626</v>
      </c>
      <c r="V9" s="7">
        <v>20.0</v>
      </c>
      <c r="W9" s="7" t="s">
        <v>1541</v>
      </c>
      <c r="X9" s="7">
        <v>1.0</v>
      </c>
      <c r="Y9" s="7" t="s">
        <v>1542</v>
      </c>
      <c r="Z9" s="7" t="s">
        <v>1542</v>
      </c>
      <c r="AA9" s="7" t="s">
        <v>469</v>
      </c>
      <c r="AB9" s="7" t="s">
        <v>1627</v>
      </c>
      <c r="AC9" s="7" t="s">
        <v>469</v>
      </c>
      <c r="AD9" s="7" t="s">
        <v>1567</v>
      </c>
      <c r="AE9" s="7" t="s">
        <v>1628</v>
      </c>
      <c r="AF9" s="7" t="s">
        <v>1567</v>
      </c>
      <c r="AG9" s="7" t="s">
        <v>1629</v>
      </c>
      <c r="AH9" s="7" t="s">
        <v>385</v>
      </c>
      <c r="AI9" s="7" t="s">
        <v>1630</v>
      </c>
      <c r="AJ9" s="7" t="s">
        <v>379</v>
      </c>
      <c r="AK9" s="7" t="s">
        <v>379</v>
      </c>
      <c r="AL9" s="7" t="s">
        <v>379</v>
      </c>
      <c r="AM9" s="7" t="s">
        <v>379</v>
      </c>
      <c r="AN9" s="7" t="s">
        <v>379</v>
      </c>
      <c r="AO9" s="7" t="s">
        <v>379</v>
      </c>
      <c r="AP9" s="7" t="s">
        <v>385</v>
      </c>
      <c r="AQ9" s="7" t="s">
        <v>1631</v>
      </c>
      <c r="AR9" s="7" t="s">
        <v>385</v>
      </c>
      <c r="AS9" s="7" t="s">
        <v>379</v>
      </c>
      <c r="AT9" s="7" t="s">
        <v>385</v>
      </c>
      <c r="HL9" s="7" t="s">
        <v>1632</v>
      </c>
      <c r="HM9" s="7" t="s">
        <v>1633</v>
      </c>
      <c r="HN9" s="7" t="s">
        <v>1634</v>
      </c>
    </row>
    <row r="10" ht="14.25" customHeight="1">
      <c r="A10" s="7" t="str">
        <f t="shared" si="1"/>
        <v>Assessment of National Parks affected by naturbanization processes in Southern Europe</v>
      </c>
      <c r="B10" s="7">
        <v>340.0</v>
      </c>
      <c r="C10" s="7" t="s">
        <v>33</v>
      </c>
      <c r="D10" s="7" t="s">
        <v>1538</v>
      </c>
      <c r="J10" s="7" t="s">
        <v>374</v>
      </c>
      <c r="K10" s="7">
        <v>3.0</v>
      </c>
      <c r="L10" s="7" t="s">
        <v>1635</v>
      </c>
      <c r="M10" s="7" t="s">
        <v>1636</v>
      </c>
      <c r="N10" s="7" t="s">
        <v>1636</v>
      </c>
      <c r="O10" s="7" t="s">
        <v>1540</v>
      </c>
      <c r="P10" s="7" t="s">
        <v>1635</v>
      </c>
      <c r="Q10" s="7" t="s">
        <v>1558</v>
      </c>
      <c r="R10" s="7" t="s">
        <v>1558</v>
      </c>
      <c r="S10" s="7" t="s">
        <v>1635</v>
      </c>
      <c r="T10" s="7" t="s">
        <v>371</v>
      </c>
      <c r="U10" s="7" t="s">
        <v>1637</v>
      </c>
      <c r="V10" s="7">
        <v>15.0</v>
      </c>
      <c r="W10" s="7" t="s">
        <v>1559</v>
      </c>
      <c r="X10" s="7">
        <v>1.0</v>
      </c>
      <c r="Y10" s="7" t="s">
        <v>1638</v>
      </c>
      <c r="Z10" s="7" t="s">
        <v>1638</v>
      </c>
      <c r="AA10" s="7" t="s">
        <v>1639</v>
      </c>
      <c r="AC10" s="7" t="s">
        <v>523</v>
      </c>
      <c r="AD10" s="7" t="s">
        <v>1567</v>
      </c>
      <c r="AE10" s="7" t="s">
        <v>1640</v>
      </c>
      <c r="AF10" s="7" t="s">
        <v>1567</v>
      </c>
      <c r="AG10" s="7" t="s">
        <v>1640</v>
      </c>
      <c r="AH10" s="7" t="s">
        <v>1641</v>
      </c>
      <c r="AI10" s="7" t="s">
        <v>1642</v>
      </c>
      <c r="AJ10" s="7" t="s">
        <v>379</v>
      </c>
      <c r="AL10" s="7" t="s">
        <v>379</v>
      </c>
      <c r="AN10" s="7" t="s">
        <v>371</v>
      </c>
      <c r="AO10" s="7" t="s">
        <v>1643</v>
      </c>
      <c r="AP10" s="7" t="s">
        <v>385</v>
      </c>
      <c r="AQ10" s="7" t="s">
        <v>1644</v>
      </c>
      <c r="AR10" s="7" t="s">
        <v>371</v>
      </c>
      <c r="AS10" s="7" t="s">
        <v>379</v>
      </c>
      <c r="AT10" s="7" t="s">
        <v>385</v>
      </c>
      <c r="HL10" s="7" t="s">
        <v>1645</v>
      </c>
      <c r="HN10" s="7" t="s">
        <v>1643</v>
      </c>
      <c r="HO10" s="7" t="s">
        <v>1646</v>
      </c>
    </row>
    <row r="11" ht="14.25" customHeight="1">
      <c r="A11" s="7" t="str">
        <f t="shared" si="1"/>
        <v>Compound impact of land use and extreme climate on the 2020 fire record of the Brazilian Pantanal</v>
      </c>
      <c r="B11" s="7">
        <v>339.0</v>
      </c>
      <c r="C11" s="7" t="s">
        <v>240</v>
      </c>
      <c r="D11" s="7" t="s">
        <v>1647</v>
      </c>
      <c r="E11" s="7" t="s">
        <v>1648</v>
      </c>
      <c r="J11" s="7" t="s">
        <v>1554</v>
      </c>
      <c r="Q11" s="7" t="s">
        <v>1558</v>
      </c>
      <c r="T11" s="7" t="s">
        <v>399</v>
      </c>
      <c r="W11" s="7" t="s">
        <v>1541</v>
      </c>
      <c r="X11" s="7">
        <v>1.0</v>
      </c>
      <c r="Y11" s="7" t="s">
        <v>1542</v>
      </c>
      <c r="Z11" s="7" t="s">
        <v>1542</v>
      </c>
      <c r="AA11" s="7" t="s">
        <v>469</v>
      </c>
      <c r="AB11" s="7" t="s">
        <v>1649</v>
      </c>
      <c r="AC11" s="7" t="s">
        <v>469</v>
      </c>
      <c r="AD11" s="7" t="s">
        <v>1567</v>
      </c>
      <c r="AE11" s="7" t="s">
        <v>1650</v>
      </c>
      <c r="AF11" s="7" t="s">
        <v>1567</v>
      </c>
      <c r="AG11" s="7" t="s">
        <v>1651</v>
      </c>
      <c r="AH11" s="7" t="s">
        <v>1652</v>
      </c>
      <c r="AJ11" s="7" t="s">
        <v>379</v>
      </c>
      <c r="AL11" s="7" t="s">
        <v>385</v>
      </c>
      <c r="AM11" s="7" t="s">
        <v>1653</v>
      </c>
      <c r="AN11" s="7" t="s">
        <v>379</v>
      </c>
      <c r="AP11" s="7" t="s">
        <v>385</v>
      </c>
      <c r="AR11" s="7" t="s">
        <v>371</v>
      </c>
      <c r="AS11" s="7" t="s">
        <v>1654</v>
      </c>
      <c r="AT11" s="7" t="s">
        <v>385</v>
      </c>
      <c r="HN11" s="7" t="s">
        <v>1655</v>
      </c>
    </row>
    <row r="12" ht="14.25" customHeight="1">
      <c r="A12" s="7" t="str">
        <f t="shared" si="1"/>
        <v>An integrative analysis of threats affecting PAs in a biodiversity stronghold in Southeast Mexico</v>
      </c>
      <c r="B12" s="7">
        <v>329.0</v>
      </c>
      <c r="C12" s="7" t="s">
        <v>129</v>
      </c>
      <c r="D12" s="7" t="s">
        <v>1538</v>
      </c>
      <c r="G12" s="7" t="s">
        <v>379</v>
      </c>
      <c r="I12" s="7" t="s">
        <v>379</v>
      </c>
      <c r="J12" s="7" t="s">
        <v>1554</v>
      </c>
      <c r="K12" s="7">
        <v>4.0</v>
      </c>
      <c r="L12" s="7" t="s">
        <v>1656</v>
      </c>
      <c r="O12" s="7" t="s">
        <v>1558</v>
      </c>
      <c r="P12" s="7" t="s">
        <v>379</v>
      </c>
      <c r="Q12" s="7" t="s">
        <v>371</v>
      </c>
      <c r="R12" s="7" t="s">
        <v>1558</v>
      </c>
      <c r="S12" s="7" t="s">
        <v>1635</v>
      </c>
      <c r="T12" s="7" t="s">
        <v>371</v>
      </c>
      <c r="U12" s="7" t="s">
        <v>1657</v>
      </c>
      <c r="V12" s="7">
        <v>10.0</v>
      </c>
      <c r="W12" s="7" t="s">
        <v>374</v>
      </c>
      <c r="X12" s="7">
        <v>4.0</v>
      </c>
      <c r="Y12" s="7" t="s">
        <v>1658</v>
      </c>
      <c r="Z12" s="7" t="s">
        <v>1659</v>
      </c>
      <c r="AA12" s="7" t="s">
        <v>1660</v>
      </c>
      <c r="AB12" s="7" t="s">
        <v>1661</v>
      </c>
      <c r="AC12" s="7" t="s">
        <v>743</v>
      </c>
      <c r="AD12" s="7" t="s">
        <v>1567</v>
      </c>
      <c r="AE12" s="7" t="s">
        <v>1662</v>
      </c>
      <c r="AF12" s="7" t="s">
        <v>1567</v>
      </c>
      <c r="AG12" s="7" t="s">
        <v>1662</v>
      </c>
      <c r="AH12" s="7" t="s">
        <v>371</v>
      </c>
      <c r="AI12" s="7" t="s">
        <v>1663</v>
      </c>
      <c r="AJ12" s="7" t="s">
        <v>379</v>
      </c>
      <c r="AK12" s="7" t="s">
        <v>379</v>
      </c>
      <c r="AL12" s="7" t="s">
        <v>379</v>
      </c>
      <c r="AM12" s="7" t="s">
        <v>379</v>
      </c>
      <c r="AN12" s="7" t="s">
        <v>379</v>
      </c>
      <c r="AO12" s="7" t="s">
        <v>379</v>
      </c>
      <c r="AP12" s="7" t="s">
        <v>379</v>
      </c>
      <c r="AR12" s="7" t="s">
        <v>371</v>
      </c>
      <c r="AT12" s="7" t="s">
        <v>385</v>
      </c>
      <c r="AU12" s="7" t="s">
        <v>1664</v>
      </c>
      <c r="AV12" s="7" t="s">
        <v>1567</v>
      </c>
      <c r="AW12" s="7" t="s">
        <v>1665</v>
      </c>
      <c r="AX12" s="7" t="s">
        <v>1567</v>
      </c>
      <c r="AY12" s="7" t="s">
        <v>1666</v>
      </c>
      <c r="AZ12" s="7" t="s">
        <v>385</v>
      </c>
      <c r="BB12" s="7" t="s">
        <v>469</v>
      </c>
      <c r="BC12" s="7" t="s">
        <v>1567</v>
      </c>
      <c r="BD12" s="7" t="s">
        <v>1667</v>
      </c>
      <c r="BE12" s="7" t="s">
        <v>1567</v>
      </c>
      <c r="BG12" s="7" t="s">
        <v>371</v>
      </c>
      <c r="BH12" s="7" t="s">
        <v>1668</v>
      </c>
      <c r="BI12" s="7" t="s">
        <v>575</v>
      </c>
      <c r="BJ12" s="7" t="s">
        <v>1567</v>
      </c>
      <c r="BK12" s="7" t="s">
        <v>1669</v>
      </c>
      <c r="BL12" s="7" t="s">
        <v>1567</v>
      </c>
      <c r="BN12" s="7" t="s">
        <v>371</v>
      </c>
    </row>
    <row r="13" ht="14.25" customHeight="1">
      <c r="A13" s="7" t="str">
        <f t="shared" si="1"/>
        <v>Influence of settings management and protection status on recreational uses and pressures in marine PAs</v>
      </c>
      <c r="B13" s="7">
        <v>327.0</v>
      </c>
      <c r="C13" s="7" t="s">
        <v>27</v>
      </c>
      <c r="D13" s="7" t="s">
        <v>1553</v>
      </c>
      <c r="F13" s="7" t="s">
        <v>1552</v>
      </c>
      <c r="J13" s="7" t="s">
        <v>1554</v>
      </c>
      <c r="K13" s="7">
        <v>3.0</v>
      </c>
      <c r="L13" s="7" t="s">
        <v>379</v>
      </c>
      <c r="M13" s="7" t="s">
        <v>1670</v>
      </c>
      <c r="N13" s="7" t="s">
        <v>1670</v>
      </c>
      <c r="O13" s="7" t="s">
        <v>1556</v>
      </c>
      <c r="P13" s="7" t="s">
        <v>1671</v>
      </c>
      <c r="Q13" s="7" t="s">
        <v>371</v>
      </c>
      <c r="R13" s="7" t="s">
        <v>1558</v>
      </c>
      <c r="S13" s="7" t="s">
        <v>379</v>
      </c>
      <c r="T13" s="7" t="s">
        <v>399</v>
      </c>
      <c r="U13" s="7" t="s">
        <v>379</v>
      </c>
      <c r="V13" s="7" t="s">
        <v>1382</v>
      </c>
      <c r="W13" s="7" t="s">
        <v>374</v>
      </c>
      <c r="X13" s="7">
        <v>2.0</v>
      </c>
      <c r="Y13" s="7" t="s">
        <v>1672</v>
      </c>
      <c r="Z13" s="7" t="s">
        <v>1672</v>
      </c>
      <c r="AA13" s="7" t="s">
        <v>1673</v>
      </c>
      <c r="AB13" s="7" t="s">
        <v>1674</v>
      </c>
      <c r="AC13" s="7" t="s">
        <v>1675</v>
      </c>
      <c r="AD13" s="7" t="s">
        <v>379</v>
      </c>
      <c r="AF13" s="7" t="s">
        <v>379</v>
      </c>
      <c r="AH13" s="7" t="s">
        <v>385</v>
      </c>
      <c r="AI13" s="7" t="s">
        <v>1676</v>
      </c>
      <c r="AJ13" s="7" t="s">
        <v>385</v>
      </c>
      <c r="AK13" s="7" t="s">
        <v>1677</v>
      </c>
      <c r="AL13" s="7" t="s">
        <v>379</v>
      </c>
      <c r="AN13" s="7" t="s">
        <v>371</v>
      </c>
      <c r="AO13" s="7" t="s">
        <v>1678</v>
      </c>
      <c r="AP13" s="7" t="s">
        <v>385</v>
      </c>
      <c r="AQ13" s="7" t="s">
        <v>379</v>
      </c>
      <c r="AR13" s="7" t="s">
        <v>385</v>
      </c>
      <c r="AS13" s="7" t="s">
        <v>379</v>
      </c>
      <c r="AT13" s="7" t="s">
        <v>385</v>
      </c>
      <c r="AU13" s="7" t="s">
        <v>1679</v>
      </c>
      <c r="AV13" s="7" t="s">
        <v>379</v>
      </c>
      <c r="AX13" s="7" t="s">
        <v>379</v>
      </c>
      <c r="AZ13" s="7" t="s">
        <v>371</v>
      </c>
      <c r="BA13" s="7" t="s">
        <v>1680</v>
      </c>
      <c r="HN13" s="7" t="s">
        <v>1681</v>
      </c>
    </row>
    <row r="14" ht="14.25" customHeight="1">
      <c r="A14" s="7" t="str">
        <f t="shared" si="1"/>
        <v>Deforestation in an African biodiversity hotspot: Extent, variation and the effectiveness of PAs</v>
      </c>
      <c r="B14" s="7">
        <v>324.0</v>
      </c>
      <c r="C14" s="7" t="s">
        <v>90</v>
      </c>
      <c r="D14" s="7" t="s">
        <v>1553</v>
      </c>
      <c r="J14" s="7" t="s">
        <v>374</v>
      </c>
      <c r="K14" s="7">
        <v>142.0</v>
      </c>
      <c r="L14" s="7" t="s">
        <v>1682</v>
      </c>
      <c r="O14" s="7" t="s">
        <v>1556</v>
      </c>
      <c r="Q14" s="7" t="s">
        <v>1558</v>
      </c>
      <c r="R14" s="7" t="s">
        <v>1558</v>
      </c>
      <c r="T14" s="7" t="s">
        <v>399</v>
      </c>
      <c r="U14" s="7" t="s">
        <v>1683</v>
      </c>
      <c r="W14" s="7" t="s">
        <v>1541</v>
      </c>
      <c r="X14" s="7">
        <v>1.0</v>
      </c>
      <c r="Y14" s="7" t="s">
        <v>1684</v>
      </c>
      <c r="Z14" s="7" t="s">
        <v>1684</v>
      </c>
      <c r="AA14" s="7" t="s">
        <v>743</v>
      </c>
      <c r="AB14" s="7" t="s">
        <v>1685</v>
      </c>
      <c r="AC14" s="7" t="s">
        <v>743</v>
      </c>
      <c r="AD14" s="7" t="s">
        <v>1567</v>
      </c>
      <c r="AE14" s="7" t="s">
        <v>1686</v>
      </c>
      <c r="AF14" s="7" t="s">
        <v>1567</v>
      </c>
      <c r="AG14" s="7" t="s">
        <v>1687</v>
      </c>
      <c r="AH14" s="7" t="s">
        <v>371</v>
      </c>
      <c r="AJ14" s="7" t="s">
        <v>379</v>
      </c>
      <c r="AL14" s="7" t="s">
        <v>379</v>
      </c>
      <c r="AN14" s="7" t="s">
        <v>371</v>
      </c>
      <c r="AP14" s="7" t="s">
        <v>385</v>
      </c>
      <c r="AQ14" s="7" t="s">
        <v>1688</v>
      </c>
      <c r="AR14" s="7" t="s">
        <v>379</v>
      </c>
      <c r="AT14" s="7" t="s">
        <v>385</v>
      </c>
      <c r="HK14" s="7" t="s">
        <v>1689</v>
      </c>
      <c r="HM14" s="7" t="s">
        <v>1690</v>
      </c>
      <c r="HN14" s="7" t="s">
        <v>1691</v>
      </c>
    </row>
    <row r="15" ht="14.25" customHeight="1">
      <c r="A15" s="7" t="str">
        <f t="shared" si="1"/>
        <v>Is the Natura 2000 network effective to prevent the biological invasions?</v>
      </c>
      <c r="B15" s="7">
        <v>322.0</v>
      </c>
      <c r="C15" s="7" t="s">
        <v>126</v>
      </c>
      <c r="D15" s="7" t="s">
        <v>1552</v>
      </c>
      <c r="F15" s="7" t="s">
        <v>1553</v>
      </c>
      <c r="J15" s="7" t="s">
        <v>1554</v>
      </c>
      <c r="K15" s="7" t="s">
        <v>1692</v>
      </c>
      <c r="M15" s="7" t="s">
        <v>1604</v>
      </c>
      <c r="N15" s="7" t="s">
        <v>1604</v>
      </c>
      <c r="O15" s="7" t="s">
        <v>1693</v>
      </c>
      <c r="Q15" s="7" t="s">
        <v>1558</v>
      </c>
      <c r="R15" s="7" t="s">
        <v>1558</v>
      </c>
      <c r="T15" s="7" t="s">
        <v>399</v>
      </c>
      <c r="W15" s="7" t="s">
        <v>1541</v>
      </c>
      <c r="X15" s="7">
        <v>1.0</v>
      </c>
      <c r="Y15" s="7" t="s">
        <v>1576</v>
      </c>
      <c r="Z15" s="7" t="s">
        <v>1576</v>
      </c>
      <c r="AA15" s="7" t="s">
        <v>787</v>
      </c>
      <c r="AB15" s="7" t="s">
        <v>1694</v>
      </c>
      <c r="AC15" s="7" t="s">
        <v>787</v>
      </c>
      <c r="AD15" s="7" t="s">
        <v>379</v>
      </c>
      <c r="AF15" s="7" t="s">
        <v>379</v>
      </c>
      <c r="AH15" s="7" t="s">
        <v>1544</v>
      </c>
      <c r="AI15" s="7" t="s">
        <v>1695</v>
      </c>
      <c r="AJ15" s="7" t="s">
        <v>385</v>
      </c>
      <c r="AK15" s="7" t="s">
        <v>1696</v>
      </c>
      <c r="AL15" s="7" t="s">
        <v>379</v>
      </c>
      <c r="AN15" s="7" t="s">
        <v>379</v>
      </c>
      <c r="AP15" s="7" t="s">
        <v>385</v>
      </c>
      <c r="AQ15" s="7" t="s">
        <v>1697</v>
      </c>
      <c r="AR15" s="7" t="s">
        <v>371</v>
      </c>
      <c r="AT15" s="7" t="s">
        <v>385</v>
      </c>
      <c r="HN15" s="7" t="s">
        <v>1698</v>
      </c>
    </row>
    <row r="16" ht="14.25" customHeight="1">
      <c r="A16" s="7" t="str">
        <f t="shared" si="1"/>
        <v>Worldwide increase in Artificial Light At Night around PAs and within biodiversity hotspots</v>
      </c>
      <c r="B16" s="7">
        <v>321.0</v>
      </c>
      <c r="C16" s="7" t="s">
        <v>99</v>
      </c>
      <c r="D16" s="7" t="s">
        <v>1553</v>
      </c>
      <c r="E16" s="7" t="s">
        <v>379</v>
      </c>
      <c r="G16" s="7" t="s">
        <v>379</v>
      </c>
      <c r="I16" s="7" t="s">
        <v>379</v>
      </c>
      <c r="J16" s="7" t="s">
        <v>374</v>
      </c>
      <c r="K16" s="7">
        <v>40701.0</v>
      </c>
      <c r="L16" s="7" t="s">
        <v>379</v>
      </c>
      <c r="O16" s="7" t="s">
        <v>1556</v>
      </c>
      <c r="P16" s="7" t="s">
        <v>1699</v>
      </c>
      <c r="Q16" s="7" t="s">
        <v>1558</v>
      </c>
      <c r="R16" s="7" t="s">
        <v>1558</v>
      </c>
      <c r="S16" s="7">
        <v>2016.0</v>
      </c>
      <c r="T16" s="7" t="s">
        <v>399</v>
      </c>
      <c r="U16" s="7" t="s">
        <v>1700</v>
      </c>
      <c r="V16" s="7">
        <v>25.0</v>
      </c>
      <c r="W16" s="7" t="s">
        <v>1541</v>
      </c>
      <c r="X16" s="7">
        <v>1.0</v>
      </c>
      <c r="Y16" s="7" t="s">
        <v>1560</v>
      </c>
      <c r="Z16" s="7" t="s">
        <v>1560</v>
      </c>
      <c r="AA16" s="7" t="s">
        <v>1701</v>
      </c>
      <c r="AB16" s="7" t="s">
        <v>1702</v>
      </c>
      <c r="AC16" s="7" t="s">
        <v>451</v>
      </c>
      <c r="AD16" s="7" t="s">
        <v>1544</v>
      </c>
      <c r="AE16" s="7" t="s">
        <v>1703</v>
      </c>
      <c r="AF16" s="7" t="s">
        <v>379</v>
      </c>
      <c r="AG16" s="7" t="s">
        <v>379</v>
      </c>
      <c r="AH16" s="7" t="s">
        <v>371</v>
      </c>
      <c r="AI16" s="7" t="s">
        <v>1704</v>
      </c>
      <c r="AJ16" s="7" t="s">
        <v>379</v>
      </c>
      <c r="AL16" s="7" t="s">
        <v>379</v>
      </c>
      <c r="AN16" s="7" t="s">
        <v>379</v>
      </c>
      <c r="AP16" s="7" t="s">
        <v>1546</v>
      </c>
      <c r="AQ16" s="7" t="s">
        <v>1705</v>
      </c>
      <c r="AR16" s="7" t="s">
        <v>379</v>
      </c>
      <c r="AT16" s="7" t="s">
        <v>385</v>
      </c>
      <c r="HN16" s="7" t="s">
        <v>1706</v>
      </c>
    </row>
    <row r="17" ht="14.25" customHeight="1">
      <c r="A17" s="7" t="str">
        <f t="shared" si="1"/>
        <v>Evolving protected-area impacts in Panama: impact shifts show that plans require anticipation</v>
      </c>
      <c r="B17" s="7">
        <v>319.0</v>
      </c>
      <c r="C17" s="7" t="s">
        <v>192</v>
      </c>
      <c r="D17" s="7" t="s">
        <v>1553</v>
      </c>
      <c r="J17" s="7" t="s">
        <v>374</v>
      </c>
      <c r="K17" s="7" t="s">
        <v>379</v>
      </c>
      <c r="L17" s="7" t="s">
        <v>379</v>
      </c>
      <c r="O17" s="7" t="s">
        <v>1558</v>
      </c>
      <c r="P17" s="7" t="s">
        <v>1707</v>
      </c>
      <c r="Q17" s="7" t="s">
        <v>371</v>
      </c>
      <c r="R17" s="7" t="s">
        <v>371</v>
      </c>
      <c r="S17" s="7" t="s">
        <v>1708</v>
      </c>
      <c r="T17" s="7" t="s">
        <v>399</v>
      </c>
      <c r="U17" s="7" t="s">
        <v>379</v>
      </c>
      <c r="V17" s="7" t="s">
        <v>1382</v>
      </c>
      <c r="W17" s="7" t="s">
        <v>1541</v>
      </c>
      <c r="X17" s="7">
        <v>1.0</v>
      </c>
      <c r="Y17" s="7" t="s">
        <v>1684</v>
      </c>
      <c r="Z17" s="7" t="s">
        <v>1684</v>
      </c>
      <c r="AA17" s="7" t="s">
        <v>743</v>
      </c>
      <c r="AC17" s="7" t="s">
        <v>743</v>
      </c>
      <c r="AD17" s="7" t="s">
        <v>1544</v>
      </c>
      <c r="AE17" s="7" t="s">
        <v>1709</v>
      </c>
      <c r="AF17" s="7" t="s">
        <v>1567</v>
      </c>
      <c r="AG17" s="7" t="s">
        <v>1710</v>
      </c>
      <c r="AH17" s="7" t="s">
        <v>371</v>
      </c>
      <c r="AI17" s="7" t="s">
        <v>1711</v>
      </c>
      <c r="AJ17" s="7" t="s">
        <v>379</v>
      </c>
      <c r="AL17" s="7" t="s">
        <v>379</v>
      </c>
      <c r="AN17" s="7" t="s">
        <v>379</v>
      </c>
      <c r="AO17" s="7" t="s">
        <v>1712</v>
      </c>
      <c r="AP17" s="7" t="s">
        <v>385</v>
      </c>
      <c r="AQ17" s="7" t="s">
        <v>1713</v>
      </c>
      <c r="AR17" s="7" t="s">
        <v>379</v>
      </c>
      <c r="AT17" s="7" t="s">
        <v>385</v>
      </c>
      <c r="HK17" s="7" t="s">
        <v>1714</v>
      </c>
    </row>
    <row r="18" ht="14.25" customHeight="1">
      <c r="A18" s="7" t="str">
        <f t="shared" si="1"/>
        <v>Assessing variation in the effectiveness of IUCN PA categorisation. What remotely sensed forest integrity and human modification reveals across the major tropical forest biomes</v>
      </c>
      <c r="B18" s="7">
        <v>317.0</v>
      </c>
      <c r="C18" s="7" t="s">
        <v>120</v>
      </c>
      <c r="D18" s="7" t="s">
        <v>1552</v>
      </c>
      <c r="J18" s="7" t="s">
        <v>1554</v>
      </c>
      <c r="K18" s="7">
        <v>2069.0</v>
      </c>
      <c r="L18" s="7" t="s">
        <v>1715</v>
      </c>
      <c r="M18" s="7" t="s">
        <v>1716</v>
      </c>
      <c r="N18" s="7" t="s">
        <v>1717</v>
      </c>
      <c r="O18" s="7" t="s">
        <v>1556</v>
      </c>
      <c r="Q18" s="7" t="s">
        <v>371</v>
      </c>
      <c r="R18" s="7" t="s">
        <v>1558</v>
      </c>
      <c r="T18" s="7" t="s">
        <v>399</v>
      </c>
      <c r="W18" s="7" t="s">
        <v>1559</v>
      </c>
      <c r="X18" s="7">
        <v>1.0</v>
      </c>
      <c r="Y18" s="7" t="s">
        <v>575</v>
      </c>
      <c r="Z18" s="7" t="s">
        <v>575</v>
      </c>
      <c r="AA18" s="7" t="s">
        <v>1718</v>
      </c>
      <c r="AB18" s="7" t="s">
        <v>1719</v>
      </c>
      <c r="AC18" s="7" t="s">
        <v>575</v>
      </c>
      <c r="AD18" s="7" t="s">
        <v>379</v>
      </c>
      <c r="AF18" s="7" t="s">
        <v>379</v>
      </c>
      <c r="AH18" s="7" t="s">
        <v>379</v>
      </c>
      <c r="AJ18" s="7" t="s">
        <v>1544</v>
      </c>
      <c r="AK18" s="7" t="s">
        <v>1720</v>
      </c>
      <c r="AL18" s="7" t="s">
        <v>379</v>
      </c>
      <c r="AN18" s="7" t="s">
        <v>379</v>
      </c>
      <c r="AP18" s="7" t="s">
        <v>379</v>
      </c>
      <c r="AR18" s="7" t="s">
        <v>371</v>
      </c>
      <c r="AT18" s="7" t="s">
        <v>385</v>
      </c>
      <c r="HK18" s="7" t="s">
        <v>1721</v>
      </c>
      <c r="HM18" s="7" t="s">
        <v>1722</v>
      </c>
    </row>
    <row r="19" ht="14.25" customHeight="1">
      <c r="A19" s="7" t="str">
        <f t="shared" si="1"/>
        <v>Continuous growth of human footprint risks compromising the benefits of PAs on the Qinghai-Tibet Plateau</v>
      </c>
      <c r="B19" s="7">
        <v>314.0</v>
      </c>
      <c r="C19" s="7" t="s">
        <v>132</v>
      </c>
      <c r="D19" s="7" t="s">
        <v>1553</v>
      </c>
      <c r="J19" s="7" t="s">
        <v>374</v>
      </c>
      <c r="K19" s="7">
        <v>53.0</v>
      </c>
      <c r="M19" s="7" t="s">
        <v>1723</v>
      </c>
      <c r="N19" s="7" t="s">
        <v>1723</v>
      </c>
      <c r="O19" s="7" t="s">
        <v>1540</v>
      </c>
      <c r="Q19" s="7" t="s">
        <v>1558</v>
      </c>
      <c r="R19" s="7" t="s">
        <v>1558</v>
      </c>
      <c r="T19" s="7" t="s">
        <v>399</v>
      </c>
      <c r="W19" s="7" t="s">
        <v>1559</v>
      </c>
      <c r="X19" s="7">
        <v>1.0</v>
      </c>
      <c r="Y19" s="7" t="s">
        <v>658</v>
      </c>
      <c r="Z19" s="7" t="s">
        <v>575</v>
      </c>
      <c r="AA19" s="7" t="s">
        <v>1724</v>
      </c>
      <c r="AB19" s="7" t="s">
        <v>1725</v>
      </c>
      <c r="AC19" s="7" t="s">
        <v>575</v>
      </c>
      <c r="AD19" s="7" t="s">
        <v>1567</v>
      </c>
      <c r="AE19" s="7" t="s">
        <v>1726</v>
      </c>
      <c r="AF19" s="7" t="s">
        <v>1567</v>
      </c>
      <c r="AG19" s="7" t="s">
        <v>1727</v>
      </c>
      <c r="AH19" s="7" t="s">
        <v>371</v>
      </c>
      <c r="AI19" s="7" t="s">
        <v>1728</v>
      </c>
      <c r="AJ19" s="7" t="s">
        <v>379</v>
      </c>
      <c r="AL19" s="7" t="s">
        <v>379</v>
      </c>
      <c r="AN19" s="7" t="s">
        <v>379</v>
      </c>
      <c r="AP19" s="7" t="s">
        <v>385</v>
      </c>
      <c r="AQ19" s="7" t="s">
        <v>1729</v>
      </c>
      <c r="AR19" s="7" t="s">
        <v>379</v>
      </c>
      <c r="AT19" s="7" t="s">
        <v>385</v>
      </c>
      <c r="HN19" s="7" t="s">
        <v>1730</v>
      </c>
    </row>
    <row r="20" ht="14.25" customHeight="1">
      <c r="A20" s="7" t="str">
        <f t="shared" si="1"/>
        <v>Analyzing multi-temporal satellite imagery and stakeholders' perceptions to have an insight into how forest co-management is changing the PA landscapes in Bangladesh</v>
      </c>
      <c r="B20" s="7">
        <v>310.0</v>
      </c>
      <c r="C20" s="7" t="s">
        <v>123</v>
      </c>
      <c r="D20" s="7" t="s">
        <v>1536</v>
      </c>
      <c r="F20" s="7" t="s">
        <v>1552</v>
      </c>
      <c r="J20" s="7" t="s">
        <v>374</v>
      </c>
      <c r="K20" s="7">
        <v>2.0</v>
      </c>
      <c r="L20" s="7" t="s">
        <v>1635</v>
      </c>
      <c r="M20" s="7" t="s">
        <v>1731</v>
      </c>
      <c r="N20" s="7" t="s">
        <v>1731</v>
      </c>
      <c r="O20" s="7" t="s">
        <v>1556</v>
      </c>
      <c r="Q20" s="7" t="s">
        <v>371</v>
      </c>
      <c r="R20" s="7" t="s">
        <v>371</v>
      </c>
      <c r="T20" s="7" t="s">
        <v>371</v>
      </c>
      <c r="W20" s="7" t="s">
        <v>1541</v>
      </c>
      <c r="X20" s="7">
        <v>1.0</v>
      </c>
      <c r="Y20" s="7" t="s">
        <v>1684</v>
      </c>
      <c r="Z20" s="7" t="s">
        <v>1684</v>
      </c>
      <c r="AA20" s="7" t="s">
        <v>743</v>
      </c>
      <c r="AB20" s="7" t="s">
        <v>1732</v>
      </c>
      <c r="AC20" s="7" t="s">
        <v>743</v>
      </c>
      <c r="AD20" s="7" t="s">
        <v>382</v>
      </c>
      <c r="AJ20" s="7" t="s">
        <v>385</v>
      </c>
      <c r="AK20" s="7" t="s">
        <v>1733</v>
      </c>
      <c r="AL20" s="7" t="s">
        <v>379</v>
      </c>
      <c r="AN20" s="7" t="s">
        <v>379</v>
      </c>
      <c r="AP20" s="7" t="s">
        <v>382</v>
      </c>
      <c r="AQ20" s="7" t="s">
        <v>1734</v>
      </c>
      <c r="AR20" s="7" t="s">
        <v>371</v>
      </c>
      <c r="AT20" s="7" t="s">
        <v>371</v>
      </c>
      <c r="BW20" s="7" t="s">
        <v>1735</v>
      </c>
      <c r="BX20" s="7">
        <v>1.0</v>
      </c>
      <c r="BY20" s="7" t="s">
        <v>1736</v>
      </c>
      <c r="BZ20" s="7" t="s">
        <v>1539</v>
      </c>
      <c r="CA20" s="7" t="s">
        <v>1737</v>
      </c>
      <c r="CB20" s="7" t="s">
        <v>743</v>
      </c>
      <c r="CC20" s="7" t="s">
        <v>1567</v>
      </c>
      <c r="CD20" s="7" t="s">
        <v>1738</v>
      </c>
      <c r="CK20" s="7" t="s">
        <v>385</v>
      </c>
      <c r="DG20" s="7" t="s">
        <v>1735</v>
      </c>
      <c r="DH20" s="7">
        <v>1.0</v>
      </c>
      <c r="DI20" s="7" t="s">
        <v>1739</v>
      </c>
      <c r="DJ20" s="7" t="s">
        <v>1740</v>
      </c>
      <c r="DK20" s="7" t="s">
        <v>1741</v>
      </c>
      <c r="DL20" s="7" t="s">
        <v>743</v>
      </c>
      <c r="DM20" s="7" t="s">
        <v>1589</v>
      </c>
      <c r="DN20" s="7" t="s">
        <v>1742</v>
      </c>
      <c r="DU20" s="7" t="s">
        <v>385</v>
      </c>
      <c r="HL20" s="7" t="s">
        <v>1743</v>
      </c>
      <c r="HN20" s="7" t="s">
        <v>1744</v>
      </c>
    </row>
    <row r="21" ht="14.25" customHeight="1">
      <c r="A21" s="7" t="str">
        <f t="shared" si="1"/>
        <v>Business as usual for the human use of Moreton Bay following marine park zoning</v>
      </c>
      <c r="B21" s="7">
        <v>302.0</v>
      </c>
      <c r="C21" s="7" t="s">
        <v>189</v>
      </c>
      <c r="D21" s="7" t="s">
        <v>1536</v>
      </c>
      <c r="F21" s="7" t="s">
        <v>1553</v>
      </c>
      <c r="J21" s="7" t="s">
        <v>374</v>
      </c>
      <c r="K21" s="7">
        <v>21.0</v>
      </c>
      <c r="L21" s="7" t="s">
        <v>1745</v>
      </c>
      <c r="M21" s="7" t="s">
        <v>1746</v>
      </c>
      <c r="N21" s="7" t="s">
        <v>1746</v>
      </c>
      <c r="O21" s="7" t="s">
        <v>1556</v>
      </c>
      <c r="P21" s="7" t="s">
        <v>1670</v>
      </c>
      <c r="Q21" s="7" t="s">
        <v>371</v>
      </c>
      <c r="R21" s="7" t="s">
        <v>1558</v>
      </c>
      <c r="S21" s="7">
        <v>1993.0</v>
      </c>
      <c r="T21" s="7" t="s">
        <v>399</v>
      </c>
      <c r="U21" s="7" t="s">
        <v>1747</v>
      </c>
      <c r="V21" s="7" t="s">
        <v>1382</v>
      </c>
      <c r="W21" s="7" t="s">
        <v>1541</v>
      </c>
      <c r="X21" s="7">
        <v>1.0</v>
      </c>
      <c r="Y21" s="7" t="s">
        <v>1748</v>
      </c>
      <c r="Z21" s="7" t="s">
        <v>1748</v>
      </c>
      <c r="AA21" s="7" t="s">
        <v>1679</v>
      </c>
      <c r="AB21" s="7" t="s">
        <v>1749</v>
      </c>
      <c r="AC21" s="7" t="s">
        <v>1679</v>
      </c>
      <c r="AD21" s="7" t="s">
        <v>1750</v>
      </c>
      <c r="AE21" s="7" t="s">
        <v>1751</v>
      </c>
      <c r="AF21" s="7" t="s">
        <v>1567</v>
      </c>
      <c r="AG21" s="7" t="s">
        <v>1752</v>
      </c>
      <c r="AH21" s="7" t="s">
        <v>371</v>
      </c>
      <c r="AI21" s="7" t="s">
        <v>1753</v>
      </c>
      <c r="AJ21" s="7" t="s">
        <v>379</v>
      </c>
      <c r="AL21" s="7" t="s">
        <v>379</v>
      </c>
      <c r="AN21" s="7" t="s">
        <v>379</v>
      </c>
      <c r="AP21" s="7" t="s">
        <v>1546</v>
      </c>
      <c r="AQ21" s="7" t="s">
        <v>1754</v>
      </c>
      <c r="AR21" s="7" t="s">
        <v>385</v>
      </c>
      <c r="AT21" s="7" t="s">
        <v>385</v>
      </c>
    </row>
    <row r="22" ht="14.25" customHeight="1">
      <c r="A22" s="7" t="str">
        <f t="shared" si="1"/>
        <v>Ecological indicators for protection impact assessment at two scales in the Bozin and Marakhil PA, Iran</v>
      </c>
      <c r="B22" s="7">
        <v>301.0</v>
      </c>
      <c r="C22" s="7" t="s">
        <v>24</v>
      </c>
      <c r="D22" s="7" t="s">
        <v>1538</v>
      </c>
      <c r="J22" s="7" t="s">
        <v>374</v>
      </c>
      <c r="K22" s="7">
        <v>1.0</v>
      </c>
      <c r="L22" s="7" t="s">
        <v>1755</v>
      </c>
      <c r="O22" s="7" t="s">
        <v>1558</v>
      </c>
      <c r="Q22" s="7" t="s">
        <v>1558</v>
      </c>
      <c r="R22" s="7" t="s">
        <v>1558</v>
      </c>
      <c r="S22" s="7">
        <v>1999.0</v>
      </c>
      <c r="T22" s="7" t="s">
        <v>399</v>
      </c>
      <c r="U22" s="7" t="s">
        <v>1637</v>
      </c>
      <c r="V22" s="7">
        <v>15.0</v>
      </c>
      <c r="W22" s="7" t="s">
        <v>1541</v>
      </c>
      <c r="X22" s="7">
        <v>1.0</v>
      </c>
      <c r="Y22" s="7" t="s">
        <v>1638</v>
      </c>
      <c r="Z22" s="7" t="s">
        <v>1638</v>
      </c>
      <c r="AA22" s="7" t="s">
        <v>1756</v>
      </c>
      <c r="AB22" s="7" t="s">
        <v>1757</v>
      </c>
      <c r="AC22" s="7" t="s">
        <v>523</v>
      </c>
      <c r="AD22" s="7" t="s">
        <v>1750</v>
      </c>
      <c r="AF22" s="7" t="s">
        <v>1567</v>
      </c>
      <c r="AG22" s="7" t="s">
        <v>1758</v>
      </c>
      <c r="AH22" s="7" t="s">
        <v>371</v>
      </c>
      <c r="AI22" s="7" t="s">
        <v>1759</v>
      </c>
      <c r="AJ22" s="7" t="s">
        <v>379</v>
      </c>
      <c r="AL22" s="7" t="s">
        <v>379</v>
      </c>
      <c r="AN22" s="7" t="s">
        <v>379</v>
      </c>
      <c r="AP22" s="7" t="s">
        <v>379</v>
      </c>
      <c r="AR22" s="7" t="s">
        <v>385</v>
      </c>
      <c r="AT22" s="7" t="s">
        <v>385</v>
      </c>
    </row>
    <row r="23" ht="14.25" customHeight="1">
      <c r="A23" s="7" t="str">
        <f t="shared" si="1"/>
        <v>Many a little makes a mickle: Cumulative land cover changes and traditional land use in the Kyro reindeer herding district, northern Finland</v>
      </c>
      <c r="B23" s="7">
        <v>299.0</v>
      </c>
      <c r="C23" s="7" t="s">
        <v>309</v>
      </c>
      <c r="D23" s="7" t="s">
        <v>1553</v>
      </c>
      <c r="J23" s="7" t="s">
        <v>1541</v>
      </c>
      <c r="K23" s="7">
        <v>1.0</v>
      </c>
      <c r="O23" s="7" t="s">
        <v>1558</v>
      </c>
      <c r="Q23" s="7" t="s">
        <v>1558</v>
      </c>
      <c r="R23" s="7" t="s">
        <v>1558</v>
      </c>
      <c r="T23" s="7" t="s">
        <v>399</v>
      </c>
      <c r="U23" s="7" t="s">
        <v>1760</v>
      </c>
      <c r="V23" s="7">
        <v>1.5</v>
      </c>
      <c r="W23" s="7" t="s">
        <v>1541</v>
      </c>
      <c r="X23" s="7">
        <v>1.0</v>
      </c>
      <c r="Y23" s="7" t="s">
        <v>1684</v>
      </c>
      <c r="Z23" s="7" t="s">
        <v>1684</v>
      </c>
      <c r="AA23" s="7" t="s">
        <v>743</v>
      </c>
      <c r="AB23" s="7" t="s">
        <v>1761</v>
      </c>
      <c r="AC23" s="7" t="s">
        <v>743</v>
      </c>
      <c r="AD23" s="7" t="s">
        <v>1750</v>
      </c>
      <c r="AE23" s="7" t="s">
        <v>1762</v>
      </c>
      <c r="AF23" s="7" t="s">
        <v>1567</v>
      </c>
      <c r="AG23" s="7" t="s">
        <v>1763</v>
      </c>
      <c r="AH23" s="7" t="s">
        <v>371</v>
      </c>
      <c r="AI23" s="7" t="s">
        <v>1764</v>
      </c>
      <c r="AJ23" s="7" t="s">
        <v>379</v>
      </c>
      <c r="AL23" s="7" t="s">
        <v>379</v>
      </c>
      <c r="AN23" s="7" t="s">
        <v>379</v>
      </c>
      <c r="AP23" s="7" t="s">
        <v>379</v>
      </c>
      <c r="AR23" s="7" t="s">
        <v>379</v>
      </c>
      <c r="AT23" s="7" t="s">
        <v>385</v>
      </c>
    </row>
    <row r="24" ht="14.25" customHeight="1">
      <c r="A24" s="7" t="str">
        <f t="shared" si="1"/>
        <v>Characterizing land disturbance in Atewa Range Forest Reserve and Buffer Zone</v>
      </c>
      <c r="B24" s="7">
        <v>295.0</v>
      </c>
      <c r="C24" s="7" t="s">
        <v>30</v>
      </c>
      <c r="D24" s="7" t="s">
        <v>1538</v>
      </c>
      <c r="F24" s="7" t="s">
        <v>1536</v>
      </c>
      <c r="J24" s="7" t="s">
        <v>1541</v>
      </c>
      <c r="K24" s="7" t="s">
        <v>1765</v>
      </c>
      <c r="M24" s="7" t="s">
        <v>1766</v>
      </c>
      <c r="N24" s="7" t="s">
        <v>1766</v>
      </c>
      <c r="O24" s="7" t="s">
        <v>1558</v>
      </c>
      <c r="Q24" s="7" t="s">
        <v>371</v>
      </c>
      <c r="R24" s="7" t="s">
        <v>1558</v>
      </c>
      <c r="T24" s="7" t="s">
        <v>399</v>
      </c>
      <c r="U24" s="7" t="s">
        <v>1767</v>
      </c>
      <c r="V24" s="7" t="s">
        <v>1382</v>
      </c>
      <c r="W24" s="7" t="s">
        <v>1541</v>
      </c>
      <c r="X24" s="7">
        <v>1.0</v>
      </c>
      <c r="Y24" s="7" t="s">
        <v>1684</v>
      </c>
      <c r="Z24" s="7" t="s">
        <v>1684</v>
      </c>
      <c r="AA24" s="7" t="s">
        <v>743</v>
      </c>
      <c r="AB24" s="7" t="s">
        <v>1768</v>
      </c>
      <c r="AC24" s="7" t="s">
        <v>743</v>
      </c>
      <c r="AD24" s="7" t="s">
        <v>1567</v>
      </c>
      <c r="AE24" s="7" t="s">
        <v>1769</v>
      </c>
      <c r="AF24" s="7" t="s">
        <v>1567</v>
      </c>
      <c r="AG24" s="7" t="s">
        <v>1769</v>
      </c>
      <c r="AH24" s="7" t="s">
        <v>371</v>
      </c>
      <c r="AI24" s="7" t="s">
        <v>1770</v>
      </c>
      <c r="AJ24" s="7" t="s">
        <v>379</v>
      </c>
      <c r="AL24" s="7" t="s">
        <v>379</v>
      </c>
      <c r="AN24" s="7" t="s">
        <v>379</v>
      </c>
      <c r="AP24" s="7" t="s">
        <v>385</v>
      </c>
      <c r="AQ24" s="7" t="s">
        <v>1771</v>
      </c>
      <c r="AR24" s="7" t="s">
        <v>385</v>
      </c>
      <c r="AT24" s="7" t="s">
        <v>385</v>
      </c>
      <c r="HK24" s="7" t="s">
        <v>1772</v>
      </c>
      <c r="HL24" s="7" t="s">
        <v>1773</v>
      </c>
      <c r="HO24" s="7" t="s">
        <v>1774</v>
      </c>
    </row>
    <row r="25" ht="14.25" customHeight="1">
      <c r="A25" s="7" t="str">
        <f t="shared" si="1"/>
        <v>Are MPAs effective in removing fishing pressure from benthic species and habitats?</v>
      </c>
      <c r="B25" s="7">
        <v>294.0</v>
      </c>
      <c r="C25" s="7" t="s">
        <v>105</v>
      </c>
      <c r="D25" s="7" t="s">
        <v>1553</v>
      </c>
      <c r="F25" s="7" t="s">
        <v>1536</v>
      </c>
      <c r="J25" s="7" t="s">
        <v>374</v>
      </c>
      <c r="K25" s="7">
        <v>41.0</v>
      </c>
      <c r="M25" s="7" t="s">
        <v>1670</v>
      </c>
      <c r="N25" s="7" t="s">
        <v>1670</v>
      </c>
      <c r="O25" s="7" t="s">
        <v>1556</v>
      </c>
      <c r="P25" s="7" t="s">
        <v>1775</v>
      </c>
      <c r="Q25" s="7" t="s">
        <v>371</v>
      </c>
      <c r="R25" s="7" t="s">
        <v>1558</v>
      </c>
      <c r="T25" s="7" t="s">
        <v>399</v>
      </c>
      <c r="W25" s="7" t="s">
        <v>1541</v>
      </c>
      <c r="X25" s="7">
        <v>1.0</v>
      </c>
      <c r="Y25" s="7" t="s">
        <v>1748</v>
      </c>
      <c r="Z25" s="7" t="s">
        <v>1748</v>
      </c>
      <c r="AA25" s="7" t="s">
        <v>1679</v>
      </c>
      <c r="AB25" s="7" t="s">
        <v>1776</v>
      </c>
      <c r="AC25" s="7" t="s">
        <v>1679</v>
      </c>
      <c r="AD25" s="7" t="s">
        <v>1544</v>
      </c>
      <c r="AE25" s="7" t="s">
        <v>1777</v>
      </c>
      <c r="AF25" s="7" t="s">
        <v>379</v>
      </c>
      <c r="AH25" s="7" t="s">
        <v>1544</v>
      </c>
      <c r="AJ25" s="7" t="s">
        <v>385</v>
      </c>
      <c r="AL25" s="7" t="s">
        <v>379</v>
      </c>
      <c r="AN25" s="7" t="s">
        <v>379</v>
      </c>
      <c r="AP25" s="7" t="s">
        <v>385</v>
      </c>
      <c r="AQ25" s="7" t="s">
        <v>1778</v>
      </c>
      <c r="AR25" s="7" t="s">
        <v>379</v>
      </c>
      <c r="AT25" s="7" t="s">
        <v>385</v>
      </c>
    </row>
    <row r="26" ht="14.25" customHeight="1">
      <c r="A26" s="7" t="str">
        <f t="shared" si="1"/>
        <v>Land use and landscape pattern changes on the inside and outside of PAs in urbanizing Selangor state, peninsular Malaysia</v>
      </c>
      <c r="B26" s="7">
        <v>292.0</v>
      </c>
      <c r="C26" s="7" t="s">
        <v>312</v>
      </c>
      <c r="D26" s="7" t="s">
        <v>1538</v>
      </c>
      <c r="J26" s="7" t="s">
        <v>374</v>
      </c>
      <c r="K26" s="7">
        <v>3.0</v>
      </c>
      <c r="L26" s="7" t="s">
        <v>1779</v>
      </c>
      <c r="M26" s="7" t="s">
        <v>1780</v>
      </c>
      <c r="N26" s="7" t="s">
        <v>1780</v>
      </c>
      <c r="O26" s="7" t="s">
        <v>1558</v>
      </c>
      <c r="Q26" s="7" t="s">
        <v>1558</v>
      </c>
      <c r="R26" s="7" t="s">
        <v>1558</v>
      </c>
      <c r="T26" s="7" t="s">
        <v>399</v>
      </c>
      <c r="V26" s="7" t="s">
        <v>1382</v>
      </c>
      <c r="W26" s="7" t="s">
        <v>374</v>
      </c>
      <c r="X26" s="7">
        <v>4.0</v>
      </c>
      <c r="Y26" s="7" t="s">
        <v>1781</v>
      </c>
      <c r="Z26" s="7" t="s">
        <v>1781</v>
      </c>
      <c r="AA26" s="7" t="s">
        <v>1782</v>
      </c>
      <c r="AB26" s="7" t="s">
        <v>1783</v>
      </c>
      <c r="AC26" s="7" t="s">
        <v>743</v>
      </c>
      <c r="AD26" s="7" t="s">
        <v>1784</v>
      </c>
      <c r="AE26" s="7" t="s">
        <v>1785</v>
      </c>
      <c r="AF26" s="7" t="s">
        <v>1567</v>
      </c>
      <c r="AH26" s="7" t="s">
        <v>371</v>
      </c>
      <c r="AJ26" s="7" t="s">
        <v>379</v>
      </c>
      <c r="AL26" s="7" t="s">
        <v>379</v>
      </c>
      <c r="AN26" s="7" t="s">
        <v>371</v>
      </c>
      <c r="AO26" s="7" t="s">
        <v>1786</v>
      </c>
      <c r="AP26" s="7" t="s">
        <v>385</v>
      </c>
      <c r="AQ26" s="7" t="s">
        <v>1787</v>
      </c>
      <c r="AR26" s="7" t="s">
        <v>371</v>
      </c>
      <c r="AT26" s="7" t="s">
        <v>385</v>
      </c>
      <c r="AU26" s="7" t="s">
        <v>1664</v>
      </c>
      <c r="AV26" s="7" t="s">
        <v>1784</v>
      </c>
      <c r="AW26" s="7" t="s">
        <v>1788</v>
      </c>
      <c r="AX26" s="7" t="s">
        <v>1567</v>
      </c>
      <c r="AY26" s="7" t="s">
        <v>1789</v>
      </c>
      <c r="AZ26" s="7" t="s">
        <v>371</v>
      </c>
      <c r="BA26" s="7" t="s">
        <v>1790</v>
      </c>
      <c r="BB26" s="7" t="s">
        <v>451</v>
      </c>
      <c r="BC26" s="7" t="s">
        <v>1567</v>
      </c>
      <c r="BD26" s="7" t="s">
        <v>1791</v>
      </c>
      <c r="BE26" s="7" t="s">
        <v>1784</v>
      </c>
      <c r="BF26" s="7" t="s">
        <v>1792</v>
      </c>
      <c r="BG26" s="7" t="s">
        <v>371</v>
      </c>
      <c r="BI26" s="7" t="s">
        <v>523</v>
      </c>
      <c r="BJ26" s="7" t="s">
        <v>1784</v>
      </c>
      <c r="BK26" s="7" t="s">
        <v>1793</v>
      </c>
      <c r="BL26" s="7" t="s">
        <v>1567</v>
      </c>
      <c r="BN26" s="7" t="s">
        <v>371</v>
      </c>
      <c r="HM26" s="7" t="s">
        <v>1794</v>
      </c>
      <c r="HN26" s="7" t="s">
        <v>1795</v>
      </c>
    </row>
    <row r="27" ht="14.25" customHeight="1">
      <c r="A27" s="7" t="str">
        <f t="shared" si="1"/>
        <v>Human pressure dynamics in PAs of China based on nighttime light</v>
      </c>
      <c r="B27" s="7">
        <v>288.0</v>
      </c>
      <c r="C27" s="7" t="s">
        <v>315</v>
      </c>
      <c r="D27" s="7" t="s">
        <v>1538</v>
      </c>
      <c r="J27" s="7" t="s">
        <v>374</v>
      </c>
      <c r="K27" s="7">
        <v>463.0</v>
      </c>
      <c r="Q27" s="7" t="s">
        <v>1558</v>
      </c>
      <c r="R27" s="7" t="s">
        <v>1558</v>
      </c>
      <c r="T27" s="7" t="s">
        <v>371</v>
      </c>
      <c r="U27" s="7" t="s">
        <v>1796</v>
      </c>
      <c r="V27" s="7">
        <v>5.0</v>
      </c>
      <c r="W27" s="7" t="s">
        <v>1541</v>
      </c>
      <c r="X27" s="7">
        <v>1.0</v>
      </c>
      <c r="Y27" s="7" t="s">
        <v>1605</v>
      </c>
      <c r="Z27" s="7" t="s">
        <v>1605</v>
      </c>
      <c r="AA27" s="7" t="s">
        <v>1797</v>
      </c>
      <c r="AB27" s="7" t="s">
        <v>1798</v>
      </c>
      <c r="AC27" s="7" t="s">
        <v>451</v>
      </c>
      <c r="AD27" s="7" t="s">
        <v>1567</v>
      </c>
      <c r="AF27" s="7" t="s">
        <v>1567</v>
      </c>
      <c r="AH27" s="7" t="s">
        <v>371</v>
      </c>
      <c r="AI27" s="7" t="s">
        <v>1799</v>
      </c>
      <c r="AJ27" s="7" t="s">
        <v>379</v>
      </c>
      <c r="AL27" s="7" t="s">
        <v>379</v>
      </c>
      <c r="AN27" s="7" t="s">
        <v>385</v>
      </c>
      <c r="AO27" s="7" t="s">
        <v>1800</v>
      </c>
      <c r="AP27" s="7" t="s">
        <v>385</v>
      </c>
      <c r="AR27" s="7" t="s">
        <v>385</v>
      </c>
      <c r="AT27" s="7" t="s">
        <v>385</v>
      </c>
      <c r="HN27" s="7" t="s">
        <v>1801</v>
      </c>
    </row>
    <row r="28" ht="14.25" customHeight="1">
      <c r="A28" s="7" t="str">
        <f t="shared" si="1"/>
        <v>Human footprint in Tibet: Assessing the spatial layout and effectiveness of nature reserves</v>
      </c>
      <c r="B28" s="7">
        <v>286.0</v>
      </c>
      <c r="C28" s="7" t="s">
        <v>171</v>
      </c>
      <c r="D28" s="7" t="s">
        <v>1538</v>
      </c>
      <c r="J28" s="7" t="s">
        <v>374</v>
      </c>
      <c r="K28" s="7">
        <v>23.0</v>
      </c>
      <c r="M28" s="7" t="s">
        <v>1802</v>
      </c>
      <c r="N28" s="7" t="s">
        <v>1802</v>
      </c>
      <c r="O28" s="7" t="s">
        <v>1558</v>
      </c>
      <c r="Q28" s="7" t="s">
        <v>1558</v>
      </c>
      <c r="R28" s="7" t="s">
        <v>1558</v>
      </c>
      <c r="S28" s="7" t="s">
        <v>1803</v>
      </c>
      <c r="T28" s="7" t="s">
        <v>399</v>
      </c>
      <c r="U28" s="7" t="s">
        <v>1804</v>
      </c>
      <c r="V28" s="7" t="s">
        <v>1382</v>
      </c>
      <c r="W28" s="7" t="s">
        <v>374</v>
      </c>
      <c r="X28" s="7">
        <v>3.0</v>
      </c>
      <c r="Y28" s="7" t="s">
        <v>1805</v>
      </c>
      <c r="Z28" s="7" t="s">
        <v>1806</v>
      </c>
      <c r="AA28" s="7" t="s">
        <v>1807</v>
      </c>
      <c r="AB28" s="7" t="s">
        <v>1808</v>
      </c>
      <c r="AC28" s="7" t="s">
        <v>575</v>
      </c>
      <c r="AD28" s="7" t="s">
        <v>1567</v>
      </c>
      <c r="AF28" s="7" t="s">
        <v>1567</v>
      </c>
      <c r="AH28" s="7" t="s">
        <v>371</v>
      </c>
      <c r="AJ28" s="7" t="s">
        <v>379</v>
      </c>
      <c r="AL28" s="7" t="s">
        <v>379</v>
      </c>
      <c r="AN28" s="7" t="s">
        <v>379</v>
      </c>
      <c r="AP28" s="7" t="s">
        <v>371</v>
      </c>
      <c r="AQ28" s="7" t="s">
        <v>1809</v>
      </c>
      <c r="AT28" s="7" t="s">
        <v>385</v>
      </c>
      <c r="AU28" s="7" t="s">
        <v>1664</v>
      </c>
      <c r="AV28" s="7" t="s">
        <v>1567</v>
      </c>
      <c r="AW28" s="7" t="s">
        <v>1810</v>
      </c>
      <c r="AX28" s="7" t="s">
        <v>1567</v>
      </c>
      <c r="AY28" s="7" t="s">
        <v>1811</v>
      </c>
      <c r="AZ28" s="7" t="s">
        <v>371</v>
      </c>
      <c r="BB28" s="7" t="s">
        <v>1587</v>
      </c>
      <c r="BC28" s="7" t="s">
        <v>1567</v>
      </c>
      <c r="BD28" s="7" t="s">
        <v>1812</v>
      </c>
      <c r="BE28" s="7" t="s">
        <v>1567</v>
      </c>
      <c r="BF28" s="7" t="s">
        <v>1813</v>
      </c>
      <c r="BG28" s="7" t="s">
        <v>371</v>
      </c>
      <c r="HK28" s="7" t="s">
        <v>1814</v>
      </c>
      <c r="HN28" s="7" t="s">
        <v>1815</v>
      </c>
    </row>
    <row r="29" ht="14.25" customHeight="1">
      <c r="A29" s="7" t="str">
        <f t="shared" si="1"/>
        <v>Effectiveness of functional zones in National Nature Reserves for the protection of forest ecosystems in China</v>
      </c>
      <c r="B29" s="7">
        <v>280.0</v>
      </c>
      <c r="C29" s="7" t="s">
        <v>150</v>
      </c>
      <c r="D29" s="7" t="s">
        <v>1816</v>
      </c>
      <c r="J29" s="7" t="s">
        <v>374</v>
      </c>
      <c r="K29" s="7">
        <v>69.0</v>
      </c>
      <c r="M29" s="7" t="s">
        <v>1817</v>
      </c>
      <c r="N29" s="7" t="s">
        <v>1817</v>
      </c>
      <c r="O29" s="7" t="s">
        <v>1540</v>
      </c>
      <c r="P29" s="7" t="s">
        <v>1818</v>
      </c>
      <c r="Q29" s="7" t="s">
        <v>371</v>
      </c>
      <c r="R29" s="7" t="s">
        <v>1558</v>
      </c>
      <c r="T29" s="7" t="s">
        <v>371</v>
      </c>
      <c r="W29" s="7" t="s">
        <v>1541</v>
      </c>
      <c r="X29" s="7">
        <v>1.0</v>
      </c>
      <c r="Y29" s="7" t="s">
        <v>1684</v>
      </c>
      <c r="Z29" s="7" t="s">
        <v>1684</v>
      </c>
      <c r="AA29" s="7" t="s">
        <v>743</v>
      </c>
      <c r="AB29" s="7" t="s">
        <v>1819</v>
      </c>
      <c r="AC29" s="7" t="s">
        <v>743</v>
      </c>
      <c r="AD29" s="7" t="s">
        <v>1589</v>
      </c>
      <c r="AE29" s="7" t="s">
        <v>1820</v>
      </c>
      <c r="AF29" s="7" t="s">
        <v>379</v>
      </c>
      <c r="AH29" s="7" t="s">
        <v>1544</v>
      </c>
      <c r="AI29" s="7" t="s">
        <v>1821</v>
      </c>
      <c r="AJ29" s="7" t="s">
        <v>379</v>
      </c>
      <c r="AL29" s="7" t="s">
        <v>379</v>
      </c>
      <c r="AN29" s="7" t="s">
        <v>379</v>
      </c>
      <c r="AP29" s="7" t="s">
        <v>371</v>
      </c>
      <c r="AR29" s="7" t="s">
        <v>371</v>
      </c>
      <c r="AS29" s="7" t="s">
        <v>1822</v>
      </c>
      <c r="AT29" s="7" t="s">
        <v>385</v>
      </c>
    </row>
    <row r="30" ht="14.25" customHeight="1">
      <c r="A30" s="7" t="str">
        <f t="shared" si="1"/>
        <v>Landscape change in Southern Ecuador: An indicator-based and multi-temporal evaluation of land use and land cover in a mixed-use PA</v>
      </c>
      <c r="B30" s="7">
        <v>279.0</v>
      </c>
      <c r="C30" s="7" t="s">
        <v>111</v>
      </c>
      <c r="D30" s="7" t="s">
        <v>1536</v>
      </c>
      <c r="J30" s="7" t="s">
        <v>1541</v>
      </c>
      <c r="K30" s="7">
        <v>1.0</v>
      </c>
      <c r="L30" s="7" t="s">
        <v>1823</v>
      </c>
      <c r="M30" s="7" t="s">
        <v>1824</v>
      </c>
      <c r="N30" s="7" t="s">
        <v>1824</v>
      </c>
      <c r="O30" s="7" t="s">
        <v>1693</v>
      </c>
      <c r="Q30" s="7" t="s">
        <v>371</v>
      </c>
      <c r="R30" s="7" t="s">
        <v>1558</v>
      </c>
      <c r="S30" s="7">
        <v>2000.0</v>
      </c>
      <c r="T30" s="7" t="s">
        <v>399</v>
      </c>
      <c r="W30" s="7" t="s">
        <v>1541</v>
      </c>
      <c r="X30" s="7">
        <v>1.0</v>
      </c>
      <c r="Y30" s="7" t="s">
        <v>1638</v>
      </c>
      <c r="Z30" s="7" t="s">
        <v>1638</v>
      </c>
      <c r="AA30" s="7" t="s">
        <v>523</v>
      </c>
      <c r="AB30" s="7" t="s">
        <v>1825</v>
      </c>
      <c r="AC30" s="7" t="s">
        <v>523</v>
      </c>
      <c r="AD30" s="7" t="s">
        <v>1589</v>
      </c>
      <c r="AE30" s="7" t="s">
        <v>1826</v>
      </c>
      <c r="AF30" s="7" t="s">
        <v>1567</v>
      </c>
      <c r="AG30" s="7" t="s">
        <v>1827</v>
      </c>
      <c r="AH30" s="7" t="s">
        <v>379</v>
      </c>
      <c r="AJ30" s="7" t="s">
        <v>379</v>
      </c>
      <c r="AL30" s="7" t="s">
        <v>379</v>
      </c>
      <c r="AN30" s="7" t="s">
        <v>379</v>
      </c>
      <c r="AP30" s="7" t="s">
        <v>379</v>
      </c>
      <c r="AR30" s="7" t="s">
        <v>379</v>
      </c>
      <c r="AT30" s="7" t="s">
        <v>385</v>
      </c>
      <c r="HK30" s="7" t="s">
        <v>1828</v>
      </c>
    </row>
    <row r="31" ht="14.25" customHeight="1">
      <c r="A31" s="7" t="str">
        <f t="shared" si="1"/>
        <v>A global assessment of the human pressure on the world's lakes</v>
      </c>
      <c r="B31" s="7">
        <v>273.0</v>
      </c>
      <c r="C31" s="7" t="s">
        <v>135</v>
      </c>
      <c r="D31" s="7" t="s">
        <v>1553</v>
      </c>
      <c r="F31" s="7" t="s">
        <v>1552</v>
      </c>
      <c r="J31" s="7" t="s">
        <v>1554</v>
      </c>
      <c r="L31" s="7" t="s">
        <v>1829</v>
      </c>
      <c r="M31" s="7" t="s">
        <v>1830</v>
      </c>
      <c r="N31" s="7" t="s">
        <v>1830</v>
      </c>
      <c r="O31" s="7" t="s">
        <v>1556</v>
      </c>
      <c r="Q31" s="7" t="s">
        <v>1558</v>
      </c>
      <c r="R31" s="7" t="s">
        <v>1558</v>
      </c>
      <c r="S31" s="7" t="s">
        <v>1831</v>
      </c>
      <c r="T31" s="7" t="s">
        <v>399</v>
      </c>
      <c r="U31" s="7" t="s">
        <v>379</v>
      </c>
      <c r="V31" s="7" t="s">
        <v>1382</v>
      </c>
      <c r="W31" s="7" t="s">
        <v>1559</v>
      </c>
      <c r="X31" s="7">
        <v>1.0</v>
      </c>
      <c r="Y31" s="7" t="s">
        <v>658</v>
      </c>
      <c r="Z31" s="7" t="s">
        <v>575</v>
      </c>
      <c r="AA31" s="7" t="s">
        <v>658</v>
      </c>
      <c r="AB31" s="7" t="s">
        <v>1832</v>
      </c>
      <c r="AC31" s="7" t="s">
        <v>575</v>
      </c>
      <c r="AD31" s="7" t="s">
        <v>1544</v>
      </c>
      <c r="AE31" s="7" t="s">
        <v>1833</v>
      </c>
      <c r="AF31" s="7" t="s">
        <v>1544</v>
      </c>
      <c r="AG31" s="7" t="s">
        <v>1834</v>
      </c>
      <c r="AH31" s="7" t="s">
        <v>1544</v>
      </c>
      <c r="AI31" s="7" t="s">
        <v>1835</v>
      </c>
      <c r="AJ31" s="7" t="s">
        <v>1652</v>
      </c>
      <c r="AK31" s="7" t="s">
        <v>1836</v>
      </c>
      <c r="AL31" s="7" t="s">
        <v>379</v>
      </c>
      <c r="AN31" s="7" t="s">
        <v>371</v>
      </c>
      <c r="AP31" s="7" t="s">
        <v>1546</v>
      </c>
      <c r="AQ31" s="7" t="s">
        <v>1837</v>
      </c>
      <c r="AR31" s="7" t="s">
        <v>379</v>
      </c>
      <c r="AT31" s="7" t="s">
        <v>385</v>
      </c>
      <c r="HM31" s="7" t="s">
        <v>1838</v>
      </c>
      <c r="HN31" s="7" t="s">
        <v>1839</v>
      </c>
    </row>
    <row r="32" ht="14.25" customHeight="1">
      <c r="A32" s="7" t="str">
        <f t="shared" si="1"/>
        <v>Recent land cover changes in Spain across biogeographical regions and protection levels: Implications for conservation policies</v>
      </c>
      <c r="B32" s="7">
        <v>270.0</v>
      </c>
      <c r="C32" s="7" t="s">
        <v>159</v>
      </c>
      <c r="D32" s="7" t="s">
        <v>1538</v>
      </c>
      <c r="F32" s="7" t="s">
        <v>1552</v>
      </c>
      <c r="J32" s="7" t="s">
        <v>1554</v>
      </c>
      <c r="O32" s="7" t="s">
        <v>1556</v>
      </c>
      <c r="Q32" s="7" t="s">
        <v>1558</v>
      </c>
      <c r="R32" s="7" t="s">
        <v>1558</v>
      </c>
      <c r="T32" s="7" t="s">
        <v>399</v>
      </c>
      <c r="U32" s="7" t="s">
        <v>1657</v>
      </c>
      <c r="V32" s="7">
        <v>10.0</v>
      </c>
      <c r="W32" s="7" t="s">
        <v>374</v>
      </c>
      <c r="X32" s="7">
        <v>3.0</v>
      </c>
      <c r="Y32" s="7" t="s">
        <v>1840</v>
      </c>
      <c r="Z32" s="7" t="s">
        <v>1840</v>
      </c>
      <c r="AA32" s="7" t="s">
        <v>1841</v>
      </c>
      <c r="AB32" s="7" t="s">
        <v>1842</v>
      </c>
      <c r="AC32" s="7" t="s">
        <v>451</v>
      </c>
      <c r="AD32" s="7" t="s">
        <v>382</v>
      </c>
      <c r="AF32" s="7" t="s">
        <v>382</v>
      </c>
      <c r="AH32" s="7" t="s">
        <v>382</v>
      </c>
      <c r="AJ32" s="7" t="s">
        <v>371</v>
      </c>
      <c r="AK32" s="7" t="s">
        <v>1843</v>
      </c>
      <c r="AT32" s="7" t="s">
        <v>371</v>
      </c>
      <c r="BW32" s="7" t="s">
        <v>688</v>
      </c>
      <c r="BZ32" s="7" t="s">
        <v>1844</v>
      </c>
      <c r="CB32" s="7" t="s">
        <v>451</v>
      </c>
      <c r="CC32" s="7" t="s">
        <v>1567</v>
      </c>
      <c r="CD32" s="7">
        <v>34.7</v>
      </c>
      <c r="CE32" s="7" t="s">
        <v>1567</v>
      </c>
      <c r="CF32" s="7">
        <v>51.3</v>
      </c>
      <c r="CG32" s="7" t="s">
        <v>371</v>
      </c>
      <c r="CL32" s="7" t="s">
        <v>1664</v>
      </c>
      <c r="CM32" s="7" t="s">
        <v>1750</v>
      </c>
      <c r="CN32" s="7">
        <v>-1.1</v>
      </c>
      <c r="CO32" s="7" t="s">
        <v>1750</v>
      </c>
      <c r="CP32" s="7" t="s">
        <v>1845</v>
      </c>
      <c r="CQ32" s="7" t="s">
        <v>1544</v>
      </c>
      <c r="CS32" s="7" t="s">
        <v>743</v>
      </c>
      <c r="CT32" s="7" t="s">
        <v>1750</v>
      </c>
      <c r="CU32" s="7">
        <v>-0.4</v>
      </c>
      <c r="CV32" s="7" t="s">
        <v>1750</v>
      </c>
      <c r="CX32" s="7" t="s">
        <v>371</v>
      </c>
      <c r="CY32" s="7" t="s">
        <v>1846</v>
      </c>
      <c r="DG32" s="7" t="s">
        <v>688</v>
      </c>
      <c r="DJ32" s="7" t="s">
        <v>1604</v>
      </c>
      <c r="DL32" s="7" t="s">
        <v>451</v>
      </c>
      <c r="DM32" s="7" t="s">
        <v>1567</v>
      </c>
      <c r="DN32" s="7">
        <v>68.0</v>
      </c>
      <c r="DO32" s="7" t="s">
        <v>1567</v>
      </c>
      <c r="DP32" s="7">
        <v>51.3</v>
      </c>
      <c r="DQ32" s="7" t="s">
        <v>385</v>
      </c>
      <c r="DV32" s="7" t="s">
        <v>1664</v>
      </c>
      <c r="DW32" s="7" t="s">
        <v>1750</v>
      </c>
      <c r="DX32" s="7" t="s">
        <v>1847</v>
      </c>
      <c r="DY32" s="7" t="s">
        <v>1750</v>
      </c>
      <c r="EA32" s="7" t="s">
        <v>385</v>
      </c>
      <c r="EB32" s="7">
        <v>-1.1</v>
      </c>
      <c r="EC32" s="7" t="s">
        <v>743</v>
      </c>
      <c r="ED32" s="7" t="s">
        <v>1750</v>
      </c>
      <c r="EE32" s="7">
        <v>-2.4</v>
      </c>
      <c r="EF32" s="7" t="s">
        <v>1750</v>
      </c>
      <c r="EG32" s="7" t="s">
        <v>1848</v>
      </c>
      <c r="EH32" s="7" t="s">
        <v>385</v>
      </c>
      <c r="HM32" s="7" t="s">
        <v>1849</v>
      </c>
      <c r="HN32" s="7" t="s">
        <v>1850</v>
      </c>
    </row>
    <row r="33" ht="14.25" customHeight="1">
      <c r="A33" s="7" t="str">
        <f t="shared" si="1"/>
        <v>Effectiveness in PAs at resisting development pressures in China</v>
      </c>
      <c r="B33" s="7">
        <v>267.0</v>
      </c>
      <c r="C33" s="7" t="s">
        <v>84</v>
      </c>
      <c r="D33" s="7" t="s">
        <v>1538</v>
      </c>
      <c r="E33" s="7" t="s">
        <v>1851</v>
      </c>
      <c r="J33" s="7" t="s">
        <v>374</v>
      </c>
      <c r="K33" s="7">
        <v>290.0</v>
      </c>
      <c r="M33" s="7" t="s">
        <v>1852</v>
      </c>
      <c r="N33" s="7" t="s">
        <v>1852</v>
      </c>
      <c r="O33" s="7" t="s">
        <v>1558</v>
      </c>
      <c r="Q33" s="7" t="s">
        <v>1558</v>
      </c>
      <c r="R33" s="7" t="s">
        <v>1558</v>
      </c>
      <c r="T33" s="7" t="s">
        <v>399</v>
      </c>
      <c r="U33" s="7" t="s">
        <v>1853</v>
      </c>
      <c r="V33" s="7" t="s">
        <v>1854</v>
      </c>
      <c r="W33" s="7" t="s">
        <v>1559</v>
      </c>
      <c r="X33" s="7">
        <v>1.0</v>
      </c>
      <c r="Y33" s="7" t="s">
        <v>1638</v>
      </c>
      <c r="Z33" s="7" t="s">
        <v>1638</v>
      </c>
      <c r="AA33" s="7" t="s">
        <v>523</v>
      </c>
      <c r="AB33" s="7" t="s">
        <v>1855</v>
      </c>
      <c r="AC33" s="7" t="s">
        <v>523</v>
      </c>
      <c r="AD33" s="7" t="s">
        <v>1544</v>
      </c>
      <c r="AE33" s="7" t="s">
        <v>1856</v>
      </c>
      <c r="AF33" s="7" t="s">
        <v>1567</v>
      </c>
      <c r="AH33" s="7" t="s">
        <v>371</v>
      </c>
      <c r="AI33" s="7" t="s">
        <v>1857</v>
      </c>
      <c r="AJ33" s="7" t="s">
        <v>379</v>
      </c>
      <c r="AL33" s="7" t="s">
        <v>379</v>
      </c>
      <c r="AN33" s="7" t="s">
        <v>371</v>
      </c>
      <c r="AO33" s="7" t="s">
        <v>1858</v>
      </c>
      <c r="AP33" s="7" t="s">
        <v>371</v>
      </c>
      <c r="AR33" s="7" t="s">
        <v>385</v>
      </c>
      <c r="AT33" s="7" t="s">
        <v>385</v>
      </c>
      <c r="HN33" s="7" t="s">
        <v>1859</v>
      </c>
    </row>
    <row r="34" ht="14.25" customHeight="1">
      <c r="A34" s="7" t="str">
        <f t="shared" si="1"/>
        <v>European National Parks protect their surroundings but not everywhere: A study using land use/land cover dynamics derived from CORINE Land Cover data</v>
      </c>
      <c r="B34" s="7">
        <v>266.0</v>
      </c>
      <c r="C34" s="7" t="s">
        <v>165</v>
      </c>
      <c r="D34" s="7" t="s">
        <v>1538</v>
      </c>
      <c r="F34" s="7" t="s">
        <v>1536</v>
      </c>
      <c r="J34" s="7" t="s">
        <v>374</v>
      </c>
      <c r="K34" s="7">
        <v>192.0</v>
      </c>
      <c r="M34" s="7" t="s">
        <v>1539</v>
      </c>
      <c r="N34" s="7" t="s">
        <v>1539</v>
      </c>
      <c r="O34" s="7" t="s">
        <v>1540</v>
      </c>
      <c r="P34" s="7" t="s">
        <v>1860</v>
      </c>
      <c r="Q34" s="7" t="s">
        <v>1558</v>
      </c>
      <c r="R34" s="7" t="s">
        <v>1558</v>
      </c>
      <c r="S34" s="7" t="s">
        <v>1861</v>
      </c>
      <c r="T34" s="7" t="s">
        <v>399</v>
      </c>
      <c r="U34" s="7" t="s">
        <v>1862</v>
      </c>
      <c r="V34" s="7">
        <v>20.0</v>
      </c>
      <c r="W34" s="7" t="s">
        <v>1559</v>
      </c>
      <c r="X34" s="7">
        <v>1.0</v>
      </c>
      <c r="Y34" s="7" t="s">
        <v>1638</v>
      </c>
      <c r="Z34" s="7" t="s">
        <v>1638</v>
      </c>
      <c r="AA34" s="7" t="s">
        <v>523</v>
      </c>
      <c r="AB34" s="7" t="s">
        <v>1863</v>
      </c>
      <c r="AC34" s="7" t="s">
        <v>523</v>
      </c>
      <c r="AD34" s="7" t="s">
        <v>1544</v>
      </c>
      <c r="AE34" s="7" t="s">
        <v>1864</v>
      </c>
      <c r="AF34" s="7" t="s">
        <v>1544</v>
      </c>
      <c r="AH34" s="7" t="s">
        <v>1544</v>
      </c>
      <c r="AI34" s="7" t="s">
        <v>1865</v>
      </c>
      <c r="AJ34" s="7" t="s">
        <v>379</v>
      </c>
      <c r="AL34" s="7" t="s">
        <v>379</v>
      </c>
      <c r="AN34" s="7" t="s">
        <v>379</v>
      </c>
      <c r="AP34" s="7" t="s">
        <v>1546</v>
      </c>
      <c r="AQ34" s="7" t="s">
        <v>1866</v>
      </c>
      <c r="AR34" s="7" t="s">
        <v>379</v>
      </c>
      <c r="AT34" s="7" t="s">
        <v>385</v>
      </c>
      <c r="HM34" s="7" t="s">
        <v>1867</v>
      </c>
      <c r="HN34" s="7" t="s">
        <v>1868</v>
      </c>
    </row>
    <row r="35" ht="14.25" customHeight="1">
      <c r="A35" s="7" t="str">
        <f t="shared" si="1"/>
        <v>Terrestrial PAs do not fully shield their streams from exogenous stressors</v>
      </c>
      <c r="B35" s="7">
        <v>264.0</v>
      </c>
      <c r="C35" s="7" t="s">
        <v>177</v>
      </c>
      <c r="D35" s="7" t="s">
        <v>1553</v>
      </c>
      <c r="E35" s="7" t="s">
        <v>1869</v>
      </c>
      <c r="J35" s="7" t="s">
        <v>1554</v>
      </c>
      <c r="K35" s="7">
        <v>5.0</v>
      </c>
      <c r="L35" s="7" t="s">
        <v>1870</v>
      </c>
      <c r="O35" s="7" t="s">
        <v>1558</v>
      </c>
      <c r="Q35" s="7" t="s">
        <v>1558</v>
      </c>
      <c r="R35" s="7" t="s">
        <v>1558</v>
      </c>
      <c r="T35" s="7" t="s">
        <v>385</v>
      </c>
      <c r="U35" s="7" t="s">
        <v>1871</v>
      </c>
      <c r="V35" s="7">
        <v>50.0</v>
      </c>
      <c r="W35" s="7" t="s">
        <v>1541</v>
      </c>
      <c r="X35" s="7">
        <v>1.0</v>
      </c>
      <c r="Y35" s="7" t="s">
        <v>1872</v>
      </c>
      <c r="Z35" s="7" t="s">
        <v>1872</v>
      </c>
      <c r="AA35" s="7" t="s">
        <v>714</v>
      </c>
      <c r="AB35" s="7" t="s">
        <v>1873</v>
      </c>
      <c r="AC35" s="7" t="s">
        <v>1874</v>
      </c>
      <c r="AD35" s="7" t="s">
        <v>379</v>
      </c>
      <c r="AF35" s="7" t="s">
        <v>379</v>
      </c>
      <c r="AH35" s="7" t="s">
        <v>1544</v>
      </c>
      <c r="AI35" s="7" t="s">
        <v>1875</v>
      </c>
      <c r="AJ35" s="7" t="s">
        <v>379</v>
      </c>
      <c r="AL35" s="7" t="s">
        <v>379</v>
      </c>
      <c r="AN35" s="7" t="s">
        <v>379</v>
      </c>
      <c r="AP35" s="7" t="s">
        <v>385</v>
      </c>
      <c r="AQ35" s="7" t="s">
        <v>1873</v>
      </c>
      <c r="AR35" s="7" t="s">
        <v>379</v>
      </c>
      <c r="AT35" s="7" t="s">
        <v>385</v>
      </c>
    </row>
    <row r="36" ht="14.25" customHeight="1">
      <c r="A36" s="7" t="str">
        <f t="shared" si="1"/>
        <v>Are ranger patrols effective in reducing poaching-related threats within PAs?</v>
      </c>
      <c r="B36" s="7">
        <v>261.0</v>
      </c>
      <c r="C36" s="7" t="s">
        <v>207</v>
      </c>
      <c r="D36" s="7" t="s">
        <v>1536</v>
      </c>
      <c r="J36" s="7" t="s">
        <v>1541</v>
      </c>
      <c r="K36" s="7">
        <v>1.0</v>
      </c>
      <c r="L36" s="7" t="s">
        <v>1876</v>
      </c>
      <c r="M36" s="7" t="s">
        <v>1539</v>
      </c>
      <c r="N36" s="7" t="s">
        <v>1539</v>
      </c>
      <c r="O36" s="7" t="s">
        <v>1558</v>
      </c>
      <c r="Q36" s="7" t="s">
        <v>371</v>
      </c>
      <c r="R36" s="7" t="s">
        <v>1558</v>
      </c>
      <c r="T36" s="7" t="s">
        <v>399</v>
      </c>
      <c r="U36" s="7" t="s">
        <v>379</v>
      </c>
      <c r="V36" s="7" t="s">
        <v>1382</v>
      </c>
      <c r="W36" s="7" t="s">
        <v>1541</v>
      </c>
      <c r="X36" s="7">
        <v>1.0</v>
      </c>
      <c r="Y36" s="7" t="s">
        <v>1748</v>
      </c>
      <c r="Z36" s="7" t="s">
        <v>1748</v>
      </c>
      <c r="AA36" s="7" t="s">
        <v>1877</v>
      </c>
      <c r="AB36" s="7" t="s">
        <v>1878</v>
      </c>
      <c r="AC36" s="7" t="s">
        <v>1877</v>
      </c>
      <c r="AD36" s="7" t="s">
        <v>1589</v>
      </c>
      <c r="AE36" s="7" t="s">
        <v>1879</v>
      </c>
      <c r="AF36" s="7" t="s">
        <v>379</v>
      </c>
      <c r="AH36" s="7" t="s">
        <v>379</v>
      </c>
      <c r="AJ36" s="7" t="s">
        <v>379</v>
      </c>
      <c r="AL36" s="7" t="s">
        <v>379</v>
      </c>
      <c r="AN36" s="7" t="s">
        <v>371</v>
      </c>
      <c r="AO36" s="7" t="s">
        <v>1880</v>
      </c>
      <c r="AP36" s="7" t="s">
        <v>371</v>
      </c>
      <c r="AQ36" s="7" t="s">
        <v>1881</v>
      </c>
      <c r="AR36" s="7" t="s">
        <v>379</v>
      </c>
      <c r="AT36" s="7" t="s">
        <v>385</v>
      </c>
      <c r="HK36" s="7" t="s">
        <v>1882</v>
      </c>
      <c r="HM36" s="7" t="s">
        <v>1883</v>
      </c>
      <c r="HN36" s="7" t="s">
        <v>1884</v>
      </c>
    </row>
    <row r="37" ht="14.25" customHeight="1">
      <c r="A37" s="7" t="str">
        <f t="shared" si="1"/>
        <v>The sources and prevalence of anthropogenic noise in Rockfish Conservation Areas with implications for marine reserve planning</v>
      </c>
      <c r="B37" s="7">
        <v>258.0</v>
      </c>
      <c r="C37" s="7" t="s">
        <v>168</v>
      </c>
      <c r="D37" s="7" t="s">
        <v>1553</v>
      </c>
      <c r="J37" s="7" t="s">
        <v>374</v>
      </c>
      <c r="K37" s="7">
        <v>3.0</v>
      </c>
      <c r="L37" s="7" t="s">
        <v>1885</v>
      </c>
      <c r="M37" s="7" t="s">
        <v>1886</v>
      </c>
      <c r="N37" s="7" t="s">
        <v>1886</v>
      </c>
      <c r="O37" s="7" t="s">
        <v>1558</v>
      </c>
      <c r="Q37" s="7" t="s">
        <v>1558</v>
      </c>
      <c r="R37" s="7" t="s">
        <v>1558</v>
      </c>
      <c r="T37" s="7" t="s">
        <v>399</v>
      </c>
      <c r="U37" s="7" t="s">
        <v>379</v>
      </c>
      <c r="V37" s="7" t="s">
        <v>1382</v>
      </c>
      <c r="W37" s="7" t="s">
        <v>1541</v>
      </c>
      <c r="X37" s="7">
        <v>1.0</v>
      </c>
      <c r="Y37" s="7" t="s">
        <v>1586</v>
      </c>
      <c r="Z37" s="7" t="s">
        <v>1586</v>
      </c>
      <c r="AA37" s="7" t="s">
        <v>1887</v>
      </c>
      <c r="AB37" s="7" t="s">
        <v>1888</v>
      </c>
      <c r="AC37" s="7" t="s">
        <v>1587</v>
      </c>
      <c r="AD37" s="7" t="s">
        <v>1567</v>
      </c>
      <c r="AE37" s="7" t="s">
        <v>1889</v>
      </c>
      <c r="AF37" s="7" t="s">
        <v>1567</v>
      </c>
      <c r="AG37" s="7" t="s">
        <v>1890</v>
      </c>
      <c r="AH37" s="7" t="s">
        <v>1544</v>
      </c>
      <c r="AI37" s="7" t="s">
        <v>1891</v>
      </c>
      <c r="AJ37" s="7" t="s">
        <v>379</v>
      </c>
      <c r="AL37" s="7" t="s">
        <v>379</v>
      </c>
      <c r="AN37" s="7" t="s">
        <v>379</v>
      </c>
      <c r="AP37" s="7" t="s">
        <v>385</v>
      </c>
      <c r="AR37" s="7" t="s">
        <v>379</v>
      </c>
      <c r="AT37" s="7" t="s">
        <v>385</v>
      </c>
    </row>
    <row r="38" ht="14.25" customHeight="1">
      <c r="A38" s="7" t="str">
        <f t="shared" si="1"/>
        <v>Quantifying the effects of deforestation and fragmentation on a range-wide conservation plan for jaguars</v>
      </c>
      <c r="B38" s="7">
        <v>257.0</v>
      </c>
      <c r="C38" s="7" t="s">
        <v>93</v>
      </c>
      <c r="D38" s="7" t="s">
        <v>1553</v>
      </c>
      <c r="J38" s="7" t="s">
        <v>1554</v>
      </c>
      <c r="K38" s="7" t="s">
        <v>1892</v>
      </c>
      <c r="L38" s="7" t="s">
        <v>1893</v>
      </c>
      <c r="M38" s="7" t="s">
        <v>1894</v>
      </c>
      <c r="N38" s="7" t="s">
        <v>1894</v>
      </c>
      <c r="O38" s="7" t="s">
        <v>1556</v>
      </c>
      <c r="Q38" s="7" t="s">
        <v>1558</v>
      </c>
      <c r="R38" s="7" t="s">
        <v>1558</v>
      </c>
      <c r="T38" s="7" t="s">
        <v>399</v>
      </c>
      <c r="W38" s="7" t="s">
        <v>1541</v>
      </c>
      <c r="X38" s="7">
        <v>1.0</v>
      </c>
      <c r="Y38" s="7" t="s">
        <v>1684</v>
      </c>
      <c r="Z38" s="7" t="s">
        <v>1684</v>
      </c>
      <c r="AA38" s="7" t="s">
        <v>743</v>
      </c>
      <c r="AB38" s="7" t="s">
        <v>1895</v>
      </c>
      <c r="AC38" s="7" t="s">
        <v>743</v>
      </c>
      <c r="AD38" s="7" t="s">
        <v>1567</v>
      </c>
      <c r="AF38" s="7" t="s">
        <v>1567</v>
      </c>
      <c r="AH38" s="7" t="s">
        <v>371</v>
      </c>
      <c r="AI38" s="7" t="s">
        <v>1896</v>
      </c>
      <c r="AJ38" s="7" t="s">
        <v>385</v>
      </c>
      <c r="AK38" s="7" t="s">
        <v>1897</v>
      </c>
      <c r="AL38" s="7" t="s">
        <v>379</v>
      </c>
      <c r="AM38" s="7" t="s">
        <v>1898</v>
      </c>
      <c r="AN38" s="7" t="s">
        <v>379</v>
      </c>
      <c r="AP38" s="7" t="s">
        <v>385</v>
      </c>
      <c r="AQ38" s="7" t="s">
        <v>1899</v>
      </c>
      <c r="AR38" s="7" t="s">
        <v>371</v>
      </c>
      <c r="AT38" s="7" t="s">
        <v>385</v>
      </c>
    </row>
    <row r="39" ht="14.25" customHeight="1">
      <c r="A39" s="7" t="str">
        <f t="shared" si="1"/>
        <v>A twenty year GIS-based assessment of environmental sustainability of land use changes in and around PAs of a fast developing country: Spain</v>
      </c>
      <c r="B39" s="7">
        <v>245.0</v>
      </c>
      <c r="C39" s="7" t="s">
        <v>138</v>
      </c>
      <c r="D39" s="7" t="s">
        <v>1538</v>
      </c>
      <c r="J39" s="7" t="s">
        <v>1554</v>
      </c>
      <c r="M39" s="7" t="s">
        <v>1900</v>
      </c>
      <c r="N39" s="7" t="s">
        <v>1900</v>
      </c>
      <c r="O39" s="7" t="s">
        <v>1556</v>
      </c>
      <c r="Q39" s="7" t="s">
        <v>371</v>
      </c>
      <c r="R39" s="7" t="s">
        <v>1558</v>
      </c>
      <c r="T39" s="7" t="s">
        <v>399</v>
      </c>
      <c r="U39" s="7" t="s">
        <v>1901</v>
      </c>
      <c r="V39" s="7">
        <v>5.0</v>
      </c>
      <c r="W39" s="7" t="s">
        <v>1559</v>
      </c>
      <c r="X39" s="7">
        <v>1.0</v>
      </c>
      <c r="Y39" s="7" t="s">
        <v>1638</v>
      </c>
      <c r="Z39" s="7" t="s">
        <v>1638</v>
      </c>
      <c r="AA39" s="7" t="s">
        <v>1902</v>
      </c>
      <c r="AB39" s="7" t="s">
        <v>1903</v>
      </c>
      <c r="AC39" s="7" t="s">
        <v>523</v>
      </c>
      <c r="AD39" s="7" t="s">
        <v>382</v>
      </c>
      <c r="AF39" s="7" t="s">
        <v>382</v>
      </c>
      <c r="AH39" s="7" t="s">
        <v>382</v>
      </c>
      <c r="AJ39" s="7" t="s">
        <v>371</v>
      </c>
      <c r="AK39" s="7" t="s">
        <v>1904</v>
      </c>
      <c r="AL39" s="7" t="s">
        <v>379</v>
      </c>
      <c r="AN39" s="7" t="s">
        <v>379</v>
      </c>
      <c r="AP39" s="7" t="s">
        <v>1546</v>
      </c>
      <c r="AQ39" s="7" t="s">
        <v>1905</v>
      </c>
      <c r="AR39" s="7" t="s">
        <v>371</v>
      </c>
      <c r="AT39" s="7" t="s">
        <v>371</v>
      </c>
      <c r="BW39" s="7" t="s">
        <v>688</v>
      </c>
      <c r="BY39" s="7" t="s">
        <v>1802</v>
      </c>
      <c r="BZ39" s="7" t="s">
        <v>1906</v>
      </c>
      <c r="CB39" s="7" t="s">
        <v>523</v>
      </c>
      <c r="CC39" s="7" t="s">
        <v>1750</v>
      </c>
      <c r="CD39" s="7" t="s">
        <v>1907</v>
      </c>
      <c r="CE39" s="7" t="s">
        <v>1567</v>
      </c>
      <c r="CF39" s="7" t="s">
        <v>1908</v>
      </c>
      <c r="CG39" s="7" t="s">
        <v>371</v>
      </c>
      <c r="CK39" s="7" t="s">
        <v>1546</v>
      </c>
      <c r="DG39" s="7" t="s">
        <v>688</v>
      </c>
      <c r="DI39" s="7" t="s">
        <v>1909</v>
      </c>
      <c r="DJ39" s="7" t="s">
        <v>1910</v>
      </c>
      <c r="DL39" s="7" t="s">
        <v>523</v>
      </c>
      <c r="DM39" s="7" t="s">
        <v>1544</v>
      </c>
      <c r="DN39" s="7" t="s">
        <v>1911</v>
      </c>
      <c r="DO39" s="7" t="s">
        <v>1784</v>
      </c>
      <c r="DP39" s="7" t="s">
        <v>1912</v>
      </c>
      <c r="DQ39" s="7" t="s">
        <v>1652</v>
      </c>
      <c r="DU39" s="7" t="s">
        <v>1546</v>
      </c>
      <c r="EQ39" s="7" t="s">
        <v>688</v>
      </c>
      <c r="ES39" s="7" t="s">
        <v>1913</v>
      </c>
      <c r="ET39" s="7" t="s">
        <v>1914</v>
      </c>
      <c r="EV39" s="7" t="s">
        <v>523</v>
      </c>
      <c r="EW39" s="7" t="s">
        <v>1544</v>
      </c>
      <c r="EX39" s="7">
        <v>-0.18</v>
      </c>
      <c r="EY39" s="7" t="s">
        <v>1544</v>
      </c>
      <c r="EZ39" s="7" t="s">
        <v>1915</v>
      </c>
      <c r="FA39" s="7" t="s">
        <v>1652</v>
      </c>
      <c r="FE39" s="7" t="s">
        <v>1546</v>
      </c>
      <c r="GA39" s="7" t="s">
        <v>688</v>
      </c>
      <c r="GC39" s="7" t="s">
        <v>1916</v>
      </c>
      <c r="GD39" s="7" t="s">
        <v>1914</v>
      </c>
      <c r="GF39" s="7" t="s">
        <v>523</v>
      </c>
      <c r="GG39" s="7" t="s">
        <v>1544</v>
      </c>
      <c r="GH39" s="7">
        <v>-0.28</v>
      </c>
      <c r="GI39" s="7" t="s">
        <v>1544</v>
      </c>
      <c r="GJ39" s="7" t="s">
        <v>1917</v>
      </c>
      <c r="GK39" s="7" t="s">
        <v>1652</v>
      </c>
      <c r="GO39" s="7" t="s">
        <v>1546</v>
      </c>
      <c r="HM39" s="7" t="s">
        <v>1918</v>
      </c>
    </row>
    <row r="40" ht="14.25" customHeight="1">
      <c r="A40" s="7" t="str">
        <f t="shared" si="1"/>
        <v>Development stressors are stronger than PA management: A case of the Pantanos de Centla Biosphere Reserve, Mexico</v>
      </c>
      <c r="B40" s="7">
        <v>243.0</v>
      </c>
      <c r="C40" s="7" t="s">
        <v>162</v>
      </c>
      <c r="D40" s="7" t="s">
        <v>1538</v>
      </c>
      <c r="J40" s="7" t="s">
        <v>1541</v>
      </c>
      <c r="K40" s="7">
        <v>1.0</v>
      </c>
      <c r="L40" s="7" t="s">
        <v>1919</v>
      </c>
      <c r="M40" s="7" t="s">
        <v>1920</v>
      </c>
      <c r="N40" s="7" t="s">
        <v>1920</v>
      </c>
      <c r="O40" s="7" t="s">
        <v>1921</v>
      </c>
      <c r="P40" s="7" t="s">
        <v>1922</v>
      </c>
      <c r="Q40" s="7" t="s">
        <v>371</v>
      </c>
      <c r="R40" s="7" t="s">
        <v>371</v>
      </c>
      <c r="T40" s="7" t="s">
        <v>371</v>
      </c>
      <c r="U40" s="7" t="s">
        <v>1657</v>
      </c>
      <c r="V40" s="7">
        <v>10.0</v>
      </c>
      <c r="W40" s="7" t="s">
        <v>1541</v>
      </c>
      <c r="X40" s="7">
        <v>1.0</v>
      </c>
      <c r="Y40" s="7" t="s">
        <v>1923</v>
      </c>
      <c r="Z40" s="7" t="s">
        <v>1923</v>
      </c>
      <c r="AA40" s="7" t="s">
        <v>1664</v>
      </c>
      <c r="AB40" s="7" t="s">
        <v>1924</v>
      </c>
      <c r="AC40" s="7" t="s">
        <v>1664</v>
      </c>
      <c r="AD40" s="7" t="s">
        <v>1567</v>
      </c>
      <c r="AF40" s="7" t="s">
        <v>1567</v>
      </c>
      <c r="AH40" s="7" t="s">
        <v>1544</v>
      </c>
      <c r="AJ40" s="7" t="s">
        <v>379</v>
      </c>
      <c r="AL40" s="7" t="s">
        <v>379</v>
      </c>
      <c r="AN40" s="7" t="s">
        <v>379</v>
      </c>
      <c r="AP40" s="7" t="s">
        <v>385</v>
      </c>
      <c r="AQ40" s="7" t="s">
        <v>1925</v>
      </c>
      <c r="AR40" s="7" t="s">
        <v>379</v>
      </c>
      <c r="AT40" s="7" t="s">
        <v>385</v>
      </c>
      <c r="HN40" s="7" t="s">
        <v>1926</v>
      </c>
    </row>
    <row r="41" ht="14.25" customHeight="1">
      <c r="A41" s="7" t="str">
        <f t="shared" si="1"/>
        <v>Protection status and national socio-economic context shape land conversion in and around a key transboundary PA complex in West Africa</v>
      </c>
      <c r="B41" s="7">
        <v>237.0</v>
      </c>
      <c r="C41" s="7" t="s">
        <v>45</v>
      </c>
      <c r="D41" s="7" t="s">
        <v>1538</v>
      </c>
      <c r="F41" s="7" t="s">
        <v>1552</v>
      </c>
      <c r="J41" s="7" t="s">
        <v>1554</v>
      </c>
      <c r="L41" s="7" t="s">
        <v>1927</v>
      </c>
      <c r="M41" s="7" t="s">
        <v>1928</v>
      </c>
      <c r="N41" s="7" t="s">
        <v>1928</v>
      </c>
      <c r="O41" s="7" t="s">
        <v>1556</v>
      </c>
      <c r="Q41" s="7" t="s">
        <v>371</v>
      </c>
      <c r="R41" s="7" t="s">
        <v>1558</v>
      </c>
      <c r="S41" s="7">
        <v>2006.0</v>
      </c>
      <c r="T41" s="7" t="s">
        <v>371</v>
      </c>
      <c r="U41" s="7" t="s">
        <v>1657</v>
      </c>
      <c r="V41" s="7">
        <v>10.0</v>
      </c>
      <c r="W41" s="7" t="s">
        <v>1541</v>
      </c>
      <c r="X41" s="7">
        <v>1.0</v>
      </c>
      <c r="Y41" s="7" t="s">
        <v>1923</v>
      </c>
      <c r="Z41" s="7" t="s">
        <v>1923</v>
      </c>
      <c r="AA41" s="7" t="s">
        <v>1664</v>
      </c>
      <c r="AB41" s="7" t="s">
        <v>1929</v>
      </c>
      <c r="AC41" s="7" t="s">
        <v>1664</v>
      </c>
      <c r="AD41" s="7" t="s">
        <v>1567</v>
      </c>
      <c r="AE41" s="7" t="s">
        <v>1930</v>
      </c>
      <c r="AF41" s="7" t="s">
        <v>1567</v>
      </c>
      <c r="AG41" s="7" t="s">
        <v>1931</v>
      </c>
      <c r="AH41" s="7" t="s">
        <v>371</v>
      </c>
      <c r="AI41" s="7" t="s">
        <v>1932</v>
      </c>
      <c r="AJ41" s="7" t="s">
        <v>371</v>
      </c>
      <c r="AK41" s="7" t="s">
        <v>1933</v>
      </c>
      <c r="AL41" s="7" t="s">
        <v>371</v>
      </c>
      <c r="AN41" s="7" t="s">
        <v>379</v>
      </c>
      <c r="AO41" s="7" t="s">
        <v>1934</v>
      </c>
      <c r="AP41" s="7" t="s">
        <v>371</v>
      </c>
      <c r="AQ41" s="7" t="s">
        <v>1935</v>
      </c>
      <c r="AR41" s="7" t="s">
        <v>371</v>
      </c>
      <c r="AT41" s="7" t="s">
        <v>385</v>
      </c>
      <c r="HK41" s="7" t="s">
        <v>1828</v>
      </c>
      <c r="HL41" s="7" t="s">
        <v>1936</v>
      </c>
      <c r="HM41" s="7" t="s">
        <v>1937</v>
      </c>
      <c r="HN41" s="7" t="s">
        <v>1938</v>
      </c>
    </row>
    <row r="42" ht="14.25" customHeight="1">
      <c r="A42" s="7" t="str">
        <f t="shared" si="1"/>
        <v>Assessing biological invasions in PAs after 30 years: Revisiting nature reserves targeted by the 1980s SCOPE programme</v>
      </c>
      <c r="B42" s="7">
        <v>234.0</v>
      </c>
      <c r="C42" s="7" t="s">
        <v>102</v>
      </c>
      <c r="D42" s="7" t="s">
        <v>1536</v>
      </c>
      <c r="J42" s="7" t="s">
        <v>374</v>
      </c>
      <c r="K42" s="7">
        <v>21.0</v>
      </c>
      <c r="M42" s="7" t="s">
        <v>1939</v>
      </c>
      <c r="N42" s="7" t="s">
        <v>1939</v>
      </c>
      <c r="O42" s="7" t="s">
        <v>1556</v>
      </c>
      <c r="Q42" s="7" t="s">
        <v>371</v>
      </c>
      <c r="R42" s="7" t="s">
        <v>1558</v>
      </c>
      <c r="T42" s="7" t="s">
        <v>399</v>
      </c>
      <c r="U42" s="7" t="s">
        <v>379</v>
      </c>
      <c r="V42" s="7" t="s">
        <v>1382</v>
      </c>
      <c r="W42" s="7" t="s">
        <v>374</v>
      </c>
      <c r="X42" s="7">
        <v>3.0</v>
      </c>
      <c r="Y42" s="7" t="s">
        <v>1576</v>
      </c>
      <c r="Z42" s="7" t="s">
        <v>1576</v>
      </c>
      <c r="AA42" s="7" t="s">
        <v>1940</v>
      </c>
      <c r="AB42" s="7" t="s">
        <v>1941</v>
      </c>
      <c r="AC42" s="7" t="s">
        <v>787</v>
      </c>
      <c r="AD42" s="7" t="s">
        <v>1567</v>
      </c>
      <c r="AE42" s="7" t="s">
        <v>1942</v>
      </c>
      <c r="AF42" s="7" t="s">
        <v>379</v>
      </c>
      <c r="AH42" s="7" t="s">
        <v>379</v>
      </c>
      <c r="AJ42" s="7" t="s">
        <v>379</v>
      </c>
      <c r="AL42" s="7" t="s">
        <v>379</v>
      </c>
      <c r="AN42" s="7" t="s">
        <v>379</v>
      </c>
      <c r="AP42" s="7" t="s">
        <v>379</v>
      </c>
      <c r="AR42" s="7" t="s">
        <v>379</v>
      </c>
      <c r="AT42" s="7" t="s">
        <v>385</v>
      </c>
      <c r="AU42" s="7" t="s">
        <v>787</v>
      </c>
      <c r="AV42" s="7" t="s">
        <v>1589</v>
      </c>
      <c r="AW42" s="7" t="s">
        <v>1943</v>
      </c>
      <c r="AX42" s="7" t="s">
        <v>379</v>
      </c>
      <c r="AZ42" s="7" t="s">
        <v>379</v>
      </c>
      <c r="BB42" s="7" t="s">
        <v>787</v>
      </c>
      <c r="BC42" s="7" t="s">
        <v>1544</v>
      </c>
      <c r="BD42" s="7" t="s">
        <v>1944</v>
      </c>
      <c r="HN42" s="7" t="s">
        <v>1945</v>
      </c>
    </row>
    <row r="43" ht="14.25" customHeight="1">
      <c r="A43" s="7" t="str">
        <f t="shared" si="1"/>
        <v>What determines the effectiveness of national PA networks?</v>
      </c>
      <c r="B43" s="7">
        <v>233.0</v>
      </c>
      <c r="C43" s="7" t="s">
        <v>195</v>
      </c>
      <c r="D43" s="7" t="s">
        <v>1553</v>
      </c>
      <c r="J43" s="7" t="s">
        <v>1554</v>
      </c>
      <c r="L43" s="7" t="s">
        <v>1946</v>
      </c>
      <c r="M43" s="7" t="s">
        <v>1947</v>
      </c>
      <c r="N43" s="7" t="s">
        <v>1947</v>
      </c>
      <c r="O43" s="7" t="s">
        <v>1556</v>
      </c>
      <c r="Q43" s="7" t="s">
        <v>1558</v>
      </c>
      <c r="R43" s="7" t="s">
        <v>1558</v>
      </c>
      <c r="T43" s="7" t="s">
        <v>399</v>
      </c>
      <c r="W43" s="7" t="s">
        <v>1541</v>
      </c>
      <c r="X43" s="7">
        <v>1.0</v>
      </c>
      <c r="Y43" s="7" t="s">
        <v>1684</v>
      </c>
      <c r="Z43" s="7" t="s">
        <v>1684</v>
      </c>
      <c r="AA43" s="7" t="s">
        <v>743</v>
      </c>
      <c r="AB43" s="7" t="s">
        <v>1948</v>
      </c>
      <c r="AC43" s="7" t="s">
        <v>743</v>
      </c>
      <c r="AD43" s="7" t="s">
        <v>379</v>
      </c>
      <c r="AF43" s="7" t="s">
        <v>379</v>
      </c>
      <c r="AH43" s="7" t="s">
        <v>371</v>
      </c>
      <c r="AI43" s="7" t="s">
        <v>1949</v>
      </c>
      <c r="AJ43" s="7" t="s">
        <v>371</v>
      </c>
      <c r="AK43" s="7" t="s">
        <v>1950</v>
      </c>
      <c r="AL43" s="7" t="s">
        <v>379</v>
      </c>
      <c r="AN43" s="7" t="s">
        <v>379</v>
      </c>
      <c r="AP43" s="7" t="s">
        <v>1546</v>
      </c>
      <c r="AR43" s="7" t="s">
        <v>379</v>
      </c>
      <c r="AT43" s="7" t="s">
        <v>385</v>
      </c>
      <c r="HM43" s="7" t="s">
        <v>1951</v>
      </c>
      <c r="HO43" s="7" t="s">
        <v>1952</v>
      </c>
    </row>
    <row r="44" ht="14.25" customHeight="1">
      <c r="A44" s="7" t="str">
        <f t="shared" si="1"/>
        <v>Spatio-temporal analysis of the human footprint in South Ecuador: Influence of human pressure on ecosystems and effectiveness of PAs</v>
      </c>
      <c r="B44" s="7">
        <v>225.0</v>
      </c>
      <c r="C44" s="7" t="s">
        <v>21</v>
      </c>
      <c r="D44" s="7" t="s">
        <v>1553</v>
      </c>
      <c r="F44" s="7" t="s">
        <v>1538</v>
      </c>
      <c r="J44" s="7" t="s">
        <v>1541</v>
      </c>
      <c r="K44" s="7">
        <v>1.0</v>
      </c>
      <c r="L44" s="7" t="s">
        <v>1953</v>
      </c>
      <c r="M44" s="7" t="s">
        <v>1539</v>
      </c>
      <c r="N44" s="7" t="s">
        <v>1539</v>
      </c>
      <c r="O44" s="7" t="s">
        <v>1558</v>
      </c>
      <c r="Q44" s="7" t="s">
        <v>1558</v>
      </c>
      <c r="R44" s="7" t="s">
        <v>1558</v>
      </c>
      <c r="S44" s="7">
        <v>1982.0</v>
      </c>
      <c r="T44" s="7" t="s">
        <v>371</v>
      </c>
      <c r="W44" s="7" t="s">
        <v>1559</v>
      </c>
      <c r="X44" s="7">
        <v>1.0</v>
      </c>
      <c r="Y44" s="7" t="s">
        <v>658</v>
      </c>
      <c r="Z44" s="7" t="s">
        <v>575</v>
      </c>
      <c r="AA44" s="7" t="s">
        <v>658</v>
      </c>
      <c r="AB44" s="7" t="s">
        <v>1954</v>
      </c>
      <c r="AC44" s="7" t="s">
        <v>575</v>
      </c>
      <c r="AD44" s="7" t="s">
        <v>1567</v>
      </c>
      <c r="AE44" s="7" t="s">
        <v>1955</v>
      </c>
      <c r="AF44" s="7" t="s">
        <v>1567</v>
      </c>
      <c r="AG44" s="7" t="s">
        <v>1956</v>
      </c>
      <c r="AH44" s="7" t="s">
        <v>371</v>
      </c>
      <c r="AJ44" s="7" t="s">
        <v>379</v>
      </c>
      <c r="AL44" s="7" t="s">
        <v>379</v>
      </c>
      <c r="AN44" s="7" t="s">
        <v>371</v>
      </c>
      <c r="AP44" s="7" t="s">
        <v>1546</v>
      </c>
      <c r="AQ44" s="7" t="s">
        <v>1957</v>
      </c>
      <c r="AR44" s="7" t="s">
        <v>385</v>
      </c>
      <c r="AT44" s="7" t="s">
        <v>385</v>
      </c>
      <c r="HK44" s="7" t="s">
        <v>1958</v>
      </c>
      <c r="HL44" s="7" t="s">
        <v>1959</v>
      </c>
    </row>
    <row r="45" ht="14.25" customHeight="1">
      <c r="A45" s="7" t="str">
        <f t="shared" si="1"/>
        <v>Human transformation of ecosystems: Comparing protected and unPAs with natural baselines</v>
      </c>
      <c r="B45" s="7">
        <v>223.0</v>
      </c>
      <c r="C45" s="7" t="s">
        <v>318</v>
      </c>
      <c r="D45" s="7" t="s">
        <v>1553</v>
      </c>
      <c r="J45" s="7" t="s">
        <v>1554</v>
      </c>
      <c r="K45" s="7">
        <v>29.0</v>
      </c>
      <c r="L45" s="7" t="s">
        <v>1960</v>
      </c>
      <c r="M45" s="7" t="s">
        <v>1961</v>
      </c>
      <c r="N45" s="7" t="s">
        <v>1961</v>
      </c>
      <c r="O45" s="7" t="s">
        <v>1558</v>
      </c>
      <c r="Q45" s="7" t="s">
        <v>1558</v>
      </c>
      <c r="R45" s="7" t="s">
        <v>1558</v>
      </c>
      <c r="T45" s="7" t="s">
        <v>399</v>
      </c>
      <c r="U45" s="7" t="s">
        <v>379</v>
      </c>
      <c r="V45" s="7" t="s">
        <v>1382</v>
      </c>
      <c r="W45" s="7" t="s">
        <v>1559</v>
      </c>
      <c r="X45" s="7">
        <v>1.0</v>
      </c>
      <c r="Y45" s="7" t="s">
        <v>1638</v>
      </c>
      <c r="Z45" s="7" t="s">
        <v>1638</v>
      </c>
      <c r="AA45" s="7" t="s">
        <v>523</v>
      </c>
      <c r="AB45" s="7" t="s">
        <v>1962</v>
      </c>
      <c r="AC45" s="7" t="s">
        <v>523</v>
      </c>
      <c r="AD45" s="7" t="s">
        <v>1567</v>
      </c>
      <c r="AF45" s="7" t="s">
        <v>1567</v>
      </c>
      <c r="AH45" s="7" t="s">
        <v>371</v>
      </c>
      <c r="AJ45" s="7" t="s">
        <v>379</v>
      </c>
      <c r="AL45" s="7" t="s">
        <v>379</v>
      </c>
      <c r="AN45" s="7" t="s">
        <v>379</v>
      </c>
      <c r="AP45" s="7" t="s">
        <v>371</v>
      </c>
      <c r="AQ45" s="7" t="s">
        <v>1963</v>
      </c>
      <c r="AR45" s="7" t="s">
        <v>379</v>
      </c>
      <c r="AT45" s="7" t="s">
        <v>385</v>
      </c>
    </row>
    <row r="46" ht="14.25" customHeight="1">
      <c r="A46" s="7" t="str">
        <f t="shared" si="1"/>
        <v>Spatial-temporal pattern analysis of landscape ecological risk assessment based on land use/land cover change in Baishuijiang National nature reserve in Gansu Province, China</v>
      </c>
      <c r="B46" s="7">
        <v>218.0</v>
      </c>
      <c r="C46" s="7" t="s">
        <v>114</v>
      </c>
      <c r="D46" s="7" t="s">
        <v>1816</v>
      </c>
      <c r="J46" s="7" t="s">
        <v>1541</v>
      </c>
      <c r="K46" s="7">
        <v>1.0</v>
      </c>
      <c r="L46" s="7" t="s">
        <v>1964</v>
      </c>
      <c r="M46" s="7" t="s">
        <v>1802</v>
      </c>
      <c r="N46" s="7" t="s">
        <v>1802</v>
      </c>
      <c r="O46" s="7" t="s">
        <v>1540</v>
      </c>
      <c r="Q46" s="7" t="s">
        <v>371</v>
      </c>
      <c r="R46" s="7" t="s">
        <v>1558</v>
      </c>
      <c r="T46" s="7" t="s">
        <v>371</v>
      </c>
      <c r="U46" s="7" t="s">
        <v>1965</v>
      </c>
      <c r="V46" s="7" t="s">
        <v>1382</v>
      </c>
      <c r="W46" s="7" t="s">
        <v>374</v>
      </c>
      <c r="X46" s="7">
        <v>3.0</v>
      </c>
      <c r="Y46" s="7" t="s">
        <v>1966</v>
      </c>
      <c r="Z46" s="7" t="s">
        <v>1966</v>
      </c>
      <c r="AA46" s="7" t="s">
        <v>1967</v>
      </c>
      <c r="AB46" s="7" t="s">
        <v>1968</v>
      </c>
      <c r="AC46" s="7" t="s">
        <v>743</v>
      </c>
      <c r="AD46" s="7" t="s">
        <v>1750</v>
      </c>
      <c r="AE46" s="7" t="s">
        <v>1969</v>
      </c>
      <c r="AF46" s="7" t="s">
        <v>1567</v>
      </c>
      <c r="AG46" s="7" t="s">
        <v>1970</v>
      </c>
      <c r="AH46" s="7" t="s">
        <v>1652</v>
      </c>
      <c r="AI46" s="7" t="s">
        <v>1971</v>
      </c>
      <c r="AJ46" s="7" t="s">
        <v>379</v>
      </c>
      <c r="AL46" s="7" t="s">
        <v>379</v>
      </c>
      <c r="AN46" s="7" t="s">
        <v>379</v>
      </c>
      <c r="AP46" s="7" t="s">
        <v>371</v>
      </c>
      <c r="AQ46" s="7" t="s">
        <v>1972</v>
      </c>
      <c r="AR46" s="7" t="s">
        <v>371</v>
      </c>
      <c r="AT46" s="7" t="s">
        <v>385</v>
      </c>
      <c r="AU46" s="7" t="s">
        <v>1664</v>
      </c>
      <c r="AV46" s="7" t="s">
        <v>1750</v>
      </c>
      <c r="AW46" s="7" t="s">
        <v>1973</v>
      </c>
      <c r="AX46" s="7" t="s">
        <v>1589</v>
      </c>
      <c r="AY46" s="7" t="s">
        <v>1974</v>
      </c>
      <c r="AZ46" s="7" t="s">
        <v>1652</v>
      </c>
      <c r="BA46" s="7" t="s">
        <v>1971</v>
      </c>
      <c r="BB46" s="7" t="s">
        <v>523</v>
      </c>
      <c r="BC46" s="7" t="s">
        <v>1544</v>
      </c>
      <c r="BD46" s="7" t="s">
        <v>1975</v>
      </c>
      <c r="BE46" s="7" t="s">
        <v>1544</v>
      </c>
      <c r="BG46" s="7" t="s">
        <v>1544</v>
      </c>
      <c r="HK46" s="7" t="s">
        <v>1976</v>
      </c>
    </row>
    <row r="47" ht="14.25" customHeight="1">
      <c r="A47" s="7" t="str">
        <f t="shared" si="1"/>
        <v>Changes in habitat quality of nature reserves in depopulating areas due to anthropogenic pressure: Evidence from Northeast China, 2000-2018</v>
      </c>
      <c r="B47" s="7">
        <v>213.0</v>
      </c>
      <c r="C47" s="7" t="s">
        <v>117</v>
      </c>
      <c r="D47" s="7" t="s">
        <v>1538</v>
      </c>
      <c r="J47" s="7" t="s">
        <v>374</v>
      </c>
      <c r="K47" s="7">
        <v>93.0</v>
      </c>
      <c r="M47" s="7" t="s">
        <v>1802</v>
      </c>
      <c r="N47" s="7" t="s">
        <v>1802</v>
      </c>
      <c r="O47" s="7" t="s">
        <v>1540</v>
      </c>
      <c r="P47" s="7" t="s">
        <v>1977</v>
      </c>
      <c r="Q47" s="7" t="s">
        <v>1558</v>
      </c>
      <c r="R47" s="7" t="s">
        <v>1558</v>
      </c>
      <c r="S47" s="7" t="s">
        <v>1978</v>
      </c>
      <c r="T47" s="7" t="s">
        <v>399</v>
      </c>
      <c r="U47" s="7" t="s">
        <v>1657</v>
      </c>
      <c r="V47" s="7">
        <v>10.0</v>
      </c>
      <c r="W47" s="7" t="s">
        <v>1559</v>
      </c>
      <c r="X47" s="7">
        <v>1.0</v>
      </c>
      <c r="Y47" s="7" t="s">
        <v>658</v>
      </c>
      <c r="Z47" s="7" t="s">
        <v>575</v>
      </c>
      <c r="AA47" s="7" t="s">
        <v>1979</v>
      </c>
      <c r="AB47" s="7" t="s">
        <v>1980</v>
      </c>
      <c r="AC47" s="7" t="s">
        <v>575</v>
      </c>
      <c r="AD47" s="7" t="s">
        <v>1784</v>
      </c>
      <c r="AE47" s="7" t="s">
        <v>1981</v>
      </c>
      <c r="AF47" s="7" t="s">
        <v>1567</v>
      </c>
      <c r="AH47" s="7" t="s">
        <v>371</v>
      </c>
      <c r="AJ47" s="7" t="s">
        <v>379</v>
      </c>
      <c r="AL47" s="7" t="s">
        <v>379</v>
      </c>
      <c r="AN47" s="7" t="s">
        <v>379</v>
      </c>
      <c r="AP47" s="7" t="s">
        <v>1546</v>
      </c>
      <c r="AQ47" s="7" t="s">
        <v>1982</v>
      </c>
      <c r="AR47" s="7" t="s">
        <v>371</v>
      </c>
      <c r="AS47" s="7" t="s">
        <v>1983</v>
      </c>
      <c r="AT47" s="7" t="s">
        <v>385</v>
      </c>
      <c r="HL47" s="7" t="s">
        <v>1984</v>
      </c>
      <c r="HM47" s="7" t="s">
        <v>1985</v>
      </c>
    </row>
    <row r="48" ht="14.25" customHeight="1">
      <c r="A48" s="7" t="str">
        <f t="shared" si="1"/>
        <v>Have China's national forest reserves designated since 1990 conserved forests effectively?</v>
      </c>
      <c r="B48" s="7">
        <v>209.0</v>
      </c>
      <c r="C48" s="14" t="s">
        <v>147</v>
      </c>
      <c r="D48" s="7" t="s">
        <v>1553</v>
      </c>
      <c r="E48" s="7" t="s">
        <v>1986</v>
      </c>
      <c r="F48" s="7" t="s">
        <v>1538</v>
      </c>
      <c r="G48" s="7" t="s">
        <v>1987</v>
      </c>
      <c r="I48" s="7" t="s">
        <v>1988</v>
      </c>
      <c r="J48" s="7" t="s">
        <v>374</v>
      </c>
      <c r="K48" s="7">
        <v>184.0</v>
      </c>
      <c r="L48" s="7" t="s">
        <v>1989</v>
      </c>
      <c r="M48" s="7" t="s">
        <v>1990</v>
      </c>
      <c r="N48" s="7" t="s">
        <v>1990</v>
      </c>
      <c r="O48" s="7" t="s">
        <v>1558</v>
      </c>
      <c r="Q48" s="7" t="s">
        <v>371</v>
      </c>
      <c r="R48" s="7" t="s">
        <v>1558</v>
      </c>
      <c r="S48" s="7">
        <v>1990.0</v>
      </c>
      <c r="T48" s="7" t="s">
        <v>371</v>
      </c>
      <c r="U48" s="7" t="s">
        <v>1991</v>
      </c>
      <c r="V48" s="7">
        <v>6.0</v>
      </c>
      <c r="W48" s="7" t="s">
        <v>1541</v>
      </c>
      <c r="X48" s="7">
        <v>1.0</v>
      </c>
      <c r="Y48" s="7" t="s">
        <v>1684</v>
      </c>
      <c r="Z48" s="7" t="s">
        <v>1684</v>
      </c>
      <c r="AA48" s="7" t="s">
        <v>743</v>
      </c>
      <c r="AB48" s="7" t="s">
        <v>1992</v>
      </c>
      <c r="AC48" s="7" t="s">
        <v>743</v>
      </c>
      <c r="AD48" s="7" t="s">
        <v>1589</v>
      </c>
      <c r="AE48" s="7" t="s">
        <v>1993</v>
      </c>
      <c r="AF48" s="7" t="s">
        <v>1589</v>
      </c>
      <c r="AG48" s="7" t="s">
        <v>1994</v>
      </c>
      <c r="AH48" s="7" t="s">
        <v>371</v>
      </c>
      <c r="AI48" s="7" t="s">
        <v>1995</v>
      </c>
      <c r="AJ48" s="7" t="s">
        <v>379</v>
      </c>
      <c r="AL48" s="7" t="s">
        <v>379</v>
      </c>
      <c r="AN48" s="7" t="s">
        <v>379</v>
      </c>
      <c r="AP48" s="7" t="s">
        <v>1546</v>
      </c>
      <c r="AQ48" s="7" t="s">
        <v>1996</v>
      </c>
      <c r="AR48" s="7" t="s">
        <v>385</v>
      </c>
      <c r="AT48" s="7" t="s">
        <v>385</v>
      </c>
    </row>
    <row r="49" ht="14.25" customHeight="1">
      <c r="A49" s="7" t="str">
        <f t="shared" si="1"/>
        <v>Sustainability of social-ecological systems under conservation projects: Lessons from a biodiversity hotspot in western China</v>
      </c>
      <c r="B49" s="7">
        <v>204.0</v>
      </c>
      <c r="C49" s="7" t="s">
        <v>87</v>
      </c>
      <c r="D49" s="7" t="s">
        <v>1816</v>
      </c>
      <c r="J49" s="7" t="s">
        <v>1541</v>
      </c>
      <c r="K49" s="7">
        <v>1.0</v>
      </c>
      <c r="L49" s="7" t="s">
        <v>1997</v>
      </c>
      <c r="M49" s="7" t="s">
        <v>1802</v>
      </c>
      <c r="N49" s="7" t="s">
        <v>1802</v>
      </c>
      <c r="O49" s="7" t="s">
        <v>1540</v>
      </c>
      <c r="P49" s="7" t="s">
        <v>1998</v>
      </c>
      <c r="Q49" s="7" t="s">
        <v>371</v>
      </c>
      <c r="R49" s="7" t="s">
        <v>371</v>
      </c>
      <c r="S49" s="7">
        <v>1978.0</v>
      </c>
      <c r="T49" s="7" t="s">
        <v>371</v>
      </c>
      <c r="U49" s="7" t="s">
        <v>1999</v>
      </c>
      <c r="W49" s="7" t="s">
        <v>374</v>
      </c>
      <c r="X49" s="7">
        <v>2.0</v>
      </c>
      <c r="Y49" s="7" t="s">
        <v>2000</v>
      </c>
      <c r="Z49" s="7" t="s">
        <v>2000</v>
      </c>
      <c r="AA49" s="7" t="s">
        <v>2001</v>
      </c>
      <c r="AB49" s="7" t="s">
        <v>2002</v>
      </c>
      <c r="AC49" s="7" t="s">
        <v>743</v>
      </c>
      <c r="AD49" s="7" t="s">
        <v>1589</v>
      </c>
      <c r="AE49" s="7" t="s">
        <v>2003</v>
      </c>
      <c r="AF49" s="7" t="s">
        <v>379</v>
      </c>
      <c r="AH49" s="7" t="s">
        <v>379</v>
      </c>
      <c r="AJ49" s="7" t="s">
        <v>379</v>
      </c>
      <c r="AL49" s="7" t="s">
        <v>379</v>
      </c>
      <c r="AM49" s="7" t="s">
        <v>2004</v>
      </c>
      <c r="AN49" s="7" t="s">
        <v>385</v>
      </c>
      <c r="AP49" s="7" t="s">
        <v>371</v>
      </c>
      <c r="AQ49" s="7" t="s">
        <v>2005</v>
      </c>
      <c r="AR49" s="7" t="s">
        <v>371</v>
      </c>
      <c r="AT49" s="7" t="s">
        <v>385</v>
      </c>
      <c r="AU49" s="7" t="s">
        <v>1664</v>
      </c>
      <c r="AV49" s="7" t="s">
        <v>1589</v>
      </c>
      <c r="AW49" s="7" t="s">
        <v>2006</v>
      </c>
      <c r="AX49" s="7" t="s">
        <v>379</v>
      </c>
      <c r="AZ49" s="7" t="s">
        <v>379</v>
      </c>
      <c r="HK49" s="7" t="s">
        <v>1828</v>
      </c>
      <c r="HL49" s="7" t="s">
        <v>2007</v>
      </c>
      <c r="HM49" s="7" t="s">
        <v>2008</v>
      </c>
      <c r="HO49" s="7" t="s">
        <v>2009</v>
      </c>
    </row>
    <row r="50" ht="14.25" customHeight="1">
      <c r="A50" s="7" t="str">
        <f t="shared" si="1"/>
        <v>How good is your marine PA at curbing threats?</v>
      </c>
      <c r="B50" s="7">
        <v>201.0</v>
      </c>
      <c r="C50" s="7" t="s">
        <v>96</v>
      </c>
      <c r="D50" s="7" t="s">
        <v>1552</v>
      </c>
      <c r="F50" s="7" t="s">
        <v>1553</v>
      </c>
      <c r="J50" s="7" t="s">
        <v>374</v>
      </c>
      <c r="K50" s="7">
        <v>15.0</v>
      </c>
      <c r="M50" s="7" t="s">
        <v>2010</v>
      </c>
      <c r="N50" s="7" t="s">
        <v>2010</v>
      </c>
      <c r="O50" s="7" t="s">
        <v>1556</v>
      </c>
      <c r="Q50" s="7" t="s">
        <v>371</v>
      </c>
      <c r="R50" s="7" t="s">
        <v>1558</v>
      </c>
      <c r="T50" s="7" t="s">
        <v>399</v>
      </c>
      <c r="U50" s="7" t="s">
        <v>1657</v>
      </c>
      <c r="V50" s="7">
        <v>10.0</v>
      </c>
      <c r="W50" s="7" t="s">
        <v>374</v>
      </c>
      <c r="X50" s="7">
        <v>2.0</v>
      </c>
      <c r="Y50" s="7" t="s">
        <v>1672</v>
      </c>
      <c r="Z50" s="7" t="s">
        <v>1672</v>
      </c>
      <c r="AA50" s="7" t="s">
        <v>2011</v>
      </c>
      <c r="AB50" s="7" t="s">
        <v>2012</v>
      </c>
      <c r="AC50" s="7" t="s">
        <v>1679</v>
      </c>
      <c r="AD50" s="7" t="s">
        <v>1589</v>
      </c>
      <c r="AF50" s="7" t="s">
        <v>1567</v>
      </c>
      <c r="AG50" s="7" t="s">
        <v>2013</v>
      </c>
      <c r="AH50" s="7" t="s">
        <v>371</v>
      </c>
      <c r="AJ50" s="7" t="s">
        <v>371</v>
      </c>
      <c r="AK50" s="7" t="s">
        <v>2014</v>
      </c>
      <c r="AL50" s="7" t="s">
        <v>371</v>
      </c>
      <c r="AN50" s="7" t="s">
        <v>379</v>
      </c>
      <c r="AP50" s="7" t="s">
        <v>1546</v>
      </c>
      <c r="AQ50" s="7" t="s">
        <v>2015</v>
      </c>
      <c r="AR50" s="7" t="s">
        <v>371</v>
      </c>
      <c r="AT50" s="7" t="s">
        <v>385</v>
      </c>
      <c r="AU50" s="7" t="s">
        <v>1675</v>
      </c>
      <c r="AV50" s="7" t="s">
        <v>1567</v>
      </c>
      <c r="AW50" s="7" t="s">
        <v>2016</v>
      </c>
      <c r="AX50" s="7" t="s">
        <v>1567</v>
      </c>
      <c r="AZ50" s="7" t="s">
        <v>385</v>
      </c>
      <c r="BA50" s="7" t="s">
        <v>2017</v>
      </c>
    </row>
    <row r="51" ht="14.25" customHeight="1">
      <c r="A51" s="7" t="str">
        <f t="shared" si="1"/>
        <v>Improving PA effectiveness through consideration of different human-pressure baselines</v>
      </c>
      <c r="B51" s="7">
        <v>196.0</v>
      </c>
      <c r="C51" s="7" t="s">
        <v>222</v>
      </c>
      <c r="D51" s="7" t="s">
        <v>1553</v>
      </c>
      <c r="E51" s="7" t="s">
        <v>2018</v>
      </c>
      <c r="F51" s="7" t="s">
        <v>1816</v>
      </c>
      <c r="J51" s="7" t="s">
        <v>374</v>
      </c>
      <c r="K51" s="7">
        <v>338.0</v>
      </c>
      <c r="M51" s="7" t="s">
        <v>1802</v>
      </c>
      <c r="N51" s="7" t="s">
        <v>1802</v>
      </c>
      <c r="O51" s="7" t="s">
        <v>1556</v>
      </c>
      <c r="Q51" s="7" t="s">
        <v>1558</v>
      </c>
      <c r="R51" s="7" t="s">
        <v>1558</v>
      </c>
      <c r="S51" s="7" t="s">
        <v>2019</v>
      </c>
      <c r="T51" s="7" t="s">
        <v>399</v>
      </c>
      <c r="U51" s="7" t="s">
        <v>2020</v>
      </c>
      <c r="V51" s="7">
        <v>50.0</v>
      </c>
      <c r="W51" s="7" t="s">
        <v>1559</v>
      </c>
      <c r="X51" s="7">
        <v>1.0</v>
      </c>
      <c r="Y51" s="7" t="s">
        <v>658</v>
      </c>
      <c r="Z51" s="7" t="s">
        <v>575</v>
      </c>
      <c r="AA51" s="7" t="s">
        <v>860</v>
      </c>
      <c r="AB51" s="7" t="s">
        <v>2021</v>
      </c>
      <c r="AC51" s="7" t="s">
        <v>575</v>
      </c>
      <c r="AD51" s="7" t="s">
        <v>1544</v>
      </c>
      <c r="AE51" s="7" t="s">
        <v>2022</v>
      </c>
      <c r="AF51" s="7" t="s">
        <v>379</v>
      </c>
      <c r="AG51" s="7" t="s">
        <v>379</v>
      </c>
      <c r="AH51" s="7" t="s">
        <v>371</v>
      </c>
      <c r="AI51" s="7" t="s">
        <v>2023</v>
      </c>
      <c r="AJ51" s="7" t="s">
        <v>379</v>
      </c>
      <c r="AL51" s="7" t="s">
        <v>379</v>
      </c>
      <c r="AN51" s="7" t="s">
        <v>371</v>
      </c>
      <c r="AO51" s="7" t="s">
        <v>2024</v>
      </c>
      <c r="AP51" s="7" t="s">
        <v>1546</v>
      </c>
      <c r="AQ51" s="7" t="s">
        <v>2025</v>
      </c>
      <c r="AR51" s="7" t="s">
        <v>371</v>
      </c>
      <c r="AT51" s="7" t="s">
        <v>385</v>
      </c>
      <c r="HM51" s="7" t="s">
        <v>2026</v>
      </c>
    </row>
    <row r="52" ht="14.25" customHeight="1">
      <c r="A52" s="7" t="str">
        <f t="shared" si="1"/>
        <v>Land Use and Land Cover Dynamics Analysis of the Togodo PA and Its Surroundings in Southeastern Togo, West Africa</v>
      </c>
      <c r="B52" s="7">
        <v>195.0</v>
      </c>
      <c r="C52" s="7" t="s">
        <v>297</v>
      </c>
      <c r="D52" s="7" t="s">
        <v>1553</v>
      </c>
      <c r="J52" s="7" t="s">
        <v>1541</v>
      </c>
      <c r="K52" s="7">
        <v>1.0</v>
      </c>
      <c r="L52" s="7" t="s">
        <v>2027</v>
      </c>
      <c r="O52" s="7" t="s">
        <v>1558</v>
      </c>
      <c r="Q52" s="7" t="s">
        <v>1558</v>
      </c>
      <c r="R52" s="7" t="s">
        <v>1558</v>
      </c>
      <c r="S52" s="7" t="s">
        <v>379</v>
      </c>
      <c r="T52" s="7" t="s">
        <v>399</v>
      </c>
      <c r="W52" s="7" t="s">
        <v>374</v>
      </c>
      <c r="X52" s="7">
        <v>2.0</v>
      </c>
      <c r="Y52" s="7" t="s">
        <v>2000</v>
      </c>
      <c r="Z52" s="7" t="s">
        <v>2000</v>
      </c>
      <c r="AA52" s="7" t="s">
        <v>2001</v>
      </c>
      <c r="AB52" s="7" t="s">
        <v>2028</v>
      </c>
      <c r="AC52" s="7" t="s">
        <v>1664</v>
      </c>
      <c r="AD52" s="7" t="s">
        <v>1567</v>
      </c>
      <c r="AE52" s="7" t="s">
        <v>2029</v>
      </c>
      <c r="AF52" s="7" t="s">
        <v>1567</v>
      </c>
      <c r="AH52" s="7" t="s">
        <v>379</v>
      </c>
      <c r="AJ52" s="7" t="s">
        <v>379</v>
      </c>
      <c r="AL52" s="7" t="s">
        <v>379</v>
      </c>
      <c r="AN52" s="7" t="s">
        <v>371</v>
      </c>
      <c r="AP52" s="7" t="s">
        <v>379</v>
      </c>
      <c r="AR52" s="7" t="s">
        <v>385</v>
      </c>
      <c r="AT52" s="7" t="s">
        <v>385</v>
      </c>
      <c r="AU52" s="7" t="s">
        <v>743</v>
      </c>
      <c r="AV52" s="7" t="s">
        <v>1567</v>
      </c>
      <c r="AW52" s="7" t="s">
        <v>2030</v>
      </c>
      <c r="AX52" s="7" t="s">
        <v>1567</v>
      </c>
      <c r="AZ52" s="7" t="s">
        <v>379</v>
      </c>
      <c r="HN52" s="7" t="s">
        <v>2031</v>
      </c>
    </row>
    <row r="53" ht="14.25" customHeight="1">
      <c r="A53" s="7" t="str">
        <f t="shared" si="1"/>
        <v>An invasive species erodes the performance of coastal wetland PAs</v>
      </c>
      <c r="B53" s="7">
        <v>187.0</v>
      </c>
      <c r="C53" s="7" t="s">
        <v>249</v>
      </c>
      <c r="D53" s="7" t="s">
        <v>1553</v>
      </c>
      <c r="J53" s="7" t="s">
        <v>374</v>
      </c>
      <c r="K53" s="7">
        <v>7.0</v>
      </c>
      <c r="L53" s="7" t="s">
        <v>1802</v>
      </c>
      <c r="O53" s="7" t="s">
        <v>1540</v>
      </c>
      <c r="Q53" s="7" t="s">
        <v>1558</v>
      </c>
      <c r="R53" s="7" t="s">
        <v>1558</v>
      </c>
      <c r="S53" s="7" t="s">
        <v>2032</v>
      </c>
      <c r="T53" s="7" t="s">
        <v>399</v>
      </c>
      <c r="W53" s="7" t="s">
        <v>374</v>
      </c>
      <c r="X53" s="7">
        <v>2.0</v>
      </c>
      <c r="Y53" s="7" t="s">
        <v>2033</v>
      </c>
      <c r="Z53" s="7" t="s">
        <v>2033</v>
      </c>
      <c r="AA53" s="7" t="s">
        <v>2034</v>
      </c>
      <c r="AB53" s="7" t="s">
        <v>2035</v>
      </c>
      <c r="AC53" s="7" t="s">
        <v>523</v>
      </c>
      <c r="AD53" s="7" t="s">
        <v>1589</v>
      </c>
      <c r="AE53" s="7" t="s">
        <v>2036</v>
      </c>
      <c r="AF53" s="7" t="s">
        <v>1567</v>
      </c>
      <c r="AH53" s="7" t="s">
        <v>371</v>
      </c>
      <c r="AI53" s="7" t="s">
        <v>2037</v>
      </c>
      <c r="AJ53" s="7" t="s">
        <v>379</v>
      </c>
      <c r="AL53" s="7" t="s">
        <v>379</v>
      </c>
      <c r="AN53" s="7" t="s">
        <v>379</v>
      </c>
      <c r="AP53" s="7" t="s">
        <v>1546</v>
      </c>
      <c r="AR53" s="7" t="s">
        <v>379</v>
      </c>
      <c r="AT53" s="7" t="s">
        <v>385</v>
      </c>
      <c r="AU53" s="7" t="s">
        <v>787</v>
      </c>
      <c r="AV53" s="7" t="s">
        <v>1567</v>
      </c>
      <c r="AX53" s="7" t="s">
        <v>1784</v>
      </c>
      <c r="AY53" s="7" t="s">
        <v>2038</v>
      </c>
      <c r="AZ53" s="7" t="s">
        <v>385</v>
      </c>
      <c r="BA53" s="7" t="s">
        <v>2039</v>
      </c>
      <c r="HN53" s="7" t="s">
        <v>2040</v>
      </c>
      <c r="HO53" s="7" t="s">
        <v>2041</v>
      </c>
    </row>
    <row r="54" ht="14.25" customHeight="1">
      <c r="A54" s="7" t="str">
        <f t="shared" si="1"/>
        <v>PAs in South Asia have not prevented habitat loss: a study using historical models of land-use change</v>
      </c>
      <c r="B54" s="7">
        <v>185.0</v>
      </c>
      <c r="C54" s="7" t="s">
        <v>258</v>
      </c>
      <c r="D54" s="7" t="s">
        <v>1536</v>
      </c>
      <c r="E54" s="7" t="s">
        <v>1039</v>
      </c>
      <c r="F54" s="7" t="s">
        <v>1553</v>
      </c>
      <c r="I54" s="7" t="s">
        <v>379</v>
      </c>
      <c r="J54" s="7" t="s">
        <v>374</v>
      </c>
      <c r="K54" s="7">
        <v>593.0</v>
      </c>
      <c r="L54" s="7" t="s">
        <v>379</v>
      </c>
      <c r="M54" s="7" t="s">
        <v>2042</v>
      </c>
      <c r="N54" s="7" t="s">
        <v>2042</v>
      </c>
      <c r="O54" s="7" t="s">
        <v>1556</v>
      </c>
      <c r="P54" s="7" t="s">
        <v>379</v>
      </c>
      <c r="Q54" s="7" t="s">
        <v>1558</v>
      </c>
      <c r="R54" s="7" t="s">
        <v>1558</v>
      </c>
      <c r="S54" s="7" t="s">
        <v>2043</v>
      </c>
      <c r="T54" s="7" t="s">
        <v>399</v>
      </c>
      <c r="U54" s="7" t="s">
        <v>379</v>
      </c>
      <c r="V54" s="7" t="s">
        <v>1382</v>
      </c>
      <c r="W54" s="7" t="s">
        <v>1559</v>
      </c>
      <c r="X54" s="7">
        <v>1.0</v>
      </c>
      <c r="Y54" s="7" t="s">
        <v>1638</v>
      </c>
      <c r="Z54" s="7" t="s">
        <v>1638</v>
      </c>
      <c r="AA54" s="7" t="s">
        <v>1638</v>
      </c>
      <c r="AB54" s="7" t="s">
        <v>2044</v>
      </c>
      <c r="AC54" s="7" t="s">
        <v>523</v>
      </c>
      <c r="AD54" s="7" t="s">
        <v>1567</v>
      </c>
      <c r="AE54" s="7" t="s">
        <v>2045</v>
      </c>
      <c r="AF54" s="7" t="s">
        <v>1567</v>
      </c>
      <c r="AG54" s="7" t="s">
        <v>2046</v>
      </c>
      <c r="AH54" s="7" t="s">
        <v>385</v>
      </c>
      <c r="AI54" s="7" t="s">
        <v>2047</v>
      </c>
      <c r="AJ54" s="7" t="s">
        <v>379</v>
      </c>
      <c r="AK54" s="7" t="s">
        <v>379</v>
      </c>
      <c r="AL54" s="7" t="s">
        <v>379</v>
      </c>
      <c r="AM54" s="7" t="s">
        <v>379</v>
      </c>
      <c r="AN54" s="7" t="s">
        <v>379</v>
      </c>
      <c r="AO54" s="7" t="s">
        <v>379</v>
      </c>
      <c r="AP54" s="7" t="s">
        <v>385</v>
      </c>
      <c r="AQ54" s="7" t="s">
        <v>2048</v>
      </c>
      <c r="AR54" s="7" t="s">
        <v>379</v>
      </c>
      <c r="AS54" s="7" t="s">
        <v>379</v>
      </c>
      <c r="AT54" s="7" t="s">
        <v>385</v>
      </c>
      <c r="HM54" s="7" t="s">
        <v>2049</v>
      </c>
      <c r="HN54" s="7" t="s">
        <v>2050</v>
      </c>
    </row>
    <row r="55" ht="14.25" customHeight="1">
      <c r="A55" s="7" t="str">
        <f t="shared" si="1"/>
        <v>Effectiveness of Africa's tropical PAs for maintaining forest cover</v>
      </c>
      <c r="B55" s="7">
        <v>180.0</v>
      </c>
      <c r="C55" s="7" t="s">
        <v>210</v>
      </c>
      <c r="D55" s="7" t="s">
        <v>1538</v>
      </c>
      <c r="E55" s="7" t="s">
        <v>2051</v>
      </c>
      <c r="J55" s="7" t="s">
        <v>1554</v>
      </c>
      <c r="K55" s="7">
        <v>224.0</v>
      </c>
      <c r="L55" s="7" t="s">
        <v>379</v>
      </c>
      <c r="M55" s="7" t="s">
        <v>2052</v>
      </c>
      <c r="N55" s="7" t="s">
        <v>2052</v>
      </c>
      <c r="O55" s="7" t="s">
        <v>1556</v>
      </c>
      <c r="P55" s="7" t="s">
        <v>2053</v>
      </c>
      <c r="Q55" s="7" t="s">
        <v>371</v>
      </c>
      <c r="R55" s="7" t="s">
        <v>1558</v>
      </c>
      <c r="S55" s="7" t="s">
        <v>2054</v>
      </c>
      <c r="T55" s="7" t="s">
        <v>399</v>
      </c>
      <c r="U55" s="7" t="s">
        <v>1657</v>
      </c>
      <c r="V55" s="7">
        <v>10.0</v>
      </c>
      <c r="W55" s="7" t="s">
        <v>1541</v>
      </c>
      <c r="X55" s="7">
        <v>1.0</v>
      </c>
      <c r="Y55" s="7" t="s">
        <v>1684</v>
      </c>
      <c r="Z55" s="7" t="s">
        <v>1684</v>
      </c>
      <c r="AA55" s="7" t="s">
        <v>1338</v>
      </c>
      <c r="AB55" s="7" t="s">
        <v>2055</v>
      </c>
      <c r="AC55" s="7" t="s">
        <v>743</v>
      </c>
      <c r="AD55" s="7" t="s">
        <v>379</v>
      </c>
      <c r="AE55" s="7" t="s">
        <v>379</v>
      </c>
      <c r="AF55" s="7" t="s">
        <v>379</v>
      </c>
      <c r="AG55" s="7" t="s">
        <v>379</v>
      </c>
      <c r="AH55" s="7" t="s">
        <v>371</v>
      </c>
      <c r="AI55" s="7" t="s">
        <v>2056</v>
      </c>
      <c r="AJ55" s="7" t="s">
        <v>371</v>
      </c>
      <c r="AK55" s="7" t="s">
        <v>2057</v>
      </c>
      <c r="AL55" s="7" t="s">
        <v>379</v>
      </c>
      <c r="AM55" s="7" t="s">
        <v>379</v>
      </c>
      <c r="AN55" s="7" t="s">
        <v>379</v>
      </c>
      <c r="AO55" s="7" t="s">
        <v>379</v>
      </c>
      <c r="AP55" s="7" t="s">
        <v>1546</v>
      </c>
      <c r="AQ55" s="7" t="s">
        <v>2058</v>
      </c>
      <c r="AR55" s="7" t="s">
        <v>385</v>
      </c>
      <c r="AS55" s="7" t="s">
        <v>379</v>
      </c>
      <c r="AT55" s="7" t="s">
        <v>385</v>
      </c>
      <c r="HK55" s="7" t="s">
        <v>379</v>
      </c>
      <c r="HL55" s="7" t="s">
        <v>379</v>
      </c>
      <c r="HM55" s="7" t="s">
        <v>2059</v>
      </c>
      <c r="HN55" s="7" t="s">
        <v>2060</v>
      </c>
    </row>
    <row r="56" ht="14.25" customHeight="1">
      <c r="A56" s="7" t="str">
        <f t="shared" si="1"/>
        <v>Exploring the relationships between marine PAs and invasive fish in the world's most invaded sea</v>
      </c>
      <c r="B56" s="7">
        <v>179.0</v>
      </c>
      <c r="C56" s="7" t="s">
        <v>42</v>
      </c>
      <c r="D56" s="7" t="s">
        <v>1553</v>
      </c>
      <c r="J56" s="7" t="s">
        <v>374</v>
      </c>
      <c r="K56" s="7">
        <v>9.0</v>
      </c>
      <c r="M56" s="7" t="s">
        <v>1670</v>
      </c>
      <c r="N56" s="7" t="s">
        <v>1670</v>
      </c>
      <c r="O56" s="7" t="s">
        <v>1540</v>
      </c>
      <c r="P56" s="7" t="s">
        <v>2061</v>
      </c>
      <c r="Q56" s="7" t="s">
        <v>1558</v>
      </c>
      <c r="R56" s="7" t="s">
        <v>1558</v>
      </c>
      <c r="T56" s="7" t="s">
        <v>399</v>
      </c>
      <c r="W56" s="7" t="s">
        <v>1541</v>
      </c>
      <c r="X56" s="7">
        <v>1.0</v>
      </c>
      <c r="Y56" s="7" t="s">
        <v>1576</v>
      </c>
      <c r="Z56" s="7" t="s">
        <v>1576</v>
      </c>
      <c r="AA56" s="7" t="s">
        <v>787</v>
      </c>
      <c r="AB56" s="7" t="s">
        <v>2062</v>
      </c>
      <c r="AC56" s="7" t="s">
        <v>787</v>
      </c>
      <c r="AD56" s="7" t="s">
        <v>379</v>
      </c>
      <c r="AF56" s="7" t="s">
        <v>379</v>
      </c>
      <c r="AH56" s="7" t="s">
        <v>385</v>
      </c>
      <c r="AI56" s="7" t="s">
        <v>2062</v>
      </c>
      <c r="AJ56" s="7" t="s">
        <v>379</v>
      </c>
      <c r="AL56" s="7" t="s">
        <v>379</v>
      </c>
      <c r="AN56" s="7" t="s">
        <v>379</v>
      </c>
      <c r="AP56" s="7" t="s">
        <v>385</v>
      </c>
      <c r="AR56" s="7" t="s">
        <v>379</v>
      </c>
      <c r="AT56" s="7" t="s">
        <v>385</v>
      </c>
      <c r="HN56" s="7" t="s">
        <v>2063</v>
      </c>
    </row>
    <row r="57" ht="14.25" customHeight="1">
      <c r="A57" s="7" t="str">
        <f t="shared" si="1"/>
        <v>Correlates of long-term land-cover change and PA performance at priority conservation sites in Africa</v>
      </c>
      <c r="B57" s="7">
        <v>177.0</v>
      </c>
      <c r="C57" s="7" t="s">
        <v>174</v>
      </c>
      <c r="D57" s="7" t="s">
        <v>1553</v>
      </c>
      <c r="J57" s="7" t="s">
        <v>374</v>
      </c>
      <c r="K57" s="7">
        <v>54.0</v>
      </c>
      <c r="M57" s="7" t="s">
        <v>2064</v>
      </c>
      <c r="N57" s="7" t="s">
        <v>2064</v>
      </c>
      <c r="O57" s="7" t="s">
        <v>1556</v>
      </c>
      <c r="P57" s="7" t="s">
        <v>2065</v>
      </c>
      <c r="Q57" s="7" t="s">
        <v>1558</v>
      </c>
      <c r="R57" s="7" t="s">
        <v>1558</v>
      </c>
      <c r="S57" s="7" t="s">
        <v>2066</v>
      </c>
      <c r="T57" s="7" t="s">
        <v>399</v>
      </c>
      <c r="U57" s="7" t="s">
        <v>1626</v>
      </c>
      <c r="V57" s="7">
        <v>20.0</v>
      </c>
      <c r="W57" s="7" t="s">
        <v>1559</v>
      </c>
      <c r="X57" s="7">
        <v>1.0</v>
      </c>
      <c r="Y57" s="7" t="s">
        <v>1638</v>
      </c>
      <c r="Z57" s="7" t="s">
        <v>1638</v>
      </c>
      <c r="AA57" s="7" t="s">
        <v>523</v>
      </c>
      <c r="AB57" s="7" t="s">
        <v>2067</v>
      </c>
      <c r="AC57" s="7" t="s">
        <v>523</v>
      </c>
      <c r="AD57" s="7" t="s">
        <v>379</v>
      </c>
      <c r="AF57" s="7" t="s">
        <v>379</v>
      </c>
      <c r="AH57" s="7" t="s">
        <v>371</v>
      </c>
      <c r="AI57" s="7" t="s">
        <v>2068</v>
      </c>
      <c r="AJ57" s="7" t="s">
        <v>379</v>
      </c>
      <c r="AN57" s="7" t="s">
        <v>371</v>
      </c>
      <c r="AO57" s="7" t="s">
        <v>2069</v>
      </c>
      <c r="AP57" s="7" t="s">
        <v>371</v>
      </c>
      <c r="AQ57" s="7" t="s">
        <v>2070</v>
      </c>
      <c r="AR57" s="7" t="s">
        <v>379</v>
      </c>
      <c r="AT57" s="7" t="s">
        <v>385</v>
      </c>
      <c r="HM57" s="7" t="s">
        <v>2071</v>
      </c>
      <c r="HN57" s="7" t="s">
        <v>2072</v>
      </c>
    </row>
    <row r="58" ht="14.25" customHeight="1">
      <c r="A58" s="7" t="str">
        <f t="shared" si="1"/>
        <v>The last frontiers of wilderness: Tracking loss of intact forest landscapes from 2000 to 2013</v>
      </c>
      <c r="B58" s="7">
        <v>175.0</v>
      </c>
      <c r="C58" s="7" t="s">
        <v>320</v>
      </c>
      <c r="D58" s="7" t="s">
        <v>1553</v>
      </c>
      <c r="J58" s="7" t="s">
        <v>1554</v>
      </c>
      <c r="K58" s="7" t="s">
        <v>379</v>
      </c>
      <c r="L58" s="7" t="s">
        <v>379</v>
      </c>
      <c r="M58" s="7" t="s">
        <v>2073</v>
      </c>
      <c r="N58" s="7" t="s">
        <v>2073</v>
      </c>
      <c r="O58" s="7" t="s">
        <v>1556</v>
      </c>
      <c r="Q58" s="7" t="s">
        <v>1558</v>
      </c>
      <c r="R58" s="7" t="s">
        <v>1558</v>
      </c>
      <c r="S58" s="7" t="s">
        <v>379</v>
      </c>
      <c r="T58" s="7" t="s">
        <v>399</v>
      </c>
      <c r="U58" s="7" t="s">
        <v>379</v>
      </c>
      <c r="V58" s="7" t="s">
        <v>1382</v>
      </c>
      <c r="W58" s="7" t="s">
        <v>1541</v>
      </c>
      <c r="X58" s="7">
        <v>1.0</v>
      </c>
      <c r="Y58" s="7" t="s">
        <v>1684</v>
      </c>
      <c r="Z58" s="7" t="s">
        <v>1684</v>
      </c>
      <c r="AA58" s="7" t="s">
        <v>743</v>
      </c>
      <c r="AB58" s="7" t="s">
        <v>2074</v>
      </c>
      <c r="AC58" s="7" t="s">
        <v>743</v>
      </c>
      <c r="AD58" s="7" t="s">
        <v>1567</v>
      </c>
      <c r="AE58" s="7" t="s">
        <v>2075</v>
      </c>
      <c r="AF58" s="7" t="s">
        <v>1567</v>
      </c>
      <c r="AG58" s="7" t="s">
        <v>2075</v>
      </c>
      <c r="AH58" s="7" t="s">
        <v>371</v>
      </c>
      <c r="AI58" s="7" t="s">
        <v>2076</v>
      </c>
      <c r="AJ58" s="7" t="s">
        <v>379</v>
      </c>
      <c r="AL58" s="7" t="s">
        <v>379</v>
      </c>
      <c r="AN58" s="7" t="s">
        <v>379</v>
      </c>
      <c r="AP58" s="7" t="s">
        <v>371</v>
      </c>
      <c r="AQ58" s="7" t="s">
        <v>2077</v>
      </c>
      <c r="AR58" s="7" t="s">
        <v>385</v>
      </c>
      <c r="AT58" s="7" t="s">
        <v>385</v>
      </c>
      <c r="HN58" s="7" t="s">
        <v>2078</v>
      </c>
    </row>
    <row r="59" ht="14.25" customHeight="1">
      <c r="A59" s="7" t="str">
        <f t="shared" si="1"/>
        <v>Mapping change in human pressure globally on land and within PAs</v>
      </c>
      <c r="B59" s="7">
        <v>169.0</v>
      </c>
      <c r="C59" s="7" t="s">
        <v>243</v>
      </c>
      <c r="D59" s="7" t="s">
        <v>1553</v>
      </c>
      <c r="J59" s="7" t="s">
        <v>1554</v>
      </c>
      <c r="K59" s="7">
        <v>36.0</v>
      </c>
      <c r="L59" s="7" t="s">
        <v>2079</v>
      </c>
      <c r="M59" s="7" t="s">
        <v>2080</v>
      </c>
      <c r="N59" s="7" t="s">
        <v>2080</v>
      </c>
      <c r="O59" s="7" t="s">
        <v>1556</v>
      </c>
      <c r="Q59" s="7" t="s">
        <v>1558</v>
      </c>
      <c r="R59" s="7" t="s">
        <v>1558</v>
      </c>
      <c r="T59" s="7" t="s">
        <v>399</v>
      </c>
      <c r="W59" s="7" t="s">
        <v>1559</v>
      </c>
      <c r="X59" s="7">
        <v>1.0</v>
      </c>
      <c r="Y59" s="7" t="s">
        <v>2081</v>
      </c>
      <c r="Z59" s="7" t="s">
        <v>2081</v>
      </c>
      <c r="AA59" s="7" t="s">
        <v>2081</v>
      </c>
      <c r="AB59" s="7" t="s">
        <v>2082</v>
      </c>
      <c r="AC59" s="7" t="s">
        <v>2081</v>
      </c>
      <c r="AD59" s="7" t="s">
        <v>379</v>
      </c>
      <c r="AF59" s="7" t="s">
        <v>379</v>
      </c>
      <c r="AH59" s="7" t="s">
        <v>1544</v>
      </c>
      <c r="AI59" s="7" t="s">
        <v>2083</v>
      </c>
      <c r="AJ59" s="7" t="s">
        <v>379</v>
      </c>
      <c r="AL59" s="7" t="s">
        <v>379</v>
      </c>
      <c r="AN59" s="7" t="s">
        <v>379</v>
      </c>
      <c r="AP59" s="7" t="s">
        <v>371</v>
      </c>
      <c r="AQ59" s="7" t="s">
        <v>2084</v>
      </c>
      <c r="AR59" s="7" t="s">
        <v>385</v>
      </c>
      <c r="AT59" s="7" t="s">
        <v>385</v>
      </c>
    </row>
    <row r="60" ht="14.25" customHeight="1">
      <c r="A60" s="7" t="str">
        <f t="shared" si="1"/>
        <v>Tracking the response of industrial fishing fleets to large marine PAs in the Pacific Ocean</v>
      </c>
      <c r="B60" s="7">
        <v>162.0</v>
      </c>
      <c r="C60" s="7" t="s">
        <v>213</v>
      </c>
      <c r="D60" s="7" t="s">
        <v>1552</v>
      </c>
      <c r="G60" s="7" t="s">
        <v>379</v>
      </c>
      <c r="I60" s="7" t="s">
        <v>379</v>
      </c>
      <c r="J60" s="7" t="s">
        <v>1554</v>
      </c>
      <c r="K60" s="7">
        <v>8950.0</v>
      </c>
      <c r="L60" s="7" t="s">
        <v>379</v>
      </c>
      <c r="M60" s="7" t="s">
        <v>2052</v>
      </c>
      <c r="N60" s="7" t="s">
        <v>2052</v>
      </c>
      <c r="O60" s="7" t="s">
        <v>1556</v>
      </c>
      <c r="P60" s="7" t="s">
        <v>379</v>
      </c>
      <c r="Q60" s="7" t="s">
        <v>1558</v>
      </c>
      <c r="R60" s="7" t="s">
        <v>1558</v>
      </c>
      <c r="S60" s="7" t="s">
        <v>2085</v>
      </c>
      <c r="T60" s="7" t="s">
        <v>385</v>
      </c>
      <c r="U60" s="7" t="s">
        <v>379</v>
      </c>
      <c r="V60" s="7" t="s">
        <v>1382</v>
      </c>
      <c r="W60" s="7" t="s">
        <v>1559</v>
      </c>
      <c r="X60" s="7">
        <v>1.0</v>
      </c>
      <c r="Y60" s="7" t="s">
        <v>658</v>
      </c>
      <c r="Z60" s="7" t="s">
        <v>575</v>
      </c>
      <c r="AA60" s="7" t="s">
        <v>2086</v>
      </c>
      <c r="AB60" s="7" t="s">
        <v>2087</v>
      </c>
      <c r="AC60" s="7" t="s">
        <v>575</v>
      </c>
      <c r="AD60" s="7" t="s">
        <v>1567</v>
      </c>
      <c r="AE60" s="7" t="s">
        <v>2088</v>
      </c>
      <c r="AF60" s="7" t="s">
        <v>379</v>
      </c>
      <c r="AG60" s="7" t="s">
        <v>379</v>
      </c>
      <c r="AH60" s="7" t="s">
        <v>379</v>
      </c>
      <c r="AI60" s="7" t="s">
        <v>379</v>
      </c>
      <c r="AJ60" s="7" t="s">
        <v>385</v>
      </c>
      <c r="AK60" s="7" t="s">
        <v>2089</v>
      </c>
      <c r="AL60" s="7" t="s">
        <v>1652</v>
      </c>
      <c r="AM60" s="7" t="s">
        <v>2090</v>
      </c>
      <c r="AN60" s="7" t="s">
        <v>379</v>
      </c>
      <c r="AO60" s="7" t="s">
        <v>379</v>
      </c>
      <c r="AP60" s="7" t="s">
        <v>379</v>
      </c>
      <c r="AQ60" s="7" t="s">
        <v>379</v>
      </c>
      <c r="AR60" s="7" t="s">
        <v>371</v>
      </c>
      <c r="AS60" s="7" t="s">
        <v>2091</v>
      </c>
      <c r="AT60" s="7" t="s">
        <v>385</v>
      </c>
      <c r="HM60" s="7" t="s">
        <v>2092</v>
      </c>
      <c r="HN60" s="7" t="s">
        <v>2093</v>
      </c>
    </row>
    <row r="61" ht="14.25" customHeight="1">
      <c r="A61" s="7" t="str">
        <f t="shared" si="1"/>
        <v>Size-dependent resistance of PAs to land-use change</v>
      </c>
      <c r="B61" s="7">
        <v>157.0</v>
      </c>
      <c r="C61" s="7" t="s">
        <v>201</v>
      </c>
      <c r="D61" s="7" t="s">
        <v>1536</v>
      </c>
      <c r="F61" s="7" t="s">
        <v>1553</v>
      </c>
      <c r="J61" s="7" t="s">
        <v>374</v>
      </c>
      <c r="K61" s="7">
        <v>5.0</v>
      </c>
      <c r="L61" s="7" t="s">
        <v>2094</v>
      </c>
      <c r="M61" s="7" t="s">
        <v>2095</v>
      </c>
      <c r="N61" s="7" t="s">
        <v>2095</v>
      </c>
      <c r="O61" s="7" t="s">
        <v>1540</v>
      </c>
      <c r="Q61" s="7" t="s">
        <v>371</v>
      </c>
      <c r="R61" s="7" t="s">
        <v>1558</v>
      </c>
      <c r="S61" s="7" t="s">
        <v>2096</v>
      </c>
      <c r="T61" s="7" t="s">
        <v>2097</v>
      </c>
      <c r="W61" s="7" t="s">
        <v>1541</v>
      </c>
      <c r="X61" s="7">
        <v>1.0</v>
      </c>
      <c r="Y61" s="7" t="s">
        <v>1748</v>
      </c>
      <c r="Z61" s="7" t="s">
        <v>1748</v>
      </c>
      <c r="AA61" s="7" t="s">
        <v>1679</v>
      </c>
      <c r="AB61" s="7" t="s">
        <v>2098</v>
      </c>
      <c r="AC61" s="7" t="s">
        <v>1679</v>
      </c>
      <c r="AD61" s="7" t="s">
        <v>1589</v>
      </c>
      <c r="AE61" s="7" t="s">
        <v>2099</v>
      </c>
      <c r="AF61" s="7" t="s">
        <v>1567</v>
      </c>
      <c r="AH61" s="7" t="s">
        <v>371</v>
      </c>
      <c r="AJ61" s="7" t="s">
        <v>379</v>
      </c>
      <c r="AL61" s="7" t="s">
        <v>379</v>
      </c>
      <c r="AN61" s="7" t="s">
        <v>379</v>
      </c>
      <c r="AP61" s="7" t="s">
        <v>371</v>
      </c>
      <c r="AQ61" s="7" t="s">
        <v>2100</v>
      </c>
      <c r="AR61" s="7" t="s">
        <v>371</v>
      </c>
      <c r="AT61" s="7" t="s">
        <v>385</v>
      </c>
      <c r="HK61" s="7" t="s">
        <v>2101</v>
      </c>
    </row>
    <row r="62" ht="14.25" customHeight="1">
      <c r="A62" s="7" t="str">
        <f t="shared" si="1"/>
        <v>Southeast Asian PAs are effective in conserving forest cover and forest carbon stocks compared to unPAs</v>
      </c>
      <c r="B62" s="7">
        <v>153.0</v>
      </c>
      <c r="C62" s="7" t="s">
        <v>180</v>
      </c>
      <c r="D62" s="7" t="s">
        <v>1538</v>
      </c>
      <c r="F62" s="7" t="s">
        <v>1552</v>
      </c>
      <c r="J62" s="7" t="s">
        <v>374</v>
      </c>
      <c r="K62" s="7">
        <v>777.0</v>
      </c>
      <c r="M62" s="7" t="s">
        <v>2102</v>
      </c>
      <c r="N62" s="7" t="s">
        <v>2102</v>
      </c>
      <c r="O62" s="7" t="s">
        <v>1558</v>
      </c>
      <c r="Q62" s="7" t="s">
        <v>1558</v>
      </c>
      <c r="R62" s="7" t="s">
        <v>1558</v>
      </c>
      <c r="S62" s="7" t="s">
        <v>1803</v>
      </c>
      <c r="T62" s="7" t="s">
        <v>399</v>
      </c>
      <c r="U62" s="7" t="s">
        <v>2103</v>
      </c>
      <c r="V62" s="7">
        <v>5.0</v>
      </c>
      <c r="W62" s="7" t="s">
        <v>1541</v>
      </c>
      <c r="X62" s="7">
        <v>1.0</v>
      </c>
      <c r="Y62" s="7" t="s">
        <v>1638</v>
      </c>
      <c r="Z62" s="7" t="s">
        <v>1638</v>
      </c>
      <c r="AA62" s="7" t="s">
        <v>523</v>
      </c>
      <c r="AB62" s="7" t="s">
        <v>2104</v>
      </c>
      <c r="AC62" s="7" t="s">
        <v>523</v>
      </c>
      <c r="AD62" s="7" t="s">
        <v>379</v>
      </c>
      <c r="AF62" s="7" t="s">
        <v>379</v>
      </c>
      <c r="AH62" s="7" t="s">
        <v>371</v>
      </c>
      <c r="AI62" s="7" t="s">
        <v>2105</v>
      </c>
      <c r="AJ62" s="7" t="s">
        <v>371</v>
      </c>
      <c r="AK62" s="7" t="s">
        <v>2106</v>
      </c>
      <c r="AN62" s="7" t="s">
        <v>379</v>
      </c>
      <c r="AP62" s="7" t="s">
        <v>371</v>
      </c>
      <c r="AQ62" s="7" t="s">
        <v>2107</v>
      </c>
      <c r="AR62" s="7" t="s">
        <v>371</v>
      </c>
      <c r="AS62" s="7" t="s">
        <v>2108</v>
      </c>
      <c r="AT62" s="7" t="s">
        <v>385</v>
      </c>
      <c r="HM62" s="7" t="s">
        <v>2109</v>
      </c>
    </row>
    <row r="63" ht="14.25" customHeight="1">
      <c r="A63" s="7" t="str">
        <f t="shared" si="1"/>
        <v>Indigenous, colonist, and government Impacts on Nicaragua's Bosawas Reserve</v>
      </c>
      <c r="B63" s="7">
        <v>148.0</v>
      </c>
      <c r="C63" s="7" t="s">
        <v>246</v>
      </c>
      <c r="D63" s="7" t="s">
        <v>1553</v>
      </c>
      <c r="J63" s="7" t="s">
        <v>1554</v>
      </c>
      <c r="O63" s="7" t="s">
        <v>1558</v>
      </c>
      <c r="P63" s="7" t="s">
        <v>2110</v>
      </c>
      <c r="Q63" s="7" t="s">
        <v>371</v>
      </c>
      <c r="R63" s="7" t="s">
        <v>1558</v>
      </c>
      <c r="S63" s="7" t="s">
        <v>1978</v>
      </c>
      <c r="T63" s="7" t="s">
        <v>385</v>
      </c>
      <c r="U63" s="7" t="s">
        <v>2111</v>
      </c>
      <c r="V63" s="7" t="s">
        <v>2112</v>
      </c>
      <c r="W63" s="7" t="s">
        <v>1541</v>
      </c>
      <c r="X63" s="7">
        <v>1.0</v>
      </c>
      <c r="Y63" s="7" t="s">
        <v>1684</v>
      </c>
      <c r="Z63" s="7" t="s">
        <v>1684</v>
      </c>
      <c r="AA63" s="7" t="s">
        <v>743</v>
      </c>
      <c r="AB63" s="7" t="s">
        <v>2113</v>
      </c>
      <c r="AC63" s="7" t="s">
        <v>743</v>
      </c>
      <c r="AD63" s="7" t="s">
        <v>1589</v>
      </c>
      <c r="AE63" s="7" t="s">
        <v>2114</v>
      </c>
      <c r="AF63" s="7" t="s">
        <v>379</v>
      </c>
      <c r="AH63" s="7" t="s">
        <v>371</v>
      </c>
      <c r="AJ63" s="7" t="s">
        <v>379</v>
      </c>
      <c r="AL63" s="7" t="s">
        <v>379</v>
      </c>
      <c r="AN63" s="7" t="s">
        <v>379</v>
      </c>
      <c r="AP63" s="7" t="s">
        <v>1546</v>
      </c>
      <c r="AQ63" s="7" t="s">
        <v>2115</v>
      </c>
      <c r="AR63" s="7" t="s">
        <v>379</v>
      </c>
      <c r="AT63" s="7" t="s">
        <v>385</v>
      </c>
      <c r="HL63" s="7" t="s">
        <v>2116</v>
      </c>
      <c r="HM63" s="7" t="s">
        <v>2117</v>
      </c>
    </row>
    <row r="64" ht="14.25" customHeight="1">
      <c r="A64" s="7" t="str">
        <f t="shared" si="1"/>
        <v>Landscape Fragmentation in Qinling-Daba Mountains Nature Reserves and Its Influencing Factors</v>
      </c>
      <c r="B64" s="7">
        <v>147.0</v>
      </c>
      <c r="C64" s="7" t="s">
        <v>279</v>
      </c>
      <c r="D64" s="7" t="s">
        <v>1538</v>
      </c>
      <c r="F64" s="7" t="s">
        <v>1816</v>
      </c>
      <c r="J64" s="7" t="s">
        <v>1541</v>
      </c>
      <c r="K64" s="7">
        <v>1.0</v>
      </c>
      <c r="L64" s="7" t="s">
        <v>2118</v>
      </c>
      <c r="M64" s="7" t="s">
        <v>1920</v>
      </c>
      <c r="N64" s="7" t="s">
        <v>1920</v>
      </c>
      <c r="O64" s="7" t="s">
        <v>1556</v>
      </c>
      <c r="Q64" s="7" t="s">
        <v>371</v>
      </c>
      <c r="R64" s="7" t="s">
        <v>371</v>
      </c>
      <c r="T64" s="7" t="s">
        <v>371</v>
      </c>
      <c r="U64" s="7" t="s">
        <v>2119</v>
      </c>
      <c r="V64" s="7">
        <v>2.0</v>
      </c>
      <c r="W64" s="7" t="s">
        <v>1541</v>
      </c>
      <c r="X64" s="7">
        <v>1.0</v>
      </c>
      <c r="Y64" s="7" t="s">
        <v>1684</v>
      </c>
      <c r="Z64" s="7" t="s">
        <v>1684</v>
      </c>
      <c r="AA64" s="7" t="s">
        <v>743</v>
      </c>
      <c r="AB64" s="7" t="s">
        <v>2120</v>
      </c>
      <c r="AC64" s="7" t="s">
        <v>743</v>
      </c>
      <c r="AD64" s="7" t="s">
        <v>382</v>
      </c>
      <c r="AF64" s="7" t="s">
        <v>379</v>
      </c>
      <c r="AH64" s="7" t="s">
        <v>382</v>
      </c>
      <c r="AJ64" s="7" t="s">
        <v>379</v>
      </c>
      <c r="AL64" s="7" t="s">
        <v>379</v>
      </c>
      <c r="AN64" s="7" t="s">
        <v>379</v>
      </c>
      <c r="AP64" s="7" t="s">
        <v>382</v>
      </c>
      <c r="AR64" s="7" t="s">
        <v>371</v>
      </c>
      <c r="AS64" s="7" t="s">
        <v>2121</v>
      </c>
      <c r="AT64" s="7" t="s">
        <v>371</v>
      </c>
      <c r="BW64" s="7" t="s">
        <v>2122</v>
      </c>
      <c r="BX64" s="7">
        <v>1.0</v>
      </c>
      <c r="BY64" s="7" t="s">
        <v>2123</v>
      </c>
      <c r="BZ64" s="7" t="s">
        <v>1920</v>
      </c>
      <c r="CB64" s="7" t="s">
        <v>743</v>
      </c>
      <c r="CC64" s="7" t="s">
        <v>1784</v>
      </c>
      <c r="CD64" s="7" t="s">
        <v>2124</v>
      </c>
      <c r="CE64" s="7" t="s">
        <v>1544</v>
      </c>
      <c r="CF64" s="7" t="s">
        <v>2125</v>
      </c>
      <c r="CG64" s="7" t="s">
        <v>385</v>
      </c>
      <c r="CI64" s="7" t="s">
        <v>371</v>
      </c>
      <c r="CK64" s="7" t="s">
        <v>385</v>
      </c>
      <c r="DG64" s="7" t="s">
        <v>2122</v>
      </c>
      <c r="DH64" s="7">
        <v>1.0</v>
      </c>
      <c r="DI64" s="7" t="s">
        <v>2126</v>
      </c>
      <c r="DJ64" s="7" t="s">
        <v>1920</v>
      </c>
      <c r="DL64" s="7" t="s">
        <v>743</v>
      </c>
      <c r="DM64" s="7" t="s">
        <v>1567</v>
      </c>
      <c r="DN64" s="7" t="s">
        <v>2127</v>
      </c>
      <c r="DO64" s="7" t="s">
        <v>1567</v>
      </c>
      <c r="DP64" s="7" t="s">
        <v>2128</v>
      </c>
      <c r="DQ64" s="7" t="s">
        <v>1544</v>
      </c>
      <c r="DS64" s="7" t="s">
        <v>385</v>
      </c>
      <c r="DU64" s="7" t="s">
        <v>385</v>
      </c>
      <c r="HK64" s="7" t="s">
        <v>2129</v>
      </c>
    </row>
    <row r="65" ht="14.25" customHeight="1">
      <c r="A65" s="7" t="str">
        <f t="shared" si="1"/>
        <v>The Sanjiangyuan Nature Reserve Is Partially Effective in Mitigating Human Pressures</v>
      </c>
      <c r="B65" s="7">
        <v>132.0</v>
      </c>
      <c r="C65" s="14" t="s">
        <v>282</v>
      </c>
      <c r="D65" s="7" t="s">
        <v>1538</v>
      </c>
      <c r="J65" s="7" t="s">
        <v>374</v>
      </c>
      <c r="K65" s="7">
        <v>10.0</v>
      </c>
      <c r="M65" s="7" t="s">
        <v>1802</v>
      </c>
      <c r="N65" s="7" t="s">
        <v>1802</v>
      </c>
      <c r="O65" s="7" t="s">
        <v>1556</v>
      </c>
      <c r="P65" s="7" t="s">
        <v>2130</v>
      </c>
      <c r="Q65" s="7" t="s">
        <v>371</v>
      </c>
      <c r="R65" s="7" t="s">
        <v>1558</v>
      </c>
      <c r="T65" s="7" t="s">
        <v>371</v>
      </c>
      <c r="U65" s="7">
        <v>5.0</v>
      </c>
      <c r="V65" s="7">
        <v>5.0</v>
      </c>
      <c r="W65" s="7" t="s">
        <v>1541</v>
      </c>
      <c r="X65" s="7">
        <v>1.0</v>
      </c>
      <c r="Y65" s="7" t="s">
        <v>1638</v>
      </c>
      <c r="Z65" s="7" t="s">
        <v>1638</v>
      </c>
      <c r="AA65" s="7" t="s">
        <v>1756</v>
      </c>
      <c r="AB65" s="7" t="s">
        <v>2131</v>
      </c>
      <c r="AC65" s="7" t="s">
        <v>523</v>
      </c>
      <c r="AD65" s="7" t="s">
        <v>1589</v>
      </c>
      <c r="AE65" s="7" t="s">
        <v>2132</v>
      </c>
      <c r="AF65" s="7" t="s">
        <v>1567</v>
      </c>
      <c r="AG65" s="7" t="s">
        <v>2133</v>
      </c>
      <c r="AH65" s="7" t="s">
        <v>371</v>
      </c>
      <c r="AJ65" s="7" t="s">
        <v>379</v>
      </c>
      <c r="AL65" s="7" t="s">
        <v>379</v>
      </c>
      <c r="AN65" s="7" t="s">
        <v>371</v>
      </c>
      <c r="AO65" s="7" t="s">
        <v>2134</v>
      </c>
      <c r="AP65" s="7" t="s">
        <v>1546</v>
      </c>
      <c r="AQ65" s="7" t="s">
        <v>2135</v>
      </c>
      <c r="AT65" s="7" t="s">
        <v>385</v>
      </c>
      <c r="HL65" s="7" t="s">
        <v>2136</v>
      </c>
      <c r="HN65" s="7" t="s">
        <v>2137</v>
      </c>
    </row>
    <row r="66" ht="14.25" customHeight="1">
      <c r="A66" s="7" t="str">
        <f t="shared" si="1"/>
        <v>Effectiveness of the Natura 2000 network for freshwater fish conservation in a Mediterranean region</v>
      </c>
      <c r="B66" s="7">
        <v>128.0</v>
      </c>
      <c r="C66" s="7" t="s">
        <v>36</v>
      </c>
      <c r="D66" s="7" t="s">
        <v>1816</v>
      </c>
      <c r="E66" s="7" t="s">
        <v>2138</v>
      </c>
      <c r="F66" s="7" t="s">
        <v>1553</v>
      </c>
      <c r="J66" s="7" t="s">
        <v>1541</v>
      </c>
      <c r="K66" s="7">
        <v>1.0</v>
      </c>
      <c r="L66" s="7" t="s">
        <v>2139</v>
      </c>
      <c r="M66" s="7" t="s">
        <v>1802</v>
      </c>
      <c r="N66" s="7" t="s">
        <v>1802</v>
      </c>
      <c r="O66" s="7" t="s">
        <v>1540</v>
      </c>
      <c r="P66" s="7" t="s">
        <v>2140</v>
      </c>
      <c r="Q66" s="7" t="s">
        <v>371</v>
      </c>
      <c r="R66" s="7" t="s">
        <v>1558</v>
      </c>
      <c r="S66" s="7">
        <v>2003.0</v>
      </c>
      <c r="T66" s="7" t="s">
        <v>371</v>
      </c>
      <c r="U66" s="7" t="s">
        <v>2141</v>
      </c>
      <c r="V66" s="7" t="s">
        <v>1382</v>
      </c>
      <c r="W66" s="7" t="s">
        <v>374</v>
      </c>
      <c r="X66" s="7">
        <v>5.0</v>
      </c>
      <c r="Y66" s="7" t="s">
        <v>2142</v>
      </c>
      <c r="Z66" s="7" t="s">
        <v>2143</v>
      </c>
      <c r="AA66" s="7" t="s">
        <v>2144</v>
      </c>
      <c r="AB66" s="7" t="s">
        <v>2145</v>
      </c>
      <c r="AC66" s="7" t="s">
        <v>575</v>
      </c>
      <c r="AD66" s="7" t="s">
        <v>1567</v>
      </c>
      <c r="AE66" s="7" t="s">
        <v>2146</v>
      </c>
      <c r="AF66" s="7" t="s">
        <v>1784</v>
      </c>
      <c r="AG66" s="7" t="s">
        <v>2147</v>
      </c>
      <c r="AH66" s="7" t="s">
        <v>1652</v>
      </c>
      <c r="AI66" s="7" t="s">
        <v>2148</v>
      </c>
      <c r="AJ66" s="7" t="s">
        <v>379</v>
      </c>
      <c r="AL66" s="7" t="s">
        <v>379</v>
      </c>
      <c r="AN66" s="7" t="s">
        <v>379</v>
      </c>
      <c r="AP66" s="7" t="s">
        <v>1546</v>
      </c>
      <c r="AQ66" s="7" t="s">
        <v>2149</v>
      </c>
      <c r="AR66" s="7" t="s">
        <v>379</v>
      </c>
      <c r="AT66" s="7" t="s">
        <v>385</v>
      </c>
      <c r="AU66" s="7" t="s">
        <v>451</v>
      </c>
      <c r="AV66" s="7" t="s">
        <v>1784</v>
      </c>
      <c r="AX66" s="7" t="s">
        <v>1784</v>
      </c>
      <c r="AZ66" s="7" t="s">
        <v>1652</v>
      </c>
      <c r="BA66" s="7" t="s">
        <v>2150</v>
      </c>
      <c r="BB66" s="7" t="s">
        <v>1664</v>
      </c>
      <c r="BC66" s="7" t="s">
        <v>1750</v>
      </c>
      <c r="BD66" s="7" t="s">
        <v>2151</v>
      </c>
      <c r="BE66" s="7" t="s">
        <v>1750</v>
      </c>
      <c r="BF66" s="7" t="s">
        <v>2151</v>
      </c>
      <c r="BG66" s="7" t="s">
        <v>385</v>
      </c>
      <c r="BI66" s="7" t="s">
        <v>1587</v>
      </c>
      <c r="BJ66" s="7" t="s">
        <v>1784</v>
      </c>
      <c r="BK66" s="7" t="s">
        <v>2152</v>
      </c>
      <c r="BL66" s="7" t="s">
        <v>1784</v>
      </c>
      <c r="BN66" s="7" t="s">
        <v>1652</v>
      </c>
      <c r="BP66" s="7" t="s">
        <v>523</v>
      </c>
      <c r="BQ66" s="7" t="s">
        <v>1544</v>
      </c>
      <c r="BS66" s="7" t="s">
        <v>1544</v>
      </c>
      <c r="BU66" s="7" t="s">
        <v>1544</v>
      </c>
      <c r="HK66" s="7" t="s">
        <v>2153</v>
      </c>
      <c r="HL66" s="7" t="s">
        <v>2154</v>
      </c>
      <c r="HO66" s="7" t="s">
        <v>2155</v>
      </c>
    </row>
    <row r="67" ht="14.25" customHeight="1">
      <c r="A67" s="7" t="str">
        <f t="shared" si="1"/>
        <v>Illegal settlement in the Babile Elephant Sanctuary is threatening the resident elephant population</v>
      </c>
      <c r="B67" s="7">
        <v>125.0</v>
      </c>
      <c r="C67" s="7" t="s">
        <v>323</v>
      </c>
      <c r="D67" s="7" t="s">
        <v>1553</v>
      </c>
      <c r="J67" s="7" t="s">
        <v>374</v>
      </c>
      <c r="K67" s="7" t="s">
        <v>2156</v>
      </c>
      <c r="M67" s="7" t="s">
        <v>1604</v>
      </c>
      <c r="N67" s="7" t="s">
        <v>1604</v>
      </c>
      <c r="Q67" s="7" t="s">
        <v>1558</v>
      </c>
      <c r="R67" s="7" t="s">
        <v>1558</v>
      </c>
      <c r="T67" s="7" t="s">
        <v>2157</v>
      </c>
      <c r="U67" s="7" t="s">
        <v>2158</v>
      </c>
      <c r="V67" s="7">
        <v>3.0</v>
      </c>
      <c r="W67" s="7" t="s">
        <v>1559</v>
      </c>
      <c r="X67" s="7">
        <v>4.0</v>
      </c>
      <c r="Y67" s="7" t="s">
        <v>2159</v>
      </c>
      <c r="Z67" s="7" t="s">
        <v>2160</v>
      </c>
      <c r="AA67" s="7" t="s">
        <v>2161</v>
      </c>
      <c r="AB67" s="7" t="s">
        <v>2162</v>
      </c>
      <c r="AC67" s="7" t="s">
        <v>575</v>
      </c>
      <c r="AD67" s="7" t="s">
        <v>379</v>
      </c>
      <c r="AF67" s="7" t="s">
        <v>379</v>
      </c>
      <c r="AH67" s="7" t="s">
        <v>1544</v>
      </c>
      <c r="AI67" s="7" t="s">
        <v>2163</v>
      </c>
      <c r="AJ67" s="7" t="s">
        <v>379</v>
      </c>
      <c r="AL67" s="7" t="s">
        <v>379</v>
      </c>
      <c r="AN67" s="7" t="s">
        <v>379</v>
      </c>
      <c r="AP67" s="7" t="s">
        <v>385</v>
      </c>
      <c r="AQ67" s="7" t="s">
        <v>2164</v>
      </c>
      <c r="AR67" s="7" t="s">
        <v>379</v>
      </c>
      <c r="AT67" s="7" t="s">
        <v>385</v>
      </c>
      <c r="AU67" s="7" t="s">
        <v>523</v>
      </c>
      <c r="AV67" s="7" t="s">
        <v>379</v>
      </c>
      <c r="AX67" s="7" t="s">
        <v>379</v>
      </c>
      <c r="AZ67" s="7" t="s">
        <v>371</v>
      </c>
      <c r="BA67" s="7" t="s">
        <v>2165</v>
      </c>
      <c r="BB67" s="7" t="s">
        <v>2166</v>
      </c>
      <c r="BC67" s="7" t="s">
        <v>379</v>
      </c>
      <c r="BE67" s="7" t="s">
        <v>379</v>
      </c>
      <c r="BG67" s="7" t="s">
        <v>371</v>
      </c>
      <c r="BH67" s="7" t="s">
        <v>2167</v>
      </c>
      <c r="BI67" s="7" t="s">
        <v>787</v>
      </c>
      <c r="BJ67" s="7" t="s">
        <v>379</v>
      </c>
      <c r="BL67" s="7" t="s">
        <v>379</v>
      </c>
      <c r="BN67" s="7" t="s">
        <v>1544</v>
      </c>
      <c r="BO67" s="7" t="s">
        <v>2168</v>
      </c>
      <c r="HO67" s="7" t="s">
        <v>2169</v>
      </c>
    </row>
    <row r="68" ht="14.25" customHeight="1">
      <c r="A68" s="7" t="str">
        <f t="shared" si="1"/>
        <v>Evaluating heterogeneous conservation effects of forest protection in Indonesia</v>
      </c>
      <c r="B68" s="7">
        <v>117.0</v>
      </c>
      <c r="C68" s="7" t="s">
        <v>261</v>
      </c>
      <c r="D68" s="7" t="s">
        <v>1553</v>
      </c>
      <c r="J68" s="7" t="s">
        <v>1541</v>
      </c>
      <c r="K68" s="7">
        <v>1.0</v>
      </c>
      <c r="L68" s="7" t="s">
        <v>2170</v>
      </c>
      <c r="O68" s="7" t="s">
        <v>1558</v>
      </c>
      <c r="Q68" s="7" t="s">
        <v>385</v>
      </c>
      <c r="R68" s="7" t="s">
        <v>385</v>
      </c>
      <c r="S68" s="7">
        <v>1970.0</v>
      </c>
      <c r="T68" s="7" t="s">
        <v>399</v>
      </c>
      <c r="W68" s="7" t="s">
        <v>1541</v>
      </c>
      <c r="X68" s="7">
        <v>1.0</v>
      </c>
      <c r="Y68" s="7" t="s">
        <v>1605</v>
      </c>
      <c r="Z68" s="7" t="s">
        <v>1605</v>
      </c>
      <c r="AA68" s="7" t="s">
        <v>2171</v>
      </c>
      <c r="AB68" s="7" t="s">
        <v>2172</v>
      </c>
      <c r="AC68" s="7" t="s">
        <v>451</v>
      </c>
      <c r="AD68" s="7" t="s">
        <v>1567</v>
      </c>
      <c r="AE68" s="7" t="s">
        <v>2173</v>
      </c>
      <c r="AF68" s="7" t="s">
        <v>1567</v>
      </c>
      <c r="AG68" s="7" t="s">
        <v>2173</v>
      </c>
      <c r="AH68" s="7" t="s">
        <v>385</v>
      </c>
      <c r="AI68" s="7" t="s">
        <v>2174</v>
      </c>
      <c r="AJ68" s="7" t="s">
        <v>379</v>
      </c>
      <c r="AL68" s="7" t="s">
        <v>379</v>
      </c>
      <c r="AN68" s="7" t="s">
        <v>371</v>
      </c>
      <c r="AP68" s="7" t="s">
        <v>385</v>
      </c>
      <c r="AQ68" s="7" t="s">
        <v>2175</v>
      </c>
      <c r="AR68" s="7" t="s">
        <v>379</v>
      </c>
      <c r="AT68" s="7" t="s">
        <v>385</v>
      </c>
      <c r="HK68" s="7" t="s">
        <v>2176</v>
      </c>
      <c r="HL68" s="7" t="s">
        <v>2177</v>
      </c>
      <c r="HN68" s="7" t="s">
        <v>2178</v>
      </c>
    </row>
    <row r="69" ht="14.25" customHeight="1">
      <c r="A69" s="7" t="str">
        <f t="shared" si="1"/>
        <v>Does the Establishment of Sustainable Use Reserves Affect Fire Management in the Humid Tropics?</v>
      </c>
      <c r="B69" s="7">
        <v>113.0</v>
      </c>
      <c r="C69" s="7" t="s">
        <v>264</v>
      </c>
      <c r="D69" s="7" t="s">
        <v>1553</v>
      </c>
      <c r="J69" s="7" t="s">
        <v>374</v>
      </c>
      <c r="K69" s="7">
        <v>7.0</v>
      </c>
      <c r="M69" s="7" t="s">
        <v>1539</v>
      </c>
      <c r="N69" s="7" t="s">
        <v>1539</v>
      </c>
      <c r="O69" s="7" t="s">
        <v>1558</v>
      </c>
      <c r="Q69" s="7" t="s">
        <v>371</v>
      </c>
      <c r="R69" s="7" t="s">
        <v>1558</v>
      </c>
      <c r="S69" s="7" t="s">
        <v>2179</v>
      </c>
      <c r="T69" s="7" t="s">
        <v>399</v>
      </c>
      <c r="U69" s="7" t="s">
        <v>379</v>
      </c>
      <c r="V69" s="7" t="s">
        <v>1382</v>
      </c>
      <c r="W69" s="7" t="s">
        <v>1541</v>
      </c>
      <c r="X69" s="7">
        <v>1.0</v>
      </c>
      <c r="Y69" s="7" t="s">
        <v>1684</v>
      </c>
      <c r="Z69" s="7" t="s">
        <v>1684</v>
      </c>
      <c r="AA69" s="7" t="s">
        <v>743</v>
      </c>
      <c r="AB69" s="7" t="s">
        <v>2180</v>
      </c>
      <c r="AC69" s="7" t="s">
        <v>743</v>
      </c>
      <c r="AD69" s="7" t="s">
        <v>379</v>
      </c>
      <c r="AF69" s="7" t="s">
        <v>379</v>
      </c>
      <c r="AH69" s="7" t="s">
        <v>1544</v>
      </c>
      <c r="AI69" s="7" t="s">
        <v>2181</v>
      </c>
      <c r="AJ69" s="7" t="s">
        <v>379</v>
      </c>
      <c r="AL69" s="7" t="s">
        <v>379</v>
      </c>
      <c r="AN69" s="7" t="s">
        <v>379</v>
      </c>
      <c r="AP69" s="7" t="s">
        <v>1546</v>
      </c>
      <c r="AQ69" s="7" t="s">
        <v>2182</v>
      </c>
      <c r="AR69" s="7" t="s">
        <v>371</v>
      </c>
      <c r="AT69" s="7" t="s">
        <v>385</v>
      </c>
      <c r="HM69" s="7" t="s">
        <v>2183</v>
      </c>
      <c r="HN69" s="7" t="s">
        <v>2184</v>
      </c>
    </row>
    <row r="70" ht="14.25" customHeight="1">
      <c r="A70" s="7" t="str">
        <f t="shared" si="1"/>
        <v>Landscape Changes in PAs in Poland</v>
      </c>
      <c r="B70" s="7">
        <v>112.0</v>
      </c>
      <c r="C70" s="14" t="s">
        <v>300</v>
      </c>
      <c r="D70" s="7" t="s">
        <v>1536</v>
      </c>
      <c r="E70" s="7" t="s">
        <v>2185</v>
      </c>
      <c r="F70" s="7" t="s">
        <v>1552</v>
      </c>
      <c r="G70" s="7" t="s">
        <v>2186</v>
      </c>
      <c r="I70" s="7" t="s">
        <v>2187</v>
      </c>
      <c r="J70" s="7" t="s">
        <v>374</v>
      </c>
      <c r="K70" s="7">
        <v>49.0</v>
      </c>
      <c r="L70" s="7" t="s">
        <v>379</v>
      </c>
      <c r="M70" s="7" t="s">
        <v>2188</v>
      </c>
      <c r="N70" s="7" t="s">
        <v>2188</v>
      </c>
      <c r="O70" s="7" t="s">
        <v>1558</v>
      </c>
      <c r="P70" s="7" t="s">
        <v>379</v>
      </c>
      <c r="Q70" s="7" t="s">
        <v>1558</v>
      </c>
      <c r="R70" s="7" t="s">
        <v>1558</v>
      </c>
      <c r="S70" s="7" t="s">
        <v>2189</v>
      </c>
      <c r="T70" s="7" t="s">
        <v>399</v>
      </c>
      <c r="U70" s="7" t="s">
        <v>1657</v>
      </c>
      <c r="V70" s="7">
        <v>10.0</v>
      </c>
      <c r="W70" s="7" t="s">
        <v>1541</v>
      </c>
      <c r="X70" s="7">
        <v>1.0</v>
      </c>
      <c r="Y70" s="7" t="s">
        <v>1542</v>
      </c>
      <c r="Z70" s="7" t="s">
        <v>1542</v>
      </c>
      <c r="AA70" s="7" t="s">
        <v>469</v>
      </c>
      <c r="AB70" s="7" t="s">
        <v>2190</v>
      </c>
      <c r="AC70" s="7" t="s">
        <v>469</v>
      </c>
      <c r="AD70" s="7" t="s">
        <v>1544</v>
      </c>
      <c r="AE70" s="7" t="s">
        <v>2191</v>
      </c>
      <c r="AF70" s="7" t="s">
        <v>1567</v>
      </c>
      <c r="AG70" s="7" t="s">
        <v>2192</v>
      </c>
      <c r="AH70" s="7" t="s">
        <v>371</v>
      </c>
      <c r="AJ70" s="7" t="s">
        <v>379</v>
      </c>
      <c r="AL70" s="7" t="s">
        <v>379</v>
      </c>
      <c r="AM70" s="7" t="s">
        <v>379</v>
      </c>
      <c r="AN70" s="7" t="s">
        <v>379</v>
      </c>
      <c r="AO70" s="7" t="s">
        <v>379</v>
      </c>
      <c r="AP70" s="7" t="s">
        <v>385</v>
      </c>
      <c r="AQ70" s="7" t="s">
        <v>2193</v>
      </c>
      <c r="AR70" s="7" t="s">
        <v>371</v>
      </c>
      <c r="AS70" s="7" t="s">
        <v>2194</v>
      </c>
      <c r="AT70" s="7" t="s">
        <v>385</v>
      </c>
      <c r="HM70" s="7" t="s">
        <v>2195</v>
      </c>
      <c r="HN70" s="7" t="s">
        <v>2196</v>
      </c>
    </row>
    <row r="71" ht="14.25" customHeight="1">
      <c r="A71" s="7" t="str">
        <f t="shared" si="1"/>
        <v>Relating Country-Level Governance and Tree Cover Loss in Sub-Saharan African PAs: Identifying Knowledge Gaps and a More Nuanced Perspective</v>
      </c>
      <c r="B71" s="7">
        <v>105.0</v>
      </c>
      <c r="C71" s="7" t="s">
        <v>39</v>
      </c>
      <c r="D71" s="7" t="s">
        <v>1538</v>
      </c>
      <c r="F71" s="7" t="s">
        <v>1552</v>
      </c>
      <c r="J71" s="7" t="s">
        <v>1554</v>
      </c>
      <c r="M71" s="7" t="s">
        <v>2197</v>
      </c>
      <c r="N71" s="7" t="s">
        <v>2197</v>
      </c>
      <c r="O71" s="7" t="s">
        <v>1556</v>
      </c>
      <c r="Q71" s="7" t="s">
        <v>371</v>
      </c>
      <c r="R71" s="7" t="s">
        <v>1558</v>
      </c>
      <c r="T71" s="7" t="s">
        <v>371</v>
      </c>
      <c r="U71" s="7" t="s">
        <v>2198</v>
      </c>
      <c r="V71" s="7">
        <v>1.0</v>
      </c>
      <c r="W71" s="7" t="s">
        <v>374</v>
      </c>
      <c r="X71" s="7">
        <v>3.0</v>
      </c>
      <c r="Y71" s="7" t="s">
        <v>1840</v>
      </c>
      <c r="Z71" s="7" t="s">
        <v>1840</v>
      </c>
      <c r="AA71" s="7" t="s">
        <v>1841</v>
      </c>
      <c r="AB71" s="7" t="s">
        <v>2199</v>
      </c>
      <c r="AC71" s="7" t="s">
        <v>743</v>
      </c>
      <c r="AD71" s="7" t="s">
        <v>1589</v>
      </c>
      <c r="AE71" s="7" t="s">
        <v>2200</v>
      </c>
      <c r="AF71" s="7" t="s">
        <v>1589</v>
      </c>
      <c r="AG71" s="7">
        <v>83.0</v>
      </c>
      <c r="AH71" s="7" t="s">
        <v>371</v>
      </c>
      <c r="AJ71" s="7" t="s">
        <v>371</v>
      </c>
      <c r="AK71" s="7" t="s">
        <v>2201</v>
      </c>
      <c r="AL71" s="7" t="s">
        <v>379</v>
      </c>
      <c r="AN71" s="7" t="s">
        <v>379</v>
      </c>
      <c r="AP71" s="7" t="s">
        <v>371</v>
      </c>
      <c r="AQ71" s="7" t="s">
        <v>2202</v>
      </c>
      <c r="AR71" s="7" t="s">
        <v>385</v>
      </c>
      <c r="AT71" s="7" t="s">
        <v>385</v>
      </c>
      <c r="AU71" s="7" t="s">
        <v>1664</v>
      </c>
      <c r="AV71" s="7" t="s">
        <v>1589</v>
      </c>
      <c r="AW71" s="7">
        <v>-244.0</v>
      </c>
      <c r="AX71" s="7" t="s">
        <v>1589</v>
      </c>
      <c r="AY71" s="7">
        <v>-132.0</v>
      </c>
      <c r="AZ71" s="7" t="s">
        <v>371</v>
      </c>
      <c r="BB71" s="7" t="s">
        <v>451</v>
      </c>
      <c r="BC71" s="7" t="s">
        <v>1567</v>
      </c>
      <c r="BD71" s="7" t="s">
        <v>2203</v>
      </c>
      <c r="BE71" s="7" t="s">
        <v>1567</v>
      </c>
      <c r="BF71" s="7">
        <v>158.0</v>
      </c>
      <c r="BG71" s="7" t="s">
        <v>385</v>
      </c>
    </row>
    <row r="72" ht="14.25" customHeight="1">
      <c r="A72" s="7" t="str">
        <f t="shared" si="1"/>
        <v>Indicators for Assessing Habitat Values and Pressures for PAs-An Integrated Habitat and Land Cover Change Approach for the Udzungwa Mountains National Park in United Republic of Tanzania</v>
      </c>
      <c r="B72" s="7">
        <v>102.0</v>
      </c>
      <c r="C72" s="7" t="s">
        <v>294</v>
      </c>
      <c r="D72" s="7" t="s">
        <v>1536</v>
      </c>
      <c r="E72" s="7" t="s">
        <v>2204</v>
      </c>
      <c r="J72" s="7" t="s">
        <v>1554</v>
      </c>
      <c r="K72" s="7">
        <v>5797.0</v>
      </c>
      <c r="L72" s="7" t="s">
        <v>379</v>
      </c>
      <c r="M72" s="7" t="s">
        <v>379</v>
      </c>
      <c r="N72" s="7" t="s">
        <v>379</v>
      </c>
      <c r="O72" s="7" t="s">
        <v>1556</v>
      </c>
      <c r="P72" s="7" t="s">
        <v>1556</v>
      </c>
      <c r="Q72" s="7" t="s">
        <v>371</v>
      </c>
      <c r="R72" s="7" t="s">
        <v>1558</v>
      </c>
      <c r="S72" s="7" t="s">
        <v>2205</v>
      </c>
      <c r="T72" s="7" t="s">
        <v>399</v>
      </c>
      <c r="U72" s="7" t="s">
        <v>379</v>
      </c>
      <c r="V72" s="7" t="s">
        <v>1382</v>
      </c>
      <c r="W72" s="7" t="s">
        <v>1541</v>
      </c>
      <c r="X72" s="7">
        <v>1.0</v>
      </c>
      <c r="Y72" s="7" t="s">
        <v>1684</v>
      </c>
      <c r="Z72" s="7" t="s">
        <v>1684</v>
      </c>
      <c r="AA72" s="7" t="s">
        <v>743</v>
      </c>
      <c r="AB72" s="7" t="s">
        <v>2206</v>
      </c>
      <c r="AC72" s="7" t="s">
        <v>743</v>
      </c>
      <c r="AD72" s="7" t="s">
        <v>1567</v>
      </c>
      <c r="AE72" s="7" t="s">
        <v>2207</v>
      </c>
      <c r="AF72" s="7" t="s">
        <v>379</v>
      </c>
      <c r="AG72" s="7" t="s">
        <v>379</v>
      </c>
      <c r="AH72" s="7" t="s">
        <v>379</v>
      </c>
      <c r="AI72" s="7" t="s">
        <v>379</v>
      </c>
      <c r="AJ72" s="7" t="s">
        <v>379</v>
      </c>
      <c r="AL72" s="7" t="s">
        <v>371</v>
      </c>
      <c r="AM72" s="7" t="s">
        <v>2208</v>
      </c>
      <c r="AN72" s="7" t="s">
        <v>379</v>
      </c>
      <c r="AP72" s="7" t="s">
        <v>1546</v>
      </c>
      <c r="AQ72" s="7" t="s">
        <v>2209</v>
      </c>
      <c r="AR72" s="7" t="s">
        <v>379</v>
      </c>
      <c r="AS72" s="7" t="s">
        <v>379</v>
      </c>
      <c r="AT72" s="7" t="s">
        <v>385</v>
      </c>
      <c r="HM72" s="7" t="s">
        <v>2210</v>
      </c>
      <c r="HN72" s="7" t="s">
        <v>2211</v>
      </c>
    </row>
    <row r="73" ht="14.25" customHeight="1">
      <c r="A73" s="7" t="str">
        <f t="shared" si="1"/>
        <v>Assessing the role of PAs in the land-use change dynamics of a biodiversity hotspot</v>
      </c>
      <c r="B73" s="7">
        <v>98.0</v>
      </c>
      <c r="C73" s="7" t="s">
        <v>81</v>
      </c>
      <c r="D73" s="7" t="s">
        <v>1538</v>
      </c>
      <c r="E73" s="7" t="s">
        <v>2212</v>
      </c>
      <c r="G73" s="7" t="s">
        <v>379</v>
      </c>
      <c r="J73" s="7" t="s">
        <v>1541</v>
      </c>
      <c r="K73" s="7">
        <v>1.0</v>
      </c>
      <c r="L73" s="7" t="s">
        <v>2213</v>
      </c>
      <c r="M73" s="7" t="s">
        <v>1539</v>
      </c>
      <c r="N73" s="7" t="s">
        <v>1539</v>
      </c>
      <c r="O73" s="7" t="s">
        <v>1540</v>
      </c>
      <c r="P73" s="7" t="s">
        <v>379</v>
      </c>
      <c r="Q73" s="7" t="s">
        <v>1558</v>
      </c>
      <c r="R73" s="7" t="s">
        <v>1558</v>
      </c>
      <c r="S73" s="7">
        <v>1992.0</v>
      </c>
      <c r="T73" s="7" t="s">
        <v>399</v>
      </c>
      <c r="U73" s="7" t="s">
        <v>1626</v>
      </c>
      <c r="V73" s="7">
        <v>20.0</v>
      </c>
      <c r="W73" s="7" t="s">
        <v>374</v>
      </c>
      <c r="X73" s="7">
        <v>4.0</v>
      </c>
      <c r="Y73" s="7" t="s">
        <v>1781</v>
      </c>
      <c r="Z73" s="7" t="s">
        <v>1781</v>
      </c>
      <c r="AA73" s="7" t="s">
        <v>2214</v>
      </c>
      <c r="AB73" s="7" t="s">
        <v>2215</v>
      </c>
      <c r="AC73" s="7" t="s">
        <v>523</v>
      </c>
      <c r="AD73" s="7" t="s">
        <v>1544</v>
      </c>
      <c r="AE73" s="7" t="s">
        <v>2216</v>
      </c>
      <c r="AF73" s="7" t="s">
        <v>1567</v>
      </c>
      <c r="AG73" s="7" t="s">
        <v>2217</v>
      </c>
      <c r="AH73" s="7" t="s">
        <v>379</v>
      </c>
      <c r="AJ73" s="7" t="s">
        <v>379</v>
      </c>
      <c r="AL73" s="7" t="s">
        <v>379</v>
      </c>
      <c r="AN73" s="7" t="s">
        <v>379</v>
      </c>
      <c r="AO73" s="7" t="s">
        <v>379</v>
      </c>
      <c r="AP73" s="7" t="s">
        <v>1546</v>
      </c>
      <c r="AQ73" s="7" t="s">
        <v>2218</v>
      </c>
      <c r="AR73" s="7" t="s">
        <v>379</v>
      </c>
      <c r="AS73" s="7" t="s">
        <v>379</v>
      </c>
      <c r="AT73" s="7" t="s">
        <v>385</v>
      </c>
      <c r="AU73" s="7" t="s">
        <v>1664</v>
      </c>
      <c r="AV73" s="7" t="s">
        <v>379</v>
      </c>
      <c r="AX73" s="7" t="s">
        <v>1567</v>
      </c>
      <c r="AY73" s="7" t="s">
        <v>2219</v>
      </c>
      <c r="AZ73" s="7" t="s">
        <v>379</v>
      </c>
      <c r="BB73" s="7" t="s">
        <v>451</v>
      </c>
      <c r="BC73" s="7" t="s">
        <v>379</v>
      </c>
      <c r="BE73" s="7" t="s">
        <v>1567</v>
      </c>
      <c r="BF73" s="7" t="s">
        <v>2075</v>
      </c>
      <c r="BI73" s="7" t="s">
        <v>743</v>
      </c>
      <c r="BJ73" s="7" t="s">
        <v>1544</v>
      </c>
      <c r="BL73" s="7" t="s">
        <v>1567</v>
      </c>
      <c r="BM73" s="7" t="s">
        <v>2220</v>
      </c>
      <c r="HK73" s="7" t="s">
        <v>2221</v>
      </c>
      <c r="HL73" s="7" t="s">
        <v>379</v>
      </c>
      <c r="HM73" s="7" t="s">
        <v>379</v>
      </c>
      <c r="HN73" s="7" t="s">
        <v>2222</v>
      </c>
    </row>
    <row r="74" ht="14.25" customHeight="1">
      <c r="A74" s="7" t="str">
        <f t="shared" si="1"/>
        <v>Landscape fragmentation of the Natura 2000 network and its surrounding areas</v>
      </c>
      <c r="B74" s="7">
        <v>96.0</v>
      </c>
      <c r="C74" s="7" t="s">
        <v>267</v>
      </c>
      <c r="D74" s="7" t="s">
        <v>1538</v>
      </c>
      <c r="F74" s="7" t="s">
        <v>1552</v>
      </c>
      <c r="J74" s="7" t="s">
        <v>1554</v>
      </c>
      <c r="K74" s="7">
        <v>3.0</v>
      </c>
      <c r="L74" s="7" t="s">
        <v>2223</v>
      </c>
      <c r="M74" s="7" t="s">
        <v>2224</v>
      </c>
      <c r="N74" s="7" t="s">
        <v>2224</v>
      </c>
      <c r="O74" s="7" t="s">
        <v>1556</v>
      </c>
      <c r="Q74" s="7" t="s">
        <v>371</v>
      </c>
      <c r="R74" s="7" t="s">
        <v>1558</v>
      </c>
      <c r="S74" s="7">
        <v>1998.0</v>
      </c>
      <c r="T74" s="7" t="s">
        <v>371</v>
      </c>
      <c r="U74" s="7" t="s">
        <v>2225</v>
      </c>
      <c r="V74" s="7">
        <v>50.0</v>
      </c>
      <c r="W74" s="7" t="s">
        <v>374</v>
      </c>
      <c r="X74" s="7">
        <v>2.0</v>
      </c>
      <c r="Y74" s="7" t="s">
        <v>2000</v>
      </c>
      <c r="Z74" s="7" t="s">
        <v>2000</v>
      </c>
      <c r="AA74" s="7" t="s">
        <v>2226</v>
      </c>
      <c r="AB74" s="7" t="s">
        <v>2227</v>
      </c>
      <c r="AC74" s="7" t="s">
        <v>743</v>
      </c>
      <c r="AD74" s="7" t="s">
        <v>382</v>
      </c>
      <c r="AF74" s="7" t="s">
        <v>382</v>
      </c>
      <c r="AH74" s="7" t="s">
        <v>382</v>
      </c>
      <c r="AJ74" s="7" t="s">
        <v>371</v>
      </c>
      <c r="AK74" s="7" t="s">
        <v>2228</v>
      </c>
      <c r="AP74" s="7" t="s">
        <v>1546</v>
      </c>
      <c r="AQ74" s="7" t="s">
        <v>2229</v>
      </c>
      <c r="AR74" s="7" t="s">
        <v>382</v>
      </c>
      <c r="AT74" s="7" t="s">
        <v>371</v>
      </c>
      <c r="BW74" s="7" t="s">
        <v>437</v>
      </c>
      <c r="BX74" s="7">
        <v>1.0</v>
      </c>
      <c r="BY74" s="7" t="s">
        <v>2230</v>
      </c>
      <c r="BZ74" s="7" t="s">
        <v>2231</v>
      </c>
      <c r="CA74" s="7">
        <v>1997.0</v>
      </c>
      <c r="CB74" s="7" t="s">
        <v>743</v>
      </c>
      <c r="CC74" s="7" t="s">
        <v>1589</v>
      </c>
      <c r="CD74" s="7" t="s">
        <v>2232</v>
      </c>
      <c r="CE74" s="7" t="s">
        <v>1589</v>
      </c>
      <c r="CF74" s="7" t="s">
        <v>2233</v>
      </c>
      <c r="CG74" s="7" t="s">
        <v>371</v>
      </c>
      <c r="CH74" s="7" t="s">
        <v>371</v>
      </c>
      <c r="CK74" s="7" t="s">
        <v>1546</v>
      </c>
      <c r="CL74" s="7" t="s">
        <v>1664</v>
      </c>
      <c r="CM74" s="7" t="s">
        <v>1567</v>
      </c>
      <c r="CN74" s="7" t="s">
        <v>2234</v>
      </c>
      <c r="CO74" s="7" t="s">
        <v>1567</v>
      </c>
      <c r="CP74" s="7" t="s">
        <v>2235</v>
      </c>
      <c r="CQ74" s="7" t="s">
        <v>1544</v>
      </c>
      <c r="DG74" s="7" t="s">
        <v>437</v>
      </c>
      <c r="DH74" s="7">
        <v>2.0</v>
      </c>
      <c r="DI74" s="7" t="s">
        <v>2236</v>
      </c>
      <c r="DJ74" s="7" t="s">
        <v>2237</v>
      </c>
      <c r="DK74" s="7">
        <v>1997.0</v>
      </c>
      <c r="DL74" s="7" t="s">
        <v>743</v>
      </c>
      <c r="DM74" s="7" t="s">
        <v>1589</v>
      </c>
      <c r="DN74" s="7" t="s">
        <v>2238</v>
      </c>
      <c r="DO74" s="7" t="s">
        <v>1589</v>
      </c>
      <c r="DP74" s="7" t="s">
        <v>2233</v>
      </c>
      <c r="DQ74" s="7" t="s">
        <v>371</v>
      </c>
      <c r="DR74" s="7" t="s">
        <v>2239</v>
      </c>
      <c r="DU74" s="7" t="s">
        <v>1546</v>
      </c>
      <c r="DV74" s="7" t="s">
        <v>1664</v>
      </c>
      <c r="DW74" s="7" t="s">
        <v>1544</v>
      </c>
      <c r="DX74" s="7" t="s">
        <v>2240</v>
      </c>
      <c r="DY74" s="7" t="s">
        <v>1567</v>
      </c>
      <c r="DZ74" s="7" t="s">
        <v>2235</v>
      </c>
      <c r="EA74" s="7" t="s">
        <v>371</v>
      </c>
      <c r="HK74" s="7" t="s">
        <v>1828</v>
      </c>
      <c r="HL74" s="7" t="s">
        <v>2241</v>
      </c>
      <c r="HM74" s="7" t="s">
        <v>1918</v>
      </c>
    </row>
    <row r="75" ht="14.25" customHeight="1">
      <c r="A75" s="7" t="str">
        <f t="shared" si="1"/>
        <v>Biological quality of running waters in PAs: the influence of size and land use</v>
      </c>
      <c r="B75" s="7">
        <v>94.0</v>
      </c>
      <c r="C75" s="7" t="s">
        <v>326</v>
      </c>
      <c r="D75" s="7" t="s">
        <v>1538</v>
      </c>
      <c r="J75" s="7" t="s">
        <v>374</v>
      </c>
      <c r="K75" s="7">
        <v>15390.0</v>
      </c>
      <c r="L75" s="7" t="s">
        <v>1860</v>
      </c>
      <c r="M75" s="7" t="s">
        <v>1583</v>
      </c>
      <c r="N75" s="7" t="s">
        <v>1583</v>
      </c>
      <c r="O75" s="7" t="s">
        <v>1556</v>
      </c>
      <c r="Q75" s="7" t="s">
        <v>1558</v>
      </c>
      <c r="R75" s="7" t="s">
        <v>1558</v>
      </c>
      <c r="S75" s="7" t="s">
        <v>2242</v>
      </c>
      <c r="T75" s="7" t="s">
        <v>399</v>
      </c>
      <c r="U75" s="7" t="s">
        <v>1796</v>
      </c>
      <c r="V75" s="7">
        <v>5.0</v>
      </c>
      <c r="W75" s="7" t="s">
        <v>1541</v>
      </c>
      <c r="X75" s="7">
        <v>1.0</v>
      </c>
      <c r="Y75" s="7" t="s">
        <v>1638</v>
      </c>
      <c r="Z75" s="7" t="s">
        <v>1638</v>
      </c>
      <c r="AA75" s="7" t="s">
        <v>1756</v>
      </c>
      <c r="AB75" s="7" t="s">
        <v>2243</v>
      </c>
      <c r="AC75" s="7" t="s">
        <v>523</v>
      </c>
      <c r="AD75" s="7" t="s">
        <v>379</v>
      </c>
      <c r="AE75" s="7" t="s">
        <v>2244</v>
      </c>
      <c r="AF75" s="7" t="s">
        <v>379</v>
      </c>
      <c r="AH75" s="7" t="s">
        <v>1544</v>
      </c>
      <c r="AI75" s="7" t="s">
        <v>2245</v>
      </c>
      <c r="AJ75" s="7" t="s">
        <v>379</v>
      </c>
      <c r="AL75" s="7" t="s">
        <v>379</v>
      </c>
      <c r="AN75" s="7" t="s">
        <v>379</v>
      </c>
      <c r="AP75" s="7" t="s">
        <v>385</v>
      </c>
      <c r="AQ75" s="7" t="s">
        <v>2246</v>
      </c>
      <c r="AR75" s="7" t="s">
        <v>379</v>
      </c>
      <c r="AT75" s="7" t="s">
        <v>385</v>
      </c>
      <c r="HM75" s="7" t="s">
        <v>2247</v>
      </c>
      <c r="HN75" s="7" t="s">
        <v>2248</v>
      </c>
    </row>
    <row r="76" ht="14.25" customHeight="1">
      <c r="A76" s="7" t="str">
        <f t="shared" si="1"/>
        <v>Combining historical aerial photography with machine learning to map landscape change impacts on dry grasslands in the Central Alps</v>
      </c>
      <c r="B76" s="7">
        <v>92.0</v>
      </c>
      <c r="C76" s="7" t="s">
        <v>69</v>
      </c>
      <c r="D76" s="7" t="s">
        <v>1538</v>
      </c>
      <c r="J76" s="7" t="s">
        <v>374</v>
      </c>
      <c r="K76" s="7">
        <v>19.0</v>
      </c>
      <c r="O76" s="7" t="s">
        <v>1558</v>
      </c>
      <c r="Q76" s="7" t="s">
        <v>1558</v>
      </c>
      <c r="R76" s="7" t="s">
        <v>1558</v>
      </c>
      <c r="T76" s="7" t="s">
        <v>399</v>
      </c>
      <c r="U76" s="7" t="s">
        <v>2249</v>
      </c>
      <c r="V76" s="7">
        <v>2.0</v>
      </c>
      <c r="W76" s="7" t="s">
        <v>1541</v>
      </c>
      <c r="X76" s="7">
        <v>1.0</v>
      </c>
      <c r="Y76" s="7" t="s">
        <v>1872</v>
      </c>
      <c r="Z76" s="7" t="s">
        <v>1872</v>
      </c>
      <c r="AA76" s="7" t="s">
        <v>714</v>
      </c>
      <c r="AB76" s="7" t="s">
        <v>2250</v>
      </c>
      <c r="AC76" s="7" t="s">
        <v>1874</v>
      </c>
      <c r="AD76" s="7" t="s">
        <v>1544</v>
      </c>
      <c r="AE76" s="7" t="s">
        <v>2251</v>
      </c>
      <c r="AF76" s="7" t="s">
        <v>1544</v>
      </c>
      <c r="AH76" s="7" t="s">
        <v>1544</v>
      </c>
      <c r="AJ76" s="7" t="s">
        <v>379</v>
      </c>
      <c r="AL76" s="7" t="s">
        <v>379</v>
      </c>
      <c r="AN76" s="7" t="s">
        <v>379</v>
      </c>
      <c r="AP76" s="7" t="s">
        <v>385</v>
      </c>
      <c r="AQ76" s="7" t="s">
        <v>2252</v>
      </c>
      <c r="AR76" s="7" t="s">
        <v>379</v>
      </c>
      <c r="AT76" s="7" t="s">
        <v>385</v>
      </c>
    </row>
    <row r="77" ht="14.25" customHeight="1">
      <c r="A77" s="7" t="str">
        <f t="shared" si="1"/>
        <v>Effectiveness of Federal PAs in the Preservation of Mangrove Forests on the Coast of the State of Paraiba, Brazil</v>
      </c>
      <c r="B77" s="7">
        <v>89.0</v>
      </c>
      <c r="C77" s="7" t="s">
        <v>270</v>
      </c>
      <c r="D77" s="7" t="s">
        <v>1553</v>
      </c>
      <c r="J77" s="7" t="s">
        <v>374</v>
      </c>
      <c r="K77" s="7">
        <v>5.0</v>
      </c>
      <c r="M77" s="7" t="s">
        <v>1583</v>
      </c>
      <c r="N77" s="7" t="s">
        <v>1583</v>
      </c>
      <c r="O77" s="7" t="s">
        <v>1558</v>
      </c>
      <c r="Q77" s="7" t="s">
        <v>371</v>
      </c>
      <c r="R77" s="7" t="s">
        <v>1558</v>
      </c>
      <c r="T77" s="7" t="s">
        <v>399</v>
      </c>
      <c r="W77" s="7" t="s">
        <v>1541</v>
      </c>
      <c r="X77" s="7">
        <v>1.0</v>
      </c>
      <c r="Y77" s="7" t="s">
        <v>1638</v>
      </c>
      <c r="Z77" s="7" t="s">
        <v>1638</v>
      </c>
      <c r="AA77" s="7" t="s">
        <v>523</v>
      </c>
      <c r="AB77" s="7" t="s">
        <v>2253</v>
      </c>
      <c r="AC77" s="7" t="s">
        <v>523</v>
      </c>
      <c r="AD77" s="7" t="s">
        <v>379</v>
      </c>
      <c r="AF77" s="7" t="s">
        <v>379</v>
      </c>
      <c r="AH77" s="7" t="s">
        <v>371</v>
      </c>
      <c r="AI77" s="7" t="s">
        <v>2254</v>
      </c>
      <c r="AJ77" s="7" t="s">
        <v>379</v>
      </c>
      <c r="AN77" s="7" t="s">
        <v>379</v>
      </c>
      <c r="AP77" s="7" t="s">
        <v>379</v>
      </c>
      <c r="AR77" s="7" t="s">
        <v>379</v>
      </c>
      <c r="AT77" s="7" t="s">
        <v>385</v>
      </c>
    </row>
    <row r="78" ht="14.25" customHeight="1">
      <c r="A78" s="7" t="str">
        <f t="shared" si="1"/>
        <v>Effectiveness of the Qilian Mountain Nature Reserve of China in Reducing Human Impacts</v>
      </c>
      <c r="B78" s="7">
        <v>86.0</v>
      </c>
      <c r="C78" s="7" t="s">
        <v>288</v>
      </c>
      <c r="D78" s="7" t="s">
        <v>1536</v>
      </c>
      <c r="J78" s="7" t="s">
        <v>374</v>
      </c>
      <c r="K78" s="7">
        <v>4.0</v>
      </c>
      <c r="L78" s="7" t="s">
        <v>2255</v>
      </c>
      <c r="M78" s="7" t="s">
        <v>2231</v>
      </c>
      <c r="N78" s="7" t="s">
        <v>2231</v>
      </c>
      <c r="O78" s="7" t="s">
        <v>1693</v>
      </c>
      <c r="P78" s="7" t="s">
        <v>2256</v>
      </c>
      <c r="Q78" s="7" t="s">
        <v>1558</v>
      </c>
      <c r="R78" s="7" t="s">
        <v>1558</v>
      </c>
      <c r="S78" s="7" t="s">
        <v>1635</v>
      </c>
      <c r="T78" s="7" t="s">
        <v>399</v>
      </c>
      <c r="U78" s="7" t="s">
        <v>379</v>
      </c>
      <c r="V78" s="7" t="s">
        <v>1382</v>
      </c>
      <c r="W78" s="7" t="s">
        <v>1541</v>
      </c>
      <c r="X78" s="7">
        <v>1.0</v>
      </c>
      <c r="Y78" s="7" t="s">
        <v>1684</v>
      </c>
      <c r="Z78" s="7" t="s">
        <v>1684</v>
      </c>
      <c r="AA78" s="7" t="s">
        <v>743</v>
      </c>
      <c r="AC78" s="7" t="s">
        <v>743</v>
      </c>
      <c r="AD78" s="7" t="s">
        <v>1784</v>
      </c>
      <c r="AE78" s="7" t="s">
        <v>2257</v>
      </c>
      <c r="AF78" s="7" t="s">
        <v>379</v>
      </c>
      <c r="AH78" s="7" t="s">
        <v>379</v>
      </c>
      <c r="AJ78" s="7" t="s">
        <v>379</v>
      </c>
      <c r="AL78" s="7" t="s">
        <v>379</v>
      </c>
      <c r="AN78" s="7" t="s">
        <v>1652</v>
      </c>
      <c r="AP78" s="7" t="s">
        <v>1546</v>
      </c>
      <c r="AR78" s="7" t="s">
        <v>371</v>
      </c>
      <c r="AT78" s="7" t="s">
        <v>385</v>
      </c>
      <c r="HN78" s="7" t="s">
        <v>2258</v>
      </c>
    </row>
    <row r="79" ht="14.25" customHeight="1">
      <c r="A79" s="7" t="str">
        <f t="shared" si="1"/>
        <v>Reserves protect against deforestation fires in the Amazon</v>
      </c>
      <c r="B79" s="7">
        <v>83.0</v>
      </c>
      <c r="C79" s="7" t="s">
        <v>252</v>
      </c>
      <c r="D79" s="7" t="s">
        <v>1553</v>
      </c>
      <c r="J79" s="7" t="s">
        <v>1541</v>
      </c>
      <c r="K79" s="7">
        <v>1.0</v>
      </c>
      <c r="L79" s="7" t="s">
        <v>2259</v>
      </c>
      <c r="M79" s="7" t="s">
        <v>1802</v>
      </c>
      <c r="N79" s="7" t="s">
        <v>1802</v>
      </c>
      <c r="O79" s="7" t="s">
        <v>1558</v>
      </c>
      <c r="Q79" s="7" t="s">
        <v>371</v>
      </c>
      <c r="R79" s="7" t="s">
        <v>385</v>
      </c>
      <c r="S79" s="7" t="s">
        <v>2260</v>
      </c>
      <c r="T79" s="7" t="s">
        <v>371</v>
      </c>
      <c r="U79" s="7" t="s">
        <v>2261</v>
      </c>
      <c r="V79" s="7" t="s">
        <v>1382</v>
      </c>
      <c r="W79" s="7" t="s">
        <v>1559</v>
      </c>
      <c r="X79" s="7">
        <v>1.0</v>
      </c>
      <c r="Y79" s="7" t="s">
        <v>658</v>
      </c>
      <c r="Z79" s="7" t="s">
        <v>575</v>
      </c>
      <c r="AA79" s="7" t="s">
        <v>658</v>
      </c>
      <c r="AB79" s="7" t="s">
        <v>2262</v>
      </c>
      <c r="AC79" s="7" t="s">
        <v>575</v>
      </c>
      <c r="AD79" s="7" t="s">
        <v>1567</v>
      </c>
      <c r="AE79" s="7" t="s">
        <v>2263</v>
      </c>
      <c r="AF79" s="7" t="s">
        <v>1567</v>
      </c>
      <c r="AH79" s="7" t="s">
        <v>371</v>
      </c>
      <c r="AI79" s="7" t="s">
        <v>2264</v>
      </c>
      <c r="AJ79" s="7" t="s">
        <v>379</v>
      </c>
      <c r="AL79" s="7" t="s">
        <v>379</v>
      </c>
      <c r="AN79" s="7" t="s">
        <v>379</v>
      </c>
      <c r="AP79" s="7" t="s">
        <v>1546</v>
      </c>
      <c r="AQ79" s="7" t="s">
        <v>2265</v>
      </c>
      <c r="AR79" s="7" t="s">
        <v>379</v>
      </c>
      <c r="AT79" s="7" t="s">
        <v>385</v>
      </c>
      <c r="HL79" s="7" t="s">
        <v>2266</v>
      </c>
      <c r="HN79" s="7" t="s">
        <v>2267</v>
      </c>
    </row>
    <row r="80" ht="14.25" customHeight="1">
      <c r="A80" s="7" t="str">
        <f t="shared" si="1"/>
        <v>Multiple anthropogenic pressures challenge the effectiveness of PAs in western United Republic of Tanzania</v>
      </c>
      <c r="B80" s="7">
        <v>82.0</v>
      </c>
      <c r="C80" s="7" t="s">
        <v>228</v>
      </c>
      <c r="D80" s="7" t="s">
        <v>1553</v>
      </c>
      <c r="E80" s="7" t="s">
        <v>2268</v>
      </c>
      <c r="F80" s="7" t="s">
        <v>1552</v>
      </c>
      <c r="H80" s="7" t="s">
        <v>1816</v>
      </c>
      <c r="J80" s="7" t="s">
        <v>1554</v>
      </c>
      <c r="K80" s="7" t="s">
        <v>2269</v>
      </c>
      <c r="L80" s="7" t="s">
        <v>379</v>
      </c>
      <c r="M80" s="7" t="s">
        <v>2270</v>
      </c>
      <c r="N80" s="7" t="s">
        <v>2270</v>
      </c>
      <c r="O80" s="7" t="s">
        <v>1556</v>
      </c>
      <c r="P80" s="7" t="s">
        <v>2271</v>
      </c>
      <c r="Q80" s="7" t="s">
        <v>1558</v>
      </c>
      <c r="R80" s="7" t="s">
        <v>1558</v>
      </c>
      <c r="S80" s="7" t="s">
        <v>379</v>
      </c>
      <c r="T80" s="7" t="s">
        <v>399</v>
      </c>
      <c r="U80" s="7" t="s">
        <v>385</v>
      </c>
      <c r="V80" s="7" t="s">
        <v>385</v>
      </c>
      <c r="W80" s="7" t="s">
        <v>1541</v>
      </c>
      <c r="X80" s="7">
        <v>1.0</v>
      </c>
      <c r="Y80" s="7" t="s">
        <v>1542</v>
      </c>
      <c r="Z80" s="7" t="s">
        <v>1542</v>
      </c>
      <c r="AA80" s="7" t="s">
        <v>469</v>
      </c>
      <c r="AB80" s="7" t="s">
        <v>2272</v>
      </c>
      <c r="AC80" s="7" t="s">
        <v>469</v>
      </c>
      <c r="AD80" s="7" t="s">
        <v>1567</v>
      </c>
      <c r="AE80" s="7" t="s">
        <v>2273</v>
      </c>
      <c r="AF80" s="7" t="s">
        <v>379</v>
      </c>
      <c r="AH80" s="7" t="s">
        <v>371</v>
      </c>
      <c r="AI80" s="7" t="s">
        <v>2274</v>
      </c>
      <c r="AJ80" s="7" t="s">
        <v>371</v>
      </c>
      <c r="AK80" s="7" t="s">
        <v>2275</v>
      </c>
      <c r="AL80" s="7" t="s">
        <v>371</v>
      </c>
      <c r="AN80" s="7" t="s">
        <v>371</v>
      </c>
      <c r="AO80" s="7" t="s">
        <v>2276</v>
      </c>
      <c r="AP80" s="7" t="s">
        <v>385</v>
      </c>
      <c r="AQ80" s="7" t="s">
        <v>2277</v>
      </c>
      <c r="AR80" s="7" t="s">
        <v>371</v>
      </c>
      <c r="AS80" s="7" t="s">
        <v>2278</v>
      </c>
      <c r="AT80" s="7" t="s">
        <v>385</v>
      </c>
      <c r="HK80" s="7" t="s">
        <v>2279</v>
      </c>
      <c r="HL80" s="7" t="s">
        <v>379</v>
      </c>
      <c r="HM80" s="7" t="s">
        <v>2280</v>
      </c>
      <c r="HN80" s="7" t="s">
        <v>2281</v>
      </c>
    </row>
    <row r="81" ht="14.25" customHeight="1">
      <c r="A81" s="7" t="str">
        <f t="shared" si="1"/>
        <v>Elevated fires during COVID-19 lockdown and the vulnerability of PAs</v>
      </c>
      <c r="B81" s="7">
        <v>81.0</v>
      </c>
      <c r="C81" s="7" t="s">
        <v>186</v>
      </c>
      <c r="D81" s="7" t="s">
        <v>1552</v>
      </c>
      <c r="J81" s="7" t="s">
        <v>1554</v>
      </c>
      <c r="K81" s="7">
        <v>8.0</v>
      </c>
      <c r="L81" s="7" t="s">
        <v>2282</v>
      </c>
      <c r="M81" s="7" t="s">
        <v>2283</v>
      </c>
      <c r="N81" s="7" t="s">
        <v>2283</v>
      </c>
      <c r="O81" s="7" t="s">
        <v>1556</v>
      </c>
      <c r="Q81" s="7" t="s">
        <v>371</v>
      </c>
      <c r="R81" s="7" t="s">
        <v>1558</v>
      </c>
      <c r="T81" s="7" t="s">
        <v>399</v>
      </c>
      <c r="W81" s="7" t="s">
        <v>1541</v>
      </c>
      <c r="X81" s="7">
        <v>1.0</v>
      </c>
      <c r="Y81" s="7" t="s">
        <v>1923</v>
      </c>
      <c r="Z81" s="7" t="s">
        <v>1923</v>
      </c>
      <c r="AA81" s="7" t="s">
        <v>1664</v>
      </c>
      <c r="AB81" s="7" t="s">
        <v>2284</v>
      </c>
      <c r="AC81" s="7" t="s">
        <v>1664</v>
      </c>
      <c r="AD81" s="7" t="s">
        <v>1567</v>
      </c>
      <c r="AE81" s="7" t="s">
        <v>2285</v>
      </c>
      <c r="AF81" s="7" t="s">
        <v>1567</v>
      </c>
      <c r="AH81" s="7" t="s">
        <v>371</v>
      </c>
      <c r="AI81" s="7" t="s">
        <v>2286</v>
      </c>
      <c r="AJ81" s="7" t="s">
        <v>385</v>
      </c>
      <c r="AK81" s="7" t="s">
        <v>2287</v>
      </c>
      <c r="AL81" s="7" t="s">
        <v>379</v>
      </c>
      <c r="AN81" s="7" t="s">
        <v>379</v>
      </c>
      <c r="AP81" s="7" t="s">
        <v>1546</v>
      </c>
      <c r="AQ81" s="7" t="s">
        <v>2288</v>
      </c>
      <c r="AR81" s="7" t="s">
        <v>371</v>
      </c>
      <c r="AT81" s="7" t="s">
        <v>385</v>
      </c>
      <c r="HO81" s="7" t="s">
        <v>2289</v>
      </c>
    </row>
    <row r="82" ht="14.25" customHeight="1">
      <c r="A82" s="7" t="str">
        <f t="shared" si="1"/>
        <v>Assessing national human footprint and implications for biodiversity conservation in Iran</v>
      </c>
      <c r="B82" s="7">
        <v>80.0</v>
      </c>
      <c r="C82" s="7" t="s">
        <v>78</v>
      </c>
      <c r="D82" s="7" t="s">
        <v>1536</v>
      </c>
      <c r="E82" s="7" t="s">
        <v>379</v>
      </c>
      <c r="G82" s="7" t="s">
        <v>379</v>
      </c>
      <c r="I82" s="7" t="s">
        <v>379</v>
      </c>
      <c r="J82" s="7" t="s">
        <v>374</v>
      </c>
      <c r="K82" s="7">
        <v>114.0</v>
      </c>
      <c r="L82" s="7" t="s">
        <v>379</v>
      </c>
      <c r="M82" s="7" t="s">
        <v>379</v>
      </c>
      <c r="N82" s="7" t="s">
        <v>379</v>
      </c>
      <c r="O82" s="7" t="s">
        <v>1556</v>
      </c>
      <c r="P82" s="7" t="s">
        <v>379</v>
      </c>
      <c r="Q82" s="7" t="s">
        <v>371</v>
      </c>
      <c r="R82" s="7" t="s">
        <v>1558</v>
      </c>
      <c r="S82" s="7" t="s">
        <v>2290</v>
      </c>
      <c r="T82" s="7" t="s">
        <v>399</v>
      </c>
      <c r="U82" s="7" t="s">
        <v>379</v>
      </c>
      <c r="V82" s="7" t="s">
        <v>1382</v>
      </c>
      <c r="W82" s="7" t="s">
        <v>1541</v>
      </c>
      <c r="X82" s="7">
        <v>1.0</v>
      </c>
      <c r="Y82" s="7" t="s">
        <v>1542</v>
      </c>
      <c r="Z82" s="7" t="s">
        <v>1542</v>
      </c>
      <c r="AA82" s="7" t="s">
        <v>469</v>
      </c>
      <c r="AB82" s="7" t="s">
        <v>2291</v>
      </c>
      <c r="AC82" s="7" t="s">
        <v>469</v>
      </c>
      <c r="AD82" s="7" t="s">
        <v>1567</v>
      </c>
      <c r="AE82" s="7" t="s">
        <v>2292</v>
      </c>
      <c r="AF82" s="7" t="s">
        <v>379</v>
      </c>
      <c r="AG82" s="7" t="s">
        <v>379</v>
      </c>
      <c r="AH82" s="7" t="s">
        <v>379</v>
      </c>
      <c r="AI82" s="7" t="s">
        <v>379</v>
      </c>
      <c r="AJ82" s="7" t="s">
        <v>379</v>
      </c>
      <c r="AK82" s="7" t="s">
        <v>379</v>
      </c>
      <c r="AL82" s="7" t="s">
        <v>379</v>
      </c>
      <c r="AM82" s="7" t="s">
        <v>379</v>
      </c>
      <c r="AN82" s="7" t="s">
        <v>379</v>
      </c>
      <c r="AO82" s="7" t="s">
        <v>379</v>
      </c>
      <c r="AP82" s="7" t="s">
        <v>371</v>
      </c>
      <c r="AQ82" s="7" t="s">
        <v>2293</v>
      </c>
      <c r="AR82" s="7" t="s">
        <v>379</v>
      </c>
      <c r="AS82" s="7" t="s">
        <v>379</v>
      </c>
      <c r="AT82" s="7" t="s">
        <v>385</v>
      </c>
      <c r="HN82" s="7" t="s">
        <v>2294</v>
      </c>
    </row>
    <row r="83" ht="14.25" customHeight="1">
      <c r="A83" s="7" t="str">
        <f t="shared" si="1"/>
        <v>A global-level assessment of the effectiveness of PAs at resisting anthropogenic pressures</v>
      </c>
      <c r="B83" s="7">
        <v>68.0</v>
      </c>
      <c r="C83" s="7" t="s">
        <v>306</v>
      </c>
      <c r="D83" s="7" t="s">
        <v>1553</v>
      </c>
      <c r="I83" s="7" t="s">
        <v>379</v>
      </c>
      <c r="J83" s="7" t="s">
        <v>374</v>
      </c>
      <c r="K83" s="7" t="s">
        <v>2295</v>
      </c>
      <c r="L83" s="7" t="s">
        <v>379</v>
      </c>
      <c r="M83" s="7" t="s">
        <v>379</v>
      </c>
      <c r="N83" s="7" t="s">
        <v>379</v>
      </c>
      <c r="O83" s="7" t="s">
        <v>1556</v>
      </c>
      <c r="P83" s="7" t="s">
        <v>379</v>
      </c>
      <c r="Q83" s="7" t="s">
        <v>1558</v>
      </c>
      <c r="R83" s="7" t="s">
        <v>1558</v>
      </c>
      <c r="S83" s="7" t="s">
        <v>379</v>
      </c>
      <c r="T83" s="7" t="s">
        <v>399</v>
      </c>
      <c r="U83" s="7" t="s">
        <v>379</v>
      </c>
      <c r="V83" s="7" t="s">
        <v>1382</v>
      </c>
      <c r="W83" s="7" t="s">
        <v>1559</v>
      </c>
      <c r="X83" s="7">
        <v>1.0</v>
      </c>
      <c r="Y83" s="7" t="s">
        <v>658</v>
      </c>
      <c r="Z83" s="7" t="s">
        <v>575</v>
      </c>
      <c r="AA83" s="7" t="s">
        <v>658</v>
      </c>
      <c r="AB83" s="7" t="s">
        <v>2296</v>
      </c>
      <c r="AC83" s="7" t="s">
        <v>575</v>
      </c>
      <c r="AD83" s="7" t="s">
        <v>1567</v>
      </c>
      <c r="AE83" s="7" t="s">
        <v>2297</v>
      </c>
      <c r="AF83" s="7" t="s">
        <v>379</v>
      </c>
      <c r="AG83" s="7" t="s">
        <v>379</v>
      </c>
      <c r="AH83" s="7" t="s">
        <v>371</v>
      </c>
      <c r="AI83" s="7" t="s">
        <v>2298</v>
      </c>
      <c r="AJ83" s="7" t="s">
        <v>385</v>
      </c>
      <c r="AK83" s="7" t="s">
        <v>2299</v>
      </c>
      <c r="AL83" s="7" t="s">
        <v>379</v>
      </c>
      <c r="AM83" s="7" t="s">
        <v>379</v>
      </c>
      <c r="AN83" s="7" t="s">
        <v>371</v>
      </c>
      <c r="AO83" s="7" t="s">
        <v>2300</v>
      </c>
      <c r="AP83" s="7" t="s">
        <v>385</v>
      </c>
      <c r="AQ83" s="7" t="s">
        <v>2301</v>
      </c>
      <c r="AR83" s="7" t="s">
        <v>371</v>
      </c>
      <c r="AT83" s="7" t="s">
        <v>385</v>
      </c>
      <c r="HK83" s="7" t="s">
        <v>379</v>
      </c>
      <c r="HL83" s="7" t="s">
        <v>379</v>
      </c>
      <c r="HM83" s="7" t="s">
        <v>2302</v>
      </c>
      <c r="HN83" s="7" t="s">
        <v>2303</v>
      </c>
    </row>
    <row r="84" ht="14.25" customHeight="1">
      <c r="A84" s="7" t="str">
        <f t="shared" si="1"/>
        <v>COVID-19 lockdown frees wildlife to roam but increases poaching threats in Nepal</v>
      </c>
      <c r="B84" s="7">
        <v>66.0</v>
      </c>
      <c r="C84" s="7" t="s">
        <v>329</v>
      </c>
      <c r="D84" s="7" t="s">
        <v>1553</v>
      </c>
      <c r="J84" s="7" t="s">
        <v>374</v>
      </c>
      <c r="K84" s="7">
        <v>12315.0</v>
      </c>
      <c r="L84" s="7" t="s">
        <v>379</v>
      </c>
      <c r="M84" s="7" t="s">
        <v>2052</v>
      </c>
      <c r="N84" s="7" t="s">
        <v>2052</v>
      </c>
      <c r="O84" s="7" t="s">
        <v>1556</v>
      </c>
      <c r="P84" s="7" t="s">
        <v>379</v>
      </c>
      <c r="Q84" s="7" t="s">
        <v>1558</v>
      </c>
      <c r="R84" s="7" t="s">
        <v>1558</v>
      </c>
      <c r="S84" s="7" t="s">
        <v>2304</v>
      </c>
      <c r="T84" s="7" t="s">
        <v>399</v>
      </c>
      <c r="U84" s="7" t="s">
        <v>379</v>
      </c>
      <c r="V84" s="7" t="s">
        <v>1382</v>
      </c>
      <c r="W84" s="7" t="s">
        <v>1559</v>
      </c>
      <c r="X84" s="7">
        <v>1.0</v>
      </c>
      <c r="Y84" s="7" t="s">
        <v>2305</v>
      </c>
      <c r="Z84" s="7" t="s">
        <v>575</v>
      </c>
      <c r="AA84" s="7" t="s">
        <v>2306</v>
      </c>
      <c r="AB84" s="7" t="s">
        <v>2307</v>
      </c>
      <c r="AC84" s="7" t="s">
        <v>575</v>
      </c>
      <c r="AD84" s="7" t="s">
        <v>1567</v>
      </c>
      <c r="AE84" s="7" t="s">
        <v>2308</v>
      </c>
      <c r="AF84" s="7" t="s">
        <v>1567</v>
      </c>
      <c r="AG84" s="7" t="s">
        <v>2309</v>
      </c>
      <c r="AH84" s="7" t="s">
        <v>385</v>
      </c>
      <c r="AI84" s="7" t="s">
        <v>2310</v>
      </c>
      <c r="AJ84" s="7" t="s">
        <v>379</v>
      </c>
      <c r="AK84" s="7" t="s">
        <v>379</v>
      </c>
      <c r="AL84" s="7" t="s">
        <v>379</v>
      </c>
      <c r="AM84" s="7" t="s">
        <v>379</v>
      </c>
      <c r="AN84" s="7" t="s">
        <v>379</v>
      </c>
      <c r="AO84" s="7" t="s">
        <v>379</v>
      </c>
      <c r="AP84" s="7" t="s">
        <v>1546</v>
      </c>
      <c r="AQ84" s="7" t="s">
        <v>2311</v>
      </c>
      <c r="AR84" s="7" t="s">
        <v>385</v>
      </c>
      <c r="AS84" s="7" t="s">
        <v>379</v>
      </c>
      <c r="AT84" s="7" t="s">
        <v>385</v>
      </c>
      <c r="HM84" s="7" t="s">
        <v>2312</v>
      </c>
      <c r="HN84" s="7" t="s">
        <v>2313</v>
      </c>
    </row>
    <row r="85" ht="14.25" customHeight="1">
      <c r="A85" s="7" t="str">
        <f t="shared" si="1"/>
        <v>Land cover dynamics in the Simien Mountains (Ethiopia), half a century after establishment of the National Park</v>
      </c>
      <c r="B85" s="7">
        <v>61.0</v>
      </c>
      <c r="C85" s="7" t="s">
        <v>57</v>
      </c>
      <c r="D85" s="7" t="s">
        <v>1536</v>
      </c>
      <c r="E85" s="7" t="s">
        <v>2314</v>
      </c>
      <c r="J85" s="7" t="s">
        <v>1554</v>
      </c>
      <c r="K85" s="7">
        <v>20.0</v>
      </c>
      <c r="O85" s="7" t="s">
        <v>1558</v>
      </c>
      <c r="Q85" s="7" t="s">
        <v>1558</v>
      </c>
      <c r="R85" s="7" t="s">
        <v>1558</v>
      </c>
      <c r="T85" s="7" t="s">
        <v>399</v>
      </c>
      <c r="W85" s="7" t="s">
        <v>1541</v>
      </c>
      <c r="X85" s="7">
        <v>1.0</v>
      </c>
      <c r="Y85" s="7" t="s">
        <v>1748</v>
      </c>
      <c r="Z85" s="7" t="s">
        <v>1748</v>
      </c>
      <c r="AA85" s="7" t="s">
        <v>1877</v>
      </c>
      <c r="AB85" s="7" t="s">
        <v>2315</v>
      </c>
      <c r="AC85" s="7" t="s">
        <v>1877</v>
      </c>
      <c r="AD85" s="7" t="s">
        <v>1567</v>
      </c>
      <c r="AE85" s="7" t="s">
        <v>2316</v>
      </c>
      <c r="AF85" s="7" t="s">
        <v>379</v>
      </c>
      <c r="AH85" s="7" t="s">
        <v>379</v>
      </c>
      <c r="AJ85" s="7" t="s">
        <v>379</v>
      </c>
      <c r="AL85" s="7" t="s">
        <v>379</v>
      </c>
      <c r="AN85" s="7" t="s">
        <v>371</v>
      </c>
      <c r="AO85" s="7" t="s">
        <v>2317</v>
      </c>
      <c r="AP85" s="7" t="s">
        <v>371</v>
      </c>
      <c r="AQ85" s="7" t="s">
        <v>2318</v>
      </c>
      <c r="AR85" s="7" t="s">
        <v>379</v>
      </c>
      <c r="AT85" s="7" t="s">
        <v>385</v>
      </c>
      <c r="HN85" s="7" t="s">
        <v>2319</v>
      </c>
    </row>
    <row r="86" ht="14.25" customHeight="1">
      <c r="A86" s="7" t="str">
        <f t="shared" si="1"/>
        <v>Spatial and temporal deforestation dynamics in protected and unprotected dry forests: a case study from Myanmar (Burma)</v>
      </c>
      <c r="B86" s="7">
        <v>58.0</v>
      </c>
      <c r="C86" s="7" t="s">
        <v>18</v>
      </c>
      <c r="D86" s="7" t="s">
        <v>1553</v>
      </c>
      <c r="J86" s="7" t="s">
        <v>1541</v>
      </c>
      <c r="K86" s="7">
        <v>1.0</v>
      </c>
      <c r="L86" s="7" t="s">
        <v>2320</v>
      </c>
      <c r="M86" s="7" t="s">
        <v>1539</v>
      </c>
      <c r="N86" s="7" t="s">
        <v>1539</v>
      </c>
      <c r="O86" s="7" t="s">
        <v>1558</v>
      </c>
      <c r="P86" s="7" t="s">
        <v>2321</v>
      </c>
      <c r="Q86" s="7" t="s">
        <v>371</v>
      </c>
      <c r="R86" s="7" t="s">
        <v>1558</v>
      </c>
      <c r="S86" s="7">
        <v>1969.0</v>
      </c>
      <c r="T86" s="7" t="s">
        <v>399</v>
      </c>
      <c r="U86" s="7" t="s">
        <v>379</v>
      </c>
      <c r="V86" s="7" t="s">
        <v>1382</v>
      </c>
      <c r="W86" s="7" t="s">
        <v>1541</v>
      </c>
      <c r="X86" s="7">
        <v>1.0</v>
      </c>
      <c r="Y86" s="7" t="s">
        <v>1684</v>
      </c>
      <c r="Z86" s="7" t="s">
        <v>1684</v>
      </c>
      <c r="AA86" s="7" t="s">
        <v>743</v>
      </c>
      <c r="AB86" s="7" t="s">
        <v>2322</v>
      </c>
      <c r="AC86" s="7" t="s">
        <v>743</v>
      </c>
      <c r="AD86" s="7" t="s">
        <v>1544</v>
      </c>
      <c r="AF86" s="7" t="s">
        <v>1544</v>
      </c>
      <c r="AH86" s="7" t="s">
        <v>1544</v>
      </c>
      <c r="AI86" s="7" t="s">
        <v>2323</v>
      </c>
      <c r="AJ86" s="7" t="s">
        <v>379</v>
      </c>
      <c r="AL86" s="7" t="s">
        <v>379</v>
      </c>
      <c r="AN86" s="7" t="s">
        <v>379</v>
      </c>
      <c r="AP86" s="7" t="s">
        <v>385</v>
      </c>
      <c r="AQ86" s="7" t="s">
        <v>2324</v>
      </c>
      <c r="AR86" s="7" t="s">
        <v>385</v>
      </c>
      <c r="AT86" s="7" t="s">
        <v>385</v>
      </c>
      <c r="HK86" s="7" t="s">
        <v>2325</v>
      </c>
      <c r="HN86" s="7" t="s">
        <v>2326</v>
      </c>
    </row>
    <row r="87" ht="14.25" customHeight="1">
      <c r="A87" s="7" t="str">
        <f t="shared" si="1"/>
        <v>Monitoring the light pollution changes of China's mangrove forests from 1992-2020 using nighttime light data</v>
      </c>
      <c r="B87" s="7">
        <v>55.0</v>
      </c>
      <c r="C87" s="7" t="s">
        <v>276</v>
      </c>
      <c r="D87" s="7" t="s">
        <v>1538</v>
      </c>
      <c r="J87" s="7" t="s">
        <v>1541</v>
      </c>
      <c r="K87" s="7">
        <v>1.0</v>
      </c>
      <c r="L87" s="7" t="s">
        <v>2327</v>
      </c>
      <c r="M87" s="7" t="s">
        <v>2328</v>
      </c>
      <c r="N87" s="7" t="s">
        <v>2328</v>
      </c>
      <c r="O87" s="7" t="s">
        <v>1921</v>
      </c>
      <c r="P87" s="7" t="s">
        <v>2329</v>
      </c>
      <c r="Q87" s="7" t="s">
        <v>371</v>
      </c>
      <c r="R87" s="7" t="s">
        <v>1558</v>
      </c>
      <c r="S87" s="7">
        <v>1941.0</v>
      </c>
      <c r="T87" s="7" t="s">
        <v>399</v>
      </c>
      <c r="U87" s="7" t="s">
        <v>2198</v>
      </c>
      <c r="V87" s="7">
        <v>1.0</v>
      </c>
      <c r="W87" s="7" t="s">
        <v>374</v>
      </c>
      <c r="X87" s="7">
        <v>2.0</v>
      </c>
      <c r="Y87" s="7" t="s">
        <v>2000</v>
      </c>
      <c r="Z87" s="7" t="s">
        <v>2000</v>
      </c>
      <c r="AA87" s="7" t="s">
        <v>2001</v>
      </c>
      <c r="AB87" s="7" t="s">
        <v>2330</v>
      </c>
      <c r="AC87" s="7" t="s">
        <v>743</v>
      </c>
      <c r="AD87" s="7" t="s">
        <v>1567</v>
      </c>
      <c r="AE87" s="7" t="s">
        <v>2331</v>
      </c>
      <c r="AF87" s="7" t="s">
        <v>1567</v>
      </c>
      <c r="AH87" s="7" t="s">
        <v>371</v>
      </c>
      <c r="AI87" s="7" t="s">
        <v>2332</v>
      </c>
      <c r="AJ87" s="7" t="s">
        <v>379</v>
      </c>
      <c r="AL87" s="7" t="s">
        <v>379</v>
      </c>
      <c r="AN87" s="7" t="s">
        <v>379</v>
      </c>
      <c r="AP87" s="7" t="s">
        <v>371</v>
      </c>
      <c r="AQ87" s="7" t="s">
        <v>2333</v>
      </c>
      <c r="AR87" s="7" t="s">
        <v>379</v>
      </c>
      <c r="AT87" s="7" t="s">
        <v>385</v>
      </c>
      <c r="AU87" s="7" t="s">
        <v>1664</v>
      </c>
      <c r="AV87" s="7" t="s">
        <v>1567</v>
      </c>
      <c r="AX87" s="7" t="s">
        <v>1567</v>
      </c>
      <c r="AZ87" s="7" t="s">
        <v>371</v>
      </c>
      <c r="HK87" s="7" t="s">
        <v>2334</v>
      </c>
      <c r="HN87" s="7" t="s">
        <v>2335</v>
      </c>
    </row>
    <row r="88" ht="14.25" customHeight="1">
      <c r="A88" s="7" t="str">
        <f t="shared" si="1"/>
        <v>PAs: mixed success in conserving East Africa's evergreen forests</v>
      </c>
      <c r="B88" s="7">
        <v>45.0</v>
      </c>
      <c r="C88" s="7" t="s">
        <v>255</v>
      </c>
      <c r="D88" s="7" t="s">
        <v>1553</v>
      </c>
      <c r="J88" s="7" t="s">
        <v>1554</v>
      </c>
      <c r="K88" s="7">
        <v>7.0</v>
      </c>
      <c r="L88" s="7" t="s">
        <v>2336</v>
      </c>
      <c r="M88" s="7" t="s">
        <v>1802</v>
      </c>
      <c r="N88" s="7" t="s">
        <v>1802</v>
      </c>
      <c r="O88" s="7" t="s">
        <v>1540</v>
      </c>
      <c r="P88" s="7" t="s">
        <v>2337</v>
      </c>
      <c r="Q88" s="7" t="s">
        <v>371</v>
      </c>
      <c r="R88" s="7" t="s">
        <v>1558</v>
      </c>
      <c r="S88" s="7" t="s">
        <v>2338</v>
      </c>
      <c r="T88" s="7" t="s">
        <v>399</v>
      </c>
      <c r="W88" s="7" t="s">
        <v>1541</v>
      </c>
      <c r="X88" s="7">
        <v>1.0</v>
      </c>
      <c r="Y88" s="7" t="s">
        <v>1872</v>
      </c>
      <c r="Z88" s="7" t="s">
        <v>1872</v>
      </c>
      <c r="AA88" s="7" t="s">
        <v>1211</v>
      </c>
      <c r="AB88" s="7" t="s">
        <v>2339</v>
      </c>
      <c r="AC88" s="7" t="s">
        <v>1874</v>
      </c>
      <c r="AD88" s="7" t="s">
        <v>379</v>
      </c>
      <c r="AF88" s="7" t="s">
        <v>1567</v>
      </c>
      <c r="AG88" s="7" t="s">
        <v>2340</v>
      </c>
      <c r="AH88" s="7" t="s">
        <v>371</v>
      </c>
      <c r="AI88" s="7" t="s">
        <v>2341</v>
      </c>
      <c r="AJ88" s="7" t="s">
        <v>379</v>
      </c>
      <c r="AL88" s="7" t="s">
        <v>379</v>
      </c>
      <c r="AN88" s="7" t="s">
        <v>371</v>
      </c>
      <c r="AO88" s="7" t="s">
        <v>2342</v>
      </c>
      <c r="AP88" s="7" t="s">
        <v>371</v>
      </c>
      <c r="AQ88" s="7" t="s">
        <v>2343</v>
      </c>
      <c r="AR88" s="7" t="s">
        <v>385</v>
      </c>
      <c r="AT88" s="7" t="s">
        <v>385</v>
      </c>
    </row>
    <row r="89" ht="14.25" customHeight="1">
      <c r="A89" s="7" t="str">
        <f t="shared" si="1"/>
        <v>Monitoring parks through remote sensing: studies in Nepal and Honduras</v>
      </c>
      <c r="B89" s="7">
        <v>42.0</v>
      </c>
      <c r="C89" s="7" t="s">
        <v>48</v>
      </c>
      <c r="D89" s="7" t="s">
        <v>1538</v>
      </c>
      <c r="F89" s="7" t="s">
        <v>1552</v>
      </c>
      <c r="J89" s="7" t="s">
        <v>1554</v>
      </c>
      <c r="K89" s="7">
        <v>1048.0</v>
      </c>
      <c r="M89" s="7" t="s">
        <v>2344</v>
      </c>
      <c r="N89" s="7" t="s">
        <v>2344</v>
      </c>
      <c r="O89" s="7" t="s">
        <v>1556</v>
      </c>
      <c r="Q89" s="7" t="s">
        <v>1558</v>
      </c>
      <c r="R89" s="7" t="s">
        <v>1558</v>
      </c>
      <c r="T89" s="7" t="s">
        <v>399</v>
      </c>
      <c r="U89" s="7" t="s">
        <v>2345</v>
      </c>
      <c r="V89" s="7">
        <v>10.0</v>
      </c>
      <c r="W89" s="7" t="s">
        <v>1541</v>
      </c>
      <c r="X89" s="7">
        <v>1.0</v>
      </c>
      <c r="Y89" s="7" t="s">
        <v>1684</v>
      </c>
      <c r="Z89" s="7" t="s">
        <v>1684</v>
      </c>
      <c r="AA89" s="7" t="s">
        <v>743</v>
      </c>
      <c r="AB89" s="7" t="s">
        <v>2346</v>
      </c>
      <c r="AC89" s="7" t="s">
        <v>743</v>
      </c>
      <c r="AD89" s="7" t="s">
        <v>1567</v>
      </c>
      <c r="AF89" s="7" t="s">
        <v>1567</v>
      </c>
      <c r="AG89" s="7" t="s">
        <v>2347</v>
      </c>
      <c r="AH89" s="7" t="s">
        <v>371</v>
      </c>
      <c r="AI89" s="7" t="s">
        <v>2348</v>
      </c>
      <c r="AJ89" s="7" t="s">
        <v>371</v>
      </c>
      <c r="AK89" s="7" t="s">
        <v>2349</v>
      </c>
      <c r="AL89" s="7" t="s">
        <v>379</v>
      </c>
      <c r="AM89" s="7" t="s">
        <v>2350</v>
      </c>
      <c r="AN89" s="7" t="s">
        <v>379</v>
      </c>
      <c r="AP89" s="7" t="s">
        <v>1546</v>
      </c>
      <c r="AQ89" s="7" t="s">
        <v>2351</v>
      </c>
      <c r="AR89" s="7" t="s">
        <v>371</v>
      </c>
      <c r="AT89" s="7" t="s">
        <v>385</v>
      </c>
      <c r="HN89" s="7" t="s">
        <v>2352</v>
      </c>
    </row>
    <row r="90" ht="14.25" customHeight="1">
      <c r="A90" s="7" t="str">
        <f t="shared" si="1"/>
        <v>The co-management approach has positive impacts on mangrove conservation: evidence from the mono transboundary biosphere reserve (Togo-Benin), West Africa</v>
      </c>
      <c r="B90" s="7">
        <v>40.0</v>
      </c>
      <c r="C90" s="7" t="s">
        <v>72</v>
      </c>
      <c r="D90" s="7" t="s">
        <v>1538</v>
      </c>
      <c r="F90" s="7" t="s">
        <v>1536</v>
      </c>
      <c r="J90" s="7" t="s">
        <v>1541</v>
      </c>
      <c r="K90" s="7">
        <v>2.0</v>
      </c>
      <c r="O90" s="7" t="s">
        <v>1540</v>
      </c>
      <c r="P90" s="7" t="s">
        <v>2353</v>
      </c>
      <c r="Q90" s="7" t="s">
        <v>371</v>
      </c>
      <c r="R90" s="7" t="s">
        <v>2354</v>
      </c>
      <c r="S90" s="7" t="s">
        <v>1635</v>
      </c>
      <c r="T90" s="7" t="s">
        <v>371</v>
      </c>
      <c r="U90" s="7" t="s">
        <v>1796</v>
      </c>
      <c r="V90" s="7">
        <v>5.0</v>
      </c>
      <c r="W90" s="7" t="s">
        <v>1541</v>
      </c>
      <c r="X90" s="7">
        <v>1.0</v>
      </c>
      <c r="Y90" s="7" t="s">
        <v>1684</v>
      </c>
      <c r="Z90" s="7" t="s">
        <v>1684</v>
      </c>
      <c r="AA90" s="7" t="s">
        <v>743</v>
      </c>
      <c r="AC90" s="7" t="s">
        <v>743</v>
      </c>
      <c r="AD90" s="7" t="s">
        <v>382</v>
      </c>
      <c r="AF90" s="7" t="s">
        <v>382</v>
      </c>
      <c r="AH90" s="7" t="s">
        <v>382</v>
      </c>
      <c r="AJ90" s="7" t="s">
        <v>379</v>
      </c>
      <c r="AL90" s="7" t="s">
        <v>379</v>
      </c>
      <c r="AN90" s="7" t="s">
        <v>379</v>
      </c>
      <c r="AP90" s="7" t="s">
        <v>379</v>
      </c>
      <c r="AR90" s="7" t="s">
        <v>371</v>
      </c>
      <c r="AT90" s="7" t="s">
        <v>371</v>
      </c>
      <c r="BW90" s="7" t="s">
        <v>2355</v>
      </c>
      <c r="BX90" s="7">
        <v>1.0</v>
      </c>
      <c r="BY90" s="7" t="s">
        <v>2356</v>
      </c>
      <c r="BZ90" s="7" t="s">
        <v>1539</v>
      </c>
      <c r="CA90" s="7">
        <v>1987.0</v>
      </c>
      <c r="CB90" s="7" t="s">
        <v>743</v>
      </c>
      <c r="CC90" s="7" t="s">
        <v>1784</v>
      </c>
      <c r="CD90" s="7" t="s">
        <v>2357</v>
      </c>
      <c r="CE90" s="7" t="s">
        <v>1567</v>
      </c>
      <c r="CF90" s="7" t="s">
        <v>2358</v>
      </c>
      <c r="CG90" s="7" t="s">
        <v>371</v>
      </c>
      <c r="CH90" s="7" t="s">
        <v>2359</v>
      </c>
      <c r="CK90" s="7" t="s">
        <v>1546</v>
      </c>
      <c r="DG90" s="7" t="s">
        <v>2360</v>
      </c>
      <c r="DH90" s="7">
        <v>1.0</v>
      </c>
      <c r="DI90" s="7" t="s">
        <v>2361</v>
      </c>
      <c r="DJ90" s="7" t="s">
        <v>2362</v>
      </c>
      <c r="DK90" s="7">
        <v>1973.0</v>
      </c>
      <c r="DL90" s="7" t="s">
        <v>743</v>
      </c>
      <c r="DM90" s="7" t="s">
        <v>1567</v>
      </c>
      <c r="DN90" s="7" t="s">
        <v>2363</v>
      </c>
      <c r="DO90" s="7" t="s">
        <v>1567</v>
      </c>
      <c r="DP90" s="18">
        <v>0.36</v>
      </c>
      <c r="DQ90" s="7" t="s">
        <v>371</v>
      </c>
      <c r="DU90" s="7" t="s">
        <v>1546</v>
      </c>
      <c r="HK90" s="7" t="s">
        <v>2364</v>
      </c>
      <c r="HM90" s="7" t="s">
        <v>2365</v>
      </c>
    </row>
    <row r="91" ht="14.25" customHeight="1">
      <c r="A91" s="7" t="str">
        <f t="shared" si="1"/>
        <v>Dynamic threats of nighttime light-represented human activities to giant pandas and their habitat</v>
      </c>
      <c r="B91" s="7">
        <v>34.0</v>
      </c>
      <c r="C91" s="7" t="s">
        <v>273</v>
      </c>
      <c r="D91" s="7" t="s">
        <v>1536</v>
      </c>
      <c r="E91" s="7" t="s">
        <v>583</v>
      </c>
      <c r="F91" s="7" t="s">
        <v>1816</v>
      </c>
      <c r="J91" s="7" t="s">
        <v>1541</v>
      </c>
      <c r="K91" s="7">
        <v>1.0</v>
      </c>
      <c r="L91" s="7" t="s">
        <v>2366</v>
      </c>
      <c r="M91" s="7" t="s">
        <v>2367</v>
      </c>
      <c r="N91" s="7" t="s">
        <v>2367</v>
      </c>
      <c r="O91" s="7" t="s">
        <v>1558</v>
      </c>
      <c r="Q91" s="7" t="s">
        <v>371</v>
      </c>
      <c r="R91" s="7" t="s">
        <v>371</v>
      </c>
      <c r="S91" s="7">
        <v>2017.0</v>
      </c>
      <c r="T91" s="7" t="s">
        <v>399</v>
      </c>
      <c r="U91" s="7" t="s">
        <v>379</v>
      </c>
      <c r="V91" s="7" t="s">
        <v>1382</v>
      </c>
      <c r="W91" s="7" t="s">
        <v>1559</v>
      </c>
      <c r="X91" s="7">
        <v>4.0</v>
      </c>
      <c r="Y91" s="7" t="s">
        <v>2368</v>
      </c>
      <c r="Z91" s="7" t="s">
        <v>2368</v>
      </c>
      <c r="AA91" s="7" t="s">
        <v>2369</v>
      </c>
      <c r="AB91" s="7" t="s">
        <v>2370</v>
      </c>
      <c r="AC91" s="7" t="s">
        <v>2081</v>
      </c>
      <c r="AD91" s="7" t="s">
        <v>1589</v>
      </c>
      <c r="AE91" s="7" t="s">
        <v>2371</v>
      </c>
      <c r="AF91" s="7" t="s">
        <v>379</v>
      </c>
      <c r="AG91" s="7" t="s">
        <v>379</v>
      </c>
      <c r="AH91" s="7" t="s">
        <v>379</v>
      </c>
      <c r="AI91" s="7" t="s">
        <v>379</v>
      </c>
      <c r="AJ91" s="7" t="s">
        <v>379</v>
      </c>
      <c r="AK91" s="7" t="s">
        <v>379</v>
      </c>
      <c r="AL91" s="7" t="s">
        <v>379</v>
      </c>
      <c r="AM91" s="7" t="s">
        <v>379</v>
      </c>
      <c r="AN91" s="7" t="s">
        <v>379</v>
      </c>
      <c r="AO91" s="7" t="s">
        <v>379</v>
      </c>
      <c r="AP91" s="7" t="s">
        <v>371</v>
      </c>
      <c r="AQ91" s="7" t="s">
        <v>2372</v>
      </c>
      <c r="AR91" s="7" t="s">
        <v>379</v>
      </c>
      <c r="AS91" s="7" t="s">
        <v>379</v>
      </c>
      <c r="AT91" s="7" t="s">
        <v>385</v>
      </c>
      <c r="HL91" s="7" t="s">
        <v>2373</v>
      </c>
    </row>
    <row r="92" ht="14.25" customHeight="1">
      <c r="A92" s="7" t="str">
        <f t="shared" si="1"/>
        <v>Fire Response to Local Climate Variability: Huascaran National Park, Peru</v>
      </c>
      <c r="B92" s="7">
        <v>33.0</v>
      </c>
      <c r="C92" s="7" t="s">
        <v>303</v>
      </c>
      <c r="D92" s="7" t="s">
        <v>1553</v>
      </c>
      <c r="J92" s="7" t="s">
        <v>374</v>
      </c>
      <c r="K92" s="7" t="s">
        <v>1558</v>
      </c>
      <c r="M92" s="7" t="s">
        <v>2374</v>
      </c>
      <c r="N92" s="7" t="s">
        <v>2374</v>
      </c>
      <c r="O92" s="7" t="s">
        <v>1558</v>
      </c>
      <c r="P92" s="7" t="s">
        <v>1558</v>
      </c>
      <c r="Q92" s="7" t="s">
        <v>1558</v>
      </c>
      <c r="R92" s="7" t="s">
        <v>1558</v>
      </c>
      <c r="T92" s="7" t="s">
        <v>399</v>
      </c>
      <c r="U92" s="7" t="s">
        <v>1558</v>
      </c>
      <c r="V92" s="7" t="s">
        <v>1382</v>
      </c>
      <c r="W92" s="7" t="s">
        <v>1541</v>
      </c>
      <c r="X92" s="7">
        <v>1.0</v>
      </c>
      <c r="Y92" s="7" t="s">
        <v>1638</v>
      </c>
      <c r="Z92" s="7" t="s">
        <v>1638</v>
      </c>
      <c r="AA92" s="7" t="s">
        <v>2375</v>
      </c>
      <c r="AB92" s="7" t="s">
        <v>2376</v>
      </c>
      <c r="AC92" s="7" t="s">
        <v>523</v>
      </c>
      <c r="AD92" s="7" t="s">
        <v>1589</v>
      </c>
      <c r="AE92" s="7" t="s">
        <v>2377</v>
      </c>
      <c r="AF92" s="7" t="s">
        <v>1567</v>
      </c>
      <c r="AG92" s="7" t="s">
        <v>2378</v>
      </c>
      <c r="AH92" s="7" t="s">
        <v>371</v>
      </c>
      <c r="AI92" s="7" t="s">
        <v>2379</v>
      </c>
      <c r="AJ92" s="7" t="s">
        <v>379</v>
      </c>
      <c r="AL92" s="7" t="s">
        <v>379</v>
      </c>
      <c r="AN92" s="7" t="s">
        <v>379</v>
      </c>
      <c r="AP92" s="7" t="s">
        <v>371</v>
      </c>
      <c r="AQ92" s="7" t="s">
        <v>2380</v>
      </c>
      <c r="AR92" s="7" t="s">
        <v>385</v>
      </c>
      <c r="AT92" s="7" t="s">
        <v>385</v>
      </c>
      <c r="HK92" s="7" t="s">
        <v>2381</v>
      </c>
      <c r="HN92" s="7" t="s">
        <v>2382</v>
      </c>
    </row>
    <row r="93" ht="14.25" customHeight="1">
      <c r="A93" s="7" t="str">
        <f t="shared" si="1"/>
        <v>PAs have remarkable spillover effects on forest conservation on the Qinghai‰Û_x0090_Tibet Plateau</v>
      </c>
      <c r="B93" s="7">
        <v>30.0</v>
      </c>
      <c r="C93" s="7" t="s">
        <v>234</v>
      </c>
      <c r="D93" s="7" t="s">
        <v>1538</v>
      </c>
      <c r="J93" s="7" t="s">
        <v>1541</v>
      </c>
      <c r="K93" s="7">
        <v>1.0</v>
      </c>
      <c r="L93" s="7" t="s">
        <v>2383</v>
      </c>
      <c r="M93" s="7" t="s">
        <v>1539</v>
      </c>
      <c r="N93" s="7" t="s">
        <v>1539</v>
      </c>
      <c r="O93" s="7" t="s">
        <v>1558</v>
      </c>
      <c r="Q93" s="7" t="s">
        <v>1558</v>
      </c>
      <c r="R93" s="7" t="s">
        <v>1558</v>
      </c>
      <c r="S93" s="7">
        <v>1975.0</v>
      </c>
      <c r="T93" s="7" t="s">
        <v>371</v>
      </c>
      <c r="V93" s="7" t="s">
        <v>1382</v>
      </c>
      <c r="W93" s="7" t="s">
        <v>1541</v>
      </c>
      <c r="X93" s="7">
        <v>1.0</v>
      </c>
      <c r="Y93" s="7" t="s">
        <v>1542</v>
      </c>
      <c r="Z93" s="7" t="s">
        <v>1542</v>
      </c>
      <c r="AA93" s="7" t="s">
        <v>469</v>
      </c>
      <c r="AC93" s="7" t="s">
        <v>469</v>
      </c>
      <c r="AD93" s="7" t="s">
        <v>1784</v>
      </c>
      <c r="AE93" s="7" t="s">
        <v>2384</v>
      </c>
      <c r="AF93" s="7" t="s">
        <v>1567</v>
      </c>
      <c r="AG93" s="7" t="s">
        <v>2385</v>
      </c>
      <c r="AH93" s="7" t="s">
        <v>371</v>
      </c>
      <c r="AI93" s="7" t="s">
        <v>2386</v>
      </c>
      <c r="AJ93" s="7" t="s">
        <v>379</v>
      </c>
      <c r="AL93" s="7" t="s">
        <v>379</v>
      </c>
      <c r="AN93" s="7" t="s">
        <v>379</v>
      </c>
      <c r="AP93" s="7" t="s">
        <v>385</v>
      </c>
      <c r="AQ93" s="7" t="s">
        <v>2387</v>
      </c>
      <c r="AR93" s="7" t="s">
        <v>379</v>
      </c>
      <c r="AT93" s="7" t="s">
        <v>385</v>
      </c>
      <c r="HN93" s="7" t="s">
        <v>2388</v>
      </c>
    </row>
    <row r="94" ht="14.25" customHeight="1">
      <c r="A94" s="7" t="str">
        <f t="shared" si="1"/>
        <v>Global PA impacts</v>
      </c>
      <c r="B94" s="7">
        <v>29.0</v>
      </c>
      <c r="C94" s="7" t="s">
        <v>204</v>
      </c>
      <c r="D94" s="7" t="s">
        <v>1553</v>
      </c>
      <c r="E94" s="7" t="s">
        <v>2389</v>
      </c>
      <c r="F94" s="7" t="s">
        <v>1538</v>
      </c>
      <c r="G94" s="7" t="s">
        <v>2390</v>
      </c>
      <c r="H94" s="7" t="s">
        <v>1536</v>
      </c>
      <c r="J94" s="7" t="s">
        <v>1554</v>
      </c>
      <c r="K94" s="7">
        <v>54.0</v>
      </c>
      <c r="M94" s="7" t="s">
        <v>1802</v>
      </c>
      <c r="N94" s="7" t="s">
        <v>1802</v>
      </c>
      <c r="O94" s="7" t="s">
        <v>1540</v>
      </c>
      <c r="Q94" s="7" t="s">
        <v>1558</v>
      </c>
      <c r="R94" s="7" t="s">
        <v>1558</v>
      </c>
      <c r="S94" s="7" t="s">
        <v>2391</v>
      </c>
      <c r="T94" s="7" t="s">
        <v>399</v>
      </c>
      <c r="U94" s="7" t="s">
        <v>1626</v>
      </c>
      <c r="V94" s="7">
        <v>20.0</v>
      </c>
      <c r="W94" s="7" t="s">
        <v>1541</v>
      </c>
      <c r="X94" s="7">
        <v>1.0</v>
      </c>
      <c r="Y94" s="7" t="s">
        <v>1684</v>
      </c>
      <c r="Z94" s="7" t="s">
        <v>1684</v>
      </c>
      <c r="AA94" s="7" t="s">
        <v>743</v>
      </c>
      <c r="AB94" s="7" t="s">
        <v>2392</v>
      </c>
      <c r="AC94" s="7" t="s">
        <v>743</v>
      </c>
      <c r="AD94" s="7" t="s">
        <v>1589</v>
      </c>
      <c r="AE94" s="7" t="s">
        <v>2393</v>
      </c>
      <c r="AF94" s="7" t="s">
        <v>379</v>
      </c>
      <c r="AH94" s="7" t="s">
        <v>371</v>
      </c>
      <c r="AI94" s="7" t="s">
        <v>2394</v>
      </c>
      <c r="AJ94" s="7" t="s">
        <v>379</v>
      </c>
      <c r="AL94" s="7" t="s">
        <v>379</v>
      </c>
      <c r="AN94" s="7" t="s">
        <v>379</v>
      </c>
      <c r="AP94" s="7" t="s">
        <v>371</v>
      </c>
      <c r="AQ94" s="7" t="s">
        <v>2395</v>
      </c>
      <c r="AR94" s="7" t="s">
        <v>385</v>
      </c>
      <c r="AT94" s="7" t="s">
        <v>385</v>
      </c>
      <c r="HK94" s="7" t="s">
        <v>1828</v>
      </c>
      <c r="HN94" s="7" t="s">
        <v>2396</v>
      </c>
    </row>
    <row r="95" ht="14.25" customHeight="1">
      <c r="A95" s="7" t="str">
        <f t="shared" si="1"/>
        <v>Natura 2000 Areas, Road, Railway, Water, and Ecological Networks May Provide Pathways for Biological Invasion: A Country Scale Analysis</v>
      </c>
      <c r="B95" s="7">
        <v>26.0</v>
      </c>
      <c r="C95" s="7" t="s">
        <v>291</v>
      </c>
      <c r="D95" s="7" t="s">
        <v>1553</v>
      </c>
      <c r="F95" s="7" t="s">
        <v>1552</v>
      </c>
      <c r="J95" s="7" t="s">
        <v>1554</v>
      </c>
      <c r="L95" s="7" t="s">
        <v>1946</v>
      </c>
      <c r="M95" s="7" t="s">
        <v>2053</v>
      </c>
      <c r="N95" s="7" t="s">
        <v>2053</v>
      </c>
      <c r="O95" s="7" t="s">
        <v>1556</v>
      </c>
      <c r="Q95" s="7" t="s">
        <v>1558</v>
      </c>
      <c r="R95" s="7" t="s">
        <v>1558</v>
      </c>
      <c r="T95" s="7" t="s">
        <v>399</v>
      </c>
      <c r="U95" s="7" t="s">
        <v>1657</v>
      </c>
      <c r="V95" s="7">
        <v>10.0</v>
      </c>
      <c r="W95" s="7" t="s">
        <v>1541</v>
      </c>
      <c r="X95" s="7">
        <v>1.0</v>
      </c>
      <c r="Y95" s="7" t="s">
        <v>1684</v>
      </c>
      <c r="Z95" s="7" t="s">
        <v>1684</v>
      </c>
      <c r="AA95" s="7" t="s">
        <v>743</v>
      </c>
      <c r="AB95" s="7" t="s">
        <v>2397</v>
      </c>
      <c r="AC95" s="7" t="s">
        <v>743</v>
      </c>
      <c r="AD95" s="7" t="s">
        <v>1589</v>
      </c>
      <c r="AE95" s="7" t="s">
        <v>2398</v>
      </c>
      <c r="AF95" s="7" t="s">
        <v>379</v>
      </c>
      <c r="AH95" s="7" t="s">
        <v>371</v>
      </c>
      <c r="AI95" s="7" t="s">
        <v>2399</v>
      </c>
      <c r="AJ95" s="7" t="s">
        <v>371</v>
      </c>
      <c r="AK95" s="7" t="s">
        <v>2400</v>
      </c>
      <c r="AL95" s="7" t="s">
        <v>379</v>
      </c>
      <c r="AN95" s="7" t="s">
        <v>379</v>
      </c>
      <c r="AP95" s="7" t="s">
        <v>1546</v>
      </c>
      <c r="AQ95" s="7" t="s">
        <v>2401</v>
      </c>
      <c r="AR95" s="7" t="s">
        <v>379</v>
      </c>
      <c r="AT95" s="7" t="s">
        <v>385</v>
      </c>
      <c r="HN95" s="7" t="s">
        <v>2402</v>
      </c>
    </row>
    <row r="96" ht="14.25" customHeight="1">
      <c r="A96" s="7" t="str">
        <f t="shared" si="1"/>
        <v>Changes in the human footprint in and around Indonesia's terrestrial national parks between 2012 and 2017</v>
      </c>
      <c r="B96" s="7">
        <v>23.0</v>
      </c>
      <c r="C96" s="7" t="s">
        <v>183</v>
      </c>
      <c r="D96" s="7" t="s">
        <v>1553</v>
      </c>
      <c r="F96" s="7" t="s">
        <v>1552</v>
      </c>
      <c r="G96" s="7" t="s">
        <v>2403</v>
      </c>
      <c r="J96" s="7" t="s">
        <v>1554</v>
      </c>
      <c r="L96" s="7" t="s">
        <v>2404</v>
      </c>
      <c r="M96" s="7" t="s">
        <v>2405</v>
      </c>
      <c r="N96" s="7" t="s">
        <v>2405</v>
      </c>
      <c r="O96" s="7" t="s">
        <v>1921</v>
      </c>
      <c r="P96" s="7" t="s">
        <v>2406</v>
      </c>
      <c r="Q96" s="7" t="s">
        <v>371</v>
      </c>
      <c r="R96" s="7" t="s">
        <v>1558</v>
      </c>
      <c r="S96" s="7" t="s">
        <v>379</v>
      </c>
      <c r="T96" s="7" t="s">
        <v>371</v>
      </c>
      <c r="U96" s="7" t="s">
        <v>379</v>
      </c>
      <c r="V96" s="7" t="s">
        <v>1382</v>
      </c>
      <c r="W96" s="7" t="s">
        <v>1541</v>
      </c>
      <c r="X96" s="7">
        <v>1.0</v>
      </c>
      <c r="Y96" s="7" t="s">
        <v>1576</v>
      </c>
      <c r="Z96" s="7" t="s">
        <v>1576</v>
      </c>
      <c r="AA96" s="7" t="s">
        <v>787</v>
      </c>
      <c r="AB96" s="7" t="s">
        <v>2407</v>
      </c>
      <c r="AC96" s="7" t="s">
        <v>787</v>
      </c>
      <c r="AD96" s="7" t="s">
        <v>379</v>
      </c>
      <c r="AF96" s="7" t="s">
        <v>379</v>
      </c>
      <c r="AH96" s="7" t="s">
        <v>385</v>
      </c>
      <c r="AI96" s="7" t="s">
        <v>2408</v>
      </c>
      <c r="AJ96" s="7" t="s">
        <v>385</v>
      </c>
      <c r="AL96" s="7" t="s">
        <v>385</v>
      </c>
      <c r="AM96" s="7" t="s">
        <v>2409</v>
      </c>
      <c r="AN96" s="7" t="s">
        <v>379</v>
      </c>
      <c r="AP96" s="7" t="s">
        <v>385</v>
      </c>
      <c r="AQ96" s="7" t="s">
        <v>2410</v>
      </c>
      <c r="AR96" s="7" t="s">
        <v>371</v>
      </c>
      <c r="AT96" s="7" t="s">
        <v>385</v>
      </c>
      <c r="HN96" s="7" t="s">
        <v>2411</v>
      </c>
    </row>
    <row r="97" ht="14.25" customHeight="1">
      <c r="A97" s="7" t="str">
        <f t="shared" si="1"/>
        <v>Deforestation in Continental Ecuador with a Focus on PAs</v>
      </c>
      <c r="B97" s="7">
        <v>18.0</v>
      </c>
      <c r="C97" s="7" t="s">
        <v>285</v>
      </c>
      <c r="D97" s="7" t="s">
        <v>1538</v>
      </c>
      <c r="E97" s="7" t="s">
        <v>379</v>
      </c>
      <c r="G97" s="7" t="s">
        <v>379</v>
      </c>
      <c r="I97" s="7" t="s">
        <v>379</v>
      </c>
      <c r="J97" s="7" t="s">
        <v>374</v>
      </c>
      <c r="K97" s="7">
        <v>43.0</v>
      </c>
      <c r="L97" s="7" t="s">
        <v>379</v>
      </c>
      <c r="M97" s="7" t="s">
        <v>1539</v>
      </c>
      <c r="N97" s="7" t="s">
        <v>1539</v>
      </c>
      <c r="O97" s="7" t="s">
        <v>1540</v>
      </c>
      <c r="P97" s="7" t="s">
        <v>379</v>
      </c>
      <c r="Q97" s="7" t="s">
        <v>1558</v>
      </c>
      <c r="R97" s="7" t="s">
        <v>1558</v>
      </c>
      <c r="S97" s="7" t="s">
        <v>2412</v>
      </c>
      <c r="T97" s="7" t="s">
        <v>399</v>
      </c>
      <c r="U97" s="7" t="s">
        <v>1657</v>
      </c>
      <c r="V97" s="7">
        <v>10.0</v>
      </c>
      <c r="W97" s="7" t="s">
        <v>1559</v>
      </c>
      <c r="X97" s="7">
        <v>1.0</v>
      </c>
      <c r="Y97" s="7" t="s">
        <v>658</v>
      </c>
      <c r="Z97" s="7" t="s">
        <v>575</v>
      </c>
      <c r="AA97" s="7" t="s">
        <v>2413</v>
      </c>
      <c r="AB97" s="7" t="s">
        <v>2414</v>
      </c>
      <c r="AC97" s="7" t="s">
        <v>575</v>
      </c>
      <c r="AD97" s="7" t="s">
        <v>1567</v>
      </c>
      <c r="AE97" s="7" t="s">
        <v>2415</v>
      </c>
      <c r="AF97" s="7" t="s">
        <v>1567</v>
      </c>
      <c r="AG97" s="7" t="s">
        <v>2416</v>
      </c>
      <c r="AH97" s="7" t="s">
        <v>385</v>
      </c>
      <c r="AI97" s="7" t="s">
        <v>2417</v>
      </c>
      <c r="AJ97" s="7" t="s">
        <v>379</v>
      </c>
      <c r="AK97" s="7" t="s">
        <v>379</v>
      </c>
      <c r="AL97" s="7" t="s">
        <v>379</v>
      </c>
      <c r="AM97" s="7" t="s">
        <v>379</v>
      </c>
      <c r="AN97" s="7" t="s">
        <v>371</v>
      </c>
      <c r="AO97" s="7" t="s">
        <v>2418</v>
      </c>
      <c r="AP97" s="7" t="s">
        <v>1546</v>
      </c>
      <c r="AQ97" s="7" t="s">
        <v>2419</v>
      </c>
      <c r="AR97" s="7" t="s">
        <v>379</v>
      </c>
      <c r="AS97" s="7" t="s">
        <v>379</v>
      </c>
      <c r="AT97" s="7" t="s">
        <v>385</v>
      </c>
      <c r="HN97" s="7" t="s">
        <v>2420</v>
      </c>
    </row>
    <row r="98" ht="14.25" customHeight="1">
      <c r="A98" s="7" t="str">
        <f t="shared" si="1"/>
        <v>Rapid and large changes in coastal wetland structure in China's four major river deltas</v>
      </c>
      <c r="B98" s="7">
        <v>16.0</v>
      </c>
      <c r="C98" s="7" t="s">
        <v>237</v>
      </c>
      <c r="D98" s="7" t="s">
        <v>1552</v>
      </c>
      <c r="F98" s="7" t="s">
        <v>1538</v>
      </c>
      <c r="J98" s="7" t="s">
        <v>1554</v>
      </c>
      <c r="K98" s="7">
        <v>72.0</v>
      </c>
      <c r="M98" s="7" t="s">
        <v>2421</v>
      </c>
      <c r="N98" s="7" t="s">
        <v>2421</v>
      </c>
      <c r="O98" s="7" t="s">
        <v>1556</v>
      </c>
      <c r="Q98" s="7" t="s">
        <v>1558</v>
      </c>
      <c r="R98" s="7" t="s">
        <v>1558</v>
      </c>
      <c r="S98" s="7" t="s">
        <v>2422</v>
      </c>
      <c r="T98" s="7" t="s">
        <v>399</v>
      </c>
      <c r="U98" s="7" t="s">
        <v>2423</v>
      </c>
      <c r="V98" s="7">
        <v>10.0</v>
      </c>
      <c r="W98" s="7" t="s">
        <v>374</v>
      </c>
      <c r="X98" s="7">
        <v>2.0</v>
      </c>
      <c r="Y98" s="7" t="s">
        <v>2424</v>
      </c>
      <c r="Z98" s="7" t="s">
        <v>2425</v>
      </c>
      <c r="AA98" s="7" t="s">
        <v>2426</v>
      </c>
      <c r="AB98" s="7" t="s">
        <v>2427</v>
      </c>
      <c r="AC98" s="7" t="s">
        <v>743</v>
      </c>
      <c r="AD98" s="7" t="s">
        <v>382</v>
      </c>
      <c r="AF98" s="7" t="s">
        <v>382</v>
      </c>
      <c r="AH98" s="7" t="s">
        <v>382</v>
      </c>
      <c r="AI98" s="7" t="s">
        <v>2428</v>
      </c>
      <c r="AJ98" s="7" t="s">
        <v>385</v>
      </c>
      <c r="AK98" s="7" t="s">
        <v>2429</v>
      </c>
      <c r="AL98" s="7" t="s">
        <v>379</v>
      </c>
      <c r="AM98" s="7" t="s">
        <v>2430</v>
      </c>
      <c r="AN98" s="7" t="s">
        <v>379</v>
      </c>
      <c r="AP98" s="7" t="s">
        <v>382</v>
      </c>
      <c r="AQ98" s="7" t="s">
        <v>2431</v>
      </c>
      <c r="AR98" s="7" t="s">
        <v>371</v>
      </c>
      <c r="AT98" s="7" t="s">
        <v>371</v>
      </c>
      <c r="BW98" s="7" t="s">
        <v>2432</v>
      </c>
      <c r="BY98" s="7" t="s">
        <v>2433</v>
      </c>
      <c r="BZ98" s="7" t="s">
        <v>1540</v>
      </c>
      <c r="CB98" s="7" t="s">
        <v>743</v>
      </c>
      <c r="CC98" s="7" t="s">
        <v>1784</v>
      </c>
      <c r="CD98" s="7" t="s">
        <v>2434</v>
      </c>
      <c r="CE98" s="7" t="s">
        <v>1784</v>
      </c>
      <c r="CG98" s="7" t="s">
        <v>371</v>
      </c>
      <c r="CK98" s="7" t="s">
        <v>1546</v>
      </c>
      <c r="CL98" s="7" t="s">
        <v>523</v>
      </c>
      <c r="CM98" s="7" t="s">
        <v>1567</v>
      </c>
      <c r="CN98" s="7" t="s">
        <v>2435</v>
      </c>
      <c r="CO98" s="7" t="s">
        <v>1567</v>
      </c>
      <c r="CQ98" s="7" t="s">
        <v>371</v>
      </c>
      <c r="DG98" s="7" t="s">
        <v>2432</v>
      </c>
      <c r="DI98" s="7" t="s">
        <v>2436</v>
      </c>
      <c r="DJ98" s="7" t="s">
        <v>1693</v>
      </c>
      <c r="DL98" s="7" t="s">
        <v>743</v>
      </c>
      <c r="DM98" s="7" t="s">
        <v>1784</v>
      </c>
      <c r="DO98" s="7" t="s">
        <v>1784</v>
      </c>
      <c r="DQ98" s="7" t="s">
        <v>371</v>
      </c>
      <c r="DU98" s="7" t="s">
        <v>1546</v>
      </c>
      <c r="DV98" s="7" t="s">
        <v>523</v>
      </c>
      <c r="DW98" s="7" t="s">
        <v>1544</v>
      </c>
      <c r="DY98" s="7" t="s">
        <v>1784</v>
      </c>
      <c r="EA98" s="7" t="s">
        <v>371</v>
      </c>
      <c r="EQ98" s="7" t="s">
        <v>2432</v>
      </c>
      <c r="ES98" s="7" t="s">
        <v>2437</v>
      </c>
      <c r="ET98" s="7" t="s">
        <v>1556</v>
      </c>
      <c r="EV98" s="7" t="s">
        <v>743</v>
      </c>
      <c r="EW98" s="7" t="s">
        <v>1567</v>
      </c>
      <c r="EY98" s="7" t="s">
        <v>1784</v>
      </c>
      <c r="FA98" s="7" t="s">
        <v>385</v>
      </c>
      <c r="FE98" s="7" t="s">
        <v>1546</v>
      </c>
      <c r="FF98" s="7" t="s">
        <v>523</v>
      </c>
      <c r="FG98" s="7" t="s">
        <v>1567</v>
      </c>
      <c r="FI98" s="7" t="s">
        <v>1544</v>
      </c>
      <c r="FK98" s="7" t="s">
        <v>1544</v>
      </c>
      <c r="HN98" s="7" t="s">
        <v>2438</v>
      </c>
    </row>
    <row r="99" ht="14.25" customHeight="1">
      <c r="A99" s="7" t="str">
        <f t="shared" si="1"/>
        <v>PA Effectiveness in Reducing Conversion in a Rapidly Vanishing Ecosystem: The Brazilian Cerrado</v>
      </c>
      <c r="B99" s="7">
        <v>15.0</v>
      </c>
      <c r="C99" s="14" t="s">
        <v>225</v>
      </c>
      <c r="D99" s="7" t="s">
        <v>1536</v>
      </c>
      <c r="J99" s="7" t="s">
        <v>374</v>
      </c>
      <c r="K99" s="7">
        <v>4.0</v>
      </c>
      <c r="L99" s="7" t="s">
        <v>2439</v>
      </c>
      <c r="M99" s="7" t="s">
        <v>1817</v>
      </c>
      <c r="N99" s="7" t="s">
        <v>1817</v>
      </c>
      <c r="O99" s="7" t="s">
        <v>1558</v>
      </c>
      <c r="Q99" s="7" t="s">
        <v>371</v>
      </c>
      <c r="R99" s="7" t="s">
        <v>1558</v>
      </c>
      <c r="S99" s="7" t="s">
        <v>2440</v>
      </c>
      <c r="T99" s="7" t="s">
        <v>399</v>
      </c>
      <c r="W99" s="7" t="s">
        <v>374</v>
      </c>
      <c r="X99" s="7">
        <v>2.0</v>
      </c>
      <c r="Y99" s="7" t="s">
        <v>2033</v>
      </c>
      <c r="Z99" s="7" t="s">
        <v>2033</v>
      </c>
      <c r="AA99" s="7" t="s">
        <v>2441</v>
      </c>
      <c r="AB99" s="7" t="s">
        <v>2442</v>
      </c>
      <c r="AC99" s="7" t="s">
        <v>523</v>
      </c>
      <c r="AD99" s="7" t="s">
        <v>1589</v>
      </c>
      <c r="AE99" s="7" t="s">
        <v>2443</v>
      </c>
      <c r="AF99" s="7" t="s">
        <v>379</v>
      </c>
      <c r="AH99" s="7" t="s">
        <v>371</v>
      </c>
      <c r="AI99" s="7" t="s">
        <v>2444</v>
      </c>
      <c r="AJ99" s="7" t="s">
        <v>379</v>
      </c>
      <c r="AL99" s="7" t="s">
        <v>379</v>
      </c>
      <c r="AN99" s="7" t="s">
        <v>379</v>
      </c>
      <c r="AP99" s="7" t="s">
        <v>1546</v>
      </c>
      <c r="AQ99" s="7" t="s">
        <v>2445</v>
      </c>
      <c r="AR99" s="7" t="s">
        <v>379</v>
      </c>
      <c r="AT99" s="7" t="s">
        <v>385</v>
      </c>
      <c r="AU99" s="7" t="s">
        <v>787</v>
      </c>
      <c r="AV99" s="7" t="s">
        <v>1567</v>
      </c>
      <c r="AW99" s="7" t="s">
        <v>2446</v>
      </c>
      <c r="AX99" s="7" t="s">
        <v>379</v>
      </c>
      <c r="AZ99" s="7" t="s">
        <v>385</v>
      </c>
      <c r="BA99" s="7" t="s">
        <v>2447</v>
      </c>
    </row>
    <row r="100" ht="14.25" customHeight="1">
      <c r="A100" s="7" t="str">
        <f t="shared" si="1"/>
        <v>Land-cover changes in and around a National Park in a mountain landscape in the Pyrenees</v>
      </c>
      <c r="B100" s="7">
        <v>12.0</v>
      </c>
      <c r="C100" s="7" t="s">
        <v>54</v>
      </c>
      <c r="D100" s="7" t="s">
        <v>1538</v>
      </c>
      <c r="E100" s="7" t="s">
        <v>2448</v>
      </c>
      <c r="F100" s="7" t="s">
        <v>2449</v>
      </c>
      <c r="G100" s="7" t="s">
        <v>2450</v>
      </c>
      <c r="I100" s="7" t="s">
        <v>379</v>
      </c>
      <c r="J100" s="7" t="s">
        <v>1554</v>
      </c>
      <c r="K100" s="7" t="s">
        <v>2451</v>
      </c>
      <c r="L100" s="7" t="s">
        <v>379</v>
      </c>
      <c r="M100" s="7" t="s">
        <v>2450</v>
      </c>
      <c r="N100" s="7" t="s">
        <v>2450</v>
      </c>
      <c r="O100" s="7" t="s">
        <v>1556</v>
      </c>
      <c r="P100" s="7" t="s">
        <v>2452</v>
      </c>
      <c r="Q100" s="7" t="s">
        <v>1558</v>
      </c>
      <c r="R100" s="7" t="s">
        <v>1558</v>
      </c>
      <c r="S100" s="7" t="s">
        <v>1708</v>
      </c>
      <c r="T100" s="7" t="s">
        <v>399</v>
      </c>
      <c r="U100" s="7" t="s">
        <v>1657</v>
      </c>
      <c r="V100" s="7">
        <v>10.0</v>
      </c>
      <c r="W100" s="7" t="s">
        <v>1559</v>
      </c>
      <c r="X100" s="7">
        <v>1.0</v>
      </c>
      <c r="Y100" s="7" t="s">
        <v>1638</v>
      </c>
      <c r="Z100" s="7" t="s">
        <v>1638</v>
      </c>
      <c r="AA100" s="7" t="s">
        <v>523</v>
      </c>
      <c r="AB100" s="7" t="s">
        <v>2453</v>
      </c>
      <c r="AC100" s="7" t="s">
        <v>523</v>
      </c>
      <c r="AD100" s="7" t="s">
        <v>1589</v>
      </c>
      <c r="AE100" s="7" t="s">
        <v>2454</v>
      </c>
      <c r="AF100" s="7" t="s">
        <v>1589</v>
      </c>
      <c r="AG100" s="7" t="s">
        <v>2455</v>
      </c>
      <c r="AH100" s="7" t="s">
        <v>371</v>
      </c>
      <c r="AI100" s="7" t="s">
        <v>2456</v>
      </c>
      <c r="AJ100" s="7" t="s">
        <v>371</v>
      </c>
      <c r="AK100" s="7" t="s">
        <v>2457</v>
      </c>
      <c r="AL100" s="7" t="s">
        <v>379</v>
      </c>
      <c r="AN100" s="7" t="s">
        <v>379</v>
      </c>
      <c r="AP100" s="7" t="s">
        <v>371</v>
      </c>
      <c r="AQ100" s="7" t="s">
        <v>2458</v>
      </c>
      <c r="AR100" s="7" t="s">
        <v>371</v>
      </c>
      <c r="AS100" s="7" t="s">
        <v>2459</v>
      </c>
      <c r="AT100" s="7" t="s">
        <v>385</v>
      </c>
      <c r="HK100" s="7" t="s">
        <v>379</v>
      </c>
      <c r="HL100" s="7" t="s">
        <v>379</v>
      </c>
      <c r="HM100" s="7" t="s">
        <v>2460</v>
      </c>
      <c r="HN100" s="7" t="s">
        <v>2461</v>
      </c>
    </row>
    <row r="101" ht="14.25" customHeight="1">
      <c r="A101" s="7" t="str">
        <f t="shared" si="1"/>
        <v>Assessment of threat status and management effectiveness in Kakamega forest, Kenya</v>
      </c>
      <c r="B101" s="7">
        <v>10.0</v>
      </c>
      <c r="C101" s="7" t="s">
        <v>60</v>
      </c>
      <c r="D101" s="7" t="s">
        <v>1553</v>
      </c>
      <c r="E101" s="7" t="s">
        <v>2462</v>
      </c>
      <c r="G101" s="7" t="s">
        <v>379</v>
      </c>
      <c r="I101" s="7" t="s">
        <v>379</v>
      </c>
      <c r="J101" s="7" t="s">
        <v>1541</v>
      </c>
      <c r="K101" s="7">
        <v>1.0</v>
      </c>
      <c r="L101" s="7" t="s">
        <v>2463</v>
      </c>
      <c r="M101" s="7" t="s">
        <v>1539</v>
      </c>
      <c r="N101" s="7" t="s">
        <v>1539</v>
      </c>
      <c r="O101" s="7" t="s">
        <v>1558</v>
      </c>
      <c r="P101" s="7" t="s">
        <v>2464</v>
      </c>
      <c r="Q101" s="7" t="s">
        <v>385</v>
      </c>
      <c r="R101" s="7" t="s">
        <v>1558</v>
      </c>
      <c r="S101" s="7">
        <v>1950.0</v>
      </c>
      <c r="T101" s="7" t="s">
        <v>399</v>
      </c>
      <c r="U101" s="7" t="s">
        <v>379</v>
      </c>
      <c r="V101" s="7" t="s">
        <v>1382</v>
      </c>
      <c r="W101" s="7" t="s">
        <v>1541</v>
      </c>
      <c r="X101" s="7">
        <v>1.0</v>
      </c>
      <c r="Y101" s="7" t="s">
        <v>1684</v>
      </c>
      <c r="Z101" s="7" t="s">
        <v>1684</v>
      </c>
      <c r="AA101" s="7" t="s">
        <v>743</v>
      </c>
      <c r="AB101" s="7" t="s">
        <v>2465</v>
      </c>
      <c r="AC101" s="7" t="s">
        <v>743</v>
      </c>
      <c r="AD101" s="7" t="s">
        <v>379</v>
      </c>
      <c r="AE101" s="7" t="s">
        <v>2466</v>
      </c>
      <c r="AF101" s="7" t="s">
        <v>1544</v>
      </c>
      <c r="AG101" s="7" t="s">
        <v>2467</v>
      </c>
      <c r="AH101" s="7" t="s">
        <v>385</v>
      </c>
      <c r="AI101" s="7" t="s">
        <v>2468</v>
      </c>
      <c r="AJ101" s="7" t="s">
        <v>379</v>
      </c>
      <c r="AK101" s="7" t="s">
        <v>379</v>
      </c>
      <c r="AL101" s="7" t="s">
        <v>379</v>
      </c>
      <c r="AM101" s="7" t="s">
        <v>379</v>
      </c>
      <c r="AN101" s="7" t="s">
        <v>379</v>
      </c>
      <c r="AO101" s="7" t="s">
        <v>379</v>
      </c>
      <c r="AP101" s="7" t="s">
        <v>385</v>
      </c>
      <c r="AQ101" s="7" t="s">
        <v>2469</v>
      </c>
      <c r="AR101" s="7" t="s">
        <v>385</v>
      </c>
      <c r="AS101" s="7" t="s">
        <v>379</v>
      </c>
      <c r="AT101" s="7" t="s">
        <v>385</v>
      </c>
      <c r="HK101" s="7" t="s">
        <v>2470</v>
      </c>
      <c r="HM101" s="7" t="s">
        <v>2471</v>
      </c>
    </row>
    <row r="102" ht="14.25" customHeight="1">
      <c r="A102" s="7" t="str">
        <f t="shared" si="1"/>
        <v>The role of PAs in mitigating human impact in the world's last wilderness areas</v>
      </c>
      <c r="B102" s="7">
        <v>9.0</v>
      </c>
      <c r="C102" s="7" t="s">
        <v>75</v>
      </c>
      <c r="D102" s="7" t="s">
        <v>1536</v>
      </c>
      <c r="E102" s="7" t="s">
        <v>2472</v>
      </c>
      <c r="F102" s="7" t="s">
        <v>1552</v>
      </c>
      <c r="G102" s="7" t="s">
        <v>2473</v>
      </c>
      <c r="I102" s="7" t="s">
        <v>379</v>
      </c>
      <c r="J102" s="7" t="s">
        <v>374</v>
      </c>
      <c r="K102" s="7" t="s">
        <v>2474</v>
      </c>
      <c r="M102" s="7" t="s">
        <v>2475</v>
      </c>
      <c r="N102" s="7" t="s">
        <v>2475</v>
      </c>
      <c r="O102" s="7" t="s">
        <v>1556</v>
      </c>
      <c r="Q102" s="7" t="s">
        <v>371</v>
      </c>
      <c r="R102" s="7" t="s">
        <v>1558</v>
      </c>
      <c r="T102" s="7" t="s">
        <v>399</v>
      </c>
      <c r="W102" s="7" t="s">
        <v>1541</v>
      </c>
      <c r="X102" s="7">
        <v>1.0</v>
      </c>
      <c r="Y102" s="7" t="s">
        <v>1684</v>
      </c>
      <c r="Z102" s="7" t="s">
        <v>1684</v>
      </c>
      <c r="AA102" s="7" t="s">
        <v>743</v>
      </c>
      <c r="AB102" s="7" t="s">
        <v>2476</v>
      </c>
      <c r="AC102" s="7" t="s">
        <v>743</v>
      </c>
      <c r="AD102" s="7" t="s">
        <v>379</v>
      </c>
      <c r="AE102" s="7" t="s">
        <v>2477</v>
      </c>
      <c r="AF102" s="7" t="s">
        <v>379</v>
      </c>
      <c r="AG102" s="7" t="s">
        <v>379</v>
      </c>
      <c r="AH102" s="7" t="s">
        <v>379</v>
      </c>
      <c r="AI102" s="7" t="s">
        <v>379</v>
      </c>
      <c r="AJ102" s="7" t="s">
        <v>371</v>
      </c>
      <c r="AK102" s="7" t="s">
        <v>2478</v>
      </c>
      <c r="AL102" s="7" t="s">
        <v>371</v>
      </c>
      <c r="AM102" s="7" t="s">
        <v>379</v>
      </c>
      <c r="AN102" s="7" t="s">
        <v>379</v>
      </c>
      <c r="AO102" s="7" t="s">
        <v>379</v>
      </c>
      <c r="AP102" s="7" t="s">
        <v>371</v>
      </c>
      <c r="AQ102" s="7" t="s">
        <v>2479</v>
      </c>
      <c r="AR102" s="7" t="s">
        <v>371</v>
      </c>
      <c r="AS102" s="7" t="s">
        <v>2480</v>
      </c>
      <c r="AT102" s="7" t="s">
        <v>385</v>
      </c>
      <c r="HK102" s="7" t="s">
        <v>2481</v>
      </c>
      <c r="HL102" s="7" t="s">
        <v>2482</v>
      </c>
      <c r="HM102" s="7" t="s">
        <v>2483</v>
      </c>
      <c r="HN102" s="7" t="s">
        <v>2484</v>
      </c>
    </row>
    <row r="103" ht="14.25" customHeight="1">
      <c r="A103" s="7" t="str">
        <f t="shared" si="1"/>
        <v>Global protected-area coverage and human pressure on tidal flats</v>
      </c>
      <c r="B103" s="7">
        <v>8.0</v>
      </c>
      <c r="C103" s="7" t="s">
        <v>216</v>
      </c>
      <c r="D103" s="7" t="s">
        <v>1553</v>
      </c>
      <c r="E103" s="7" t="s">
        <v>2485</v>
      </c>
      <c r="F103" s="7" t="s">
        <v>1552</v>
      </c>
      <c r="G103" s="7" t="s">
        <v>2486</v>
      </c>
      <c r="J103" s="7" t="s">
        <v>374</v>
      </c>
      <c r="K103" s="7">
        <v>52281.0</v>
      </c>
      <c r="L103" s="7" t="s">
        <v>379</v>
      </c>
      <c r="M103" s="7" t="s">
        <v>2487</v>
      </c>
      <c r="N103" s="7" t="s">
        <v>2487</v>
      </c>
      <c r="O103" s="7" t="s">
        <v>1556</v>
      </c>
      <c r="P103" s="7" t="s">
        <v>2488</v>
      </c>
      <c r="Q103" s="7" t="s">
        <v>1558</v>
      </c>
      <c r="R103" s="7" t="s">
        <v>1558</v>
      </c>
      <c r="S103" s="7" t="s">
        <v>1831</v>
      </c>
      <c r="T103" s="7" t="s">
        <v>399</v>
      </c>
      <c r="U103" s="7" t="s">
        <v>379</v>
      </c>
      <c r="V103" s="7" t="s">
        <v>1382</v>
      </c>
      <c r="W103" s="7" t="s">
        <v>1559</v>
      </c>
      <c r="X103" s="7">
        <v>1.0</v>
      </c>
      <c r="Y103" s="7" t="s">
        <v>658</v>
      </c>
      <c r="Z103" s="7" t="s">
        <v>575</v>
      </c>
      <c r="AA103" s="7" t="s">
        <v>658</v>
      </c>
      <c r="AB103" s="7" t="s">
        <v>2489</v>
      </c>
      <c r="AC103" s="7" t="s">
        <v>575</v>
      </c>
      <c r="AD103" s="7" t="s">
        <v>1567</v>
      </c>
      <c r="AE103" s="7" t="s">
        <v>2490</v>
      </c>
      <c r="AF103" s="7" t="s">
        <v>1567</v>
      </c>
      <c r="AG103" s="7" t="s">
        <v>2491</v>
      </c>
      <c r="AH103" s="7" t="s">
        <v>371</v>
      </c>
      <c r="AI103" s="7" t="s">
        <v>379</v>
      </c>
      <c r="AJ103" s="7" t="s">
        <v>1544</v>
      </c>
      <c r="AK103" s="7" t="s">
        <v>2492</v>
      </c>
      <c r="AL103" s="7" t="s">
        <v>379</v>
      </c>
      <c r="AN103" s="7" t="s">
        <v>379</v>
      </c>
      <c r="AP103" s="7" t="s">
        <v>1546</v>
      </c>
      <c r="AQ103" s="7" t="s">
        <v>2493</v>
      </c>
      <c r="AR103" s="7" t="s">
        <v>385</v>
      </c>
      <c r="AS103" s="7" t="s">
        <v>2494</v>
      </c>
      <c r="AT103" s="7" t="s">
        <v>385</v>
      </c>
      <c r="HK103" s="7" t="s">
        <v>2495</v>
      </c>
      <c r="HL103" s="7" t="s">
        <v>2496</v>
      </c>
      <c r="HM103" s="7" t="s">
        <v>2497</v>
      </c>
      <c r="HN103" s="7" t="s">
        <v>2498</v>
      </c>
    </row>
    <row r="104" ht="14.25" customHeight="1">
      <c r="A104" s="7" t="str">
        <f t="shared" si="1"/>
        <v>Severe human pressures in the Sundaland biodiversity hotspot</v>
      </c>
      <c r="B104" s="7">
        <v>6.0</v>
      </c>
      <c r="C104" s="7" t="s">
        <v>231</v>
      </c>
      <c r="D104" s="7" t="s">
        <v>1553</v>
      </c>
      <c r="J104" s="7" t="s">
        <v>1554</v>
      </c>
      <c r="K104" s="7">
        <v>5927.0</v>
      </c>
      <c r="L104" s="7" t="s">
        <v>1946</v>
      </c>
      <c r="O104" s="7" t="s">
        <v>1558</v>
      </c>
      <c r="Q104" s="7" t="s">
        <v>1558</v>
      </c>
      <c r="R104" s="7" t="s">
        <v>1558</v>
      </c>
      <c r="S104" s="7" t="s">
        <v>2499</v>
      </c>
      <c r="T104" s="7" t="s">
        <v>399</v>
      </c>
      <c r="U104" s="7" t="s">
        <v>379</v>
      </c>
      <c r="V104" s="7" t="s">
        <v>1382</v>
      </c>
      <c r="W104" s="7" t="s">
        <v>1559</v>
      </c>
      <c r="X104" s="7">
        <v>1.0</v>
      </c>
      <c r="Y104" s="7" t="s">
        <v>2500</v>
      </c>
      <c r="Z104" s="7" t="s">
        <v>575</v>
      </c>
      <c r="AA104" s="7" t="s">
        <v>2501</v>
      </c>
      <c r="AB104" s="7" t="s">
        <v>2502</v>
      </c>
      <c r="AC104" s="7" t="s">
        <v>575</v>
      </c>
      <c r="AD104" s="7" t="s">
        <v>1544</v>
      </c>
      <c r="AE104" s="7" t="s">
        <v>2503</v>
      </c>
      <c r="AF104" s="7" t="s">
        <v>1544</v>
      </c>
      <c r="AH104" s="7" t="s">
        <v>1544</v>
      </c>
      <c r="AI104" s="7" t="s">
        <v>2504</v>
      </c>
      <c r="AJ104" s="7" t="s">
        <v>379</v>
      </c>
      <c r="AL104" s="7" t="s">
        <v>379</v>
      </c>
      <c r="AN104" s="7" t="s">
        <v>371</v>
      </c>
      <c r="AO104" s="7" t="s">
        <v>2505</v>
      </c>
      <c r="AP104" s="7" t="s">
        <v>1546</v>
      </c>
      <c r="AQ104" s="7" t="s">
        <v>2506</v>
      </c>
      <c r="AR104" s="7" t="s">
        <v>379</v>
      </c>
      <c r="AT104" s="7" t="s">
        <v>385</v>
      </c>
      <c r="HM104" s="7" t="s">
        <v>2507</v>
      </c>
      <c r="HN104" s="7" t="s">
        <v>2508</v>
      </c>
    </row>
    <row r="105" ht="14.25" customHeight="1">
      <c r="A105" s="7" t="str">
        <f t="shared" si="1"/>
        <v>Assessing naturalness in northern great lakes forests based on historical land-cover and vegetation changes</v>
      </c>
      <c r="B105" s="7">
        <v>5.0</v>
      </c>
      <c r="C105" s="7" t="s">
        <v>51</v>
      </c>
      <c r="D105" s="7" t="s">
        <v>1552</v>
      </c>
      <c r="J105" s="7" t="s">
        <v>374</v>
      </c>
      <c r="L105" s="7" t="s">
        <v>2509</v>
      </c>
      <c r="M105" s="7" t="s">
        <v>2510</v>
      </c>
      <c r="N105" s="7" t="s">
        <v>2510</v>
      </c>
      <c r="O105" s="7" t="s">
        <v>1556</v>
      </c>
      <c r="Q105" s="7" t="s">
        <v>1558</v>
      </c>
      <c r="R105" s="7" t="s">
        <v>1558</v>
      </c>
      <c r="S105" s="7" t="s">
        <v>2511</v>
      </c>
      <c r="T105" s="7" t="s">
        <v>399</v>
      </c>
      <c r="U105" s="7" t="s">
        <v>379</v>
      </c>
      <c r="V105" s="7" t="s">
        <v>1382</v>
      </c>
      <c r="W105" s="7" t="s">
        <v>1559</v>
      </c>
      <c r="X105" s="7">
        <v>1.0</v>
      </c>
      <c r="Y105" s="7" t="s">
        <v>658</v>
      </c>
      <c r="Z105" s="7" t="s">
        <v>575</v>
      </c>
      <c r="AA105" s="7" t="s">
        <v>658</v>
      </c>
      <c r="AB105" s="7" t="s">
        <v>2512</v>
      </c>
      <c r="AC105" s="7" t="s">
        <v>575</v>
      </c>
      <c r="AD105" s="7" t="s">
        <v>1567</v>
      </c>
      <c r="AE105" s="7" t="s">
        <v>2513</v>
      </c>
      <c r="AF105" s="7" t="s">
        <v>1567</v>
      </c>
      <c r="AG105" s="7" t="s">
        <v>2514</v>
      </c>
      <c r="AH105" s="7" t="s">
        <v>379</v>
      </c>
      <c r="AJ105" s="7" t="s">
        <v>385</v>
      </c>
      <c r="AK105" s="7" t="s">
        <v>2515</v>
      </c>
      <c r="AL105" s="7" t="s">
        <v>385</v>
      </c>
      <c r="AN105" s="7" t="s">
        <v>379</v>
      </c>
      <c r="AP105" s="7" t="s">
        <v>385</v>
      </c>
      <c r="AR105" s="7" t="s">
        <v>371</v>
      </c>
      <c r="AT105" s="7" t="s">
        <v>385</v>
      </c>
      <c r="HK105" s="7" t="s">
        <v>1828</v>
      </c>
      <c r="HN105" s="7" t="s">
        <v>2516</v>
      </c>
      <c r="HO105" s="7" t="s">
        <v>2517</v>
      </c>
    </row>
    <row r="106" ht="14.25" customHeight="1">
      <c r="A106" s="7" t="str">
        <f t="shared" si="1"/>
        <v>Monitoring of organochlorine pesticides in and around Keoladeo National Park, Bharatpur, Rajasthan, India</v>
      </c>
      <c r="B106" s="7">
        <v>4.0</v>
      </c>
      <c r="C106" s="7" t="s">
        <v>66</v>
      </c>
      <c r="D106" s="7" t="s">
        <v>1538</v>
      </c>
      <c r="E106" s="7" t="s">
        <v>379</v>
      </c>
      <c r="F106" s="7" t="s">
        <v>1553</v>
      </c>
      <c r="G106" s="7" t="s">
        <v>379</v>
      </c>
      <c r="I106" s="7" t="s">
        <v>379</v>
      </c>
      <c r="J106" s="7" t="s">
        <v>1541</v>
      </c>
      <c r="K106" s="7">
        <v>1.0</v>
      </c>
      <c r="L106" s="7" t="s">
        <v>2518</v>
      </c>
      <c r="M106" s="7" t="s">
        <v>2519</v>
      </c>
      <c r="N106" s="7" t="s">
        <v>2519</v>
      </c>
      <c r="O106" s="7" t="s">
        <v>1921</v>
      </c>
      <c r="P106" s="7" t="s">
        <v>379</v>
      </c>
      <c r="Q106" s="7" t="s">
        <v>1558</v>
      </c>
      <c r="R106" s="7" t="s">
        <v>1558</v>
      </c>
      <c r="S106" s="7">
        <v>1966.0</v>
      </c>
      <c r="T106" s="7" t="s">
        <v>371</v>
      </c>
      <c r="U106" s="7" t="s">
        <v>2520</v>
      </c>
      <c r="V106" s="7" t="s">
        <v>1382</v>
      </c>
      <c r="W106" s="7" t="s">
        <v>1541</v>
      </c>
      <c r="X106" s="7">
        <v>1.0</v>
      </c>
      <c r="Y106" s="7" t="s">
        <v>1684</v>
      </c>
      <c r="Z106" s="7" t="s">
        <v>1684</v>
      </c>
      <c r="AA106" s="7" t="s">
        <v>743</v>
      </c>
      <c r="AB106" s="7" t="s">
        <v>2521</v>
      </c>
      <c r="AC106" s="7" t="s">
        <v>743</v>
      </c>
      <c r="AD106" s="7" t="s">
        <v>1567</v>
      </c>
      <c r="AE106" s="7" t="s">
        <v>2522</v>
      </c>
      <c r="AF106" s="7" t="s">
        <v>1567</v>
      </c>
      <c r="AG106" s="7" t="s">
        <v>2523</v>
      </c>
      <c r="AH106" s="7" t="s">
        <v>371</v>
      </c>
      <c r="AI106" s="7" t="s">
        <v>2524</v>
      </c>
      <c r="AJ106" s="7" t="s">
        <v>379</v>
      </c>
      <c r="AK106" s="7" t="s">
        <v>379</v>
      </c>
      <c r="AL106" s="7" t="s">
        <v>379</v>
      </c>
      <c r="AM106" s="7" t="s">
        <v>379</v>
      </c>
      <c r="AN106" s="7" t="s">
        <v>379</v>
      </c>
      <c r="AO106" s="7" t="s">
        <v>379</v>
      </c>
      <c r="AP106" s="7" t="s">
        <v>371</v>
      </c>
      <c r="AQ106" s="7" t="s">
        <v>2525</v>
      </c>
      <c r="AR106" s="7" t="s">
        <v>379</v>
      </c>
      <c r="AS106" s="7" t="s">
        <v>379</v>
      </c>
      <c r="AT106" s="7" t="s">
        <v>385</v>
      </c>
    </row>
    <row r="107" ht="14.25" customHeight="1">
      <c r="D107" s="7" t="s">
        <v>1553</v>
      </c>
      <c r="E107" s="7" t="s">
        <v>2526</v>
      </c>
      <c r="G107" s="7" t="s">
        <v>379</v>
      </c>
      <c r="I107" s="7" t="s">
        <v>379</v>
      </c>
      <c r="J107" s="7" t="s">
        <v>1541</v>
      </c>
      <c r="K107" s="7">
        <v>1.0</v>
      </c>
      <c r="L107" s="7" t="s">
        <v>1378</v>
      </c>
      <c r="M107" s="7" t="s">
        <v>1539</v>
      </c>
      <c r="N107" s="7" t="s">
        <v>1539</v>
      </c>
      <c r="O107" s="7" t="s">
        <v>1558</v>
      </c>
      <c r="P107" s="7" t="s">
        <v>379</v>
      </c>
      <c r="Q107" s="7" t="s">
        <v>1558</v>
      </c>
      <c r="R107" s="7" t="s">
        <v>1558</v>
      </c>
      <c r="S107" s="7" t="s">
        <v>379</v>
      </c>
      <c r="T107" s="7" t="s">
        <v>399</v>
      </c>
      <c r="U107" s="7" t="s">
        <v>379</v>
      </c>
      <c r="V107" s="7" t="s">
        <v>1382</v>
      </c>
      <c r="W107" s="7" t="s">
        <v>1541</v>
      </c>
      <c r="X107" s="7">
        <v>1.0</v>
      </c>
      <c r="Y107" s="7" t="s">
        <v>1872</v>
      </c>
      <c r="Z107" s="7" t="s">
        <v>1872</v>
      </c>
      <c r="AA107" s="7" t="s">
        <v>2527</v>
      </c>
      <c r="AC107" s="7" t="s">
        <v>1874</v>
      </c>
      <c r="AD107" s="7" t="s">
        <v>379</v>
      </c>
      <c r="AF107" s="7" t="s">
        <v>379</v>
      </c>
      <c r="AH107" s="7" t="s">
        <v>1544</v>
      </c>
      <c r="AI107" s="7" t="s">
        <v>2528</v>
      </c>
      <c r="AJ107" s="7" t="s">
        <v>1544</v>
      </c>
      <c r="AL107" s="7" t="s">
        <v>379</v>
      </c>
      <c r="AN107" s="7" t="s">
        <v>385</v>
      </c>
      <c r="AP107" s="7" t="s">
        <v>385</v>
      </c>
      <c r="AQ107" s="7" t="s">
        <v>2529</v>
      </c>
      <c r="AR107" s="7" t="s">
        <v>379</v>
      </c>
      <c r="AT107" s="7" t="s">
        <v>385</v>
      </c>
      <c r="HL107" s="7" t="s">
        <v>2530</v>
      </c>
      <c r="HM107" s="7" t="s">
        <v>379</v>
      </c>
      <c r="HN107" s="7" t="s">
        <v>2531</v>
      </c>
    </row>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autoFilter ref="$B$1:$HO$107"/>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5"/>
    <col customWidth="1" min="2" max="5" width="24.13"/>
    <col customWidth="1" min="6" max="6" width="23.25"/>
    <col customWidth="1" min="7" max="7" width="24.0"/>
    <col customWidth="1" min="8" max="8" width="21.75"/>
  </cols>
  <sheetData>
    <row r="1" ht="14.25" customHeight="1">
      <c r="A1" s="7" t="s">
        <v>332</v>
      </c>
      <c r="B1" s="19" t="s">
        <v>2532</v>
      </c>
      <c r="C1" s="19" t="s">
        <v>2533</v>
      </c>
      <c r="D1" s="19" t="s">
        <v>2534</v>
      </c>
      <c r="E1" s="16" t="s">
        <v>1407</v>
      </c>
      <c r="F1" s="16" t="s">
        <v>1408</v>
      </c>
      <c r="G1" s="7" t="s">
        <v>1409</v>
      </c>
      <c r="H1" s="7" t="s">
        <v>1410</v>
      </c>
    </row>
    <row r="2" ht="14.25" customHeight="1">
      <c r="A2" s="7">
        <v>4.0</v>
      </c>
      <c r="B2" s="8">
        <v>1.0</v>
      </c>
      <c r="C2" s="8" t="s">
        <v>2535</v>
      </c>
      <c r="D2" s="8" t="s">
        <v>2536</v>
      </c>
      <c r="E2" s="7" t="s">
        <v>1684</v>
      </c>
      <c r="F2" s="7" t="s">
        <v>1684</v>
      </c>
      <c r="G2" s="7" t="s">
        <v>743</v>
      </c>
      <c r="H2" s="7" t="s">
        <v>2521</v>
      </c>
    </row>
    <row r="3" ht="14.25" customHeight="1">
      <c r="A3" s="7">
        <v>5.0</v>
      </c>
      <c r="B3" s="8">
        <v>1.0</v>
      </c>
      <c r="C3" s="8" t="s">
        <v>2537</v>
      </c>
      <c r="D3" s="8" t="s">
        <v>2536</v>
      </c>
      <c r="E3" s="7" t="s">
        <v>658</v>
      </c>
      <c r="F3" s="7" t="s">
        <v>575</v>
      </c>
      <c r="G3" s="7" t="s">
        <v>658</v>
      </c>
      <c r="H3" s="7" t="s">
        <v>2512</v>
      </c>
    </row>
    <row r="4" ht="14.25" customHeight="1">
      <c r="A4" s="7">
        <v>6.0</v>
      </c>
      <c r="B4" s="8">
        <v>0.0</v>
      </c>
      <c r="E4" s="7" t="s">
        <v>2500</v>
      </c>
      <c r="F4" s="7" t="s">
        <v>575</v>
      </c>
      <c r="G4" s="7" t="s">
        <v>2501</v>
      </c>
      <c r="H4" s="7" t="s">
        <v>2502</v>
      </c>
    </row>
    <row r="5" ht="14.25" customHeight="1">
      <c r="A5" s="7">
        <v>8.0</v>
      </c>
      <c r="B5" s="8">
        <v>0.0</v>
      </c>
      <c r="E5" s="7" t="s">
        <v>658</v>
      </c>
      <c r="F5" s="7" t="s">
        <v>575</v>
      </c>
      <c r="G5" s="7" t="s">
        <v>658</v>
      </c>
      <c r="H5" s="7" t="s">
        <v>2489</v>
      </c>
    </row>
    <row r="6" ht="14.25" customHeight="1">
      <c r="A6" s="7">
        <v>9.0</v>
      </c>
      <c r="B6" s="8">
        <v>1.0</v>
      </c>
      <c r="C6" s="8" t="s">
        <v>2537</v>
      </c>
      <c r="D6" s="8" t="s">
        <v>2536</v>
      </c>
      <c r="E6" s="7" t="s">
        <v>1684</v>
      </c>
      <c r="F6" s="7" t="s">
        <v>1684</v>
      </c>
      <c r="G6" s="7" t="s">
        <v>743</v>
      </c>
      <c r="H6" s="7" t="s">
        <v>2476</v>
      </c>
    </row>
    <row r="7" ht="14.25" customHeight="1">
      <c r="A7" s="7">
        <v>10.0</v>
      </c>
      <c r="B7" s="8">
        <v>1.0</v>
      </c>
      <c r="C7" s="8" t="s">
        <v>2537</v>
      </c>
      <c r="D7" s="8" t="s">
        <v>2536</v>
      </c>
      <c r="E7" s="7" t="s">
        <v>1684</v>
      </c>
      <c r="F7" s="7" t="s">
        <v>1684</v>
      </c>
      <c r="G7" s="7" t="s">
        <v>743</v>
      </c>
      <c r="H7" s="7" t="s">
        <v>2465</v>
      </c>
    </row>
    <row r="8" ht="14.25" customHeight="1">
      <c r="A8" s="7">
        <v>12.0</v>
      </c>
      <c r="B8" s="8">
        <v>0.0</v>
      </c>
      <c r="E8" s="7" t="s">
        <v>1638</v>
      </c>
      <c r="F8" s="7" t="s">
        <v>1638</v>
      </c>
      <c r="G8" s="7" t="s">
        <v>523</v>
      </c>
      <c r="H8" s="7" t="s">
        <v>2453</v>
      </c>
    </row>
    <row r="9" ht="14.25" customHeight="1">
      <c r="A9" s="7">
        <v>15.0</v>
      </c>
      <c r="B9" s="8">
        <v>1.0</v>
      </c>
      <c r="C9" s="8" t="s">
        <v>2538</v>
      </c>
      <c r="E9" s="7" t="s">
        <v>2033</v>
      </c>
      <c r="F9" s="7" t="s">
        <v>2033</v>
      </c>
      <c r="G9" s="7" t="s">
        <v>2441</v>
      </c>
      <c r="H9" s="7" t="s">
        <v>2442</v>
      </c>
    </row>
    <row r="10" ht="14.25" customHeight="1">
      <c r="A10" s="7">
        <v>16.0</v>
      </c>
      <c r="B10" s="8">
        <v>1.0</v>
      </c>
      <c r="C10" s="8" t="s">
        <v>2537</v>
      </c>
      <c r="D10" s="8" t="s">
        <v>2536</v>
      </c>
      <c r="E10" s="7" t="s">
        <v>2424</v>
      </c>
      <c r="F10" s="7" t="s">
        <v>2425</v>
      </c>
      <c r="G10" s="7" t="s">
        <v>2426</v>
      </c>
      <c r="H10" s="7" t="s">
        <v>2427</v>
      </c>
    </row>
    <row r="11" ht="14.25" customHeight="1">
      <c r="A11" s="7">
        <v>18.0</v>
      </c>
      <c r="B11" s="8">
        <v>0.0</v>
      </c>
      <c r="E11" s="7" t="s">
        <v>658</v>
      </c>
      <c r="F11" s="7" t="s">
        <v>575</v>
      </c>
      <c r="G11" s="7" t="s">
        <v>2413</v>
      </c>
      <c r="H11" s="7" t="s">
        <v>2414</v>
      </c>
    </row>
    <row r="12" ht="14.25" customHeight="1">
      <c r="A12" s="7">
        <v>23.0</v>
      </c>
      <c r="B12" s="8">
        <v>1.0</v>
      </c>
      <c r="C12" s="8" t="s">
        <v>2538</v>
      </c>
      <c r="E12" s="7" t="s">
        <v>1576</v>
      </c>
      <c r="F12" s="7" t="s">
        <v>1576</v>
      </c>
      <c r="G12" s="7" t="s">
        <v>787</v>
      </c>
      <c r="H12" s="7" t="s">
        <v>2407</v>
      </c>
    </row>
    <row r="13" ht="14.25" customHeight="1">
      <c r="A13" s="7">
        <v>26.0</v>
      </c>
      <c r="B13" s="8">
        <v>1.0</v>
      </c>
      <c r="C13" s="8" t="s">
        <v>2535</v>
      </c>
      <c r="D13" s="8" t="s">
        <v>2536</v>
      </c>
      <c r="E13" s="7" t="s">
        <v>1684</v>
      </c>
      <c r="F13" s="7" t="s">
        <v>1684</v>
      </c>
      <c r="G13" s="7" t="s">
        <v>743</v>
      </c>
      <c r="H13" s="7" t="s">
        <v>2397</v>
      </c>
    </row>
    <row r="14" ht="14.25" customHeight="1">
      <c r="A14" s="7">
        <v>29.0</v>
      </c>
      <c r="B14" s="8">
        <v>1.0</v>
      </c>
      <c r="C14" s="8" t="s">
        <v>2535</v>
      </c>
      <c r="D14" s="8" t="s">
        <v>2536</v>
      </c>
      <c r="E14" s="7" t="s">
        <v>1684</v>
      </c>
      <c r="F14" s="7" t="s">
        <v>1684</v>
      </c>
      <c r="G14" s="7" t="s">
        <v>743</v>
      </c>
      <c r="H14" s="7" t="s">
        <v>2392</v>
      </c>
    </row>
    <row r="15" ht="14.25" customHeight="1">
      <c r="A15" s="7">
        <v>30.0</v>
      </c>
      <c r="B15" s="8">
        <v>1.0</v>
      </c>
      <c r="C15" s="8" t="s">
        <v>2539</v>
      </c>
      <c r="D15" s="8" t="s">
        <v>2540</v>
      </c>
      <c r="E15" s="7" t="s">
        <v>1542</v>
      </c>
      <c r="F15" s="7" t="s">
        <v>1542</v>
      </c>
      <c r="G15" s="7" t="s">
        <v>469</v>
      </c>
    </row>
    <row r="16" ht="14.25" customHeight="1">
      <c r="A16" s="7">
        <v>33.0</v>
      </c>
      <c r="B16" s="8">
        <v>0.0</v>
      </c>
      <c r="E16" s="7" t="s">
        <v>1638</v>
      </c>
      <c r="F16" s="7" t="s">
        <v>1638</v>
      </c>
      <c r="G16" s="7" t="s">
        <v>2375</v>
      </c>
      <c r="H16" s="7" t="s">
        <v>2376</v>
      </c>
    </row>
    <row r="17" ht="14.25" customHeight="1">
      <c r="A17" s="7">
        <v>34.0</v>
      </c>
      <c r="B17" s="8">
        <v>1.0</v>
      </c>
      <c r="C17" s="8" t="s">
        <v>2541</v>
      </c>
      <c r="D17" s="8" t="s">
        <v>2542</v>
      </c>
      <c r="E17" s="7" t="s">
        <v>2368</v>
      </c>
      <c r="F17" s="7" t="s">
        <v>2368</v>
      </c>
      <c r="G17" s="7" t="s">
        <v>2369</v>
      </c>
      <c r="H17" s="7" t="s">
        <v>2370</v>
      </c>
    </row>
    <row r="18" ht="14.25" customHeight="1">
      <c r="A18" s="7">
        <v>40.0</v>
      </c>
      <c r="B18" s="8">
        <v>1.0</v>
      </c>
      <c r="C18" s="8" t="s">
        <v>2535</v>
      </c>
      <c r="D18" s="8" t="s">
        <v>2536</v>
      </c>
      <c r="E18" s="7" t="s">
        <v>1684</v>
      </c>
      <c r="F18" s="7" t="s">
        <v>1684</v>
      </c>
      <c r="G18" s="7" t="s">
        <v>743</v>
      </c>
    </row>
    <row r="19" ht="14.25" customHeight="1">
      <c r="A19" s="7">
        <v>42.0</v>
      </c>
      <c r="B19" s="8">
        <v>1.0</v>
      </c>
      <c r="C19" s="8" t="s">
        <v>2535</v>
      </c>
      <c r="D19" s="8" t="s">
        <v>2536</v>
      </c>
      <c r="E19" s="7" t="s">
        <v>1684</v>
      </c>
      <c r="F19" s="7" t="s">
        <v>1684</v>
      </c>
      <c r="G19" s="7" t="s">
        <v>743</v>
      </c>
      <c r="H19" s="7" t="s">
        <v>2346</v>
      </c>
    </row>
    <row r="20" ht="14.25" customHeight="1">
      <c r="A20" s="7">
        <v>45.0</v>
      </c>
      <c r="B20" s="8">
        <v>1.0</v>
      </c>
      <c r="C20" s="8" t="s">
        <v>2543</v>
      </c>
      <c r="E20" s="7" t="s">
        <v>1872</v>
      </c>
      <c r="F20" s="7" t="s">
        <v>1872</v>
      </c>
      <c r="G20" s="7" t="s">
        <v>1211</v>
      </c>
      <c r="H20" s="7" t="s">
        <v>2339</v>
      </c>
    </row>
    <row r="21" ht="14.25" customHeight="1">
      <c r="A21" s="7">
        <v>55.0</v>
      </c>
      <c r="B21" s="8">
        <v>1.0</v>
      </c>
      <c r="C21" s="8" t="s">
        <v>2544</v>
      </c>
      <c r="D21" s="8" t="s">
        <v>2536</v>
      </c>
      <c r="E21" s="7" t="s">
        <v>2000</v>
      </c>
      <c r="F21" s="7" t="s">
        <v>2000</v>
      </c>
      <c r="G21" s="7" t="s">
        <v>2001</v>
      </c>
      <c r="H21" s="7" t="s">
        <v>2330</v>
      </c>
    </row>
    <row r="22" ht="14.25" customHeight="1">
      <c r="A22" s="7">
        <v>58.0</v>
      </c>
      <c r="B22" s="8">
        <v>1.0</v>
      </c>
      <c r="C22" s="8" t="s">
        <v>2535</v>
      </c>
      <c r="D22" s="8" t="s">
        <v>2536</v>
      </c>
      <c r="E22" s="7" t="s">
        <v>1684</v>
      </c>
      <c r="F22" s="7" t="s">
        <v>1684</v>
      </c>
      <c r="G22" s="7" t="s">
        <v>743</v>
      </c>
      <c r="H22" s="7" t="s">
        <v>2322</v>
      </c>
    </row>
    <row r="23" ht="14.25" customHeight="1">
      <c r="A23" s="7">
        <v>61.0</v>
      </c>
      <c r="B23" s="8">
        <v>1.0</v>
      </c>
      <c r="C23" s="8" t="s">
        <v>2535</v>
      </c>
      <c r="D23" s="8" t="s">
        <v>2545</v>
      </c>
      <c r="E23" s="7" t="s">
        <v>1748</v>
      </c>
      <c r="F23" s="7" t="s">
        <v>1748</v>
      </c>
      <c r="G23" s="7" t="s">
        <v>1877</v>
      </c>
      <c r="H23" s="7" t="s">
        <v>2315</v>
      </c>
    </row>
    <row r="24" ht="14.25" customHeight="1">
      <c r="A24" s="7">
        <v>66.0</v>
      </c>
      <c r="B24" s="8">
        <v>0.0</v>
      </c>
      <c r="E24" s="7" t="s">
        <v>2305</v>
      </c>
      <c r="F24" s="7" t="s">
        <v>575</v>
      </c>
      <c r="G24" s="7" t="s">
        <v>2306</v>
      </c>
      <c r="H24" s="7" t="s">
        <v>2307</v>
      </c>
    </row>
    <row r="25" ht="14.25" customHeight="1">
      <c r="A25" s="7">
        <v>68.0</v>
      </c>
      <c r="B25" s="8">
        <v>0.0</v>
      </c>
      <c r="E25" s="7" t="s">
        <v>658</v>
      </c>
      <c r="F25" s="7" t="s">
        <v>575</v>
      </c>
      <c r="G25" s="7" t="s">
        <v>658</v>
      </c>
      <c r="H25" s="7" t="s">
        <v>2296</v>
      </c>
    </row>
    <row r="26" ht="14.25" customHeight="1">
      <c r="A26" s="7">
        <v>80.0</v>
      </c>
      <c r="B26" s="8">
        <v>1.0</v>
      </c>
      <c r="C26" s="8" t="s">
        <v>2539</v>
      </c>
      <c r="D26" s="8" t="s">
        <v>2540</v>
      </c>
      <c r="E26" s="7" t="s">
        <v>1542</v>
      </c>
      <c r="F26" s="7" t="s">
        <v>1542</v>
      </c>
      <c r="G26" s="7" t="s">
        <v>469</v>
      </c>
      <c r="H26" s="7" t="s">
        <v>2291</v>
      </c>
    </row>
    <row r="27" ht="14.25" customHeight="1">
      <c r="A27" s="7">
        <v>81.0</v>
      </c>
      <c r="B27" s="8">
        <v>1.0</v>
      </c>
      <c r="C27" s="8" t="s">
        <v>2546</v>
      </c>
      <c r="E27" s="7" t="s">
        <v>1923</v>
      </c>
      <c r="F27" s="7" t="s">
        <v>1923</v>
      </c>
      <c r="G27" s="7" t="s">
        <v>1664</v>
      </c>
      <c r="H27" s="7" t="s">
        <v>2284</v>
      </c>
    </row>
    <row r="28" ht="14.25" customHeight="1">
      <c r="A28" s="7">
        <v>82.0</v>
      </c>
      <c r="B28" s="8">
        <v>1.0</v>
      </c>
      <c r="C28" s="8" t="s">
        <v>2539</v>
      </c>
      <c r="D28" s="8" t="s">
        <v>2540</v>
      </c>
      <c r="E28" s="7" t="s">
        <v>1542</v>
      </c>
      <c r="F28" s="7" t="s">
        <v>1542</v>
      </c>
      <c r="G28" s="7" t="s">
        <v>469</v>
      </c>
      <c r="H28" s="7" t="s">
        <v>2272</v>
      </c>
    </row>
    <row r="29" ht="14.25" customHeight="1">
      <c r="A29" s="7">
        <v>83.0</v>
      </c>
      <c r="B29" s="8">
        <v>0.0</v>
      </c>
      <c r="E29" s="7" t="s">
        <v>658</v>
      </c>
      <c r="F29" s="7" t="s">
        <v>575</v>
      </c>
      <c r="G29" s="7" t="s">
        <v>658</v>
      </c>
      <c r="H29" s="7" t="s">
        <v>2262</v>
      </c>
    </row>
    <row r="30" ht="14.25" customHeight="1">
      <c r="A30" s="7">
        <v>86.0</v>
      </c>
      <c r="B30" s="8">
        <v>1.0</v>
      </c>
      <c r="C30" s="8" t="s">
        <v>2535</v>
      </c>
      <c r="D30" s="8" t="s">
        <v>2536</v>
      </c>
      <c r="E30" s="7" t="s">
        <v>1684</v>
      </c>
      <c r="F30" s="7" t="s">
        <v>1684</v>
      </c>
      <c r="G30" s="7" t="s">
        <v>743</v>
      </c>
    </row>
    <row r="31" ht="14.25" customHeight="1">
      <c r="A31" s="7">
        <v>89.0</v>
      </c>
      <c r="B31" s="8">
        <v>0.0</v>
      </c>
      <c r="E31" s="7" t="s">
        <v>1638</v>
      </c>
      <c r="F31" s="7" t="s">
        <v>1638</v>
      </c>
      <c r="G31" s="7" t="s">
        <v>523</v>
      </c>
      <c r="H31" s="7" t="s">
        <v>2253</v>
      </c>
    </row>
    <row r="32" ht="14.25" customHeight="1">
      <c r="A32" s="7">
        <v>92.0</v>
      </c>
      <c r="B32" s="8">
        <v>1.0</v>
      </c>
      <c r="C32" s="8" t="s">
        <v>2543</v>
      </c>
      <c r="E32" s="7" t="s">
        <v>1872</v>
      </c>
      <c r="F32" s="7" t="s">
        <v>1872</v>
      </c>
      <c r="G32" s="7" t="s">
        <v>714</v>
      </c>
      <c r="H32" s="7" t="s">
        <v>2250</v>
      </c>
    </row>
    <row r="33" ht="14.25" customHeight="1">
      <c r="A33" s="7">
        <v>94.0</v>
      </c>
      <c r="B33" s="8">
        <v>0.0</v>
      </c>
      <c r="E33" s="7" t="s">
        <v>1638</v>
      </c>
      <c r="F33" s="7" t="s">
        <v>1638</v>
      </c>
      <c r="G33" s="7" t="s">
        <v>1756</v>
      </c>
      <c r="H33" s="7" t="s">
        <v>2243</v>
      </c>
    </row>
    <row r="34" ht="14.25" customHeight="1">
      <c r="A34" s="7">
        <v>96.0</v>
      </c>
      <c r="B34" s="8">
        <v>1.0</v>
      </c>
      <c r="C34" s="8" t="s">
        <v>2544</v>
      </c>
      <c r="D34" s="8" t="s">
        <v>2536</v>
      </c>
      <c r="E34" s="7" t="s">
        <v>2000</v>
      </c>
      <c r="F34" s="7" t="s">
        <v>2000</v>
      </c>
      <c r="G34" s="7" t="s">
        <v>2226</v>
      </c>
      <c r="H34" s="7" t="s">
        <v>2227</v>
      </c>
    </row>
    <row r="35" ht="14.25" customHeight="1">
      <c r="A35" s="7">
        <v>98.0</v>
      </c>
      <c r="B35" s="8">
        <v>1.0</v>
      </c>
      <c r="C35" s="8" t="s">
        <v>2547</v>
      </c>
      <c r="D35" s="8" t="s">
        <v>2536</v>
      </c>
      <c r="E35" s="7" t="s">
        <v>1781</v>
      </c>
      <c r="F35" s="7" t="s">
        <v>1781</v>
      </c>
      <c r="G35" s="7" t="s">
        <v>2214</v>
      </c>
      <c r="H35" s="7" t="s">
        <v>2215</v>
      </c>
    </row>
    <row r="36" ht="14.25" customHeight="1">
      <c r="A36" s="7">
        <v>102.0</v>
      </c>
      <c r="B36" s="8">
        <v>1.0</v>
      </c>
      <c r="C36" s="8" t="s">
        <v>2535</v>
      </c>
      <c r="D36" s="8" t="s">
        <v>2536</v>
      </c>
      <c r="E36" s="7" t="s">
        <v>1684</v>
      </c>
      <c r="F36" s="7" t="s">
        <v>1684</v>
      </c>
      <c r="G36" s="7" t="s">
        <v>743</v>
      </c>
      <c r="H36" s="7" t="s">
        <v>2206</v>
      </c>
    </row>
    <row r="37" ht="14.25" customHeight="1">
      <c r="A37" s="7">
        <v>105.0</v>
      </c>
      <c r="B37" s="8">
        <v>1.0</v>
      </c>
      <c r="C37" s="8" t="s">
        <v>2547</v>
      </c>
      <c r="D37" s="8" t="s">
        <v>2536</v>
      </c>
      <c r="E37" s="7" t="s">
        <v>1840</v>
      </c>
      <c r="F37" s="7" t="s">
        <v>1840</v>
      </c>
      <c r="G37" s="7" t="s">
        <v>1841</v>
      </c>
      <c r="H37" s="7" t="s">
        <v>2199</v>
      </c>
    </row>
    <row r="38" ht="14.25" customHeight="1">
      <c r="A38" s="7">
        <v>112.0</v>
      </c>
      <c r="B38" s="8">
        <v>1.0</v>
      </c>
      <c r="C38" s="8" t="s">
        <v>2539</v>
      </c>
      <c r="D38" s="8" t="s">
        <v>2540</v>
      </c>
      <c r="E38" s="7" t="s">
        <v>1542</v>
      </c>
      <c r="F38" s="7" t="s">
        <v>1542</v>
      </c>
      <c r="G38" s="7" t="s">
        <v>469</v>
      </c>
      <c r="H38" s="7" t="s">
        <v>2190</v>
      </c>
    </row>
    <row r="39" ht="14.25" customHeight="1">
      <c r="A39" s="7">
        <v>113.0</v>
      </c>
      <c r="B39" s="8">
        <v>1.0</v>
      </c>
      <c r="C39" s="8" t="s">
        <v>2535</v>
      </c>
      <c r="D39" s="8" t="s">
        <v>2536</v>
      </c>
      <c r="E39" s="7" t="s">
        <v>1684</v>
      </c>
      <c r="F39" s="7" t="s">
        <v>1684</v>
      </c>
      <c r="G39" s="7" t="s">
        <v>743</v>
      </c>
      <c r="H39" s="7" t="s">
        <v>2180</v>
      </c>
    </row>
    <row r="40" ht="14.25" customHeight="1">
      <c r="A40" s="7">
        <v>117.0</v>
      </c>
      <c r="B40" s="8">
        <v>1.0</v>
      </c>
      <c r="C40" s="8" t="s">
        <v>2548</v>
      </c>
      <c r="E40" s="7" t="s">
        <v>1605</v>
      </c>
      <c r="F40" s="7" t="s">
        <v>1605</v>
      </c>
      <c r="G40" s="7" t="s">
        <v>2171</v>
      </c>
      <c r="H40" s="7" t="s">
        <v>2172</v>
      </c>
    </row>
    <row r="41" ht="14.25" customHeight="1">
      <c r="A41" s="7">
        <v>125.0</v>
      </c>
      <c r="B41" s="8">
        <v>1.0</v>
      </c>
      <c r="C41" s="8" t="s">
        <v>2549</v>
      </c>
      <c r="E41" s="7" t="s">
        <v>2159</v>
      </c>
      <c r="F41" s="7" t="s">
        <v>2160</v>
      </c>
      <c r="G41" s="7" t="s">
        <v>2161</v>
      </c>
      <c r="H41" s="7" t="s">
        <v>2162</v>
      </c>
    </row>
    <row r="42" ht="14.25" customHeight="1">
      <c r="A42" s="7">
        <v>128.0</v>
      </c>
      <c r="B42" s="8">
        <v>1.0</v>
      </c>
      <c r="C42" s="8" t="s">
        <v>2550</v>
      </c>
      <c r="E42" s="7" t="s">
        <v>2142</v>
      </c>
      <c r="F42" s="7" t="s">
        <v>2143</v>
      </c>
      <c r="G42" s="7" t="s">
        <v>2144</v>
      </c>
      <c r="H42" s="7" t="s">
        <v>2145</v>
      </c>
    </row>
    <row r="43" ht="14.25" customHeight="1">
      <c r="A43" s="7">
        <v>132.0</v>
      </c>
      <c r="B43" s="8">
        <v>0.0</v>
      </c>
      <c r="E43" s="7" t="s">
        <v>1638</v>
      </c>
      <c r="F43" s="7" t="s">
        <v>1638</v>
      </c>
      <c r="G43" s="7" t="s">
        <v>1756</v>
      </c>
      <c r="H43" s="7" t="s">
        <v>2131</v>
      </c>
    </row>
    <row r="44" ht="14.25" customHeight="1">
      <c r="A44" s="7">
        <v>147.0</v>
      </c>
      <c r="B44" s="8">
        <v>1.0</v>
      </c>
      <c r="C44" s="8" t="s">
        <v>2535</v>
      </c>
      <c r="D44" s="8" t="s">
        <v>2536</v>
      </c>
      <c r="E44" s="7" t="s">
        <v>1684</v>
      </c>
      <c r="F44" s="7" t="s">
        <v>1684</v>
      </c>
      <c r="G44" s="7" t="s">
        <v>743</v>
      </c>
      <c r="H44" s="7" t="s">
        <v>2120</v>
      </c>
    </row>
    <row r="45" ht="14.25" customHeight="1">
      <c r="A45" s="7">
        <v>148.0</v>
      </c>
      <c r="B45" s="8">
        <v>1.0</v>
      </c>
      <c r="C45" s="8" t="s">
        <v>2535</v>
      </c>
      <c r="D45" s="8" t="s">
        <v>2536</v>
      </c>
      <c r="E45" s="7" t="s">
        <v>1684</v>
      </c>
      <c r="F45" s="7" t="s">
        <v>1684</v>
      </c>
      <c r="G45" s="7" t="s">
        <v>743</v>
      </c>
      <c r="H45" s="7" t="s">
        <v>2113</v>
      </c>
    </row>
    <row r="46" ht="14.25" customHeight="1">
      <c r="A46" s="7">
        <v>153.0</v>
      </c>
      <c r="B46" s="8">
        <v>0.0</v>
      </c>
      <c r="E46" s="7" t="s">
        <v>1638</v>
      </c>
      <c r="F46" s="7" t="s">
        <v>1638</v>
      </c>
      <c r="G46" s="7" t="s">
        <v>523</v>
      </c>
      <c r="H46" s="7" t="s">
        <v>2104</v>
      </c>
    </row>
    <row r="47" ht="14.25" customHeight="1">
      <c r="A47" s="7">
        <v>157.0</v>
      </c>
      <c r="B47" s="8">
        <v>1.0</v>
      </c>
      <c r="C47" s="8" t="s">
        <v>2535</v>
      </c>
      <c r="D47" s="8" t="s">
        <v>2545</v>
      </c>
      <c r="E47" s="7" t="s">
        <v>1748</v>
      </c>
      <c r="F47" s="7" t="s">
        <v>1748</v>
      </c>
      <c r="G47" s="7" t="s">
        <v>1679</v>
      </c>
      <c r="H47" s="7" t="s">
        <v>2098</v>
      </c>
    </row>
    <row r="48" ht="14.25" customHeight="1">
      <c r="A48" s="7">
        <v>162.0</v>
      </c>
      <c r="B48" s="8">
        <v>0.0</v>
      </c>
      <c r="E48" s="7" t="s">
        <v>658</v>
      </c>
      <c r="F48" s="7" t="s">
        <v>575</v>
      </c>
      <c r="G48" s="7" t="s">
        <v>2086</v>
      </c>
      <c r="H48" s="7" t="s">
        <v>2087</v>
      </c>
    </row>
    <row r="49" ht="14.25" customHeight="1">
      <c r="A49" s="7">
        <v>169.0</v>
      </c>
      <c r="B49" s="8">
        <v>0.0</v>
      </c>
      <c r="E49" s="7" t="s">
        <v>2081</v>
      </c>
      <c r="F49" s="7" t="s">
        <v>2081</v>
      </c>
      <c r="G49" s="7" t="s">
        <v>2081</v>
      </c>
      <c r="H49" s="7" t="s">
        <v>2082</v>
      </c>
    </row>
    <row r="50" ht="14.25" customHeight="1">
      <c r="A50" s="7">
        <v>175.0</v>
      </c>
      <c r="B50" s="8">
        <v>1.0</v>
      </c>
      <c r="C50" s="8" t="s">
        <v>2535</v>
      </c>
      <c r="D50" s="8" t="s">
        <v>2536</v>
      </c>
      <c r="E50" s="7" t="s">
        <v>1684</v>
      </c>
      <c r="F50" s="7" t="s">
        <v>1684</v>
      </c>
      <c r="G50" s="7" t="s">
        <v>743</v>
      </c>
      <c r="H50" s="7" t="s">
        <v>2074</v>
      </c>
    </row>
    <row r="51" ht="14.25" customHeight="1">
      <c r="A51" s="7">
        <v>177.0</v>
      </c>
      <c r="B51" s="8">
        <v>0.0</v>
      </c>
      <c r="E51" s="7" t="s">
        <v>1638</v>
      </c>
      <c r="F51" s="7" t="s">
        <v>1638</v>
      </c>
      <c r="G51" s="7" t="s">
        <v>523</v>
      </c>
      <c r="H51" s="7" t="s">
        <v>2067</v>
      </c>
    </row>
    <row r="52" ht="14.25" customHeight="1">
      <c r="A52" s="7">
        <v>179.0</v>
      </c>
      <c r="B52" s="8">
        <v>1.0</v>
      </c>
      <c r="C52" s="8" t="s">
        <v>2538</v>
      </c>
      <c r="E52" s="7" t="s">
        <v>1576</v>
      </c>
      <c r="F52" s="7" t="s">
        <v>1576</v>
      </c>
      <c r="G52" s="7" t="s">
        <v>787</v>
      </c>
      <c r="H52" s="7" t="s">
        <v>2062</v>
      </c>
    </row>
    <row r="53" ht="14.25" customHeight="1">
      <c r="A53" s="7">
        <v>180.0</v>
      </c>
      <c r="B53" s="8">
        <v>1.0</v>
      </c>
      <c r="C53" s="8" t="s">
        <v>2535</v>
      </c>
      <c r="D53" s="8" t="s">
        <v>2536</v>
      </c>
      <c r="E53" s="7" t="s">
        <v>1684</v>
      </c>
      <c r="F53" s="7" t="s">
        <v>1684</v>
      </c>
      <c r="G53" s="7" t="s">
        <v>1338</v>
      </c>
      <c r="H53" s="7" t="s">
        <v>2055</v>
      </c>
    </row>
    <row r="54" ht="14.25" customHeight="1">
      <c r="A54" s="7">
        <v>185.0</v>
      </c>
      <c r="B54" s="8">
        <v>0.0</v>
      </c>
      <c r="E54" s="7" t="s">
        <v>1638</v>
      </c>
      <c r="F54" s="7" t="s">
        <v>1638</v>
      </c>
      <c r="G54" s="7" t="s">
        <v>1638</v>
      </c>
      <c r="H54" s="7" t="s">
        <v>2044</v>
      </c>
    </row>
    <row r="55" ht="14.25" customHeight="1">
      <c r="A55" s="7">
        <v>187.0</v>
      </c>
      <c r="B55" s="8">
        <v>1.0</v>
      </c>
      <c r="C55" s="8" t="s">
        <v>2538</v>
      </c>
      <c r="E55" s="7" t="s">
        <v>2033</v>
      </c>
      <c r="F55" s="7" t="s">
        <v>2033</v>
      </c>
      <c r="G55" s="7" t="s">
        <v>2034</v>
      </c>
      <c r="H55" s="7" t="s">
        <v>2035</v>
      </c>
    </row>
    <row r="56" ht="14.25" customHeight="1">
      <c r="A56" s="7">
        <v>195.0</v>
      </c>
      <c r="B56" s="8">
        <v>1.0</v>
      </c>
      <c r="C56" s="8" t="s">
        <v>2544</v>
      </c>
      <c r="D56" s="8" t="s">
        <v>2536</v>
      </c>
      <c r="E56" s="7" t="s">
        <v>2000</v>
      </c>
      <c r="F56" s="7" t="s">
        <v>2000</v>
      </c>
      <c r="G56" s="7" t="s">
        <v>2001</v>
      </c>
      <c r="H56" s="7" t="s">
        <v>2028</v>
      </c>
    </row>
    <row r="57" ht="14.25" customHeight="1">
      <c r="A57" s="7">
        <v>196.0</v>
      </c>
      <c r="B57" s="8">
        <v>0.0</v>
      </c>
      <c r="E57" s="7" t="s">
        <v>658</v>
      </c>
      <c r="F57" s="7" t="s">
        <v>575</v>
      </c>
      <c r="G57" s="7" t="s">
        <v>860</v>
      </c>
      <c r="H57" s="7" t="s">
        <v>2021</v>
      </c>
    </row>
    <row r="58" ht="14.25" customHeight="1">
      <c r="A58" s="7">
        <v>201.0</v>
      </c>
      <c r="B58" s="8">
        <v>1.0</v>
      </c>
      <c r="C58" s="8" t="s">
        <v>2535</v>
      </c>
      <c r="D58" s="8" t="s">
        <v>2545</v>
      </c>
      <c r="E58" s="7" t="s">
        <v>1672</v>
      </c>
      <c r="F58" s="7" t="s">
        <v>1672</v>
      </c>
      <c r="G58" s="7" t="s">
        <v>2011</v>
      </c>
      <c r="H58" s="7" t="s">
        <v>2012</v>
      </c>
    </row>
    <row r="59" ht="14.25" customHeight="1">
      <c r="A59" s="7">
        <v>204.0</v>
      </c>
      <c r="B59" s="8">
        <v>1.0</v>
      </c>
      <c r="C59" s="8" t="s">
        <v>2544</v>
      </c>
      <c r="D59" s="8" t="s">
        <v>2536</v>
      </c>
      <c r="E59" s="7" t="s">
        <v>2000</v>
      </c>
      <c r="F59" s="7" t="s">
        <v>2000</v>
      </c>
      <c r="G59" s="7" t="s">
        <v>2001</v>
      </c>
      <c r="H59" s="7" t="s">
        <v>2002</v>
      </c>
    </row>
    <row r="60" ht="14.25" customHeight="1">
      <c r="A60" s="7">
        <v>209.0</v>
      </c>
      <c r="B60" s="8">
        <v>1.0</v>
      </c>
      <c r="C60" s="8" t="s">
        <v>2535</v>
      </c>
      <c r="D60" s="8" t="s">
        <v>2536</v>
      </c>
      <c r="E60" s="7" t="s">
        <v>1684</v>
      </c>
      <c r="F60" s="7" t="s">
        <v>1684</v>
      </c>
      <c r="G60" s="7" t="s">
        <v>743</v>
      </c>
      <c r="H60" s="7" t="s">
        <v>1992</v>
      </c>
    </row>
    <row r="61" ht="14.25" customHeight="1">
      <c r="A61" s="7">
        <v>213.0</v>
      </c>
      <c r="B61" s="8">
        <v>0.0</v>
      </c>
      <c r="E61" s="7" t="s">
        <v>658</v>
      </c>
      <c r="F61" s="7" t="s">
        <v>575</v>
      </c>
      <c r="G61" s="7" t="s">
        <v>1979</v>
      </c>
      <c r="H61" s="7" t="s">
        <v>1980</v>
      </c>
    </row>
    <row r="62" ht="14.25" customHeight="1">
      <c r="A62" s="7">
        <v>218.0</v>
      </c>
      <c r="B62" s="8">
        <v>1.0</v>
      </c>
      <c r="C62" s="8" t="s">
        <v>2544</v>
      </c>
      <c r="D62" s="8" t="s">
        <v>2536</v>
      </c>
      <c r="E62" s="7" t="s">
        <v>1966</v>
      </c>
      <c r="F62" s="7" t="s">
        <v>1966</v>
      </c>
      <c r="G62" s="7" t="s">
        <v>1967</v>
      </c>
      <c r="H62" s="7" t="s">
        <v>1968</v>
      </c>
    </row>
    <row r="63" ht="14.25" customHeight="1">
      <c r="A63" s="7">
        <v>223.0</v>
      </c>
      <c r="B63" s="8">
        <v>0.0</v>
      </c>
      <c r="E63" s="7" t="s">
        <v>1638</v>
      </c>
      <c r="F63" s="7" t="s">
        <v>1638</v>
      </c>
      <c r="G63" s="7" t="s">
        <v>523</v>
      </c>
      <c r="H63" s="7" t="s">
        <v>1962</v>
      </c>
    </row>
    <row r="64" ht="14.25" customHeight="1">
      <c r="A64" s="7">
        <v>225.0</v>
      </c>
      <c r="B64" s="8">
        <v>0.0</v>
      </c>
      <c r="E64" s="7" t="s">
        <v>658</v>
      </c>
      <c r="F64" s="7" t="s">
        <v>575</v>
      </c>
      <c r="G64" s="7" t="s">
        <v>658</v>
      </c>
      <c r="H64" s="7" t="s">
        <v>1954</v>
      </c>
    </row>
    <row r="65" ht="14.25" customHeight="1">
      <c r="A65" s="7">
        <v>233.0</v>
      </c>
      <c r="B65" s="8">
        <v>1.0</v>
      </c>
      <c r="C65" s="8" t="s">
        <v>2535</v>
      </c>
      <c r="D65" s="8" t="s">
        <v>2536</v>
      </c>
      <c r="E65" s="7" t="s">
        <v>1684</v>
      </c>
      <c r="F65" s="7" t="s">
        <v>1684</v>
      </c>
      <c r="G65" s="7" t="s">
        <v>743</v>
      </c>
      <c r="H65" s="7" t="s">
        <v>1948</v>
      </c>
    </row>
    <row r="66" ht="14.25" customHeight="1">
      <c r="A66" s="7">
        <v>234.0</v>
      </c>
      <c r="B66" s="8">
        <v>1.0</v>
      </c>
      <c r="C66" s="8" t="s">
        <v>2538</v>
      </c>
      <c r="E66" s="7" t="s">
        <v>1576</v>
      </c>
      <c r="F66" s="7" t="s">
        <v>1576</v>
      </c>
      <c r="G66" s="7" t="s">
        <v>1940</v>
      </c>
      <c r="H66" s="7" t="s">
        <v>1941</v>
      </c>
    </row>
    <row r="67" ht="14.25" customHeight="1">
      <c r="A67" s="7">
        <v>237.0</v>
      </c>
      <c r="B67" s="8">
        <v>1.0</v>
      </c>
      <c r="C67" s="8" t="s">
        <v>2546</v>
      </c>
      <c r="E67" s="7" t="s">
        <v>1923</v>
      </c>
      <c r="F67" s="7" t="s">
        <v>1923</v>
      </c>
      <c r="G67" s="7" t="s">
        <v>1664</v>
      </c>
      <c r="H67" s="7" t="s">
        <v>1929</v>
      </c>
    </row>
    <row r="68" ht="14.25" customHeight="1">
      <c r="A68" s="7">
        <v>243.0</v>
      </c>
      <c r="B68" s="8">
        <v>1.0</v>
      </c>
      <c r="C68" s="8" t="s">
        <v>2546</v>
      </c>
      <c r="E68" s="7" t="s">
        <v>1923</v>
      </c>
      <c r="F68" s="7" t="s">
        <v>1923</v>
      </c>
      <c r="G68" s="7" t="s">
        <v>1664</v>
      </c>
      <c r="H68" s="7" t="s">
        <v>1924</v>
      </c>
    </row>
    <row r="69" ht="14.25" customHeight="1">
      <c r="A69" s="7">
        <v>245.0</v>
      </c>
      <c r="B69" s="8">
        <v>0.0</v>
      </c>
      <c r="E69" s="7" t="s">
        <v>1638</v>
      </c>
      <c r="F69" s="7" t="s">
        <v>1638</v>
      </c>
      <c r="G69" s="7" t="s">
        <v>1902</v>
      </c>
      <c r="H69" s="7" t="s">
        <v>1903</v>
      </c>
    </row>
    <row r="70" ht="14.25" customHeight="1">
      <c r="A70" s="7">
        <v>257.0</v>
      </c>
      <c r="B70" s="8">
        <v>1.0</v>
      </c>
      <c r="C70" s="8" t="s">
        <v>2535</v>
      </c>
      <c r="D70" s="8" t="s">
        <v>2536</v>
      </c>
      <c r="E70" s="7" t="s">
        <v>1684</v>
      </c>
      <c r="F70" s="7" t="s">
        <v>1684</v>
      </c>
      <c r="G70" s="7" t="s">
        <v>743</v>
      </c>
      <c r="H70" s="7" t="s">
        <v>1895</v>
      </c>
    </row>
    <row r="71" ht="14.25" customHeight="1">
      <c r="A71" s="7">
        <v>258.0</v>
      </c>
      <c r="B71" s="8">
        <v>1.0</v>
      </c>
      <c r="C71" s="8" t="s">
        <v>2551</v>
      </c>
      <c r="E71" s="7" t="s">
        <v>1586</v>
      </c>
      <c r="F71" s="7" t="s">
        <v>1586</v>
      </c>
      <c r="G71" s="7" t="s">
        <v>1887</v>
      </c>
      <c r="H71" s="7" t="s">
        <v>1888</v>
      </c>
    </row>
    <row r="72" ht="14.25" customHeight="1">
      <c r="A72" s="7">
        <v>261.0</v>
      </c>
      <c r="B72" s="8">
        <v>1.0</v>
      </c>
      <c r="C72" s="8" t="s">
        <v>2535</v>
      </c>
      <c r="D72" s="8" t="s">
        <v>2545</v>
      </c>
      <c r="E72" s="7" t="s">
        <v>1748</v>
      </c>
      <c r="F72" s="7" t="s">
        <v>1748</v>
      </c>
      <c r="G72" s="7" t="s">
        <v>1877</v>
      </c>
      <c r="H72" s="7" t="s">
        <v>1878</v>
      </c>
    </row>
    <row r="73" ht="14.25" customHeight="1">
      <c r="A73" s="7">
        <v>264.0</v>
      </c>
      <c r="B73" s="8">
        <v>1.0</v>
      </c>
      <c r="C73" s="8" t="s">
        <v>2543</v>
      </c>
      <c r="E73" s="7" t="s">
        <v>1872</v>
      </c>
      <c r="F73" s="7" t="s">
        <v>1872</v>
      </c>
      <c r="G73" s="7" t="s">
        <v>714</v>
      </c>
      <c r="H73" s="7" t="s">
        <v>1873</v>
      </c>
    </row>
    <row r="74" ht="14.25" customHeight="1">
      <c r="A74" s="7">
        <v>266.0</v>
      </c>
      <c r="B74" s="8">
        <v>0.0</v>
      </c>
      <c r="E74" s="7" t="s">
        <v>1638</v>
      </c>
      <c r="F74" s="7" t="s">
        <v>1638</v>
      </c>
      <c r="G74" s="7" t="s">
        <v>523</v>
      </c>
      <c r="H74" s="7" t="s">
        <v>1863</v>
      </c>
    </row>
    <row r="75" ht="14.25" customHeight="1">
      <c r="A75" s="7">
        <v>267.0</v>
      </c>
      <c r="B75" s="8">
        <v>0.0</v>
      </c>
      <c r="E75" s="7" t="s">
        <v>1638</v>
      </c>
      <c r="F75" s="7" t="s">
        <v>1638</v>
      </c>
      <c r="G75" s="7" t="s">
        <v>523</v>
      </c>
      <c r="H75" s="7" t="s">
        <v>1855</v>
      </c>
    </row>
    <row r="76" ht="14.25" customHeight="1">
      <c r="A76" s="7">
        <v>270.0</v>
      </c>
      <c r="B76" s="8">
        <v>1.0</v>
      </c>
      <c r="C76" s="8" t="s">
        <v>2547</v>
      </c>
      <c r="D76" s="8" t="s">
        <v>2536</v>
      </c>
      <c r="E76" s="7" t="s">
        <v>1840</v>
      </c>
      <c r="F76" s="7" t="s">
        <v>1840</v>
      </c>
      <c r="G76" s="7" t="s">
        <v>1841</v>
      </c>
      <c r="H76" s="7" t="s">
        <v>1842</v>
      </c>
    </row>
    <row r="77" ht="14.25" customHeight="1">
      <c r="A77" s="7">
        <v>273.0</v>
      </c>
      <c r="B77" s="8">
        <v>0.0</v>
      </c>
      <c r="E77" s="7" t="s">
        <v>658</v>
      </c>
      <c r="F77" s="7" t="s">
        <v>575</v>
      </c>
      <c r="G77" s="7" t="s">
        <v>658</v>
      </c>
      <c r="H77" s="7" t="s">
        <v>1832</v>
      </c>
    </row>
    <row r="78" ht="14.25" customHeight="1">
      <c r="A78" s="7">
        <v>279.0</v>
      </c>
      <c r="B78" s="8">
        <v>0.0</v>
      </c>
      <c r="E78" s="7" t="s">
        <v>1638</v>
      </c>
      <c r="F78" s="7" t="s">
        <v>1638</v>
      </c>
      <c r="G78" s="7" t="s">
        <v>523</v>
      </c>
      <c r="H78" s="7" t="s">
        <v>1825</v>
      </c>
    </row>
    <row r="79" ht="14.25" customHeight="1">
      <c r="A79" s="7">
        <v>280.0</v>
      </c>
      <c r="B79" s="8">
        <v>1.0</v>
      </c>
      <c r="C79" s="8" t="s">
        <v>2535</v>
      </c>
      <c r="D79" s="8" t="s">
        <v>2536</v>
      </c>
      <c r="E79" s="7" t="s">
        <v>1684</v>
      </c>
      <c r="F79" s="7" t="s">
        <v>1684</v>
      </c>
      <c r="G79" s="7" t="s">
        <v>743</v>
      </c>
      <c r="H79" s="7" t="s">
        <v>1819</v>
      </c>
    </row>
    <row r="80" ht="14.25" customHeight="1">
      <c r="A80" s="7">
        <v>286.0</v>
      </c>
      <c r="B80" s="8">
        <v>1.0</v>
      </c>
      <c r="C80" s="8" t="s">
        <v>2552</v>
      </c>
      <c r="E80" s="7" t="s">
        <v>1805</v>
      </c>
      <c r="F80" s="7" t="s">
        <v>1806</v>
      </c>
      <c r="G80" s="7" t="s">
        <v>1807</v>
      </c>
      <c r="H80" s="7" t="s">
        <v>1808</v>
      </c>
    </row>
    <row r="81" ht="14.25" customHeight="1">
      <c r="A81" s="7">
        <v>288.0</v>
      </c>
      <c r="B81" s="8">
        <v>1.0</v>
      </c>
      <c r="C81" s="8" t="s">
        <v>2548</v>
      </c>
      <c r="E81" s="7" t="s">
        <v>1605</v>
      </c>
      <c r="F81" s="7" t="s">
        <v>1605</v>
      </c>
      <c r="G81" s="7" t="s">
        <v>1797</v>
      </c>
      <c r="H81" s="7" t="s">
        <v>1798</v>
      </c>
    </row>
    <row r="82" ht="14.25" customHeight="1">
      <c r="A82" s="7">
        <v>292.0</v>
      </c>
      <c r="B82" s="8">
        <v>1.0</v>
      </c>
      <c r="C82" s="8" t="s">
        <v>2547</v>
      </c>
      <c r="D82" s="8" t="s">
        <v>2536</v>
      </c>
      <c r="E82" s="7" t="s">
        <v>1781</v>
      </c>
      <c r="F82" s="7" t="s">
        <v>1781</v>
      </c>
      <c r="G82" s="7" t="s">
        <v>1782</v>
      </c>
      <c r="H82" s="7" t="s">
        <v>1783</v>
      </c>
    </row>
    <row r="83" ht="14.25" customHeight="1">
      <c r="A83" s="7">
        <v>294.0</v>
      </c>
      <c r="B83" s="8">
        <v>1.0</v>
      </c>
      <c r="C83" s="8" t="s">
        <v>2535</v>
      </c>
      <c r="D83" s="8" t="s">
        <v>2545</v>
      </c>
      <c r="E83" s="7" t="s">
        <v>1748</v>
      </c>
      <c r="F83" s="7" t="s">
        <v>1748</v>
      </c>
      <c r="G83" s="7" t="s">
        <v>1679</v>
      </c>
      <c r="H83" s="7" t="s">
        <v>1776</v>
      </c>
    </row>
    <row r="84" ht="14.25" customHeight="1">
      <c r="A84" s="7">
        <v>295.0</v>
      </c>
      <c r="B84" s="8">
        <v>1.0</v>
      </c>
      <c r="C84" s="8" t="s">
        <v>2535</v>
      </c>
      <c r="D84" s="8" t="s">
        <v>2536</v>
      </c>
      <c r="E84" s="7" t="s">
        <v>1684</v>
      </c>
      <c r="F84" s="7" t="s">
        <v>1684</v>
      </c>
      <c r="G84" s="7" t="s">
        <v>743</v>
      </c>
      <c r="H84" s="7" t="s">
        <v>1768</v>
      </c>
    </row>
    <row r="85" ht="14.25" customHeight="1">
      <c r="A85" s="7">
        <v>299.0</v>
      </c>
      <c r="B85" s="8">
        <v>1.0</v>
      </c>
      <c r="C85" s="8" t="s">
        <v>2535</v>
      </c>
      <c r="D85" s="8" t="s">
        <v>2536</v>
      </c>
      <c r="E85" s="7" t="s">
        <v>1684</v>
      </c>
      <c r="F85" s="7" t="s">
        <v>1684</v>
      </c>
      <c r="G85" s="7" t="s">
        <v>743</v>
      </c>
      <c r="H85" s="7" t="s">
        <v>1761</v>
      </c>
    </row>
    <row r="86" ht="14.25" customHeight="1">
      <c r="A86" s="7">
        <v>301.0</v>
      </c>
      <c r="B86" s="8">
        <v>0.0</v>
      </c>
      <c r="E86" s="7" t="s">
        <v>1638</v>
      </c>
      <c r="F86" s="7" t="s">
        <v>1638</v>
      </c>
      <c r="G86" s="7" t="s">
        <v>1756</v>
      </c>
      <c r="H86" s="7" t="s">
        <v>1757</v>
      </c>
    </row>
    <row r="87" ht="14.25" customHeight="1">
      <c r="A87" s="7">
        <v>302.0</v>
      </c>
      <c r="B87" s="8">
        <v>1.0</v>
      </c>
      <c r="C87" s="8" t="s">
        <v>2535</v>
      </c>
      <c r="D87" s="8" t="s">
        <v>2545</v>
      </c>
      <c r="E87" s="7" t="s">
        <v>1748</v>
      </c>
      <c r="F87" s="7" t="s">
        <v>1748</v>
      </c>
      <c r="G87" s="7" t="s">
        <v>1679</v>
      </c>
      <c r="H87" s="7" t="s">
        <v>1749</v>
      </c>
    </row>
    <row r="88" ht="14.25" customHeight="1">
      <c r="A88" s="7">
        <v>310.0</v>
      </c>
      <c r="B88" s="8">
        <v>1.0</v>
      </c>
      <c r="C88" s="8" t="s">
        <v>2535</v>
      </c>
      <c r="D88" s="8" t="s">
        <v>2536</v>
      </c>
      <c r="E88" s="7" t="s">
        <v>1684</v>
      </c>
      <c r="F88" s="7" t="s">
        <v>1684</v>
      </c>
      <c r="G88" s="7" t="s">
        <v>743</v>
      </c>
      <c r="H88" s="7" t="s">
        <v>1732</v>
      </c>
    </row>
    <row r="89" ht="14.25" customHeight="1">
      <c r="A89" s="7">
        <v>314.0</v>
      </c>
      <c r="B89" s="8">
        <v>0.0</v>
      </c>
      <c r="E89" s="7" t="s">
        <v>658</v>
      </c>
      <c r="F89" s="7" t="s">
        <v>575</v>
      </c>
      <c r="G89" s="7" t="s">
        <v>1724</v>
      </c>
      <c r="H89" s="7" t="s">
        <v>1725</v>
      </c>
    </row>
    <row r="90" ht="14.25" customHeight="1">
      <c r="A90" s="7">
        <v>317.0</v>
      </c>
      <c r="B90" s="8">
        <v>0.0</v>
      </c>
      <c r="E90" s="7" t="s">
        <v>575</v>
      </c>
      <c r="F90" s="7" t="s">
        <v>575</v>
      </c>
      <c r="G90" s="7" t="s">
        <v>1718</v>
      </c>
      <c r="H90" s="7" t="s">
        <v>1719</v>
      </c>
    </row>
    <row r="91" ht="14.25" customHeight="1">
      <c r="A91" s="7">
        <v>319.0</v>
      </c>
      <c r="B91" s="8">
        <v>1.0</v>
      </c>
      <c r="C91" s="8" t="s">
        <v>2535</v>
      </c>
      <c r="D91" s="8" t="s">
        <v>2536</v>
      </c>
      <c r="E91" s="7" t="s">
        <v>1684</v>
      </c>
      <c r="F91" s="7" t="s">
        <v>1684</v>
      </c>
      <c r="G91" s="7" t="s">
        <v>743</v>
      </c>
    </row>
    <row r="92" ht="14.25" customHeight="1">
      <c r="A92" s="7">
        <v>321.0</v>
      </c>
      <c r="B92" s="8">
        <v>0.0</v>
      </c>
      <c r="E92" s="7" t="s">
        <v>1560</v>
      </c>
      <c r="F92" s="7" t="s">
        <v>1560</v>
      </c>
      <c r="G92" s="7" t="s">
        <v>1701</v>
      </c>
      <c r="H92" s="7" t="s">
        <v>1702</v>
      </c>
    </row>
    <row r="93" ht="14.25" customHeight="1">
      <c r="A93" s="7">
        <v>322.0</v>
      </c>
      <c r="B93" s="8">
        <v>1.0</v>
      </c>
      <c r="C93" s="8" t="s">
        <v>2538</v>
      </c>
      <c r="E93" s="7" t="s">
        <v>1576</v>
      </c>
      <c r="F93" s="7" t="s">
        <v>1576</v>
      </c>
      <c r="G93" s="7" t="s">
        <v>787</v>
      </c>
      <c r="H93" s="7" t="s">
        <v>1694</v>
      </c>
    </row>
    <row r="94" ht="14.25" customHeight="1">
      <c r="A94" s="7">
        <v>324.0</v>
      </c>
      <c r="B94" s="8">
        <v>1.0</v>
      </c>
      <c r="C94" s="8" t="s">
        <v>2535</v>
      </c>
      <c r="D94" s="8" t="s">
        <v>2536</v>
      </c>
      <c r="E94" s="7" t="s">
        <v>1684</v>
      </c>
      <c r="F94" s="7" t="s">
        <v>1684</v>
      </c>
      <c r="G94" s="7" t="s">
        <v>743</v>
      </c>
      <c r="H94" s="7" t="s">
        <v>1685</v>
      </c>
    </row>
    <row r="95" ht="14.25" customHeight="1">
      <c r="A95" s="7">
        <v>327.0</v>
      </c>
      <c r="B95" s="8">
        <v>1.0</v>
      </c>
      <c r="C95" s="8" t="s">
        <v>2553</v>
      </c>
      <c r="D95" s="8" t="s">
        <v>2554</v>
      </c>
      <c r="E95" s="7" t="s">
        <v>1672</v>
      </c>
      <c r="F95" s="7" t="s">
        <v>1672</v>
      </c>
      <c r="G95" s="7" t="s">
        <v>1673</v>
      </c>
      <c r="H95" s="7" t="s">
        <v>1674</v>
      </c>
    </row>
    <row r="96" ht="14.25" customHeight="1">
      <c r="A96" s="7">
        <v>329.0</v>
      </c>
      <c r="B96" s="8">
        <v>1.0</v>
      </c>
      <c r="C96" s="8" t="s">
        <v>2555</v>
      </c>
      <c r="D96" s="8" t="s">
        <v>2556</v>
      </c>
      <c r="E96" s="7" t="s">
        <v>1658</v>
      </c>
      <c r="F96" s="7" t="s">
        <v>1659</v>
      </c>
      <c r="G96" s="7" t="s">
        <v>1660</v>
      </c>
      <c r="H96" s="7" t="s">
        <v>1661</v>
      </c>
    </row>
    <row r="97" ht="14.25" customHeight="1">
      <c r="A97" s="7">
        <v>339.0</v>
      </c>
      <c r="B97" s="8">
        <v>1.0</v>
      </c>
      <c r="C97" s="8" t="s">
        <v>2539</v>
      </c>
      <c r="D97" s="8" t="s">
        <v>2540</v>
      </c>
      <c r="E97" s="7" t="s">
        <v>1542</v>
      </c>
      <c r="F97" s="7" t="s">
        <v>1542</v>
      </c>
      <c r="G97" s="7" t="s">
        <v>469</v>
      </c>
      <c r="H97" s="7" t="s">
        <v>1649</v>
      </c>
    </row>
    <row r="98" ht="14.25" customHeight="1">
      <c r="A98" s="7">
        <v>340.0</v>
      </c>
      <c r="B98" s="8">
        <v>0.0</v>
      </c>
      <c r="E98" s="7" t="s">
        <v>1638</v>
      </c>
      <c r="F98" s="7" t="s">
        <v>1638</v>
      </c>
      <c r="G98" s="7" t="s">
        <v>1639</v>
      </c>
    </row>
    <row r="99" ht="14.25" customHeight="1">
      <c r="A99" s="7">
        <v>351.0</v>
      </c>
      <c r="B99" s="8">
        <v>1.0</v>
      </c>
      <c r="C99" s="8" t="s">
        <v>2539</v>
      </c>
      <c r="D99" s="8" t="s">
        <v>2540</v>
      </c>
      <c r="E99" s="7" t="s">
        <v>1542</v>
      </c>
      <c r="F99" s="7" t="s">
        <v>1542</v>
      </c>
      <c r="G99" s="7" t="s">
        <v>469</v>
      </c>
      <c r="H99" s="7" t="s">
        <v>1627</v>
      </c>
    </row>
    <row r="100" ht="14.25" customHeight="1">
      <c r="A100" s="7">
        <v>354.0</v>
      </c>
      <c r="B100" s="8">
        <v>1.0</v>
      </c>
      <c r="C100" s="8" t="s">
        <v>2539</v>
      </c>
      <c r="D100" s="8" t="s">
        <v>2540</v>
      </c>
      <c r="E100" s="7" t="s">
        <v>1542</v>
      </c>
      <c r="F100" s="7" t="s">
        <v>1542</v>
      </c>
      <c r="G100" s="7" t="s">
        <v>469</v>
      </c>
      <c r="H100" s="7" t="s">
        <v>1617</v>
      </c>
    </row>
    <row r="101" ht="14.25" customHeight="1">
      <c r="A101" s="7">
        <v>356.0</v>
      </c>
      <c r="B101" s="8">
        <v>1.0</v>
      </c>
      <c r="C101" s="8" t="s">
        <v>2548</v>
      </c>
      <c r="E101" s="7" t="s">
        <v>1605</v>
      </c>
      <c r="F101" s="7" t="s">
        <v>1605</v>
      </c>
      <c r="G101" s="7" t="s">
        <v>451</v>
      </c>
      <c r="H101" s="7" t="s">
        <v>1606</v>
      </c>
    </row>
    <row r="102" ht="14.25" customHeight="1">
      <c r="A102" s="7">
        <v>360.0</v>
      </c>
      <c r="B102" s="8">
        <v>1.0</v>
      </c>
      <c r="C102" s="8" t="s">
        <v>2535</v>
      </c>
      <c r="D102" s="8" t="s">
        <v>2536</v>
      </c>
      <c r="E102" s="7" t="s">
        <v>1594</v>
      </c>
      <c r="F102" s="7" t="s">
        <v>1594</v>
      </c>
      <c r="G102" s="7" t="s">
        <v>1595</v>
      </c>
      <c r="H102" s="7" t="s">
        <v>1596</v>
      </c>
    </row>
    <row r="103" ht="14.25" customHeight="1">
      <c r="A103" s="7">
        <v>375.0</v>
      </c>
      <c r="B103" s="8">
        <v>1.0</v>
      </c>
      <c r="C103" s="8" t="s">
        <v>2551</v>
      </c>
      <c r="E103" s="7" t="s">
        <v>1586</v>
      </c>
      <c r="F103" s="7" t="s">
        <v>1586</v>
      </c>
      <c r="G103" s="7" t="s">
        <v>1587</v>
      </c>
      <c r="H103" s="7" t="s">
        <v>1588</v>
      </c>
    </row>
    <row r="104" ht="14.25" customHeight="1">
      <c r="A104" s="7">
        <v>380.0</v>
      </c>
      <c r="B104" s="8">
        <v>1.0</v>
      </c>
      <c r="C104" s="8" t="s">
        <v>2538</v>
      </c>
      <c r="E104" s="7" t="s">
        <v>1576</v>
      </c>
      <c r="F104" s="7" t="s">
        <v>1576</v>
      </c>
      <c r="G104" s="7" t="s">
        <v>787</v>
      </c>
      <c r="H104" s="7" t="s">
        <v>1577</v>
      </c>
    </row>
    <row r="105" ht="14.25" customHeight="1">
      <c r="A105" s="7">
        <v>385.0</v>
      </c>
      <c r="B105" s="8">
        <v>0.0</v>
      </c>
      <c r="E105" s="7" t="s">
        <v>1560</v>
      </c>
      <c r="F105" s="7" t="s">
        <v>1560</v>
      </c>
      <c r="G105" s="7" t="s">
        <v>1561</v>
      </c>
      <c r="H105" s="7" t="s">
        <v>1562</v>
      </c>
    </row>
    <row r="106" ht="14.25" customHeight="1">
      <c r="A106" s="7">
        <v>387.0</v>
      </c>
      <c r="B106" s="8">
        <v>1.0</v>
      </c>
      <c r="C106" s="8" t="s">
        <v>2539</v>
      </c>
      <c r="D106" s="8" t="s">
        <v>2540</v>
      </c>
      <c r="E106" s="7" t="s">
        <v>1542</v>
      </c>
      <c r="F106" s="7" t="s">
        <v>1542</v>
      </c>
      <c r="G106" s="7" t="s">
        <v>469</v>
      </c>
      <c r="H106" s="7" t="s">
        <v>1543</v>
      </c>
    </row>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autoFilter ref="$A$1:$H$107">
    <sortState ref="A1:H107">
      <sortCondition ref="A1:A107"/>
      <sortCondition ref="C1:C107"/>
    </sortState>
  </autoFilter>
  <printOptions/>
  <pageMargins bottom="0.75" footer="0.0" header="0.0" left="0.7" right="0.7" top="0.75"/>
  <pageSetup orientation="landscape"/>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8.63"/>
    <col customWidth="1" min="2" max="3" width="30.88"/>
    <col customWidth="1" min="4" max="4" width="10.5"/>
    <col customWidth="1" min="5" max="5" width="8.63"/>
    <col customWidth="1" min="6" max="6" width="38.0"/>
    <col customWidth="1" min="7" max="7" width="27.13"/>
    <col customWidth="1" min="8" max="28" width="8.63"/>
  </cols>
  <sheetData>
    <row r="1" ht="14.25" customHeight="1">
      <c r="A1" s="7" t="s">
        <v>332</v>
      </c>
      <c r="B1" s="8" t="s">
        <v>2557</v>
      </c>
      <c r="C1" s="7" t="s">
        <v>14</v>
      </c>
      <c r="D1" s="7" t="s">
        <v>15</v>
      </c>
      <c r="E1" s="7" t="s">
        <v>16</v>
      </c>
      <c r="F1" s="8" t="s">
        <v>17</v>
      </c>
      <c r="G1" s="8" t="s">
        <v>335</v>
      </c>
      <c r="H1" s="8" t="s">
        <v>2533</v>
      </c>
      <c r="I1" s="8" t="s">
        <v>2534</v>
      </c>
      <c r="J1" s="8" t="s">
        <v>2532</v>
      </c>
    </row>
    <row r="2" ht="14.25" customHeight="1">
      <c r="A2" s="7">
        <v>42.0</v>
      </c>
      <c r="B2" s="7" t="str">
        <f>VLOOKUP(G2,'Query Export'!$BE$2:$BS$102,15,false)</f>
        <v>WOS:000226582800013</v>
      </c>
      <c r="C2" s="7" t="s">
        <v>48</v>
      </c>
      <c r="D2" s="7" t="s">
        <v>49</v>
      </c>
      <c r="E2" s="7">
        <v>2004.0</v>
      </c>
      <c r="F2" s="9" t="s">
        <v>50</v>
      </c>
      <c r="G2" s="7" t="s">
        <v>1227</v>
      </c>
      <c r="H2" s="7" t="s">
        <v>2535</v>
      </c>
      <c r="I2" s="7" t="s">
        <v>2536</v>
      </c>
      <c r="J2" s="7">
        <v>1.0</v>
      </c>
    </row>
    <row r="3" ht="14.25" customHeight="1">
      <c r="A3" s="7">
        <v>10.0</v>
      </c>
      <c r="B3" s="7" t="str">
        <f>VLOOKUP(G3,'Query Export'!$BE$2:$BS$102,15,false)</f>
        <v>WOS:000238453600007</v>
      </c>
      <c r="C3" s="7" t="s">
        <v>60</v>
      </c>
      <c r="D3" s="7" t="s">
        <v>61</v>
      </c>
      <c r="E3" s="7">
        <v>2006.0</v>
      </c>
      <c r="F3" s="9" t="s">
        <v>62</v>
      </c>
      <c r="G3" s="7" t="s">
        <v>2558</v>
      </c>
      <c r="H3" s="7" t="s">
        <v>2537</v>
      </c>
      <c r="I3" s="7" t="s">
        <v>2536</v>
      </c>
      <c r="J3" s="7">
        <v>1.0</v>
      </c>
    </row>
    <row r="4" ht="14.25" customHeight="1">
      <c r="A4" s="7">
        <v>157.0</v>
      </c>
      <c r="B4" s="7" t="str">
        <f>VLOOKUP(G4,'Query Export'!$BE$2:$BS$102,15,false)</f>
        <v>WOS:000255056600009</v>
      </c>
      <c r="C4" s="7" t="s">
        <v>201</v>
      </c>
      <c r="D4" s="7" t="s">
        <v>202</v>
      </c>
      <c r="E4" s="7">
        <v>2008.0</v>
      </c>
      <c r="F4" s="10" t="s">
        <v>203</v>
      </c>
      <c r="G4" s="7" t="s">
        <v>964</v>
      </c>
      <c r="H4" s="7" t="s">
        <v>2535</v>
      </c>
      <c r="I4" s="7" t="s">
        <v>2545</v>
      </c>
      <c r="J4" s="7">
        <v>1.0</v>
      </c>
    </row>
    <row r="5" ht="14.25" customHeight="1">
      <c r="A5" s="7">
        <v>58.0</v>
      </c>
      <c r="B5" s="7" t="str">
        <f>VLOOKUP(G5,'Query Export'!$BE$2:$BS$102,15,false)</f>
        <v>WOS:000264546400015</v>
      </c>
      <c r="C5" s="7" t="s">
        <v>18</v>
      </c>
      <c r="D5" s="7" t="s">
        <v>19</v>
      </c>
      <c r="E5" s="7">
        <v>2008.0</v>
      </c>
      <c r="F5" s="9" t="s">
        <v>20</v>
      </c>
      <c r="G5" s="7" t="s">
        <v>1196</v>
      </c>
      <c r="H5" s="7" t="s">
        <v>2535</v>
      </c>
      <c r="I5" s="7" t="s">
        <v>2536</v>
      </c>
      <c r="J5" s="7">
        <v>1.0</v>
      </c>
    </row>
    <row r="6" ht="14.25" customHeight="1">
      <c r="A6" s="7">
        <v>29.0</v>
      </c>
      <c r="B6" s="7" t="str">
        <f>VLOOKUP(G6,'Query Export'!$BE$2:$BS$102,15,false)</f>
        <v>WOS:000289719900005</v>
      </c>
      <c r="C6" s="7" t="s">
        <v>204</v>
      </c>
      <c r="D6" s="7" t="s">
        <v>205</v>
      </c>
      <c r="E6" s="7">
        <v>2011.0</v>
      </c>
      <c r="F6" s="9" t="s">
        <v>206</v>
      </c>
      <c r="G6" s="7" t="s">
        <v>2559</v>
      </c>
      <c r="H6" s="7" t="s">
        <v>2535</v>
      </c>
      <c r="I6" s="7" t="s">
        <v>2536</v>
      </c>
      <c r="J6" s="7">
        <v>1.0</v>
      </c>
    </row>
    <row r="7" ht="14.25" customHeight="1">
      <c r="A7" s="7">
        <v>45.0</v>
      </c>
      <c r="B7" s="7" t="str">
        <f>VLOOKUP(G7,'Query Export'!$BE$2:$BS$102,15,false)</f>
        <v>WOS:000305892100045</v>
      </c>
      <c r="C7" s="7" t="s">
        <v>255</v>
      </c>
      <c r="D7" s="7" t="s">
        <v>256</v>
      </c>
      <c r="E7" s="7">
        <v>2012.0</v>
      </c>
      <c r="F7" s="10" t="s">
        <v>257</v>
      </c>
      <c r="G7" s="7" t="s">
        <v>2560</v>
      </c>
      <c r="H7" s="7" t="s">
        <v>2543</v>
      </c>
      <c r="J7" s="7">
        <v>1.0</v>
      </c>
    </row>
    <row r="8" ht="14.25" customHeight="1">
      <c r="A8" s="7">
        <v>4.0</v>
      </c>
      <c r="B8" s="7" t="str">
        <f>VLOOKUP(G8,'Query Export'!$BE$2:$BS$102,15,false)</f>
        <v>WOS:000307332300006</v>
      </c>
      <c r="C8" s="7" t="s">
        <v>66</v>
      </c>
      <c r="D8" s="7" t="s">
        <v>67</v>
      </c>
      <c r="E8" s="7">
        <v>2012.0</v>
      </c>
      <c r="F8" s="10" t="s">
        <v>68</v>
      </c>
      <c r="G8" s="7" t="s">
        <v>2561</v>
      </c>
      <c r="H8" s="7" t="s">
        <v>2535</v>
      </c>
      <c r="I8" s="7" t="s">
        <v>2536</v>
      </c>
      <c r="J8" s="7">
        <v>1.0</v>
      </c>
    </row>
    <row r="9" ht="14.25" customHeight="1">
      <c r="A9" s="7">
        <v>204.0</v>
      </c>
      <c r="B9" s="7" t="str">
        <f>VLOOKUP(G9,'Query Export'!$BE$2:$BS$102,15,false)</f>
        <v>WOS:000318128300022</v>
      </c>
      <c r="C9" s="7" t="s">
        <v>87</v>
      </c>
      <c r="D9" s="7" t="s">
        <v>88</v>
      </c>
      <c r="E9" s="7">
        <v>2013.0</v>
      </c>
      <c r="F9" s="10" t="s">
        <v>89</v>
      </c>
      <c r="G9" s="7" t="s">
        <v>836</v>
      </c>
      <c r="H9" s="7" t="s">
        <v>2544</v>
      </c>
      <c r="I9" s="7" t="s">
        <v>2536</v>
      </c>
      <c r="J9" s="7">
        <v>1.0</v>
      </c>
    </row>
    <row r="10" ht="14.25" customHeight="1">
      <c r="A10" s="7">
        <v>5.0</v>
      </c>
      <c r="B10" s="7" t="str">
        <f>VLOOKUP(G10,'Query Export'!$BE$2:$BS$102,15,false)</f>
        <v>WOS:000321917200014</v>
      </c>
      <c r="C10" s="7" t="s">
        <v>51</v>
      </c>
      <c r="D10" s="7" t="s">
        <v>52</v>
      </c>
      <c r="E10" s="7">
        <v>2013.0</v>
      </c>
      <c r="F10" s="10" t="s">
        <v>53</v>
      </c>
      <c r="G10" s="7" t="s">
        <v>2562</v>
      </c>
      <c r="H10" s="7" t="s">
        <v>2537</v>
      </c>
      <c r="I10" s="7" t="s">
        <v>2536</v>
      </c>
      <c r="J10" s="7">
        <v>1.0</v>
      </c>
    </row>
    <row r="11" ht="14.25" customHeight="1">
      <c r="A11" s="7">
        <v>324.0</v>
      </c>
      <c r="B11" s="7" t="str">
        <f>VLOOKUP(G11,'Query Export'!$BE$2:$BS$102,15,false)</f>
        <v>WOS:000323086800007</v>
      </c>
      <c r="C11" s="7" t="s">
        <v>90</v>
      </c>
      <c r="D11" s="7" t="s">
        <v>91</v>
      </c>
      <c r="E11" s="7">
        <v>2013.0</v>
      </c>
      <c r="F11" s="7" t="s">
        <v>92</v>
      </c>
      <c r="G11" s="7" t="s">
        <v>2563</v>
      </c>
      <c r="H11" s="7" t="s">
        <v>2535</v>
      </c>
      <c r="I11" s="7" t="s">
        <v>2536</v>
      </c>
      <c r="J11" s="7">
        <v>1.0</v>
      </c>
    </row>
    <row r="12" ht="14.25" customHeight="1">
      <c r="A12" s="7">
        <v>319.0</v>
      </c>
      <c r="B12" s="7" t="str">
        <f>VLOOKUP(G12,'Query Export'!$BE$2:$BS$102,15,false)</f>
        <v>WOS:000334068000028</v>
      </c>
      <c r="C12" s="7" t="s">
        <v>192</v>
      </c>
      <c r="D12" s="7" t="s">
        <v>193</v>
      </c>
      <c r="E12" s="7">
        <v>2014.0</v>
      </c>
      <c r="F12" s="9" t="s">
        <v>194</v>
      </c>
      <c r="G12" s="7" t="s">
        <v>2564</v>
      </c>
      <c r="H12" s="7" t="s">
        <v>2535</v>
      </c>
      <c r="I12" s="7" t="s">
        <v>2536</v>
      </c>
      <c r="J12" s="7">
        <v>1.0</v>
      </c>
    </row>
    <row r="13" ht="14.25" customHeight="1">
      <c r="A13" s="7">
        <v>15.0</v>
      </c>
      <c r="B13" s="7" t="str">
        <f>VLOOKUP(G13,'Query Export'!$BE$2:$BS$102,15,false)</f>
        <v>WOS:000337590000009</v>
      </c>
      <c r="C13" s="7" t="s">
        <v>225</v>
      </c>
      <c r="D13" s="7" t="s">
        <v>226</v>
      </c>
      <c r="E13" s="7">
        <v>2013.0</v>
      </c>
      <c r="F13" s="9" t="s">
        <v>227</v>
      </c>
      <c r="G13" s="7" t="s">
        <v>2565</v>
      </c>
      <c r="H13" s="7" t="s">
        <v>2538</v>
      </c>
      <c r="J13" s="7">
        <v>1.0</v>
      </c>
    </row>
    <row r="14" ht="14.25" customHeight="1">
      <c r="A14" s="7">
        <v>270.0</v>
      </c>
      <c r="B14" s="7" t="str">
        <f>VLOOKUP(G14,'Query Export'!$BE$2:$BS$102,15,false)</f>
        <v>WOS:000351803300007</v>
      </c>
      <c r="C14" s="7" t="s">
        <v>159</v>
      </c>
      <c r="D14" s="7" t="s">
        <v>160</v>
      </c>
      <c r="E14" s="7">
        <v>2015.0</v>
      </c>
      <c r="F14" s="10" t="s">
        <v>161</v>
      </c>
      <c r="G14" s="7" t="s">
        <v>686</v>
      </c>
      <c r="H14" s="7" t="s">
        <v>2547</v>
      </c>
      <c r="I14" s="7" t="s">
        <v>2536</v>
      </c>
      <c r="J14" s="7">
        <v>1.0</v>
      </c>
    </row>
    <row r="15" ht="14.25" customHeight="1">
      <c r="A15" s="7">
        <v>117.0</v>
      </c>
      <c r="B15" s="7" t="str">
        <f>VLOOKUP(G15,'Query Export'!$BE$2:$BS$102,15,false)</f>
        <v>WOS:000355700700005</v>
      </c>
      <c r="C15" s="7" t="s">
        <v>261</v>
      </c>
      <c r="D15" s="7" t="s">
        <v>262</v>
      </c>
      <c r="E15" s="7">
        <v>2015.0</v>
      </c>
      <c r="F15" s="10" t="s">
        <v>263</v>
      </c>
      <c r="G15" s="7" t="s">
        <v>2566</v>
      </c>
      <c r="H15" s="7" t="s">
        <v>2548</v>
      </c>
      <c r="J15" s="7">
        <v>1.0</v>
      </c>
    </row>
    <row r="16" ht="14.25" customHeight="1">
      <c r="A16" s="7">
        <v>299.0</v>
      </c>
      <c r="B16" s="7" t="str">
        <f>VLOOKUP(G16,'Query Export'!$BE$2:$BS$102,15,false)</f>
        <v>WOS:000362059700019</v>
      </c>
      <c r="C16" s="11" t="s">
        <v>309</v>
      </c>
      <c r="D16" s="7" t="s">
        <v>310</v>
      </c>
      <c r="E16" s="7">
        <v>2015.0</v>
      </c>
      <c r="F16" s="12" t="s">
        <v>311</v>
      </c>
      <c r="G16" s="7" t="s">
        <v>2567</v>
      </c>
      <c r="H16" s="7" t="s">
        <v>2535</v>
      </c>
      <c r="I16" s="7" t="s">
        <v>2536</v>
      </c>
      <c r="J16" s="7">
        <v>1.0</v>
      </c>
    </row>
    <row r="17" ht="14.25" customHeight="1">
      <c r="A17" s="7">
        <v>295.0</v>
      </c>
      <c r="B17" s="7" t="str">
        <f>VLOOKUP(G17,'Query Export'!$BE$2:$BS$102,15,false)</f>
        <v>WOS:000367105800043</v>
      </c>
      <c r="C17" s="7" t="s">
        <v>30</v>
      </c>
      <c r="D17" s="7" t="s">
        <v>31</v>
      </c>
      <c r="E17" s="7">
        <v>2015.0</v>
      </c>
      <c r="F17" s="7" t="s">
        <v>32</v>
      </c>
      <c r="G17" s="7" t="s">
        <v>2568</v>
      </c>
      <c r="H17" s="7" t="s">
        <v>2535</v>
      </c>
      <c r="I17" s="7" t="s">
        <v>2536</v>
      </c>
      <c r="J17" s="7">
        <v>1.0</v>
      </c>
    </row>
    <row r="18" ht="14.25" customHeight="1">
      <c r="A18" s="7">
        <v>113.0</v>
      </c>
      <c r="B18" s="7" t="str">
        <f>VLOOKUP(G18,'Query Export'!$BE$2:$BS$102,15,false)</f>
        <v>WOS:000371218400074</v>
      </c>
      <c r="C18" s="7" t="s">
        <v>264</v>
      </c>
      <c r="D18" s="7" t="s">
        <v>265</v>
      </c>
      <c r="E18" s="7">
        <v>2016.0</v>
      </c>
      <c r="F18" s="10" t="s">
        <v>266</v>
      </c>
      <c r="G18" s="7" t="s">
        <v>2569</v>
      </c>
      <c r="H18" s="7" t="s">
        <v>2535</v>
      </c>
      <c r="I18" s="7" t="s">
        <v>2536</v>
      </c>
      <c r="J18" s="7">
        <v>1.0</v>
      </c>
    </row>
    <row r="19" ht="14.25" customHeight="1">
      <c r="A19" s="7">
        <v>102.0</v>
      </c>
      <c r="B19" s="7" t="str">
        <f>VLOOKUP(G19,'Query Export'!$BE$2:$BS$102,15,false)</f>
        <v>WOS:000387357300076</v>
      </c>
      <c r="C19" s="7" t="s">
        <v>294</v>
      </c>
      <c r="D19" s="7" t="s">
        <v>295</v>
      </c>
      <c r="E19" s="7">
        <v>2016.0</v>
      </c>
      <c r="F19" s="7" t="s">
        <v>296</v>
      </c>
      <c r="G19" s="7" t="s">
        <v>2570</v>
      </c>
      <c r="H19" s="7" t="s">
        <v>2535</v>
      </c>
      <c r="I19" s="7" t="s">
        <v>2536</v>
      </c>
      <c r="J19" s="7">
        <v>1.0</v>
      </c>
    </row>
    <row r="20" ht="14.25" customHeight="1">
      <c r="A20" s="7">
        <v>257.0</v>
      </c>
      <c r="B20" s="7" t="str">
        <f>VLOOKUP(G20,'Query Export'!$BE$2:$BS$102,15,false)</f>
        <v>WOS:000388156100002</v>
      </c>
      <c r="C20" s="7" t="s">
        <v>93</v>
      </c>
      <c r="D20" s="7" t="s">
        <v>94</v>
      </c>
      <c r="E20" s="7">
        <v>2016.0</v>
      </c>
      <c r="F20" s="9" t="s">
        <v>95</v>
      </c>
      <c r="G20" s="7" t="s">
        <v>737</v>
      </c>
      <c r="H20" s="7" t="s">
        <v>2535</v>
      </c>
      <c r="I20" s="7" t="s">
        <v>2536</v>
      </c>
      <c r="J20" s="7">
        <v>1.0</v>
      </c>
    </row>
    <row r="21" ht="14.25" customHeight="1">
      <c r="A21" s="7">
        <v>61.0</v>
      </c>
      <c r="B21" s="7" t="str">
        <f>VLOOKUP(G21,'Query Export'!$BE$2:$BS$102,15,false)</f>
        <v>WOS:000394991000013</v>
      </c>
      <c r="C21" s="7" t="s">
        <v>57</v>
      </c>
      <c r="D21" s="7" t="s">
        <v>58</v>
      </c>
      <c r="E21" s="7">
        <v>2017.0</v>
      </c>
      <c r="F21" s="10" t="s">
        <v>59</v>
      </c>
      <c r="G21" s="7" t="s">
        <v>2571</v>
      </c>
      <c r="H21" s="7" t="s">
        <v>2535</v>
      </c>
      <c r="I21" s="7" t="s">
        <v>2545</v>
      </c>
      <c r="J21" s="7">
        <v>1.0</v>
      </c>
    </row>
    <row r="22" ht="14.25" customHeight="1">
      <c r="A22" s="7">
        <v>180.0</v>
      </c>
      <c r="B22" s="7" t="str">
        <f>VLOOKUP(G22,'Query Export'!$BE$2:$BS$102,15,false)</f>
        <v>WOS:000400962000008</v>
      </c>
      <c r="C22" s="7" t="s">
        <v>210</v>
      </c>
      <c r="D22" s="7" t="s">
        <v>211</v>
      </c>
      <c r="E22" s="7">
        <v>2016.0</v>
      </c>
      <c r="F22" s="10" t="s">
        <v>212</v>
      </c>
      <c r="G22" s="7" t="s">
        <v>2572</v>
      </c>
      <c r="H22" s="7" t="s">
        <v>2535</v>
      </c>
      <c r="I22" s="7" t="s">
        <v>2536</v>
      </c>
      <c r="J22" s="7">
        <v>1.0</v>
      </c>
    </row>
    <row r="23" ht="14.25" customHeight="1">
      <c r="A23" s="7">
        <v>327.0</v>
      </c>
      <c r="B23" s="7" t="str">
        <f>VLOOKUP(G23,'Query Export'!$BE$2:$BS$102,15,false)</f>
        <v>WOS:000406564400018</v>
      </c>
      <c r="C23" s="7" t="s">
        <v>27</v>
      </c>
      <c r="D23" s="7" t="s">
        <v>28</v>
      </c>
      <c r="E23" s="7">
        <v>2017.0</v>
      </c>
      <c r="F23" s="7" t="s">
        <v>29</v>
      </c>
      <c r="G23" s="7" t="s">
        <v>2573</v>
      </c>
      <c r="H23" s="7" t="s">
        <v>2553</v>
      </c>
      <c r="I23" s="7" t="s">
        <v>2554</v>
      </c>
      <c r="J23" s="7">
        <v>1.0</v>
      </c>
    </row>
    <row r="24" ht="14.25" customHeight="1">
      <c r="A24" s="7">
        <v>243.0</v>
      </c>
      <c r="B24" s="7" t="str">
        <f>VLOOKUP(G24,'Query Export'!$BE$2:$BS$102,15,false)</f>
        <v>WOS:000413280200029</v>
      </c>
      <c r="C24" s="7" t="s">
        <v>162</v>
      </c>
      <c r="D24" s="7" t="s">
        <v>163</v>
      </c>
      <c r="E24" s="7">
        <v>2017.0</v>
      </c>
      <c r="F24" s="9" t="s">
        <v>164</v>
      </c>
      <c r="G24" s="7" t="s">
        <v>755</v>
      </c>
      <c r="H24" s="7" t="s">
        <v>2546</v>
      </c>
      <c r="J24" s="7">
        <v>1.0</v>
      </c>
    </row>
    <row r="25" ht="14.25" customHeight="1">
      <c r="A25" s="7">
        <v>237.0</v>
      </c>
      <c r="B25" s="7" t="str">
        <f>VLOOKUP(G25,'Query Export'!$BE$2:$BS$102,15,false)</f>
        <v>WOS:000417252400002</v>
      </c>
      <c r="C25" s="7" t="s">
        <v>45</v>
      </c>
      <c r="D25" s="7" t="s">
        <v>46</v>
      </c>
      <c r="E25" s="7">
        <v>2017.0</v>
      </c>
      <c r="F25" s="9" t="s">
        <v>47</v>
      </c>
      <c r="G25" s="7" t="s">
        <v>2574</v>
      </c>
      <c r="H25" s="7" t="s">
        <v>2546</v>
      </c>
      <c r="J25" s="7">
        <v>1.0</v>
      </c>
    </row>
    <row r="26" ht="14.25" customHeight="1">
      <c r="A26" s="7">
        <v>261.0</v>
      </c>
      <c r="B26" s="7" t="str">
        <f>VLOOKUP(G26,'Query Export'!$BE$2:$BS$102,15,false)</f>
        <v>WOS:000417764600011</v>
      </c>
      <c r="C26" s="7" t="s">
        <v>207</v>
      </c>
      <c r="D26" s="7" t="s">
        <v>208</v>
      </c>
      <c r="E26" s="7">
        <v>2017.0</v>
      </c>
      <c r="F26" s="9" t="s">
        <v>209</v>
      </c>
      <c r="G26" s="7" t="s">
        <v>2575</v>
      </c>
      <c r="H26" s="7" t="s">
        <v>2535</v>
      </c>
      <c r="I26" s="7" t="s">
        <v>2545</v>
      </c>
      <c r="J26" s="7">
        <v>1.0</v>
      </c>
    </row>
    <row r="27" ht="14.25" customHeight="1">
      <c r="A27" s="7">
        <v>302.0</v>
      </c>
      <c r="B27" s="7" t="str">
        <f>VLOOKUP(G27,'Query Export'!$BE$2:$BS$102,15,false)</f>
        <v>WOS:000423508500007</v>
      </c>
      <c r="C27" s="7" t="s">
        <v>189</v>
      </c>
      <c r="D27" s="7" t="s">
        <v>190</v>
      </c>
      <c r="E27" s="7">
        <v>2017.0</v>
      </c>
      <c r="F27" s="7" t="s">
        <v>191</v>
      </c>
      <c r="G27" s="7" t="s">
        <v>2576</v>
      </c>
      <c r="H27" s="7" t="s">
        <v>2535</v>
      </c>
      <c r="I27" s="7" t="s">
        <v>2545</v>
      </c>
      <c r="J27" s="7">
        <v>1.0</v>
      </c>
    </row>
    <row r="28" ht="14.25" customHeight="1">
      <c r="A28" s="7">
        <v>286.0</v>
      </c>
      <c r="B28" s="7" t="str">
        <f>VLOOKUP(G28,'Query Export'!$BE$2:$BS$102,15,false)</f>
        <v>WOS:000424196800003</v>
      </c>
      <c r="C28" s="7" t="s">
        <v>171</v>
      </c>
      <c r="D28" s="7" t="s">
        <v>172</v>
      </c>
      <c r="E28" s="7">
        <v>2018.0</v>
      </c>
      <c r="F28" s="7" t="s">
        <v>173</v>
      </c>
      <c r="G28" s="7" t="s">
        <v>2577</v>
      </c>
      <c r="H28" s="7" t="s">
        <v>2552</v>
      </c>
      <c r="J28" s="7">
        <v>1.0</v>
      </c>
    </row>
    <row r="29" ht="14.25" customHeight="1">
      <c r="A29" s="7">
        <v>201.0</v>
      </c>
      <c r="B29" s="7" t="str">
        <f>VLOOKUP(G29,'Query Export'!$BE$2:$BS$102,15,false)</f>
        <v>WOS:000431837800026</v>
      </c>
      <c r="C29" s="7" t="s">
        <v>96</v>
      </c>
      <c r="D29" s="7" t="s">
        <v>97</v>
      </c>
      <c r="E29" s="7">
        <v>2018.0</v>
      </c>
      <c r="F29" s="7" t="s">
        <v>98</v>
      </c>
      <c r="G29" s="7" t="s">
        <v>2578</v>
      </c>
      <c r="H29" s="7" t="s">
        <v>2535</v>
      </c>
      <c r="I29" s="7" t="s">
        <v>2545</v>
      </c>
      <c r="J29" s="7">
        <v>1.0</v>
      </c>
    </row>
    <row r="30" ht="14.25" customHeight="1">
      <c r="A30" s="7">
        <v>387.0</v>
      </c>
      <c r="B30" s="7" t="str">
        <f>VLOOKUP(G30,'Query Export'!$BE$2:$BS$102,15,false)</f>
        <v>WOS:000433649800008</v>
      </c>
      <c r="C30" s="7" t="s">
        <v>144</v>
      </c>
      <c r="D30" s="7" t="s">
        <v>145</v>
      </c>
      <c r="E30" s="7">
        <v>2018.0</v>
      </c>
      <c r="F30" s="7" t="s">
        <v>146</v>
      </c>
      <c r="G30" s="7" t="s">
        <v>2579</v>
      </c>
      <c r="H30" s="7" t="s">
        <v>2539</v>
      </c>
      <c r="I30" s="7" t="s">
        <v>2540</v>
      </c>
      <c r="J30" s="7">
        <v>1.0</v>
      </c>
    </row>
    <row r="31" ht="14.25" customHeight="1">
      <c r="A31" s="7">
        <v>179.0</v>
      </c>
      <c r="B31" s="7" t="str">
        <f>VLOOKUP(G31,'Query Export'!$BE$2:$BS$102,15,false)</f>
        <v>WOS:000454685500019</v>
      </c>
      <c r="C31" s="7" t="s">
        <v>42</v>
      </c>
      <c r="D31" s="7" t="s">
        <v>43</v>
      </c>
      <c r="E31" s="7">
        <v>2018.0</v>
      </c>
      <c r="F31" s="7" t="s">
        <v>44</v>
      </c>
      <c r="G31" s="7" t="s">
        <v>2580</v>
      </c>
      <c r="H31" s="7" t="s">
        <v>2538</v>
      </c>
      <c r="J31" s="7">
        <v>1.0</v>
      </c>
    </row>
    <row r="32" ht="14.25" customHeight="1">
      <c r="A32" s="7">
        <v>322.0</v>
      </c>
      <c r="B32" s="7" t="str">
        <f>VLOOKUP(G32,'Query Export'!$BE$2:$BS$102,15,false)</f>
        <v>WOS:000454994500055</v>
      </c>
      <c r="C32" s="7" t="s">
        <v>126</v>
      </c>
      <c r="D32" s="7" t="s">
        <v>127</v>
      </c>
      <c r="E32" s="7">
        <v>2018.0</v>
      </c>
      <c r="F32" s="7" t="s">
        <v>128</v>
      </c>
      <c r="G32" s="7" t="s">
        <v>2581</v>
      </c>
      <c r="H32" s="7" t="s">
        <v>2538</v>
      </c>
      <c r="J32" s="7">
        <v>1.0</v>
      </c>
    </row>
    <row r="33" ht="14.25" customHeight="1">
      <c r="A33" s="7">
        <v>310.0</v>
      </c>
      <c r="B33" s="7" t="str">
        <f>VLOOKUP(G33,'Query Export'!$BE$2:$BS$102,15,false)</f>
        <v>WOS:000458806600007</v>
      </c>
      <c r="C33" s="7" t="s">
        <v>123</v>
      </c>
      <c r="D33" s="7" t="s">
        <v>124</v>
      </c>
      <c r="E33" s="7">
        <v>2019.0</v>
      </c>
      <c r="F33" s="7" t="s">
        <v>125</v>
      </c>
      <c r="G33" s="7" t="s">
        <v>2582</v>
      </c>
      <c r="H33" s="7" t="s">
        <v>2535</v>
      </c>
      <c r="I33" s="7" t="s">
        <v>2536</v>
      </c>
      <c r="J33" s="7">
        <v>1.0</v>
      </c>
    </row>
    <row r="34" ht="14.25" customHeight="1">
      <c r="A34" s="7">
        <v>234.0</v>
      </c>
      <c r="B34" s="7" t="str">
        <f>VLOOKUP(G34,'Query Export'!$BE$2:$BS$102,15,false)</f>
        <v>WOS:000526787100002</v>
      </c>
      <c r="C34" s="7" t="s">
        <v>102</v>
      </c>
      <c r="D34" s="7" t="s">
        <v>103</v>
      </c>
      <c r="E34" s="7">
        <v>2020.0</v>
      </c>
      <c r="F34" s="9" t="s">
        <v>104</v>
      </c>
      <c r="G34" s="7" t="s">
        <v>776</v>
      </c>
      <c r="H34" s="7" t="s">
        <v>2538</v>
      </c>
      <c r="J34" s="7">
        <v>1.0</v>
      </c>
    </row>
    <row r="35" ht="14.25" customHeight="1">
      <c r="A35" s="7">
        <v>294.0</v>
      </c>
      <c r="B35" s="7" t="str">
        <f>VLOOKUP(G35,'Query Export'!$BE$2:$BS$102,15,false)</f>
        <v>WOS:000540247600002</v>
      </c>
      <c r="C35" s="7" t="s">
        <v>105</v>
      </c>
      <c r="D35" s="7" t="s">
        <v>106</v>
      </c>
      <c r="E35" s="7">
        <v>2020.0</v>
      </c>
      <c r="F35" s="7" t="s">
        <v>107</v>
      </c>
      <c r="G35" s="7" t="s">
        <v>2583</v>
      </c>
      <c r="H35" s="7" t="s">
        <v>2535</v>
      </c>
      <c r="I35" s="7" t="s">
        <v>2545</v>
      </c>
      <c r="J35" s="7">
        <v>1.0</v>
      </c>
    </row>
    <row r="36" ht="14.25" customHeight="1">
      <c r="A36" s="7">
        <v>80.0</v>
      </c>
      <c r="B36" s="7" t="str">
        <f>VLOOKUP(G36,'Query Export'!$BE$2:$BS$102,15,false)</f>
        <v>WOS:000543444600005</v>
      </c>
      <c r="C36" s="7" t="s">
        <v>78</v>
      </c>
      <c r="D36" s="7" t="s">
        <v>79</v>
      </c>
      <c r="E36" s="7">
        <v>2020.0</v>
      </c>
      <c r="F36" s="7" t="s">
        <v>80</v>
      </c>
      <c r="G36" s="7" t="s">
        <v>2584</v>
      </c>
      <c r="H36" s="7" t="s">
        <v>2539</v>
      </c>
      <c r="I36" s="7" t="s">
        <v>2540</v>
      </c>
      <c r="J36" s="7">
        <v>1.0</v>
      </c>
    </row>
    <row r="37" ht="14.25" customHeight="1">
      <c r="A37" s="7">
        <v>195.0</v>
      </c>
      <c r="B37" s="7" t="str">
        <f>VLOOKUP(G37,'Query Export'!$BE$2:$BS$102,15,false)</f>
        <v>WOS:000550230500001</v>
      </c>
      <c r="C37" s="7" t="s">
        <v>297</v>
      </c>
      <c r="D37" s="7" t="s">
        <v>298</v>
      </c>
      <c r="E37" s="7">
        <v>2020.0</v>
      </c>
      <c r="F37" s="9" t="s">
        <v>299</v>
      </c>
      <c r="G37" s="7" t="s">
        <v>2585</v>
      </c>
      <c r="H37" s="7" t="s">
        <v>2544</v>
      </c>
      <c r="I37" s="7" t="s">
        <v>2536</v>
      </c>
      <c r="J37" s="7">
        <v>1.0</v>
      </c>
    </row>
    <row r="38" ht="14.25" customHeight="1">
      <c r="A38" s="7">
        <v>288.0</v>
      </c>
      <c r="B38" s="7" t="str">
        <f>VLOOKUP(G38,'Query Export'!$BE$2:$BS$102,15,false)</f>
        <v>WOS:000608478800006</v>
      </c>
      <c r="C38" s="7" t="s">
        <v>315</v>
      </c>
      <c r="D38" s="7" t="s">
        <v>316</v>
      </c>
      <c r="E38" s="7">
        <v>2020.0</v>
      </c>
      <c r="F38" s="12" t="s">
        <v>317</v>
      </c>
      <c r="G38" s="7" t="s">
        <v>2586</v>
      </c>
      <c r="H38" s="7" t="s">
        <v>2548</v>
      </c>
      <c r="J38" s="7">
        <v>1.0</v>
      </c>
    </row>
    <row r="39" ht="14.25" customHeight="1">
      <c r="A39" s="7">
        <v>329.0</v>
      </c>
      <c r="B39" s="7" t="str">
        <f>VLOOKUP(G39,'Query Export'!$BE$2:$BS$102,15,false)</f>
        <v>WOS:000608479800021</v>
      </c>
      <c r="C39" s="7" t="s">
        <v>129</v>
      </c>
      <c r="D39" s="7" t="s">
        <v>130</v>
      </c>
      <c r="E39" s="7">
        <v>2019.0</v>
      </c>
      <c r="F39" s="7" t="s">
        <v>131</v>
      </c>
      <c r="G39" s="7" t="s">
        <v>2587</v>
      </c>
      <c r="H39" s="7" t="s">
        <v>2555</v>
      </c>
      <c r="I39" s="7" t="s">
        <v>2556</v>
      </c>
      <c r="J39" s="7">
        <v>1.0</v>
      </c>
    </row>
    <row r="40" ht="14.25" customHeight="1">
      <c r="A40" s="7">
        <v>218.0</v>
      </c>
      <c r="B40" s="7" t="str">
        <f>VLOOKUP(G40,'Query Export'!$BE$2:$BS$102,15,false)</f>
        <v>WOS:000621585800001</v>
      </c>
      <c r="C40" s="7" t="s">
        <v>114</v>
      </c>
      <c r="D40" s="7" t="s">
        <v>115</v>
      </c>
      <c r="E40" s="7">
        <v>2021.0</v>
      </c>
      <c r="F40" s="7" t="s">
        <v>116</v>
      </c>
      <c r="G40" s="7" t="s">
        <v>2588</v>
      </c>
      <c r="H40" s="7" t="s">
        <v>2544</v>
      </c>
      <c r="I40" s="7" t="s">
        <v>2536</v>
      </c>
      <c r="J40" s="7">
        <v>1.0</v>
      </c>
    </row>
    <row r="41" ht="14.25" customHeight="1">
      <c r="A41" s="7">
        <v>356.0</v>
      </c>
      <c r="B41" s="7" t="str">
        <f>VLOOKUP(G41,'Query Export'!$BE$2:$BS$102,15,false)</f>
        <v>WOS:000626061900001</v>
      </c>
      <c r="C41" s="7" t="s">
        <v>219</v>
      </c>
      <c r="D41" s="7" t="s">
        <v>220</v>
      </c>
      <c r="E41" s="7">
        <v>2020.0</v>
      </c>
      <c r="F41" s="10" t="s">
        <v>221</v>
      </c>
      <c r="G41" s="7" t="s">
        <v>2589</v>
      </c>
      <c r="H41" s="7" t="s">
        <v>2548</v>
      </c>
      <c r="J41" s="7">
        <v>1.0</v>
      </c>
    </row>
    <row r="42" ht="14.25" customHeight="1">
      <c r="A42" s="7">
        <v>23.0</v>
      </c>
      <c r="B42" s="7" t="str">
        <f>VLOOKUP(G42,'Query Export'!$BE$2:$BS$102,15,false)</f>
        <v>WOS:000626812400027</v>
      </c>
      <c r="C42" s="7" t="s">
        <v>183</v>
      </c>
      <c r="D42" s="7" t="s">
        <v>184</v>
      </c>
      <c r="E42" s="7">
        <v>2021.0</v>
      </c>
      <c r="F42" s="7" t="s">
        <v>185</v>
      </c>
      <c r="G42" s="7" t="s">
        <v>2590</v>
      </c>
      <c r="H42" s="7" t="s">
        <v>2538</v>
      </c>
      <c r="J42" s="7">
        <v>1.0</v>
      </c>
    </row>
    <row r="43" ht="14.25" customHeight="1">
      <c r="A43" s="7">
        <v>233.0</v>
      </c>
      <c r="B43" s="7" t="str">
        <f>VLOOKUP(G43,'Query Export'!$BE$2:$BS$102,15,false)</f>
        <v>WOS:000667941300001</v>
      </c>
      <c r="C43" s="7" t="s">
        <v>195</v>
      </c>
      <c r="D43" s="7" t="s">
        <v>196</v>
      </c>
      <c r="E43" s="7">
        <v>2021.0</v>
      </c>
      <c r="F43" s="7" t="s">
        <v>197</v>
      </c>
      <c r="G43" s="7" t="s">
        <v>2591</v>
      </c>
      <c r="H43" s="7" t="s">
        <v>2535</v>
      </c>
      <c r="I43" s="7" t="s">
        <v>2536</v>
      </c>
      <c r="J43" s="7">
        <v>1.0</v>
      </c>
    </row>
    <row r="44" ht="14.25" customHeight="1">
      <c r="A44" s="7">
        <v>375.0</v>
      </c>
      <c r="B44" s="7" t="str">
        <f>VLOOKUP(G44,'Query Export'!$BE$2:$BS$102,15,false)</f>
        <v>WOS:000691802300015</v>
      </c>
      <c r="C44" s="7" t="s">
        <v>108</v>
      </c>
      <c r="D44" s="7" t="s">
        <v>109</v>
      </c>
      <c r="E44" s="7">
        <v>2021.0</v>
      </c>
      <c r="F44" s="7" t="s">
        <v>110</v>
      </c>
      <c r="G44" s="7" t="s">
        <v>2592</v>
      </c>
      <c r="H44" s="7" t="s">
        <v>2551</v>
      </c>
      <c r="J44" s="7">
        <v>1.0</v>
      </c>
    </row>
    <row r="45" ht="14.25" customHeight="1">
      <c r="A45" s="7">
        <v>187.0</v>
      </c>
      <c r="B45" s="7" t="str">
        <f>VLOOKUP(G45,'Query Export'!$BE$2:$BS$102,15,false)</f>
        <v>WOS:000707571700025</v>
      </c>
      <c r="C45" s="7" t="s">
        <v>249</v>
      </c>
      <c r="D45" s="7" t="s">
        <v>250</v>
      </c>
      <c r="E45" s="7">
        <v>2021.0</v>
      </c>
      <c r="F45" s="10" t="s">
        <v>251</v>
      </c>
      <c r="G45" s="7" t="s">
        <v>2593</v>
      </c>
      <c r="H45" s="7" t="s">
        <v>2538</v>
      </c>
      <c r="J45" s="7">
        <v>1.0</v>
      </c>
    </row>
    <row r="46" ht="14.25" customHeight="1">
      <c r="A46" s="7">
        <v>147.0</v>
      </c>
      <c r="B46" s="7" t="str">
        <f>VLOOKUP(G46,'Query Export'!$BE$2:$BS$102,15,false)</f>
        <v>WOS:000724501100001</v>
      </c>
      <c r="C46" s="7" t="s">
        <v>279</v>
      </c>
      <c r="D46" s="7" t="s">
        <v>280</v>
      </c>
      <c r="E46" s="7">
        <v>2021.0</v>
      </c>
      <c r="F46" s="10" t="s">
        <v>281</v>
      </c>
      <c r="G46" s="7" t="s">
        <v>996</v>
      </c>
      <c r="H46" s="7" t="s">
        <v>2535</v>
      </c>
      <c r="I46" s="7" t="s">
        <v>2536</v>
      </c>
      <c r="J46" s="7">
        <v>1.0</v>
      </c>
    </row>
    <row r="47" ht="14.25" customHeight="1">
      <c r="A47" s="7">
        <v>30.0</v>
      </c>
      <c r="B47" s="7" t="str">
        <f>VLOOKUP(G47,'Query Export'!$BE$2:$BS$102,15,false)</f>
        <v>WOS:000736699700001</v>
      </c>
      <c r="C47" s="7" t="s">
        <v>234</v>
      </c>
      <c r="D47" s="7" t="s">
        <v>235</v>
      </c>
      <c r="E47" s="7">
        <v>2022.0</v>
      </c>
      <c r="F47" s="10" t="s">
        <v>236</v>
      </c>
      <c r="G47" s="7" t="s">
        <v>1260</v>
      </c>
      <c r="H47" s="7" t="s">
        <v>2539</v>
      </c>
      <c r="I47" s="7" t="s">
        <v>2540</v>
      </c>
      <c r="J47" s="7">
        <v>1.0</v>
      </c>
    </row>
    <row r="48" ht="14.25" customHeight="1">
      <c r="A48" s="7">
        <v>26.0</v>
      </c>
      <c r="B48" s="7" t="str">
        <f>VLOOKUP(G48,'Query Export'!$BE$2:$BS$102,15,false)</f>
        <v>WOS:000737848000001</v>
      </c>
      <c r="C48" s="7" t="s">
        <v>291</v>
      </c>
      <c r="D48" s="7" t="s">
        <v>292</v>
      </c>
      <c r="E48" s="7">
        <v>2021.0</v>
      </c>
      <c r="F48" s="7" t="s">
        <v>293</v>
      </c>
      <c r="G48" s="7" t="s">
        <v>2594</v>
      </c>
      <c r="H48" s="7" t="s">
        <v>2535</v>
      </c>
      <c r="I48" s="7" t="s">
        <v>2536</v>
      </c>
      <c r="J48" s="7">
        <v>1.0</v>
      </c>
    </row>
    <row r="49" ht="14.25" customHeight="1">
      <c r="A49" s="7">
        <v>112.0</v>
      </c>
      <c r="B49" s="7" t="str">
        <f>VLOOKUP(G49,'Query Export'!$BE$2:$BS$102,15,false)</f>
        <v>WOS:000748146300001</v>
      </c>
      <c r="C49" s="7" t="s">
        <v>300</v>
      </c>
      <c r="D49" s="7" t="s">
        <v>301</v>
      </c>
      <c r="E49" s="7">
        <v>2022.0</v>
      </c>
      <c r="F49" s="7" t="s">
        <v>302</v>
      </c>
      <c r="G49" s="7" t="s">
        <v>2595</v>
      </c>
      <c r="H49" s="7" t="s">
        <v>2539</v>
      </c>
      <c r="I49" s="7" t="s">
        <v>2540</v>
      </c>
      <c r="J49" s="7">
        <v>1.0</v>
      </c>
    </row>
    <row r="50" ht="14.25" customHeight="1">
      <c r="A50" s="7">
        <v>96.0</v>
      </c>
      <c r="B50" s="7" t="str">
        <f>VLOOKUP(G50,'Query Export'!$BE$2:$BS$102,15,false)</f>
        <v>WOS:000755680200022</v>
      </c>
      <c r="C50" s="7" t="s">
        <v>267</v>
      </c>
      <c r="D50" s="7" t="s">
        <v>268</v>
      </c>
      <c r="E50" s="7">
        <v>2021.0</v>
      </c>
      <c r="F50" s="7" t="s">
        <v>269</v>
      </c>
      <c r="G50" s="7" t="s">
        <v>2596</v>
      </c>
      <c r="H50" s="7" t="s">
        <v>2544</v>
      </c>
      <c r="I50" s="7" t="s">
        <v>2536</v>
      </c>
      <c r="J50" s="7">
        <v>1.0</v>
      </c>
    </row>
    <row r="51" ht="14.25" customHeight="1">
      <c r="A51" s="7">
        <v>105.0</v>
      </c>
      <c r="B51" s="7" t="str">
        <f>VLOOKUP(G51,'Query Export'!$BE$2:$BS$102,15,false)</f>
        <v>WOS:000765705600001</v>
      </c>
      <c r="C51" s="7" t="s">
        <v>39</v>
      </c>
      <c r="D51" s="7" t="s">
        <v>40</v>
      </c>
      <c r="E51" s="7">
        <v>2022.0</v>
      </c>
      <c r="F51" s="10" t="s">
        <v>41</v>
      </c>
      <c r="G51" s="7" t="s">
        <v>2597</v>
      </c>
      <c r="H51" s="7" t="s">
        <v>2547</v>
      </c>
      <c r="I51" s="7" t="s">
        <v>2536</v>
      </c>
      <c r="J51" s="7">
        <v>1.0</v>
      </c>
    </row>
    <row r="52" ht="14.25" customHeight="1">
      <c r="A52" s="7">
        <v>82.0</v>
      </c>
      <c r="B52" s="7" t="str">
        <f>VLOOKUP(G52,'Query Export'!$BE$2:$BS$102,15,false)</f>
        <v>WOS:000774061900001</v>
      </c>
      <c r="C52" s="7" t="s">
        <v>228</v>
      </c>
      <c r="D52" s="7" t="s">
        <v>229</v>
      </c>
      <c r="E52" s="7">
        <v>2022.0</v>
      </c>
      <c r="F52" s="7" t="s">
        <v>230</v>
      </c>
      <c r="G52" s="7" t="s">
        <v>2598</v>
      </c>
      <c r="H52" s="7" t="s">
        <v>2539</v>
      </c>
      <c r="I52" s="7" t="s">
        <v>2540</v>
      </c>
      <c r="J52" s="7">
        <v>1.0</v>
      </c>
    </row>
    <row r="53" ht="14.25" customHeight="1">
      <c r="A53" s="7">
        <v>81.0</v>
      </c>
      <c r="B53" s="7" t="str">
        <f>VLOOKUP(G53,'Query Export'!$BE$2:$BS$102,15,false)</f>
        <v>WOS:000791083000003</v>
      </c>
      <c r="C53" s="7" t="s">
        <v>186</v>
      </c>
      <c r="D53" s="7" t="s">
        <v>187</v>
      </c>
      <c r="E53" s="7">
        <v>2022.0</v>
      </c>
      <c r="F53" s="7" t="s">
        <v>188</v>
      </c>
      <c r="G53" s="7" t="s">
        <v>2599</v>
      </c>
      <c r="H53" s="7" t="s">
        <v>2546</v>
      </c>
      <c r="J53" s="7">
        <v>1.0</v>
      </c>
    </row>
    <row r="54" ht="14.25" customHeight="1">
      <c r="A54" s="7">
        <v>380.0</v>
      </c>
      <c r="B54" s="7" t="str">
        <f>VLOOKUP(G54,'Query Export'!$BE$2:$BS$102,15,false)</f>
        <v>WOS:000791663700001</v>
      </c>
      <c r="C54" s="7" t="s">
        <v>63</v>
      </c>
      <c r="D54" s="7" t="s">
        <v>64</v>
      </c>
      <c r="E54" s="7">
        <v>2022.0</v>
      </c>
      <c r="F54" s="7" t="s">
        <v>65</v>
      </c>
      <c r="G54" s="7" t="s">
        <v>2600</v>
      </c>
      <c r="H54" s="7" t="s">
        <v>2538</v>
      </c>
      <c r="J54" s="7">
        <v>1.0</v>
      </c>
    </row>
    <row r="55" ht="14.25" customHeight="1">
      <c r="A55" s="7">
        <v>360.0</v>
      </c>
      <c r="B55" s="7" t="str">
        <f>VLOOKUP(G55,'Query Export'!$BE$2:$BS$102,15,false)</f>
        <v>WOS:000819659600002</v>
      </c>
      <c r="C55" s="7" t="s">
        <v>141</v>
      </c>
      <c r="D55" s="7" t="s">
        <v>142</v>
      </c>
      <c r="E55" s="7">
        <v>2022.0</v>
      </c>
      <c r="F55" s="7" t="s">
        <v>143</v>
      </c>
      <c r="G55" s="7" t="s">
        <v>2601</v>
      </c>
      <c r="H55" s="7" t="s">
        <v>2535</v>
      </c>
      <c r="I55" s="7" t="s">
        <v>2536</v>
      </c>
      <c r="J55" s="7">
        <v>1.0</v>
      </c>
    </row>
    <row r="56" ht="14.25" customHeight="1">
      <c r="A56" s="7">
        <v>339.0</v>
      </c>
      <c r="B56" s="7" t="str">
        <f>VLOOKUP(G56,'Query Export'!$BE$2:$BS$102,15,false)</f>
        <v>WOS:000821583800001</v>
      </c>
      <c r="C56" s="7" t="s">
        <v>240</v>
      </c>
      <c r="D56" s="7" t="s">
        <v>241</v>
      </c>
      <c r="E56" s="7">
        <v>2022.0</v>
      </c>
      <c r="F56" s="10" t="s">
        <v>242</v>
      </c>
      <c r="G56" s="7" t="s">
        <v>2602</v>
      </c>
      <c r="H56" s="7" t="s">
        <v>2539</v>
      </c>
      <c r="I56" s="7" t="s">
        <v>2540</v>
      </c>
      <c r="J56" s="7">
        <v>1.0</v>
      </c>
    </row>
    <row r="57" ht="14.25" customHeight="1">
      <c r="A57" s="7">
        <v>264.0</v>
      </c>
      <c r="B57" s="7" t="str">
        <f>VLOOKUP(G57,'Query Export'!$BE$2:$BS$102,15,false)</f>
        <v>WOS:000828889500001</v>
      </c>
      <c r="C57" s="7" t="s">
        <v>177</v>
      </c>
      <c r="D57" s="7" t="s">
        <v>178</v>
      </c>
      <c r="E57" s="7">
        <v>2022.0</v>
      </c>
      <c r="F57" s="10" t="s">
        <v>179</v>
      </c>
      <c r="G57" s="7" t="s">
        <v>708</v>
      </c>
      <c r="H57" s="7" t="s">
        <v>2543</v>
      </c>
      <c r="J57" s="7">
        <v>1.0</v>
      </c>
    </row>
    <row r="58" ht="14.25" customHeight="1">
      <c r="A58" s="7">
        <v>86.0</v>
      </c>
      <c r="B58" s="7" t="str">
        <f>VLOOKUP(G58,'Query Export'!$BE$2:$BS$102,15,false)</f>
        <v>WOS:000834425400001</v>
      </c>
      <c r="C58" s="7" t="s">
        <v>288</v>
      </c>
      <c r="D58" s="7" t="s">
        <v>289</v>
      </c>
      <c r="E58" s="7">
        <v>2022.0</v>
      </c>
      <c r="F58" s="7" t="s">
        <v>290</v>
      </c>
      <c r="G58" s="7" t="s">
        <v>2603</v>
      </c>
      <c r="H58" s="7" t="s">
        <v>2535</v>
      </c>
      <c r="I58" s="7" t="s">
        <v>2536</v>
      </c>
      <c r="J58" s="7">
        <v>1.0</v>
      </c>
    </row>
    <row r="59" ht="14.25" customHeight="1">
      <c r="A59" s="7">
        <v>40.0</v>
      </c>
      <c r="B59" s="7" t="str">
        <f>VLOOKUP(G59,'Query Export'!$BE$2:$BS$102,15,false)</f>
        <v>WOS:000851347000001</v>
      </c>
      <c r="C59" s="7" t="s">
        <v>72</v>
      </c>
      <c r="D59" s="7" t="s">
        <v>73</v>
      </c>
      <c r="E59" s="7">
        <v>2022.0</v>
      </c>
      <c r="F59" s="10" t="s">
        <v>74</v>
      </c>
      <c r="G59" s="7" t="s">
        <v>2604</v>
      </c>
      <c r="H59" s="7" t="s">
        <v>2535</v>
      </c>
      <c r="I59" s="7" t="s">
        <v>2536</v>
      </c>
      <c r="J59" s="7">
        <v>1.0</v>
      </c>
    </row>
    <row r="60" ht="14.25" customHeight="1">
      <c r="A60" s="7">
        <v>34.0</v>
      </c>
      <c r="B60" s="7" t="str">
        <f>VLOOKUP(G60,'Query Export'!$BE$2:$BS$102,15,false)</f>
        <v>WOS:000905345300001</v>
      </c>
      <c r="C60" s="7" t="s">
        <v>273</v>
      </c>
      <c r="D60" s="7" t="s">
        <v>274</v>
      </c>
      <c r="E60" s="7">
        <v>2022.0</v>
      </c>
      <c r="F60" s="7" t="s">
        <v>275</v>
      </c>
      <c r="G60" s="7" t="s">
        <v>2605</v>
      </c>
      <c r="H60" s="7" t="s">
        <v>2541</v>
      </c>
      <c r="I60" s="7" t="s">
        <v>2542</v>
      </c>
      <c r="J60" s="7">
        <v>1.0</v>
      </c>
    </row>
    <row r="61" ht="14.25" customHeight="1">
      <c r="A61" s="7">
        <v>351.0</v>
      </c>
      <c r="B61" s="7" t="str">
        <f>VLOOKUP(G61,'Query Export'!$BE$2:$BS$102,15,false)</f>
        <v>WOS:000907994500001</v>
      </c>
      <c r="C61" s="7" t="s">
        <v>156</v>
      </c>
      <c r="D61" s="7" t="s">
        <v>157</v>
      </c>
      <c r="E61" s="7">
        <v>2023.0</v>
      </c>
      <c r="F61" s="7" t="s">
        <v>158</v>
      </c>
      <c r="G61" s="7" t="s">
        <v>2606</v>
      </c>
      <c r="H61" s="7" t="s">
        <v>2539</v>
      </c>
      <c r="I61" s="7" t="s">
        <v>2540</v>
      </c>
      <c r="J61" s="7">
        <v>1.0</v>
      </c>
    </row>
    <row r="62" ht="14.25" customHeight="1">
      <c r="A62" s="7">
        <v>16.0</v>
      </c>
      <c r="B62" s="7" t="str">
        <f>VLOOKUP(G62,'Query Export'!$BE$2:$BS$102,15,false)</f>
        <v>WOS:000913869100001</v>
      </c>
      <c r="C62" s="7" t="s">
        <v>237</v>
      </c>
      <c r="D62" s="7" t="s">
        <v>238</v>
      </c>
      <c r="E62" s="7">
        <v>2022.0</v>
      </c>
      <c r="F62" s="9" t="s">
        <v>239</v>
      </c>
      <c r="G62" s="7" t="s">
        <v>2607</v>
      </c>
      <c r="H62" s="7" t="s">
        <v>2537</v>
      </c>
      <c r="I62" s="7" t="s">
        <v>2536</v>
      </c>
      <c r="J62" s="7">
        <v>1.0</v>
      </c>
    </row>
    <row r="63" ht="14.25" customHeight="1">
      <c r="A63" s="7">
        <v>128.0</v>
      </c>
      <c r="B63" s="7" t="str">
        <f>VLOOKUP(G63,'Query Export'!$BE$2:$BS$102,15,false)</f>
        <v>WOS:000948482300001</v>
      </c>
      <c r="C63" s="7" t="s">
        <v>36</v>
      </c>
      <c r="D63" s="7" t="s">
        <v>37</v>
      </c>
      <c r="E63" s="7">
        <v>2023.0</v>
      </c>
      <c r="F63" s="10" t="s">
        <v>38</v>
      </c>
      <c r="G63" s="7" t="s">
        <v>2608</v>
      </c>
      <c r="H63" s="7" t="s">
        <v>2550</v>
      </c>
      <c r="J63" s="7">
        <v>1.0</v>
      </c>
    </row>
    <row r="64" ht="14.25" customHeight="1">
      <c r="A64" s="7">
        <v>98.0</v>
      </c>
      <c r="B64" s="7" t="str">
        <f>VLOOKUP(G64,'Query Export'!$BE$2:$BS$102,15,false)</f>
        <v>WOS:000999538100001</v>
      </c>
      <c r="C64" s="7" t="s">
        <v>81</v>
      </c>
      <c r="D64" s="7" t="s">
        <v>82</v>
      </c>
      <c r="E64" s="7">
        <v>2023.0</v>
      </c>
      <c r="F64" s="7" t="s">
        <v>83</v>
      </c>
      <c r="G64" s="7" t="s">
        <v>2609</v>
      </c>
      <c r="H64" s="7" t="s">
        <v>2547</v>
      </c>
      <c r="I64" s="7" t="s">
        <v>2536</v>
      </c>
      <c r="J64" s="7">
        <v>1.0</v>
      </c>
    </row>
    <row r="65" ht="14.25" customHeight="1">
      <c r="A65" s="7">
        <v>55.0</v>
      </c>
      <c r="B65" s="7" t="str">
        <f>VLOOKUP(G65,'Query Export'!$BE$2:$BS$102,15,false)</f>
        <v>WOS:001000632800001</v>
      </c>
      <c r="C65" s="7" t="s">
        <v>276</v>
      </c>
      <c r="D65" s="7" t="s">
        <v>277</v>
      </c>
      <c r="E65" s="7">
        <v>2023.0</v>
      </c>
      <c r="F65" s="10" t="s">
        <v>2610</v>
      </c>
      <c r="G65" s="7" t="s">
        <v>2611</v>
      </c>
      <c r="H65" s="7" t="s">
        <v>2544</v>
      </c>
      <c r="I65" s="7" t="s">
        <v>2536</v>
      </c>
      <c r="J65" s="7">
        <v>1.0</v>
      </c>
    </row>
    <row r="66" ht="14.25" customHeight="1">
      <c r="A66" s="7">
        <v>92.0</v>
      </c>
      <c r="B66" s="7" t="str">
        <f>VLOOKUP(G66,'Query Export'!$BE$2:$BS$102,15,false)</f>
        <v>WOS:001003692300001</v>
      </c>
      <c r="C66" s="7" t="s">
        <v>69</v>
      </c>
      <c r="D66" s="7" t="s">
        <v>70</v>
      </c>
      <c r="E66" s="7">
        <v>2023.0</v>
      </c>
      <c r="F66" s="7" t="s">
        <v>71</v>
      </c>
      <c r="G66" s="7" t="s">
        <v>2612</v>
      </c>
      <c r="H66" s="7" t="s">
        <v>2543</v>
      </c>
      <c r="J66" s="7">
        <v>1.0</v>
      </c>
    </row>
    <row r="67" ht="14.25" customHeight="1">
      <c r="A67" s="7">
        <v>9.0</v>
      </c>
      <c r="B67" s="7" t="s">
        <v>2613</v>
      </c>
      <c r="C67" s="7" t="s">
        <v>75</v>
      </c>
      <c r="D67" s="7" t="s">
        <v>76</v>
      </c>
      <c r="E67" s="7">
        <v>2019.0</v>
      </c>
      <c r="F67" s="7" t="s">
        <v>77</v>
      </c>
      <c r="G67" s="7" t="s">
        <v>2614</v>
      </c>
      <c r="H67" s="7" t="s">
        <v>2537</v>
      </c>
      <c r="I67" s="7" t="s">
        <v>2536</v>
      </c>
      <c r="J67" s="7">
        <v>1.0</v>
      </c>
    </row>
    <row r="68" ht="14.25" customHeight="1">
      <c r="A68" s="7">
        <v>209.0</v>
      </c>
      <c r="B68" s="7" t="s">
        <v>2615</v>
      </c>
      <c r="C68" s="7" t="s">
        <v>147</v>
      </c>
      <c r="D68" s="7" t="s">
        <v>148</v>
      </c>
      <c r="E68" s="7">
        <v>2022.0</v>
      </c>
      <c r="F68" s="7" t="s">
        <v>149</v>
      </c>
      <c r="G68" s="7" t="s">
        <v>2616</v>
      </c>
      <c r="H68" s="7" t="s">
        <v>2535</v>
      </c>
      <c r="I68" s="7" t="s">
        <v>2536</v>
      </c>
      <c r="J68" s="7">
        <v>1.0</v>
      </c>
    </row>
    <row r="69" ht="14.25" customHeight="1">
      <c r="A69" s="7">
        <v>280.0</v>
      </c>
      <c r="B69" s="7" t="s">
        <v>2617</v>
      </c>
      <c r="C69" s="7" t="s">
        <v>150</v>
      </c>
      <c r="D69" s="7" t="s">
        <v>151</v>
      </c>
      <c r="E69" s="7">
        <v>2022.0</v>
      </c>
      <c r="F69" s="7" t="s">
        <v>152</v>
      </c>
      <c r="G69" s="7" t="s">
        <v>2618</v>
      </c>
      <c r="H69" s="7" t="s">
        <v>2535</v>
      </c>
      <c r="I69" s="7" t="s">
        <v>2536</v>
      </c>
      <c r="J69" s="7">
        <v>1.0</v>
      </c>
    </row>
    <row r="70" ht="14.25" customHeight="1">
      <c r="A70" s="7">
        <v>354.0</v>
      </c>
      <c r="B70" s="7" t="s">
        <v>2619</v>
      </c>
      <c r="C70" s="7" t="s">
        <v>153</v>
      </c>
      <c r="D70" s="7" t="s">
        <v>154</v>
      </c>
      <c r="E70" s="7">
        <v>2021.0</v>
      </c>
      <c r="F70" s="7" t="s">
        <v>155</v>
      </c>
      <c r="G70" s="7" t="s">
        <v>2620</v>
      </c>
      <c r="H70" s="7" t="s">
        <v>2539</v>
      </c>
      <c r="I70" s="7" t="s">
        <v>2540</v>
      </c>
      <c r="J70" s="7">
        <v>1.0</v>
      </c>
    </row>
    <row r="71" ht="14.25" customHeight="1">
      <c r="A71" s="7">
        <v>258.0</v>
      </c>
      <c r="B71" s="7" t="s">
        <v>2621</v>
      </c>
      <c r="C71" s="7" t="s">
        <v>168</v>
      </c>
      <c r="D71" s="7" t="s">
        <v>169</v>
      </c>
      <c r="E71" s="7">
        <v>2021.0</v>
      </c>
      <c r="F71" s="7" t="s">
        <v>170</v>
      </c>
      <c r="G71" s="7" t="s">
        <v>2622</v>
      </c>
      <c r="H71" s="7" t="s">
        <v>2551</v>
      </c>
      <c r="J71" s="7">
        <v>1.0</v>
      </c>
    </row>
    <row r="72" ht="14.25" customHeight="1">
      <c r="A72" s="7">
        <v>148.0</v>
      </c>
      <c r="B72" s="7" t="s">
        <v>2623</v>
      </c>
      <c r="C72" s="7" t="s">
        <v>246</v>
      </c>
      <c r="D72" s="7" t="s">
        <v>247</v>
      </c>
      <c r="E72" s="7">
        <v>2007.0</v>
      </c>
      <c r="F72" s="10" t="s">
        <v>248</v>
      </c>
      <c r="G72" s="7" t="s">
        <v>2624</v>
      </c>
      <c r="H72" s="7" t="s">
        <v>2535</v>
      </c>
      <c r="I72" s="7" t="s">
        <v>2536</v>
      </c>
      <c r="J72" s="7">
        <v>1.0</v>
      </c>
    </row>
    <row r="73" ht="14.25" customHeight="1">
      <c r="A73" s="7">
        <v>292.0</v>
      </c>
      <c r="C73" s="7" t="s">
        <v>312</v>
      </c>
      <c r="D73" s="7" t="s">
        <v>313</v>
      </c>
      <c r="E73" s="7">
        <v>2019.0</v>
      </c>
      <c r="F73" s="12" t="s">
        <v>314</v>
      </c>
      <c r="G73" s="7" t="s">
        <v>2625</v>
      </c>
      <c r="H73" s="7" t="s">
        <v>2547</v>
      </c>
      <c r="I73" s="7" t="s">
        <v>2536</v>
      </c>
      <c r="J73" s="7">
        <v>1.0</v>
      </c>
      <c r="K73" s="8" t="s">
        <v>2626</v>
      </c>
    </row>
    <row r="74" ht="14.25" customHeight="1">
      <c r="A74" s="7">
        <v>223.0</v>
      </c>
      <c r="C74" s="7" t="s">
        <v>318</v>
      </c>
      <c r="D74" s="7" t="s">
        <v>319</v>
      </c>
      <c r="E74" s="7">
        <v>2016.0</v>
      </c>
      <c r="K74" s="8" t="s">
        <v>2626</v>
      </c>
    </row>
    <row r="75" ht="14.25" customHeight="1">
      <c r="A75" s="7">
        <v>175.0</v>
      </c>
      <c r="B75" s="7" t="s">
        <v>2627</v>
      </c>
      <c r="C75" s="7" t="s">
        <v>320</v>
      </c>
      <c r="D75" s="7" t="s">
        <v>321</v>
      </c>
      <c r="E75" s="7">
        <v>2017.0</v>
      </c>
      <c r="F75" s="12" t="s">
        <v>322</v>
      </c>
      <c r="G75" s="7" t="s">
        <v>2628</v>
      </c>
      <c r="H75" s="7" t="str">
        <f>VLOOKUP($A75,'Curated - Data extraction outco'!$A$2:$D$107,3,falsE)</f>
        <v>["Biological resource use"]</v>
      </c>
      <c r="I75" s="7" t="str">
        <f>VLOOKUP($A75,'Curated - Data extraction outco'!$A$2:$D$107,4,falsE)</f>
        <v>["Logging &amp; wood harvesting"]</v>
      </c>
      <c r="J75" s="7">
        <f>VLOOKUP($A75,'Curated - Data extraction outco'!$A$2:$D$107,2,falsE)</f>
        <v>1</v>
      </c>
    </row>
    <row r="76" ht="14.25" customHeight="1">
      <c r="A76" s="7">
        <v>125.0</v>
      </c>
      <c r="B76" s="7" t="s">
        <v>2629</v>
      </c>
      <c r="C76" s="7" t="s">
        <v>323</v>
      </c>
      <c r="D76" s="7" t="s">
        <v>324</v>
      </c>
      <c r="E76" s="7">
        <v>2020.0</v>
      </c>
      <c r="F76" s="12" t="s">
        <v>325</v>
      </c>
      <c r="G76" s="7" t="s">
        <v>2630</v>
      </c>
      <c r="H76" s="7" t="str">
        <f>VLOOKUP(A76,'Curated - Data extraction outco'!$A$2:$D$107,3,falsE)</f>
        <v>["Pollution", "Invasive &amp; other problematic species, genes &amp; diseases"]</v>
      </c>
      <c r="I76" s="7" t="str">
        <f>VLOOKUP($A76,'Curated - Data extraction outco'!$A$2:$D$107,4,falsE)</f>
        <v/>
      </c>
      <c r="J76" s="7">
        <f>VLOOKUP($A76,'Curated - Data extraction outco'!$A$2:$D$107,2,falsE)</f>
        <v>1</v>
      </c>
    </row>
    <row r="77" ht="14.25" customHeight="1">
      <c r="F77" s="8"/>
    </row>
    <row r="78" ht="14.25" customHeight="1">
      <c r="F78" s="20"/>
    </row>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sheetData>
  <autoFilter ref="$A$1:$J$78">
    <sortState ref="A1:J78">
      <sortCondition ref="B1:B78"/>
    </sortState>
  </autoFilter>
  <hyperlinks>
    <hyperlink r:id="rId4" ref="F2"/>
    <hyperlink r:id="rId5" ref="F3"/>
    <hyperlink r:id="rId6" ref="F4"/>
    <hyperlink r:id="rId7" ref="F5"/>
    <hyperlink r:id="rId8" ref="F6"/>
    <hyperlink r:id="rId9" ref="F7"/>
    <hyperlink r:id="rId10" ref="F8"/>
    <hyperlink r:id="rId11" ref="F9"/>
    <hyperlink r:id="rId12" ref="F10"/>
    <hyperlink r:id="rId13" ref="F12"/>
    <hyperlink r:id="rId14" ref="F13"/>
    <hyperlink r:id="rId15" ref="F14"/>
    <hyperlink r:id="rId16" ref="F15"/>
    <hyperlink r:id="rId17" ref="F16"/>
    <hyperlink r:id="rId18" ref="F18"/>
    <hyperlink r:id="rId19" ref="F20"/>
    <hyperlink r:id="rId20" ref="F21"/>
    <hyperlink r:id="rId21" ref="F22"/>
    <hyperlink r:id="rId22" ref="F24"/>
    <hyperlink r:id="rId23" ref="F25"/>
    <hyperlink r:id="rId24" ref="F26"/>
    <hyperlink r:id="rId25" ref="F34"/>
    <hyperlink r:id="rId26" ref="F37"/>
    <hyperlink r:id="rId27" ref="F38"/>
    <hyperlink r:id="rId28" ref="F41"/>
    <hyperlink r:id="rId29" ref="F45"/>
    <hyperlink r:id="rId30" ref="F46"/>
    <hyperlink r:id="rId31" ref="F47"/>
    <hyperlink r:id="rId32" ref="F51"/>
    <hyperlink r:id="rId33" ref="F56"/>
    <hyperlink r:id="rId34" ref="F57"/>
    <hyperlink r:id="rId35" ref="F59"/>
    <hyperlink r:id="rId36" ref="F62"/>
    <hyperlink r:id="rId37" ref="F63"/>
    <hyperlink r:id="rId38" ref="F65"/>
    <hyperlink r:id="rId39" ref="F72"/>
    <hyperlink r:id="rId40" ref="F73"/>
    <hyperlink r:id="rId41" ref="F75"/>
    <hyperlink r:id="rId42" ref="F76"/>
  </hyperlinks>
  <printOptions/>
  <pageMargins bottom="0.75" footer="0.0" header="0.0" left="0.7" right="0.7" top="0.75"/>
  <pageSetup orientation="landscape"/>
  <drawing r:id="rId43"/>
  <legacy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2" width="8.0"/>
    <col customWidth="1" min="3" max="3" width="23.0"/>
    <col customWidth="1" min="4" max="4" width="18.88"/>
    <col customWidth="1" min="5" max="5" width="22.88"/>
    <col customWidth="1" min="6" max="6" width="44.88"/>
    <col customWidth="1" min="7" max="7" width="46.88"/>
  </cols>
  <sheetData>
    <row r="1" ht="12.75" customHeight="1">
      <c r="A1" s="7" t="s">
        <v>2631</v>
      </c>
      <c r="B1" s="7" t="s">
        <v>2632</v>
      </c>
      <c r="C1" s="7" t="s">
        <v>335</v>
      </c>
      <c r="D1" s="8" t="s">
        <v>2633</v>
      </c>
      <c r="E1" s="7" t="s">
        <v>2634</v>
      </c>
      <c r="F1" s="21" t="s">
        <v>2533</v>
      </c>
      <c r="G1" s="21" t="s">
        <v>2534</v>
      </c>
    </row>
    <row r="2" ht="12.75" customHeight="1">
      <c r="A2" s="7" t="s">
        <v>2635</v>
      </c>
      <c r="B2" s="7" t="s">
        <v>2636</v>
      </c>
      <c r="C2" s="7" t="s">
        <v>2587</v>
      </c>
      <c r="D2" s="8" t="s">
        <v>2637</v>
      </c>
      <c r="E2" s="7" t="s">
        <v>2638</v>
      </c>
      <c r="F2" s="7" t="str">
        <f>VLOOKUP($E2,'Curated - Data'!$B$2:$I$76, 7,false)</f>
        <v>["Agriculture &amp; aquaculture", "Biological resource use", "Natural system modifications", "Residential &amp; commercial development"]</v>
      </c>
      <c r="G2" s="7" t="str">
        <f>VLOOKUP($E2,'Curated - Data'!$B$2:$I$76, 8,false)</f>
        <v>["Logging &amp; wood harvesting", "Fire &amp; fire suppression"]</v>
      </c>
    </row>
    <row r="3" ht="12.75" customHeight="1">
      <c r="A3" s="7" t="s">
        <v>276</v>
      </c>
      <c r="B3" s="7" t="s">
        <v>2639</v>
      </c>
      <c r="C3" s="7" t="s">
        <v>2611</v>
      </c>
      <c r="D3" s="8" t="s">
        <v>2637</v>
      </c>
      <c r="E3" s="7" t="s">
        <v>2640</v>
      </c>
      <c r="F3" s="7" t="str">
        <f>VLOOKUP($E3,'Curated - Data'!$B$2:$I$76, 7,false)</f>
        <v>["Agriculture &amp; aquaculture", "Biological resource use"]</v>
      </c>
      <c r="G3" s="7" t="str">
        <f>VLOOKUP($E3,'Curated - Data'!$B$2:$I$76, 8,false)</f>
        <v>["Logging &amp; wood harvesting"]</v>
      </c>
    </row>
    <row r="4" ht="12.75" customHeight="1">
      <c r="A4" s="7" t="s">
        <v>267</v>
      </c>
      <c r="B4" s="7" t="s">
        <v>2641</v>
      </c>
      <c r="C4" s="7" t="s">
        <v>2596</v>
      </c>
      <c r="D4" s="8" t="s">
        <v>2637</v>
      </c>
      <c r="E4" s="7" t="s">
        <v>2642</v>
      </c>
      <c r="F4" s="7" t="str">
        <f>VLOOKUP($E4,'Curated - Data'!$B$2:$I$76, 7,false)</f>
        <v>["Agriculture &amp; aquaculture", "Biological resource use"]</v>
      </c>
      <c r="G4" s="7" t="str">
        <f>VLOOKUP($E4,'Curated - Data'!$B$2:$I$76, 8,false)</f>
        <v>["Logging &amp; wood harvesting"]</v>
      </c>
    </row>
    <row r="5" ht="12.75" customHeight="1">
      <c r="A5" s="7" t="s">
        <v>114</v>
      </c>
      <c r="B5" s="7" t="s">
        <v>2643</v>
      </c>
      <c r="C5" s="7" t="s">
        <v>2588</v>
      </c>
      <c r="D5" s="8" t="s">
        <v>2637</v>
      </c>
      <c r="E5" s="7" t="s">
        <v>2644</v>
      </c>
      <c r="F5" s="7" t="str">
        <f>VLOOKUP($E5,'Curated - Data'!$B$2:$I$76, 7,false)</f>
        <v>["Agriculture &amp; aquaculture", "Biological resource use"]</v>
      </c>
      <c r="G5" s="7" t="str">
        <f>VLOOKUP($E5,'Curated - Data'!$B$2:$I$76, 8,false)</f>
        <v>["Logging &amp; wood harvesting"]</v>
      </c>
    </row>
    <row r="6" ht="12.75" customHeight="1">
      <c r="A6" s="7" t="s">
        <v>2645</v>
      </c>
      <c r="B6" s="7" t="s">
        <v>2646</v>
      </c>
      <c r="C6" s="7" t="s">
        <v>2585</v>
      </c>
      <c r="D6" s="8" t="s">
        <v>2637</v>
      </c>
      <c r="E6" s="7" t="s">
        <v>2647</v>
      </c>
      <c r="F6" s="7" t="str">
        <f>VLOOKUP($E6,'Curated - Data'!$B$2:$I$76, 7,false)</f>
        <v>["Agriculture &amp; aquaculture", "Biological resource use"]</v>
      </c>
      <c r="G6" s="7" t="str">
        <f>VLOOKUP($E6,'Curated - Data'!$B$2:$I$76, 8,false)</f>
        <v>["Logging &amp; wood harvesting"]</v>
      </c>
    </row>
    <row r="7" ht="12.75" customHeight="1">
      <c r="A7" s="7" t="s">
        <v>87</v>
      </c>
      <c r="B7" s="7" t="s">
        <v>2648</v>
      </c>
      <c r="C7" s="7" t="s">
        <v>836</v>
      </c>
      <c r="D7" s="8" t="s">
        <v>2637</v>
      </c>
      <c r="E7" s="7" t="s">
        <v>2649</v>
      </c>
      <c r="F7" s="7" t="str">
        <f>VLOOKUP($E7,'Curated - Data'!$B$2:$I$76, 7,false)</f>
        <v>["Agriculture &amp; aquaculture", "Biological resource use"]</v>
      </c>
      <c r="G7" s="7" t="str">
        <f>VLOOKUP($E7,'Curated - Data'!$B$2:$I$76, 8,false)</f>
        <v>["Logging &amp; wood harvesting"]</v>
      </c>
    </row>
    <row r="8" ht="12.75" customHeight="1">
      <c r="A8" s="7" t="s">
        <v>36</v>
      </c>
      <c r="B8" s="7" t="s">
        <v>2650</v>
      </c>
      <c r="C8" s="7" t="s">
        <v>2608</v>
      </c>
      <c r="D8" s="8" t="s">
        <v>2637</v>
      </c>
      <c r="E8" s="7" t="s">
        <v>2651</v>
      </c>
      <c r="F8" s="7" t="str">
        <f>VLOOKUP($E8,'Curated - Data'!$B$2:$I$76, 7,false)</f>
        <v>["Agriculture &amp; aquaculture", "Energy production &amp; mining", "Transportation &amp; service corridors"]</v>
      </c>
      <c r="G8" s="7" t="str">
        <f>VLOOKUP($E8,'Curated - Data'!$B$2:$I$76, 8,false)</f>
        <v/>
      </c>
    </row>
    <row r="9" ht="12.75" customHeight="1">
      <c r="A9" s="7" t="s">
        <v>171</v>
      </c>
      <c r="B9" s="7" t="s">
        <v>2652</v>
      </c>
      <c r="C9" s="7" t="s">
        <v>2577</v>
      </c>
      <c r="D9" s="8" t="s">
        <v>2637</v>
      </c>
      <c r="E9" s="7" t="s">
        <v>2653</v>
      </c>
      <c r="F9" s="7" t="str">
        <f>VLOOKUP($E9,'Curated - Data'!$B$2:$I$76, 7,false)</f>
        <v>["Agriculture &amp; aquaculture", "Transportation &amp; service corridors"]</v>
      </c>
      <c r="G9" s="7" t="str">
        <f>VLOOKUP($E9,'Curated - Data'!$B$2:$I$76, 8,false)</f>
        <v/>
      </c>
    </row>
    <row r="10" ht="12.75" customHeight="1">
      <c r="A10" s="7" t="s">
        <v>2654</v>
      </c>
      <c r="B10" s="7" t="s">
        <v>2655</v>
      </c>
      <c r="C10" s="7" t="s">
        <v>2599</v>
      </c>
      <c r="D10" s="8" t="s">
        <v>2637</v>
      </c>
      <c r="E10" s="7" t="s">
        <v>2656</v>
      </c>
      <c r="F10" s="7" t="str">
        <f>VLOOKUP($E10,'Curated - Data'!$B$2:$I$76, 7,false)</f>
        <v>["Agriculture &amp; aquaculture"]</v>
      </c>
      <c r="G10" s="7" t="str">
        <f>VLOOKUP($E10,'Curated - Data'!$B$2:$I$76, 8,false)</f>
        <v/>
      </c>
    </row>
    <row r="11" ht="12.75" customHeight="1">
      <c r="A11" s="7" t="s">
        <v>2657</v>
      </c>
      <c r="B11" s="7" t="s">
        <v>2658</v>
      </c>
      <c r="C11" s="7" t="s">
        <v>2574</v>
      </c>
      <c r="D11" s="8" t="s">
        <v>2637</v>
      </c>
      <c r="E11" s="7" t="s">
        <v>2659</v>
      </c>
      <c r="F11" s="7" t="str">
        <f>VLOOKUP($E11,'Curated - Data'!$B$2:$I$76, 7,false)</f>
        <v>["Agriculture &amp; aquaculture"]</v>
      </c>
      <c r="G11" s="7" t="str">
        <f>VLOOKUP($E11,'Curated - Data'!$B$2:$I$76, 8,false)</f>
        <v/>
      </c>
    </row>
    <row r="12" ht="12.75" customHeight="1">
      <c r="A12" s="7" t="s">
        <v>2660</v>
      </c>
      <c r="B12" s="7" t="s">
        <v>2661</v>
      </c>
      <c r="C12" s="7" t="s">
        <v>755</v>
      </c>
      <c r="D12" s="8" t="s">
        <v>2637</v>
      </c>
      <c r="E12" s="7" t="s">
        <v>2662</v>
      </c>
      <c r="F12" s="7" t="str">
        <f>VLOOKUP($E12,'Curated - Data'!$B$2:$I$76, 7,false)</f>
        <v>["Agriculture &amp; aquaculture"]</v>
      </c>
      <c r="G12" s="7" t="str">
        <f>VLOOKUP($E12,'Curated - Data'!$B$2:$I$76, 8,false)</f>
        <v/>
      </c>
    </row>
    <row r="13" ht="12.75" customHeight="1">
      <c r="A13" s="7" t="s">
        <v>2663</v>
      </c>
      <c r="B13" s="7" t="s">
        <v>2664</v>
      </c>
      <c r="C13" s="7" t="s">
        <v>2573</v>
      </c>
      <c r="D13" s="8" t="s">
        <v>2637</v>
      </c>
      <c r="E13" s="7" t="s">
        <v>2665</v>
      </c>
      <c r="F13" s="7" t="str">
        <f>VLOOKUP($E13,'Curated - Data'!$B$2:$I$76, 7,false)</f>
        <v>["Biological resource use", "Human intrusions &amp; disturbance"]</v>
      </c>
      <c r="G13" s="7" t="str">
        <f>VLOOKUP($E13,'Curated - Data'!$B$2:$I$76, 8,false)</f>
        <v>["Hunting &amp; collecting terrestrial animals", "Recreational activities"]</v>
      </c>
    </row>
    <row r="14" ht="12.75" customHeight="1">
      <c r="A14" s="7" t="s">
        <v>273</v>
      </c>
      <c r="B14" s="7" t="s">
        <v>2666</v>
      </c>
      <c r="C14" s="7" t="s">
        <v>2605</v>
      </c>
      <c r="D14" s="8" t="s">
        <v>2637</v>
      </c>
      <c r="E14" s="7" t="s">
        <v>2667</v>
      </c>
      <c r="F14" s="7" t="str">
        <f>VLOOKUP($E14,'Curated - Data'!$B$2:$I$76, 7,false)</f>
        <v>["Biological resource use", "Pollution", "Natural system modifications"]</v>
      </c>
      <c r="G14" s="7" t="str">
        <f>VLOOKUP($E14,'Curated - Data'!$B$2:$I$76, 8,false)</f>
        <v>["Hunting &amp; collecting terrestrial animals", "Logging &amp; wood harvesting", "Fire &amp; fire suppression"]</v>
      </c>
    </row>
    <row r="15" ht="12.75" customHeight="1">
      <c r="A15" s="7" t="s">
        <v>237</v>
      </c>
      <c r="B15" s="7" t="s">
        <v>2668</v>
      </c>
      <c r="C15" s="7" t="s">
        <v>2607</v>
      </c>
      <c r="D15" s="8" t="s">
        <v>2637</v>
      </c>
      <c r="E15" s="7" t="s">
        <v>2669</v>
      </c>
      <c r="F15" s="7" t="str">
        <f>VLOOKUP($E15,'Curated - Data'!$B$2:$I$76, 7,false)</f>
        <v>["Biological resource use", "Residential &amp; Commercial Development"]</v>
      </c>
      <c r="G15" s="7" t="str">
        <f>VLOOKUP($E15,'Curated - Data'!$B$2:$I$76, 8,false)</f>
        <v>["Logging &amp; wood harvesting"]</v>
      </c>
    </row>
    <row r="16" ht="12.75" customHeight="1">
      <c r="A16" s="7" t="s">
        <v>2670</v>
      </c>
      <c r="B16" s="7" t="s">
        <v>2671</v>
      </c>
      <c r="C16" s="7" t="s">
        <v>2672</v>
      </c>
      <c r="D16" s="8" t="s">
        <v>2637</v>
      </c>
      <c r="E16" s="7" t="s">
        <v>2613</v>
      </c>
      <c r="F16" s="7" t="str">
        <f>VLOOKUP($E16,'Curated - Data'!$B$2:$I$76, 7,false)</f>
        <v>["Biological resource use", "Residential &amp; Commercial Development"]</v>
      </c>
      <c r="G16" s="7" t="str">
        <f>VLOOKUP($E16,'Curated - Data'!$B$2:$I$76, 8,false)</f>
        <v>["Logging &amp; wood harvesting"]</v>
      </c>
    </row>
    <row r="17" ht="12.75" customHeight="1">
      <c r="A17" s="7" t="s">
        <v>1367</v>
      </c>
      <c r="B17" s="7" t="s">
        <v>2673</v>
      </c>
      <c r="C17" s="7" t="s">
        <v>2562</v>
      </c>
      <c r="D17" s="8" t="s">
        <v>2637</v>
      </c>
      <c r="E17" s="7" t="s">
        <v>2674</v>
      </c>
      <c r="F17" s="7" t="str">
        <f>VLOOKUP($E17,'Curated - Data'!$B$2:$I$76, 7,false)</f>
        <v>["Biological resource use", "Residential &amp; Commercial Development"]</v>
      </c>
      <c r="G17" s="7" t="str">
        <f>VLOOKUP($E17,'Curated - Data'!$B$2:$I$76, 8,false)</f>
        <v>["Logging &amp; wood harvesting"]</v>
      </c>
    </row>
    <row r="18" ht="12.75" customHeight="1">
      <c r="A18" s="7" t="s">
        <v>60</v>
      </c>
      <c r="B18" s="7" t="s">
        <v>2675</v>
      </c>
      <c r="C18" s="7" t="s">
        <v>2558</v>
      </c>
      <c r="D18" s="8" t="s">
        <v>2637</v>
      </c>
      <c r="E18" s="7" t="s">
        <v>2676</v>
      </c>
      <c r="F18" s="7" t="str">
        <f>VLOOKUP($E18,'Curated - Data'!$B$2:$I$76, 7,false)</f>
        <v>["Biological resource use", "Residential &amp; Commercial Development"]</v>
      </c>
      <c r="G18" s="7" t="str">
        <f>VLOOKUP($E18,'Curated - Data'!$B$2:$I$76, 8,false)</f>
        <v>["Logging &amp; wood harvesting"]</v>
      </c>
    </row>
    <row r="19" ht="12.75" customHeight="1">
      <c r="A19" s="7" t="s">
        <v>309</v>
      </c>
      <c r="B19" s="7" t="s">
        <v>2677</v>
      </c>
      <c r="C19" s="7" t="s">
        <v>2567</v>
      </c>
      <c r="D19" s="8" t="s">
        <v>2637</v>
      </c>
      <c r="E19" s="7" t="s">
        <v>2678</v>
      </c>
      <c r="F19" s="7" t="str">
        <f>VLOOKUP($E19,'Curated - Data'!$B$2:$I$76, 7,false)</f>
        <v>["Biological resource use"]</v>
      </c>
      <c r="G19" s="7" t="str">
        <f>VLOOKUP($E19,'Curated - Data'!$B$2:$I$76, 8,false)</f>
        <v>["Logging &amp; wood harvesting"]</v>
      </c>
    </row>
    <row r="20" ht="12.75" customHeight="1">
      <c r="A20" s="7" t="s">
        <v>72</v>
      </c>
      <c r="B20" s="7" t="s">
        <v>2679</v>
      </c>
      <c r="C20" s="7" t="s">
        <v>2604</v>
      </c>
      <c r="D20" s="8" t="s">
        <v>2637</v>
      </c>
      <c r="E20" s="7" t="s">
        <v>2680</v>
      </c>
      <c r="F20" s="7" t="str">
        <f>VLOOKUP($E20,'Curated - Data'!$B$2:$I$76, 7,false)</f>
        <v>["Biological resource use"]</v>
      </c>
      <c r="G20" s="7" t="str">
        <f>VLOOKUP($E20,'Curated - Data'!$B$2:$I$76, 8,false)</f>
        <v>["Logging &amp; wood harvesting"]</v>
      </c>
    </row>
    <row r="21" ht="12.75" customHeight="1">
      <c r="A21" s="7" t="s">
        <v>288</v>
      </c>
      <c r="B21" s="7" t="s">
        <v>2681</v>
      </c>
      <c r="C21" s="7" t="s">
        <v>2603</v>
      </c>
      <c r="D21" s="8" t="s">
        <v>2637</v>
      </c>
      <c r="E21" s="7" t="s">
        <v>2682</v>
      </c>
      <c r="F21" s="7" t="str">
        <f>VLOOKUP($E21,'Curated - Data'!$B$2:$I$76, 7,false)</f>
        <v>["Biological resource use"]</v>
      </c>
      <c r="G21" s="7" t="str">
        <f>VLOOKUP($E21,'Curated - Data'!$B$2:$I$76, 8,false)</f>
        <v>["Logging &amp; wood harvesting"]</v>
      </c>
    </row>
    <row r="22" ht="12.75" customHeight="1">
      <c r="A22" s="7" t="s">
        <v>150</v>
      </c>
      <c r="B22" s="7" t="s">
        <v>2683</v>
      </c>
      <c r="C22" s="7" t="s">
        <v>2684</v>
      </c>
      <c r="D22" s="8" t="s">
        <v>2637</v>
      </c>
      <c r="E22" s="7" t="s">
        <v>2617</v>
      </c>
      <c r="F22" s="7" t="str">
        <f>VLOOKUP($E22,'Curated - Data'!$B$2:$I$76, 7,false)</f>
        <v>["Biological resource use"]</v>
      </c>
      <c r="G22" s="7" t="str">
        <f>VLOOKUP($E22,'Curated - Data'!$B$2:$I$76, 8,false)</f>
        <v>["Logging &amp; wood harvesting"]</v>
      </c>
    </row>
    <row r="23" ht="12.75" customHeight="1">
      <c r="A23" s="7" t="s">
        <v>147</v>
      </c>
      <c r="B23" s="7" t="s">
        <v>2685</v>
      </c>
      <c r="C23" s="7" t="s">
        <v>2686</v>
      </c>
      <c r="D23" s="8" t="s">
        <v>2637</v>
      </c>
      <c r="E23" s="7" t="s">
        <v>2615</v>
      </c>
      <c r="F23" s="7" t="str">
        <f>VLOOKUP($E23,'Curated - Data'!$B$2:$I$76, 7,false)</f>
        <v>["Biological resource use"]</v>
      </c>
      <c r="G23" s="7" t="str">
        <f>VLOOKUP($E23,'Curated - Data'!$B$2:$I$76, 8,false)</f>
        <v>["Logging &amp; wood harvesting"]</v>
      </c>
    </row>
    <row r="24" ht="12.75" customHeight="1">
      <c r="A24" s="7" t="s">
        <v>2687</v>
      </c>
      <c r="B24" s="7" t="s">
        <v>2688</v>
      </c>
      <c r="C24" s="7" t="s">
        <v>2601</v>
      </c>
      <c r="D24" s="8" t="s">
        <v>2637</v>
      </c>
      <c r="E24" s="7" t="s">
        <v>2689</v>
      </c>
      <c r="F24" s="7" t="str">
        <f>VLOOKUP($E24,'Curated - Data'!$B$2:$I$76, 7,false)</f>
        <v>["Biological resource use"]</v>
      </c>
      <c r="G24" s="7" t="str">
        <f>VLOOKUP($E24,'Curated - Data'!$B$2:$I$76, 8,false)</f>
        <v>["Logging &amp; wood harvesting"]</v>
      </c>
    </row>
    <row r="25" ht="12.75" customHeight="1">
      <c r="A25" s="7" t="s">
        <v>291</v>
      </c>
      <c r="B25" s="7" t="s">
        <v>2690</v>
      </c>
      <c r="C25" s="7" t="s">
        <v>2594</v>
      </c>
      <c r="D25" s="8" t="s">
        <v>2637</v>
      </c>
      <c r="E25" s="7" t="s">
        <v>2691</v>
      </c>
      <c r="F25" s="7" t="str">
        <f>VLOOKUP($E25,'Curated - Data'!$B$2:$I$76, 7,false)</f>
        <v>["Biological resource use"]</v>
      </c>
      <c r="G25" s="7" t="str">
        <f>VLOOKUP($E25,'Curated - Data'!$B$2:$I$76, 8,false)</f>
        <v>["Logging &amp; wood harvesting"]</v>
      </c>
    </row>
    <row r="26" ht="12.75" customHeight="1">
      <c r="A26" s="7" t="s">
        <v>279</v>
      </c>
      <c r="B26" s="7" t="s">
        <v>2692</v>
      </c>
      <c r="C26" s="7" t="s">
        <v>996</v>
      </c>
      <c r="D26" s="8" t="s">
        <v>2637</v>
      </c>
      <c r="E26" s="7" t="s">
        <v>2693</v>
      </c>
      <c r="F26" s="7" t="str">
        <f>VLOOKUP($E26,'Curated - Data'!$B$2:$I$76, 7,false)</f>
        <v>["Biological resource use"]</v>
      </c>
      <c r="G26" s="7" t="str">
        <f>VLOOKUP($E26,'Curated - Data'!$B$2:$I$76, 8,false)</f>
        <v>["Logging &amp; wood harvesting"]</v>
      </c>
    </row>
    <row r="27" ht="12.75" customHeight="1">
      <c r="A27" s="7" t="s">
        <v>2694</v>
      </c>
      <c r="B27" s="7" t="s">
        <v>2695</v>
      </c>
      <c r="C27" s="7" t="s">
        <v>2591</v>
      </c>
      <c r="D27" s="8" t="s">
        <v>2637</v>
      </c>
      <c r="E27" s="7" t="s">
        <v>2696</v>
      </c>
      <c r="F27" s="7" t="str">
        <f>VLOOKUP($E27,'Curated - Data'!$B$2:$I$76, 7,false)</f>
        <v>["Biological resource use"]</v>
      </c>
      <c r="G27" s="7" t="str">
        <f>VLOOKUP($E27,'Curated - Data'!$B$2:$I$76, 8,false)</f>
        <v>["Logging &amp; wood harvesting"]</v>
      </c>
    </row>
    <row r="28" ht="12.75" customHeight="1">
      <c r="A28" s="7" t="s">
        <v>105</v>
      </c>
      <c r="B28" s="7" t="s">
        <v>2697</v>
      </c>
      <c r="C28" s="7" t="s">
        <v>2583</v>
      </c>
      <c r="D28" s="8" t="s">
        <v>2637</v>
      </c>
      <c r="E28" s="7" t="s">
        <v>2698</v>
      </c>
      <c r="F28" s="7" t="str">
        <f>VLOOKUP($E28,'Curated - Data'!$B$2:$I$76, 7,false)</f>
        <v>["Biological resource use"]</v>
      </c>
      <c r="G28" s="7" t="str">
        <f>VLOOKUP($E28,'Curated - Data'!$B$2:$I$76, 8,false)</f>
        <v>["Hunting &amp; collecting terrestrial animals"]</v>
      </c>
    </row>
    <row r="29" ht="12.75" customHeight="1">
      <c r="A29" s="7" t="s">
        <v>2699</v>
      </c>
      <c r="B29" s="7" t="s">
        <v>2700</v>
      </c>
      <c r="C29" s="7" t="s">
        <v>2582</v>
      </c>
      <c r="D29" s="8" t="s">
        <v>2637</v>
      </c>
      <c r="E29" s="7" t="s">
        <v>2701</v>
      </c>
      <c r="F29" s="7" t="str">
        <f>VLOOKUP($E29,'Curated - Data'!$B$2:$I$76, 7,false)</f>
        <v>["Biological resource use"]</v>
      </c>
      <c r="G29" s="7" t="str">
        <f>VLOOKUP($E29,'Curated - Data'!$B$2:$I$76, 8,false)</f>
        <v>["Logging &amp; wood harvesting"]</v>
      </c>
    </row>
    <row r="30" ht="12.75" customHeight="1">
      <c r="A30" s="7" t="s">
        <v>2702</v>
      </c>
      <c r="B30" s="7" t="s">
        <v>2703</v>
      </c>
      <c r="C30" s="7" t="s">
        <v>2578</v>
      </c>
      <c r="D30" s="8" t="s">
        <v>2637</v>
      </c>
      <c r="E30" s="7" t="s">
        <v>2704</v>
      </c>
      <c r="F30" s="7" t="str">
        <f>VLOOKUP($E30,'Curated - Data'!$B$2:$I$76, 7,false)</f>
        <v>["Biological resource use"]</v>
      </c>
      <c r="G30" s="7" t="str">
        <f>VLOOKUP($E30,'Curated - Data'!$B$2:$I$76, 8,false)</f>
        <v>["Hunting &amp; collecting terrestrial animals"]</v>
      </c>
    </row>
    <row r="31" ht="12.75" customHeight="1">
      <c r="A31" s="7" t="s">
        <v>189</v>
      </c>
      <c r="B31" s="7" t="s">
        <v>2705</v>
      </c>
      <c r="C31" s="7" t="s">
        <v>2576</v>
      </c>
      <c r="D31" s="8" t="s">
        <v>2637</v>
      </c>
      <c r="E31" s="7" t="s">
        <v>2706</v>
      </c>
      <c r="F31" s="7" t="str">
        <f>VLOOKUP($E31,'Curated - Data'!$B$2:$I$76, 7,false)</f>
        <v>["Biological resource use"]</v>
      </c>
      <c r="G31" s="7" t="str">
        <f>VLOOKUP($E31,'Curated - Data'!$B$2:$I$76, 8,false)</f>
        <v>["Hunting &amp; collecting terrestrial animals"]</v>
      </c>
    </row>
    <row r="32" ht="12.75" customHeight="1">
      <c r="A32" s="7" t="s">
        <v>2707</v>
      </c>
      <c r="B32" s="7" t="s">
        <v>2708</v>
      </c>
      <c r="C32" s="7" t="s">
        <v>2575</v>
      </c>
      <c r="D32" s="8" t="s">
        <v>2637</v>
      </c>
      <c r="E32" s="7" t="s">
        <v>2709</v>
      </c>
      <c r="F32" s="7" t="str">
        <f>VLOOKUP($E32,'Curated - Data'!$B$2:$I$76, 7,false)</f>
        <v>["Biological resource use"]</v>
      </c>
      <c r="G32" s="7" t="str">
        <f>VLOOKUP($E32,'Curated - Data'!$B$2:$I$76, 8,false)</f>
        <v>["Hunting &amp; collecting terrestrial animals"]</v>
      </c>
    </row>
    <row r="33" ht="12.75" customHeight="1">
      <c r="A33" s="7" t="s">
        <v>2710</v>
      </c>
      <c r="B33" s="7" t="s">
        <v>2711</v>
      </c>
      <c r="C33" s="7" t="s">
        <v>2572</v>
      </c>
      <c r="D33" s="8" t="s">
        <v>2637</v>
      </c>
      <c r="E33" s="7" t="s">
        <v>2712</v>
      </c>
      <c r="F33" s="7" t="str">
        <f>VLOOKUP($E33,'Curated - Data'!$B$2:$I$76, 7,false)</f>
        <v>["Biological resource use"]</v>
      </c>
      <c r="G33" s="7" t="str">
        <f>VLOOKUP($E33,'Curated - Data'!$B$2:$I$76, 8,false)</f>
        <v>["Logging &amp; wood harvesting"]</v>
      </c>
    </row>
    <row r="34" ht="12.75" customHeight="1">
      <c r="A34" s="7" t="s">
        <v>57</v>
      </c>
      <c r="B34" s="7" t="s">
        <v>2713</v>
      </c>
      <c r="C34" s="7" t="s">
        <v>2571</v>
      </c>
      <c r="D34" s="8" t="s">
        <v>2637</v>
      </c>
      <c r="E34" s="7" t="s">
        <v>2714</v>
      </c>
      <c r="F34" s="7" t="str">
        <f>VLOOKUP($E34,'Curated - Data'!$B$2:$I$76, 7,false)</f>
        <v>["Biological resource use"]</v>
      </c>
      <c r="G34" s="7" t="str">
        <f>VLOOKUP($E34,'Curated - Data'!$B$2:$I$76, 8,false)</f>
        <v>["Hunting &amp; collecting terrestrial animals"]</v>
      </c>
    </row>
    <row r="35" ht="12.75" customHeight="1">
      <c r="A35" s="7" t="s">
        <v>320</v>
      </c>
      <c r="B35" s="7" t="s">
        <v>2715</v>
      </c>
      <c r="C35" s="7" t="s">
        <v>2628</v>
      </c>
      <c r="D35" s="8" t="s">
        <v>2637</v>
      </c>
      <c r="E35" s="7" t="s">
        <v>2627</v>
      </c>
      <c r="F35" s="7" t="str">
        <f>VLOOKUP($E35,'Curated - Data'!$B$2:$I$76, 7,false)</f>
        <v>["Biological resource use"]</v>
      </c>
      <c r="G35" s="7" t="str">
        <f>VLOOKUP($E35,'Curated - Data'!$B$2:$I$76, 8,false)</f>
        <v>["Logging &amp; wood harvesting"]</v>
      </c>
    </row>
    <row r="36" ht="12.75" customHeight="1">
      <c r="A36" s="7" t="s">
        <v>93</v>
      </c>
      <c r="B36" s="7" t="s">
        <v>2716</v>
      </c>
      <c r="C36" s="7" t="s">
        <v>737</v>
      </c>
      <c r="D36" s="8" t="s">
        <v>2637</v>
      </c>
      <c r="E36" s="7" t="s">
        <v>2717</v>
      </c>
      <c r="F36" s="7" t="str">
        <f>VLOOKUP($E36,'Curated - Data'!$B$2:$I$76, 7,false)</f>
        <v>["Biological resource use"]</v>
      </c>
      <c r="G36" s="7" t="str">
        <f>VLOOKUP($E36,'Curated - Data'!$B$2:$I$76, 8,false)</f>
        <v>["Logging &amp; wood harvesting"]</v>
      </c>
    </row>
    <row r="37" ht="12.75" customHeight="1">
      <c r="A37" s="7" t="s">
        <v>2718</v>
      </c>
      <c r="B37" s="7" t="s">
        <v>2719</v>
      </c>
      <c r="C37" s="7" t="s">
        <v>2570</v>
      </c>
      <c r="D37" s="8" t="s">
        <v>2637</v>
      </c>
      <c r="E37" s="7" t="s">
        <v>2720</v>
      </c>
      <c r="F37" s="7" t="str">
        <f>VLOOKUP($E37,'Curated - Data'!$B$2:$I$76, 7,false)</f>
        <v>["Biological resource use"]</v>
      </c>
      <c r="G37" s="7" t="str">
        <f>VLOOKUP($E37,'Curated - Data'!$B$2:$I$76, 8,false)</f>
        <v>["Logging &amp; wood harvesting"]</v>
      </c>
    </row>
    <row r="38" ht="12.75" customHeight="1">
      <c r="A38" s="7" t="s">
        <v>264</v>
      </c>
      <c r="B38" s="7" t="s">
        <v>2721</v>
      </c>
      <c r="C38" s="7" t="s">
        <v>2569</v>
      </c>
      <c r="D38" s="8" t="s">
        <v>2637</v>
      </c>
      <c r="E38" s="7" t="s">
        <v>2722</v>
      </c>
      <c r="F38" s="7" t="str">
        <f>VLOOKUP($E38,'Curated - Data'!$B$2:$I$76, 7,false)</f>
        <v>["Biological resource use"]</v>
      </c>
      <c r="G38" s="7" t="str">
        <f>VLOOKUP($E38,'Curated - Data'!$B$2:$I$76, 8,false)</f>
        <v>["Logging &amp; wood harvesting"]</v>
      </c>
    </row>
    <row r="39" ht="12.75" customHeight="1">
      <c r="A39" s="7" t="s">
        <v>30</v>
      </c>
      <c r="B39" s="7" t="s">
        <v>2723</v>
      </c>
      <c r="C39" s="7" t="s">
        <v>2568</v>
      </c>
      <c r="D39" s="8" t="s">
        <v>2637</v>
      </c>
      <c r="E39" s="7" t="s">
        <v>2724</v>
      </c>
      <c r="F39" s="7" t="str">
        <f>VLOOKUP($E39,'Curated - Data'!$B$2:$I$76, 7,false)</f>
        <v>["Biological resource use"]</v>
      </c>
      <c r="G39" s="7" t="str">
        <f>VLOOKUP($E39,'Curated - Data'!$B$2:$I$76, 8,false)</f>
        <v>["Logging &amp; wood harvesting"]</v>
      </c>
    </row>
    <row r="40" ht="12.75" customHeight="1">
      <c r="A40" s="7" t="s">
        <v>192</v>
      </c>
      <c r="B40" s="7" t="s">
        <v>2725</v>
      </c>
      <c r="C40" s="7" t="s">
        <v>2564</v>
      </c>
      <c r="D40" s="8" t="s">
        <v>2637</v>
      </c>
      <c r="E40" s="7" t="s">
        <v>2726</v>
      </c>
      <c r="F40" s="7" t="str">
        <f>VLOOKUP($E40,'Curated - Data'!$B$2:$I$76, 7,false)</f>
        <v>["Biological resource use"]</v>
      </c>
      <c r="G40" s="7" t="str">
        <f>VLOOKUP($E40,'Curated - Data'!$B$2:$I$76, 8,false)</f>
        <v>["Logging &amp; wood harvesting"]</v>
      </c>
    </row>
    <row r="41" ht="12.75" customHeight="1">
      <c r="A41" s="7" t="s">
        <v>2727</v>
      </c>
      <c r="B41" s="7" t="s">
        <v>2728</v>
      </c>
      <c r="C41" s="7" t="s">
        <v>2563</v>
      </c>
      <c r="D41" s="8" t="s">
        <v>2637</v>
      </c>
      <c r="E41" s="7" t="s">
        <v>2729</v>
      </c>
      <c r="F41" s="7" t="str">
        <f>VLOOKUP($E41,'Curated - Data'!$B$2:$I$76, 7,false)</f>
        <v>["Biological resource use"]</v>
      </c>
      <c r="G41" s="7" t="str">
        <f>VLOOKUP($E41,'Curated - Data'!$B$2:$I$76, 8,false)</f>
        <v>["Logging &amp; wood harvesting"]</v>
      </c>
    </row>
    <row r="42" ht="12.75" customHeight="1">
      <c r="A42" s="7" t="s">
        <v>66</v>
      </c>
      <c r="B42" s="7" t="s">
        <v>2730</v>
      </c>
      <c r="C42" s="7" t="s">
        <v>2561</v>
      </c>
      <c r="D42" s="8" t="s">
        <v>2637</v>
      </c>
      <c r="E42" s="7" t="s">
        <v>2731</v>
      </c>
      <c r="F42" s="7" t="str">
        <f>VLOOKUP($E42,'Curated - Data'!$B$2:$I$76, 7,false)</f>
        <v>["Biological resource use"]</v>
      </c>
      <c r="G42" s="7" t="str">
        <f>VLOOKUP($E42,'Curated - Data'!$B$2:$I$76, 8,false)</f>
        <v>["Logging &amp; wood harvesting"]</v>
      </c>
    </row>
    <row r="43" ht="12.75" customHeight="1">
      <c r="A43" s="7" t="s">
        <v>2732</v>
      </c>
      <c r="B43" s="7" t="s">
        <v>2733</v>
      </c>
      <c r="C43" s="7" t="s">
        <v>2559</v>
      </c>
      <c r="D43" s="8" t="s">
        <v>2637</v>
      </c>
      <c r="E43" s="7" t="s">
        <v>2734</v>
      </c>
      <c r="F43" s="7" t="str">
        <f>VLOOKUP($E43,'Curated - Data'!$B$2:$I$76, 7,false)</f>
        <v>["Biological resource use"]</v>
      </c>
      <c r="G43" s="7" t="str">
        <f>VLOOKUP($E43,'Curated - Data'!$B$2:$I$76, 8,false)</f>
        <v>["Logging &amp; wood harvesting"]</v>
      </c>
    </row>
    <row r="44" ht="12.75" customHeight="1">
      <c r="A44" s="7" t="s">
        <v>18</v>
      </c>
      <c r="B44" s="7" t="s">
        <v>2735</v>
      </c>
      <c r="C44" s="7" t="s">
        <v>1196</v>
      </c>
      <c r="D44" s="8" t="s">
        <v>2637</v>
      </c>
      <c r="E44" s="7" t="s">
        <v>2736</v>
      </c>
      <c r="F44" s="7" t="str">
        <f>VLOOKUP($E44,'Curated - Data'!$B$2:$I$76, 7,false)</f>
        <v>["Biological resource use"]</v>
      </c>
      <c r="G44" s="7" t="str">
        <f>VLOOKUP($E44,'Curated - Data'!$B$2:$I$76, 8,false)</f>
        <v>["Logging &amp; wood harvesting"]</v>
      </c>
    </row>
    <row r="45" ht="12.75" customHeight="1">
      <c r="A45" s="7" t="s">
        <v>2737</v>
      </c>
      <c r="B45" s="7" t="s">
        <v>2738</v>
      </c>
      <c r="C45" s="7" t="s">
        <v>964</v>
      </c>
      <c r="D45" s="8" t="s">
        <v>2637</v>
      </c>
      <c r="E45" s="7" t="s">
        <v>2739</v>
      </c>
      <c r="F45" s="7" t="str">
        <f>VLOOKUP($E45,'Curated - Data'!$B$2:$I$76, 7,false)</f>
        <v>["Biological resource use"]</v>
      </c>
      <c r="G45" s="7" t="str">
        <f>VLOOKUP($E45,'Curated - Data'!$B$2:$I$76, 8,false)</f>
        <v>["Hunting &amp; collecting terrestrial animals"]</v>
      </c>
    </row>
    <row r="46" ht="12.75" customHeight="1">
      <c r="A46" s="7" t="s">
        <v>2740</v>
      </c>
      <c r="B46" s="7" t="s">
        <v>2741</v>
      </c>
      <c r="C46" s="7" t="s">
        <v>2742</v>
      </c>
      <c r="D46" s="8" t="s">
        <v>2637</v>
      </c>
      <c r="E46" s="7" t="s">
        <v>2623</v>
      </c>
      <c r="F46" s="7" t="str">
        <f>VLOOKUP($E46,'Curated - Data'!$B$2:$I$76, 7,false)</f>
        <v>["Biological resource use"]</v>
      </c>
      <c r="G46" s="7" t="str">
        <f>VLOOKUP($E46,'Curated - Data'!$B$2:$I$76, 8,false)</f>
        <v>["Logging &amp; wood harvesting"]</v>
      </c>
    </row>
    <row r="47" ht="12.75" customHeight="1">
      <c r="A47" s="7" t="s">
        <v>48</v>
      </c>
      <c r="B47" s="7" t="s">
        <v>2743</v>
      </c>
      <c r="C47" s="7" t="s">
        <v>1227</v>
      </c>
      <c r="D47" s="8" t="s">
        <v>2637</v>
      </c>
      <c r="E47" s="7" t="s">
        <v>2744</v>
      </c>
      <c r="F47" s="7" t="str">
        <f>VLOOKUP($E47,'Curated - Data'!$B$2:$I$76, 7,false)</f>
        <v>["Biological resource use"]</v>
      </c>
      <c r="G47" s="7" t="str">
        <f>VLOOKUP($E47,'Curated - Data'!$B$2:$I$76, 8,false)</f>
        <v>["Logging &amp; wood harvesting"]</v>
      </c>
    </row>
    <row r="48" ht="12.75" customHeight="1">
      <c r="A48" s="7" t="s">
        <v>2745</v>
      </c>
      <c r="B48" s="7" t="s">
        <v>2746</v>
      </c>
      <c r="C48" s="7" t="s">
        <v>2600</v>
      </c>
      <c r="D48" s="8" t="s">
        <v>2637</v>
      </c>
      <c r="E48" s="7" t="s">
        <v>2747</v>
      </c>
      <c r="F48" s="7" t="str">
        <f>VLOOKUP($E48,'Curated - Data'!$B$2:$I$76, 7,false)</f>
        <v>["Invasive &amp; other problematic species, genes &amp; diseases"]</v>
      </c>
      <c r="G48" s="7" t="str">
        <f>VLOOKUP($E48,'Curated - Data'!$B$2:$I$76, 8,false)</f>
        <v/>
      </c>
    </row>
    <row r="49" ht="12.75" customHeight="1">
      <c r="A49" s="7" t="s">
        <v>2748</v>
      </c>
      <c r="B49" s="7" t="s">
        <v>2749</v>
      </c>
      <c r="C49" s="7" t="s">
        <v>2593</v>
      </c>
      <c r="D49" s="8" t="s">
        <v>2637</v>
      </c>
      <c r="E49" s="7" t="s">
        <v>2750</v>
      </c>
      <c r="F49" s="7" t="str">
        <f>VLOOKUP($E49,'Curated - Data'!$B$2:$I$76, 7,false)</f>
        <v>["Invasive &amp; other problematic species, genes &amp; diseases"]</v>
      </c>
      <c r="G49" s="7" t="str">
        <f>VLOOKUP($E49,'Curated - Data'!$B$2:$I$76, 8,false)</f>
        <v/>
      </c>
    </row>
    <row r="50" ht="12.75" customHeight="1">
      <c r="A50" s="7" t="s">
        <v>183</v>
      </c>
      <c r="B50" s="7" t="s">
        <v>2751</v>
      </c>
      <c r="C50" s="7" t="s">
        <v>2590</v>
      </c>
      <c r="D50" s="8" t="s">
        <v>2637</v>
      </c>
      <c r="E50" s="7" t="s">
        <v>2752</v>
      </c>
      <c r="F50" s="7" t="str">
        <f>VLOOKUP($E50,'Curated - Data'!$B$2:$I$76, 7,false)</f>
        <v>["Invasive &amp; other problematic species, genes &amp; diseases"]</v>
      </c>
      <c r="G50" s="7" t="str">
        <f>VLOOKUP($E50,'Curated - Data'!$B$2:$I$76, 8,false)</f>
        <v/>
      </c>
    </row>
    <row r="51" ht="12.75" customHeight="1">
      <c r="A51" s="7" t="s">
        <v>2753</v>
      </c>
      <c r="B51" s="7" t="s">
        <v>2754</v>
      </c>
      <c r="C51" s="7" t="s">
        <v>776</v>
      </c>
      <c r="D51" s="8" t="s">
        <v>2637</v>
      </c>
      <c r="E51" s="7" t="s">
        <v>2755</v>
      </c>
      <c r="F51" s="7" t="str">
        <f>VLOOKUP($E51,'Curated - Data'!$B$2:$I$76, 7,false)</f>
        <v>["Invasive &amp; other problematic species, genes &amp; diseases"]</v>
      </c>
      <c r="G51" s="7" t="str">
        <f>VLOOKUP($E51,'Curated - Data'!$B$2:$I$76, 8,false)</f>
        <v/>
      </c>
    </row>
    <row r="52" ht="12.75" customHeight="1">
      <c r="A52" s="7" t="s">
        <v>2756</v>
      </c>
      <c r="B52" s="7" t="s">
        <v>2757</v>
      </c>
      <c r="C52" s="7" t="s">
        <v>2580</v>
      </c>
      <c r="D52" s="8" t="s">
        <v>2637</v>
      </c>
      <c r="E52" s="7" t="s">
        <v>2758</v>
      </c>
      <c r="F52" s="7" t="str">
        <f>VLOOKUP($E52,'Curated - Data'!$B$2:$I$76, 7,false)</f>
        <v>["Invasive &amp; other problematic species, genes &amp; diseases"]</v>
      </c>
      <c r="G52" s="7" t="str">
        <f>VLOOKUP($E52,'Curated - Data'!$B$2:$I$76, 8,false)</f>
        <v/>
      </c>
    </row>
    <row r="53" ht="12.75" customHeight="1">
      <c r="A53" s="7" t="s">
        <v>126</v>
      </c>
      <c r="B53" s="7" t="s">
        <v>2759</v>
      </c>
      <c r="C53" s="7" t="s">
        <v>2581</v>
      </c>
      <c r="D53" s="8" t="s">
        <v>2637</v>
      </c>
      <c r="E53" s="7" t="s">
        <v>2760</v>
      </c>
      <c r="F53" s="7" t="str">
        <f>VLOOKUP($E53,'Curated - Data'!$B$2:$I$76, 7,false)</f>
        <v>["Invasive &amp; other problematic species, genes &amp; diseases"]</v>
      </c>
      <c r="G53" s="7" t="str">
        <f>VLOOKUP($E53,'Curated - Data'!$B$2:$I$76, 8,false)</f>
        <v/>
      </c>
    </row>
    <row r="54" ht="12.75" customHeight="1">
      <c r="A54" s="7" t="s">
        <v>2761</v>
      </c>
      <c r="B54" s="7" t="s">
        <v>2762</v>
      </c>
      <c r="C54" s="7" t="s">
        <v>2565</v>
      </c>
      <c r="D54" s="8" t="s">
        <v>2637</v>
      </c>
      <c r="E54" s="7" t="s">
        <v>2763</v>
      </c>
      <c r="F54" s="7" t="str">
        <f>VLOOKUP($E54,'Curated - Data'!$B$2:$I$76, 7,false)</f>
        <v>["Invasive &amp; other problematic species, genes &amp; diseases"]</v>
      </c>
      <c r="G54" s="7" t="str">
        <f>VLOOKUP($E54,'Curated - Data'!$B$2:$I$76, 8,false)</f>
        <v/>
      </c>
    </row>
    <row r="55" ht="12.75" customHeight="1">
      <c r="A55" s="7" t="s">
        <v>2764</v>
      </c>
      <c r="B55" s="7" t="s">
        <v>2765</v>
      </c>
      <c r="C55" s="7" t="s">
        <v>2606</v>
      </c>
      <c r="D55" s="8" t="s">
        <v>2637</v>
      </c>
      <c r="E55" s="7" t="s">
        <v>2766</v>
      </c>
      <c r="F55" s="7" t="str">
        <f>VLOOKUP($E55,'Curated - Data'!$B$2:$I$76, 7,false)</f>
        <v>["Natural system modifications"]</v>
      </c>
      <c r="G55" s="7" t="str">
        <f>VLOOKUP($E55,'Curated - Data'!$B$2:$I$76, 8,false)</f>
        <v>["Fire &amp; fire suppression"]</v>
      </c>
    </row>
    <row r="56" ht="12.75" customHeight="1">
      <c r="A56" s="7" t="s">
        <v>240</v>
      </c>
      <c r="B56" s="7" t="s">
        <v>2767</v>
      </c>
      <c r="C56" s="7" t="s">
        <v>2602</v>
      </c>
      <c r="D56" s="8" t="s">
        <v>2637</v>
      </c>
      <c r="E56" s="7" t="s">
        <v>2768</v>
      </c>
      <c r="F56" s="7" t="str">
        <f>VLOOKUP($E56,'Curated - Data'!$B$2:$I$76, 7,false)</f>
        <v>["Natural system modifications"]</v>
      </c>
      <c r="G56" s="7" t="str">
        <f>VLOOKUP($E56,'Curated - Data'!$B$2:$I$76, 8,false)</f>
        <v>["Fire &amp; fire suppression"]</v>
      </c>
    </row>
    <row r="57" ht="12.75" customHeight="1">
      <c r="A57" s="7" t="s">
        <v>2769</v>
      </c>
      <c r="B57" s="7" t="s">
        <v>2770</v>
      </c>
      <c r="C57" s="7" t="s">
        <v>2598</v>
      </c>
      <c r="D57" s="8" t="s">
        <v>2637</v>
      </c>
      <c r="E57" s="7" t="s">
        <v>2771</v>
      </c>
      <c r="F57" s="7" t="str">
        <f>VLOOKUP($E57,'Curated - Data'!$B$2:$I$76, 7,false)</f>
        <v>["Natural system modifications"]</v>
      </c>
      <c r="G57" s="7" t="str">
        <f>VLOOKUP($E57,'Curated - Data'!$B$2:$I$76, 8,false)</f>
        <v>["Fire &amp; fire suppression"]</v>
      </c>
    </row>
    <row r="58" ht="12.75" customHeight="1">
      <c r="A58" s="7" t="s">
        <v>2772</v>
      </c>
      <c r="B58" s="7" t="s">
        <v>2773</v>
      </c>
      <c r="C58" s="7" t="s">
        <v>2595</v>
      </c>
      <c r="D58" s="8" t="s">
        <v>2637</v>
      </c>
      <c r="E58" s="7" t="s">
        <v>2774</v>
      </c>
      <c r="F58" s="7" t="str">
        <f>VLOOKUP($E58,'Curated - Data'!$B$2:$I$76, 7,false)</f>
        <v>["Natural system modifications"]</v>
      </c>
      <c r="G58" s="7" t="str">
        <f>VLOOKUP($E58,'Curated - Data'!$B$2:$I$76, 8,false)</f>
        <v>["Fire &amp; fire suppression"]</v>
      </c>
    </row>
    <row r="59" ht="12.75" customHeight="1">
      <c r="A59" s="7" t="s">
        <v>2775</v>
      </c>
      <c r="B59" s="7" t="s">
        <v>2776</v>
      </c>
      <c r="C59" s="7" t="s">
        <v>1260</v>
      </c>
      <c r="D59" s="8" t="s">
        <v>2637</v>
      </c>
      <c r="E59" s="7" t="s">
        <v>2777</v>
      </c>
      <c r="F59" s="7" t="str">
        <f>VLOOKUP($E59,'Curated - Data'!$B$2:$I$76, 7,false)</f>
        <v>["Natural system modifications"]</v>
      </c>
      <c r="G59" s="7" t="str">
        <f>VLOOKUP($E59,'Curated - Data'!$B$2:$I$76, 8,false)</f>
        <v>["Fire &amp; fire suppression"]</v>
      </c>
    </row>
    <row r="60" ht="12.75" customHeight="1">
      <c r="A60" s="7" t="s">
        <v>2778</v>
      </c>
      <c r="B60" s="7" t="s">
        <v>2779</v>
      </c>
      <c r="C60" s="7" t="s">
        <v>2780</v>
      </c>
      <c r="D60" s="8" t="s">
        <v>2637</v>
      </c>
      <c r="E60" s="7" t="s">
        <v>2619</v>
      </c>
      <c r="F60" s="7" t="str">
        <f>VLOOKUP($E60,'Curated - Data'!$B$2:$I$76, 7,false)</f>
        <v>["Natural system modifications"]</v>
      </c>
      <c r="G60" s="7" t="str">
        <f>VLOOKUP($E60,'Curated - Data'!$B$2:$I$76, 8,false)</f>
        <v>["Fire &amp; fire suppression"]</v>
      </c>
    </row>
    <row r="61" ht="12.75" customHeight="1">
      <c r="A61" s="7" t="s">
        <v>78</v>
      </c>
      <c r="B61" s="7" t="s">
        <v>2781</v>
      </c>
      <c r="C61" s="7" t="s">
        <v>2584</v>
      </c>
      <c r="D61" s="8" t="s">
        <v>2637</v>
      </c>
      <c r="E61" s="7" t="s">
        <v>2782</v>
      </c>
      <c r="F61" s="7" t="str">
        <f>VLOOKUP($E61,'Curated - Data'!$B$2:$I$76, 7,false)</f>
        <v>["Natural system modifications"]</v>
      </c>
      <c r="G61" s="7" t="str">
        <f>VLOOKUP($E61,'Curated - Data'!$B$2:$I$76, 8,false)</f>
        <v>["Fire &amp; fire suppression"]</v>
      </c>
    </row>
    <row r="62" ht="12.75" customHeight="1">
      <c r="A62" s="7" t="s">
        <v>2783</v>
      </c>
      <c r="B62" s="7" t="s">
        <v>2784</v>
      </c>
      <c r="C62" s="7" t="s">
        <v>2579</v>
      </c>
      <c r="D62" s="8" t="s">
        <v>2637</v>
      </c>
      <c r="E62" s="7" t="s">
        <v>2785</v>
      </c>
      <c r="F62" s="7" t="str">
        <f>VLOOKUP($E62,'Curated - Data'!$B$2:$I$76, 7,false)</f>
        <v>["Natural system modifications"]</v>
      </c>
      <c r="G62" s="7" t="str">
        <f>VLOOKUP($E62,'Curated - Data'!$B$2:$I$76, 8,false)</f>
        <v>["Fire &amp; fire suppression"]</v>
      </c>
    </row>
    <row r="63" ht="12.75" customHeight="1">
      <c r="A63" s="7" t="s">
        <v>323</v>
      </c>
      <c r="B63" s="7" t="s">
        <v>2786</v>
      </c>
      <c r="C63" s="7" t="s">
        <v>2630</v>
      </c>
      <c r="D63" s="8" t="s">
        <v>2637</v>
      </c>
      <c r="E63" s="7" t="s">
        <v>2629</v>
      </c>
      <c r="F63" s="7" t="str">
        <f>VLOOKUP($E63,'Curated - Data'!$B$2:$I$76, 7,false)</f>
        <v>["Pollution", "Invasive &amp; other problematic species, genes &amp; diseases"]</v>
      </c>
      <c r="G63" s="7" t="str">
        <f>VLOOKUP($E63,'Curated - Data'!$B$2:$I$76, 8,false)</f>
        <v/>
      </c>
    </row>
    <row r="64" ht="12.75" customHeight="1">
      <c r="A64" s="7" t="s">
        <v>69</v>
      </c>
      <c r="B64" s="7" t="s">
        <v>2787</v>
      </c>
      <c r="C64" s="7" t="s">
        <v>2612</v>
      </c>
      <c r="D64" s="8" t="s">
        <v>2637</v>
      </c>
      <c r="E64" s="7" t="s">
        <v>2788</v>
      </c>
      <c r="F64" s="7" t="str">
        <f>VLOOKUP($E64,'Curated - Data'!$B$2:$I$76, 7,false)</f>
        <v>["Pollution"]</v>
      </c>
      <c r="G64" s="7" t="str">
        <f>VLOOKUP($E64,'Curated - Data'!$B$2:$I$76, 8,false)</f>
        <v/>
      </c>
    </row>
    <row r="65" ht="12.75" customHeight="1">
      <c r="A65" s="7" t="s">
        <v>2789</v>
      </c>
      <c r="B65" s="7" t="s">
        <v>2790</v>
      </c>
      <c r="C65" s="7" t="s">
        <v>708</v>
      </c>
      <c r="D65" s="8" t="s">
        <v>2637</v>
      </c>
      <c r="E65" s="7" t="s">
        <v>2791</v>
      </c>
      <c r="F65" s="7" t="str">
        <f>VLOOKUP($E65,'Curated - Data'!$B$2:$I$76, 7,false)</f>
        <v>["Pollution"]</v>
      </c>
      <c r="G65" s="7" t="str">
        <f>VLOOKUP($E65,'Curated - Data'!$B$2:$I$76, 8,false)</f>
        <v/>
      </c>
    </row>
    <row r="66" ht="12.75" customHeight="1">
      <c r="A66" s="7" t="s">
        <v>2792</v>
      </c>
      <c r="B66" s="7" t="s">
        <v>2793</v>
      </c>
      <c r="C66" s="7" t="s">
        <v>2560</v>
      </c>
      <c r="D66" s="8" t="s">
        <v>2637</v>
      </c>
      <c r="E66" s="7" t="s">
        <v>2794</v>
      </c>
      <c r="F66" s="7" t="str">
        <f>VLOOKUP($E66,'Curated - Data'!$B$2:$I$76, 7,false)</f>
        <v>["Pollution"]</v>
      </c>
      <c r="G66" s="7" t="str">
        <f>VLOOKUP($E66,'Curated - Data'!$B$2:$I$76, 8,false)</f>
        <v/>
      </c>
    </row>
    <row r="67" ht="12.75" customHeight="1">
      <c r="A67" s="7" t="s">
        <v>2795</v>
      </c>
      <c r="B67" s="7" t="s">
        <v>2796</v>
      </c>
      <c r="C67" s="7" t="s">
        <v>2609</v>
      </c>
      <c r="D67" s="8" t="s">
        <v>2637</v>
      </c>
      <c r="E67" s="7" t="s">
        <v>2797</v>
      </c>
      <c r="F67" s="7" t="str">
        <f>VLOOKUP($E67,'Curated - Data'!$B$2:$I$76, 7,false)</f>
        <v>["Residential &amp; commercial development", "Agriculture &amp; aquaculture", "Biological resource use"]</v>
      </c>
      <c r="G67" s="7" t="str">
        <f>VLOOKUP($E67,'Curated - Data'!$B$2:$I$76, 8,false)</f>
        <v>["Logging &amp; wood harvesting"]</v>
      </c>
    </row>
    <row r="68" ht="12.75" customHeight="1">
      <c r="A68" s="7" t="s">
        <v>2798</v>
      </c>
      <c r="B68" s="7" t="s">
        <v>2799</v>
      </c>
      <c r="C68" s="7" t="s">
        <v>2597</v>
      </c>
      <c r="D68" s="8" t="s">
        <v>2637</v>
      </c>
      <c r="E68" s="7" t="s">
        <v>2800</v>
      </c>
      <c r="F68" s="7" t="str">
        <f>VLOOKUP($E68,'Curated - Data'!$B$2:$I$76, 7,false)</f>
        <v>["Residential &amp; commercial development", "Agriculture &amp; aquaculture", "Biological resource use"]</v>
      </c>
      <c r="G68" s="7" t="str">
        <f>VLOOKUP($E68,'Curated - Data'!$B$2:$I$76, 8,false)</f>
        <v>["Logging &amp; wood harvesting"]</v>
      </c>
    </row>
    <row r="69" ht="12.75" customHeight="1">
      <c r="A69" s="7" t="s">
        <v>159</v>
      </c>
      <c r="B69" s="7" t="s">
        <v>2801</v>
      </c>
      <c r="C69" s="7" t="s">
        <v>686</v>
      </c>
      <c r="D69" s="8" t="s">
        <v>2637</v>
      </c>
      <c r="E69" s="7" t="s">
        <v>2802</v>
      </c>
      <c r="F69" s="7" t="str">
        <f>VLOOKUP($E69,'Curated - Data'!$B$2:$I$76, 7,false)</f>
        <v>["Residential &amp; commercial development", "Agriculture &amp; aquaculture", "Biological resource use"]</v>
      </c>
      <c r="G69" s="7" t="str">
        <f>VLOOKUP($E69,'Curated - Data'!$B$2:$I$76, 8,false)</f>
        <v>["Logging &amp; wood harvesting"]</v>
      </c>
    </row>
    <row r="70" ht="12.75" customHeight="1">
      <c r="A70" s="7" t="s">
        <v>219</v>
      </c>
      <c r="B70" s="7" t="s">
        <v>2803</v>
      </c>
      <c r="C70" s="7" t="s">
        <v>2589</v>
      </c>
      <c r="D70" s="8" t="s">
        <v>2637</v>
      </c>
      <c r="E70" s="7" t="s">
        <v>2804</v>
      </c>
      <c r="F70" s="7" t="str">
        <f>VLOOKUP($E70,'Curated - Data'!$B$2:$I$76, 7,false)</f>
        <v>["Residential &amp; commercial development"]</v>
      </c>
      <c r="G70" s="7" t="str">
        <f>VLOOKUP($E70,'Curated - Data'!$B$2:$I$76, 8,false)</f>
        <v/>
      </c>
    </row>
    <row r="71" ht="12.75" customHeight="1">
      <c r="A71" s="7" t="s">
        <v>2805</v>
      </c>
      <c r="B71" s="7" t="s">
        <v>2806</v>
      </c>
      <c r="C71" s="7" t="s">
        <v>2586</v>
      </c>
      <c r="D71" s="8" t="s">
        <v>2637</v>
      </c>
      <c r="E71" s="7" t="s">
        <v>2807</v>
      </c>
      <c r="F71" s="7" t="str">
        <f>VLOOKUP($E71,'Curated - Data'!$B$2:$I$76, 7,false)</f>
        <v>["Residential &amp; commercial development"]</v>
      </c>
      <c r="G71" s="7" t="str">
        <f>VLOOKUP($E71,'Curated - Data'!$B$2:$I$76, 8,false)</f>
        <v/>
      </c>
    </row>
    <row r="72" ht="12.75" customHeight="1">
      <c r="A72" s="7" t="s">
        <v>1023</v>
      </c>
      <c r="B72" s="7" t="s">
        <v>2808</v>
      </c>
      <c r="C72" s="7" t="s">
        <v>2566</v>
      </c>
      <c r="D72" s="8" t="s">
        <v>2637</v>
      </c>
      <c r="E72" s="7" t="s">
        <v>2809</v>
      </c>
      <c r="F72" s="7" t="str">
        <f>VLOOKUP($E72,'Curated - Data'!$B$2:$I$76, 7,false)</f>
        <v>["Residential &amp; commercial development"]</v>
      </c>
      <c r="G72" s="7" t="str">
        <f>VLOOKUP($E72,'Curated - Data'!$B$2:$I$76, 8,false)</f>
        <v/>
      </c>
    </row>
    <row r="73" ht="12.75" customHeight="1">
      <c r="A73" s="7" t="s">
        <v>108</v>
      </c>
      <c r="B73" s="7" t="s">
        <v>2810</v>
      </c>
      <c r="C73" s="7" t="s">
        <v>2592</v>
      </c>
      <c r="D73" s="8" t="s">
        <v>2637</v>
      </c>
      <c r="E73" s="7" t="s">
        <v>2811</v>
      </c>
      <c r="F73" s="7" t="str">
        <f>VLOOKUP($E73,'Curated - Data'!$B$2:$I$76, 7,false)</f>
        <v>["Transportation &amp; service corridors"]</v>
      </c>
      <c r="G73" s="7" t="str">
        <f>VLOOKUP($E73,'Curated - Data'!$B$2:$I$76, 8,false)</f>
        <v/>
      </c>
    </row>
    <row r="74" ht="12.75" customHeight="1">
      <c r="A74" s="7" t="s">
        <v>168</v>
      </c>
      <c r="B74" s="7" t="s">
        <v>2812</v>
      </c>
      <c r="C74" s="7" t="s">
        <v>2813</v>
      </c>
      <c r="D74" s="8" t="s">
        <v>2637</v>
      </c>
      <c r="E74" s="7" t="s">
        <v>2621</v>
      </c>
      <c r="F74" s="7" t="str">
        <f>VLOOKUP($E74,'Curated - Data'!$B$2:$I$76, 7,false)</f>
        <v>["Transportation &amp; service corridors"]</v>
      </c>
      <c r="G74" s="7" t="str">
        <f>VLOOKUP($E74,'Curated - Data'!$B$2:$I$76, 8,false)</f>
        <v/>
      </c>
    </row>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sheetData>
  <autoFilter ref="$A$1:$G$74">
    <sortState ref="A1:G74">
      <sortCondition ref="F1:F74"/>
    </sortState>
  </autoFilter>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97.88"/>
  </cols>
  <sheetData>
    <row r="1">
      <c r="B1" s="22"/>
    </row>
    <row r="2">
      <c r="B2" s="23" t="s">
        <v>2814</v>
      </c>
    </row>
    <row r="3">
      <c r="B3" s="23"/>
    </row>
    <row r="4">
      <c r="B4" s="23" t="s">
        <v>2815</v>
      </c>
    </row>
    <row r="5">
      <c r="B5" s="22"/>
    </row>
    <row r="6">
      <c r="B6" s="23" t="s">
        <v>2816</v>
      </c>
    </row>
    <row r="7">
      <c r="B7" s="22"/>
    </row>
    <row r="8">
      <c r="B8" s="23" t="s">
        <v>2817</v>
      </c>
    </row>
    <row r="9">
      <c r="B9" s="22"/>
    </row>
    <row r="10">
      <c r="B10" s="23" t="s">
        <v>2816</v>
      </c>
    </row>
    <row r="11">
      <c r="B11" s="22"/>
    </row>
    <row r="12">
      <c r="B12" s="23" t="s">
        <v>2818</v>
      </c>
    </row>
    <row r="13">
      <c r="B13" s="22"/>
    </row>
    <row r="14">
      <c r="B14" s="23" t="s">
        <v>2816</v>
      </c>
    </row>
    <row r="15">
      <c r="B15" s="22"/>
    </row>
    <row r="16">
      <c r="B16" s="23" t="s">
        <v>2819</v>
      </c>
    </row>
    <row r="17">
      <c r="B17" s="22"/>
    </row>
    <row r="18">
      <c r="B18" s="23" t="s">
        <v>2816</v>
      </c>
    </row>
    <row r="19">
      <c r="B19" s="22"/>
    </row>
    <row r="20">
      <c r="B20" s="23" t="s">
        <v>2820</v>
      </c>
    </row>
    <row r="21">
      <c r="B21" s="22"/>
    </row>
    <row r="22">
      <c r="B22" s="23" t="s">
        <v>2816</v>
      </c>
    </row>
    <row r="23">
      <c r="B23" s="22"/>
    </row>
    <row r="24">
      <c r="B24" s="23" t="s">
        <v>2821</v>
      </c>
    </row>
    <row r="25">
      <c r="B25" s="22"/>
    </row>
    <row r="26">
      <c r="B26" s="22"/>
    </row>
    <row r="27">
      <c r="B27" s="22"/>
    </row>
    <row r="28">
      <c r="B28" s="22"/>
    </row>
    <row r="29">
      <c r="B29" s="22"/>
    </row>
    <row r="30">
      <c r="B30" s="22"/>
    </row>
    <row r="31">
      <c r="B31" s="22"/>
    </row>
    <row r="32">
      <c r="B32" s="22"/>
    </row>
    <row r="33">
      <c r="B33" s="22"/>
    </row>
    <row r="34">
      <c r="B34" s="22"/>
    </row>
    <row r="35">
      <c r="B35" s="22"/>
    </row>
    <row r="36">
      <c r="B36" s="22"/>
    </row>
    <row r="37">
      <c r="B37" s="22"/>
    </row>
    <row r="38">
      <c r="B38" s="22"/>
    </row>
    <row r="39">
      <c r="B39" s="22"/>
    </row>
    <row r="40">
      <c r="B40" s="22"/>
    </row>
    <row r="41">
      <c r="B41" s="22"/>
    </row>
    <row r="42">
      <c r="B42" s="22"/>
    </row>
    <row r="43">
      <c r="B43" s="22"/>
    </row>
    <row r="44">
      <c r="B44" s="22"/>
    </row>
    <row r="45">
      <c r="B45" s="22"/>
    </row>
    <row r="46">
      <c r="B46" s="22"/>
    </row>
    <row r="47">
      <c r="B47" s="22"/>
    </row>
    <row r="48">
      <c r="B48" s="22"/>
    </row>
    <row r="49">
      <c r="B49" s="22"/>
    </row>
    <row r="50">
      <c r="B50" s="22"/>
    </row>
    <row r="51">
      <c r="B51" s="22"/>
    </row>
    <row r="52">
      <c r="B52" s="22"/>
    </row>
    <row r="53">
      <c r="B53" s="22"/>
    </row>
    <row r="54">
      <c r="B54" s="22"/>
    </row>
    <row r="55">
      <c r="B55" s="22"/>
    </row>
    <row r="56">
      <c r="B56" s="22"/>
    </row>
    <row r="57">
      <c r="B57" s="22"/>
    </row>
    <row r="58">
      <c r="B58" s="22"/>
    </row>
    <row r="59">
      <c r="B59" s="22"/>
    </row>
    <row r="60">
      <c r="B60" s="22"/>
    </row>
    <row r="61">
      <c r="B61" s="22"/>
    </row>
    <row r="62">
      <c r="B62" s="22"/>
    </row>
    <row r="63">
      <c r="B63" s="22"/>
    </row>
    <row r="64">
      <c r="B64" s="22"/>
    </row>
    <row r="65">
      <c r="B65" s="22"/>
    </row>
    <row r="66">
      <c r="B66" s="22"/>
    </row>
    <row r="67">
      <c r="B67" s="22"/>
    </row>
    <row r="68">
      <c r="B68" s="22"/>
    </row>
    <row r="69">
      <c r="B69" s="22"/>
    </row>
    <row r="70">
      <c r="B70" s="22"/>
    </row>
    <row r="71">
      <c r="B71" s="22"/>
    </row>
    <row r="72">
      <c r="B72" s="22"/>
    </row>
    <row r="73">
      <c r="B73" s="22"/>
    </row>
    <row r="74">
      <c r="B74" s="22"/>
    </row>
    <row r="75">
      <c r="B75" s="22"/>
    </row>
    <row r="76">
      <c r="B76" s="22"/>
    </row>
    <row r="77">
      <c r="B77" s="22"/>
    </row>
    <row r="78">
      <c r="B78" s="22"/>
    </row>
    <row r="79">
      <c r="B79" s="22"/>
    </row>
    <row r="80">
      <c r="B80" s="22"/>
    </row>
    <row r="81">
      <c r="B81" s="22"/>
    </row>
    <row r="82">
      <c r="B82" s="22"/>
    </row>
    <row r="83">
      <c r="B83" s="22"/>
    </row>
    <row r="84">
      <c r="B84" s="22"/>
    </row>
    <row r="85">
      <c r="B85" s="22"/>
    </row>
    <row r="86">
      <c r="B86" s="22"/>
    </row>
    <row r="87">
      <c r="B87" s="22"/>
    </row>
    <row r="88">
      <c r="B88" s="22"/>
    </row>
    <row r="89">
      <c r="B89" s="22"/>
    </row>
    <row r="90">
      <c r="B90" s="22"/>
    </row>
    <row r="91">
      <c r="B91" s="22"/>
    </row>
    <row r="92">
      <c r="B92" s="22"/>
    </row>
    <row r="93">
      <c r="B93" s="22"/>
    </row>
    <row r="94">
      <c r="B94" s="22"/>
    </row>
    <row r="95">
      <c r="B95" s="22"/>
    </row>
    <row r="96">
      <c r="B96" s="22"/>
    </row>
    <row r="97">
      <c r="B97" s="22"/>
    </row>
    <row r="98">
      <c r="B98" s="22"/>
    </row>
    <row r="99">
      <c r="B99" s="22"/>
    </row>
    <row r="100">
      <c r="B100" s="22"/>
    </row>
    <row r="101">
      <c r="B101" s="22"/>
    </row>
    <row r="102">
      <c r="B102" s="22"/>
    </row>
    <row r="103">
      <c r="B103" s="22"/>
    </row>
    <row r="104">
      <c r="B104" s="22"/>
    </row>
    <row r="105">
      <c r="B105" s="22"/>
    </row>
    <row r="106">
      <c r="B106" s="22"/>
    </row>
    <row r="107">
      <c r="B107" s="22"/>
    </row>
    <row r="108">
      <c r="B108" s="22"/>
    </row>
    <row r="109">
      <c r="B109" s="22"/>
    </row>
    <row r="110">
      <c r="B110" s="22"/>
    </row>
    <row r="111">
      <c r="B111" s="22"/>
    </row>
    <row r="112">
      <c r="B112" s="22"/>
    </row>
    <row r="113">
      <c r="B113" s="22"/>
    </row>
    <row r="114">
      <c r="B114" s="22"/>
    </row>
    <row r="115">
      <c r="B115" s="22"/>
    </row>
    <row r="116">
      <c r="B116" s="22"/>
    </row>
    <row r="117">
      <c r="B117" s="22"/>
    </row>
    <row r="118">
      <c r="B118" s="22"/>
    </row>
    <row r="119">
      <c r="B119" s="22"/>
    </row>
    <row r="120">
      <c r="B120" s="22"/>
    </row>
    <row r="121">
      <c r="B121" s="22"/>
    </row>
    <row r="122">
      <c r="B122" s="22"/>
    </row>
    <row r="123">
      <c r="B123" s="22"/>
    </row>
    <row r="124">
      <c r="B124" s="22"/>
    </row>
    <row r="125">
      <c r="B125" s="22"/>
    </row>
    <row r="126">
      <c r="B126" s="22"/>
    </row>
    <row r="127">
      <c r="B127" s="22"/>
    </row>
    <row r="128">
      <c r="B128" s="22"/>
    </row>
    <row r="129">
      <c r="B129" s="22"/>
    </row>
    <row r="130">
      <c r="B130" s="22"/>
    </row>
    <row r="131">
      <c r="B131" s="22"/>
    </row>
    <row r="132">
      <c r="B132" s="22"/>
    </row>
    <row r="133">
      <c r="B133" s="22"/>
    </row>
    <row r="134">
      <c r="B134" s="22"/>
    </row>
    <row r="135">
      <c r="B135" s="22"/>
    </row>
    <row r="136">
      <c r="B136" s="22"/>
    </row>
    <row r="137">
      <c r="B137" s="22"/>
    </row>
    <row r="138">
      <c r="B138" s="22"/>
    </row>
    <row r="139">
      <c r="B139" s="22"/>
    </row>
    <row r="140">
      <c r="B140" s="22"/>
    </row>
    <row r="141">
      <c r="B141" s="22"/>
    </row>
    <row r="142">
      <c r="B142" s="22"/>
    </row>
    <row r="143">
      <c r="B143" s="22"/>
    </row>
    <row r="144">
      <c r="B144" s="22"/>
    </row>
    <row r="145">
      <c r="B145" s="22"/>
    </row>
    <row r="146">
      <c r="B146" s="22"/>
    </row>
    <row r="147">
      <c r="B147" s="22"/>
    </row>
    <row r="148">
      <c r="B148" s="22"/>
    </row>
    <row r="149">
      <c r="B149" s="22"/>
    </row>
    <row r="150">
      <c r="B150" s="22"/>
    </row>
    <row r="151">
      <c r="B151" s="22"/>
    </row>
    <row r="152">
      <c r="B152" s="22"/>
    </row>
    <row r="153">
      <c r="B153" s="22"/>
    </row>
    <row r="154">
      <c r="B154" s="22"/>
    </row>
    <row r="155">
      <c r="B155" s="22"/>
    </row>
    <row r="156">
      <c r="B156" s="22"/>
    </row>
    <row r="157">
      <c r="B157" s="22"/>
    </row>
    <row r="158">
      <c r="B158" s="22"/>
    </row>
    <row r="159">
      <c r="B159" s="22"/>
    </row>
    <row r="160">
      <c r="B160" s="22"/>
    </row>
    <row r="161">
      <c r="B161" s="22"/>
    </row>
    <row r="162">
      <c r="B162" s="22"/>
    </row>
    <row r="163">
      <c r="B163" s="22"/>
    </row>
    <row r="164">
      <c r="B164" s="22"/>
    </row>
    <row r="165">
      <c r="B165" s="22"/>
    </row>
    <row r="166">
      <c r="B166" s="22"/>
    </row>
    <row r="167">
      <c r="B167" s="22"/>
    </row>
    <row r="168">
      <c r="B168" s="22"/>
    </row>
    <row r="169">
      <c r="B169" s="22"/>
    </row>
    <row r="170">
      <c r="B170" s="22"/>
    </row>
    <row r="171">
      <c r="B171" s="22"/>
    </row>
    <row r="172">
      <c r="B172" s="22"/>
    </row>
    <row r="173">
      <c r="B173" s="22"/>
    </row>
    <row r="174">
      <c r="B174" s="22"/>
    </row>
    <row r="175">
      <c r="B175" s="22"/>
    </row>
    <row r="176">
      <c r="B176" s="22"/>
    </row>
    <row r="177">
      <c r="B177" s="22"/>
    </row>
    <row r="178">
      <c r="B178" s="22"/>
    </row>
    <row r="179">
      <c r="B179" s="22"/>
    </row>
    <row r="180">
      <c r="B180" s="22"/>
    </row>
    <row r="181">
      <c r="B181" s="22"/>
    </row>
    <row r="182">
      <c r="B182" s="22"/>
    </row>
    <row r="183">
      <c r="B183" s="22"/>
    </row>
    <row r="184">
      <c r="B184" s="22"/>
    </row>
    <row r="185">
      <c r="B185" s="22"/>
    </row>
    <row r="186">
      <c r="B186" s="22"/>
    </row>
    <row r="187">
      <c r="B187" s="22"/>
    </row>
    <row r="188">
      <c r="B188" s="22"/>
    </row>
    <row r="189">
      <c r="B189" s="22"/>
    </row>
    <row r="190">
      <c r="B190" s="22"/>
    </row>
    <row r="191">
      <c r="B191" s="22"/>
    </row>
    <row r="192">
      <c r="B192" s="22"/>
    </row>
    <row r="193">
      <c r="B193" s="22"/>
    </row>
    <row r="194">
      <c r="B194" s="22"/>
    </row>
    <row r="195">
      <c r="B195" s="22"/>
    </row>
    <row r="196">
      <c r="B196" s="22"/>
    </row>
    <row r="197">
      <c r="B197" s="22"/>
    </row>
    <row r="198">
      <c r="B198" s="22"/>
    </row>
    <row r="199">
      <c r="B199" s="22"/>
    </row>
    <row r="200">
      <c r="B200" s="22"/>
    </row>
    <row r="201">
      <c r="B201" s="22"/>
    </row>
    <row r="202">
      <c r="B202" s="22"/>
    </row>
    <row r="203">
      <c r="B203" s="22"/>
    </row>
    <row r="204">
      <c r="B204" s="22"/>
    </row>
    <row r="205">
      <c r="B205" s="22"/>
    </row>
    <row r="206">
      <c r="B206" s="22"/>
    </row>
    <row r="207">
      <c r="B207" s="22"/>
    </row>
    <row r="208">
      <c r="B208" s="22"/>
    </row>
    <row r="209">
      <c r="B209" s="22"/>
    </row>
    <row r="210">
      <c r="B210" s="22"/>
    </row>
    <row r="211">
      <c r="B211" s="22"/>
    </row>
    <row r="212">
      <c r="B212" s="22"/>
    </row>
    <row r="213">
      <c r="B213" s="22"/>
    </row>
    <row r="214">
      <c r="B214" s="22"/>
    </row>
    <row r="215">
      <c r="B215" s="22"/>
    </row>
    <row r="216">
      <c r="B216" s="22"/>
    </row>
    <row r="217">
      <c r="B217" s="22"/>
    </row>
    <row r="218">
      <c r="B218" s="22"/>
    </row>
    <row r="219">
      <c r="B219" s="22"/>
    </row>
    <row r="220">
      <c r="B220" s="22"/>
    </row>
    <row r="221">
      <c r="B221" s="22"/>
    </row>
    <row r="222">
      <c r="B222" s="22"/>
    </row>
    <row r="223">
      <c r="B223" s="22"/>
    </row>
    <row r="224">
      <c r="B224" s="22"/>
    </row>
    <row r="225">
      <c r="B225" s="22"/>
    </row>
    <row r="226">
      <c r="B226" s="22"/>
    </row>
    <row r="227">
      <c r="B227" s="22"/>
    </row>
    <row r="228">
      <c r="B228" s="22"/>
    </row>
    <row r="229">
      <c r="B229" s="22"/>
    </row>
    <row r="230">
      <c r="B230" s="22"/>
    </row>
    <row r="231">
      <c r="B231" s="22"/>
    </row>
    <row r="232">
      <c r="B232" s="22"/>
    </row>
    <row r="233">
      <c r="B233" s="22"/>
    </row>
    <row r="234">
      <c r="B234" s="22"/>
    </row>
    <row r="235">
      <c r="B235" s="22"/>
    </row>
    <row r="236">
      <c r="B236" s="22"/>
    </row>
    <row r="237">
      <c r="B237" s="22"/>
    </row>
    <row r="238">
      <c r="B238" s="22"/>
    </row>
    <row r="239">
      <c r="B239" s="22"/>
    </row>
    <row r="240">
      <c r="B240" s="22"/>
    </row>
    <row r="241">
      <c r="B241" s="22"/>
    </row>
    <row r="242">
      <c r="B242" s="22"/>
    </row>
    <row r="243">
      <c r="B243" s="22"/>
    </row>
    <row r="244">
      <c r="B244" s="22"/>
    </row>
    <row r="245">
      <c r="B245" s="22"/>
    </row>
    <row r="246">
      <c r="B246" s="22"/>
    </row>
    <row r="247">
      <c r="B247" s="22"/>
    </row>
    <row r="248">
      <c r="B248" s="22"/>
    </row>
    <row r="249">
      <c r="B249" s="22"/>
    </row>
    <row r="250">
      <c r="B250" s="22"/>
    </row>
    <row r="251">
      <c r="B251" s="22"/>
    </row>
    <row r="252">
      <c r="B252" s="22"/>
    </row>
    <row r="253">
      <c r="B253" s="22"/>
    </row>
    <row r="254">
      <c r="B254" s="22"/>
    </row>
    <row r="255">
      <c r="B255" s="22"/>
    </row>
    <row r="256">
      <c r="B256" s="22"/>
    </row>
    <row r="257">
      <c r="B257" s="22"/>
    </row>
    <row r="258">
      <c r="B258" s="22"/>
    </row>
    <row r="259">
      <c r="B259" s="22"/>
    </row>
    <row r="260">
      <c r="B260" s="22"/>
    </row>
    <row r="261">
      <c r="B261" s="22"/>
    </row>
    <row r="262">
      <c r="B262" s="22"/>
    </row>
    <row r="263">
      <c r="B263" s="22"/>
    </row>
    <row r="264">
      <c r="B264" s="22"/>
    </row>
    <row r="265">
      <c r="B265" s="22"/>
    </row>
    <row r="266">
      <c r="B266" s="22"/>
    </row>
    <row r="267">
      <c r="B267" s="22"/>
    </row>
    <row r="268">
      <c r="B268" s="22"/>
    </row>
    <row r="269">
      <c r="B269" s="22"/>
    </row>
    <row r="270">
      <c r="B270" s="22"/>
    </row>
    <row r="271">
      <c r="B271" s="22"/>
    </row>
    <row r="272">
      <c r="B272" s="22"/>
    </row>
    <row r="273">
      <c r="B273" s="22"/>
    </row>
    <row r="274">
      <c r="B274" s="22"/>
    </row>
    <row r="275">
      <c r="B275" s="22"/>
    </row>
    <row r="276">
      <c r="B276" s="22"/>
    </row>
    <row r="277">
      <c r="B277" s="22"/>
    </row>
    <row r="278">
      <c r="B278" s="22"/>
    </row>
    <row r="279">
      <c r="B279" s="22"/>
    </row>
    <row r="280">
      <c r="B280" s="22"/>
    </row>
    <row r="281">
      <c r="B281" s="22"/>
    </row>
    <row r="282">
      <c r="B282" s="22"/>
    </row>
    <row r="283">
      <c r="B283" s="22"/>
    </row>
    <row r="284">
      <c r="B284" s="22"/>
    </row>
    <row r="285">
      <c r="B285" s="22"/>
    </row>
    <row r="286">
      <c r="B286" s="22"/>
    </row>
    <row r="287">
      <c r="B287" s="22"/>
    </row>
    <row r="288">
      <c r="B288" s="22"/>
    </row>
    <row r="289">
      <c r="B289" s="22"/>
    </row>
    <row r="290">
      <c r="B290" s="22"/>
    </row>
    <row r="291">
      <c r="B291" s="22"/>
    </row>
    <row r="292">
      <c r="B292" s="22"/>
    </row>
    <row r="293">
      <c r="B293" s="22"/>
    </row>
    <row r="294">
      <c r="B294" s="22"/>
    </row>
    <row r="295">
      <c r="B295" s="22"/>
    </row>
    <row r="296">
      <c r="B296" s="22"/>
    </row>
    <row r="297">
      <c r="B297" s="22"/>
    </row>
    <row r="298">
      <c r="B298" s="22"/>
    </row>
    <row r="299">
      <c r="B299" s="22"/>
    </row>
    <row r="300">
      <c r="B300" s="22"/>
    </row>
    <row r="301">
      <c r="B301" s="22"/>
    </row>
    <row r="302">
      <c r="B302" s="22"/>
    </row>
    <row r="303">
      <c r="B303" s="22"/>
    </row>
    <row r="304">
      <c r="B304" s="22"/>
    </row>
    <row r="305">
      <c r="B305" s="22"/>
    </row>
    <row r="306">
      <c r="B306" s="22"/>
    </row>
    <row r="307">
      <c r="B307" s="22"/>
    </row>
    <row r="308">
      <c r="B308" s="22"/>
    </row>
    <row r="309">
      <c r="B309" s="22"/>
    </row>
    <row r="310">
      <c r="B310" s="22"/>
    </row>
    <row r="311">
      <c r="B311" s="22"/>
    </row>
    <row r="312">
      <c r="B312" s="22"/>
    </row>
    <row r="313">
      <c r="B313" s="22"/>
    </row>
    <row r="314">
      <c r="B314" s="22"/>
    </row>
    <row r="315">
      <c r="B315" s="22"/>
    </row>
    <row r="316">
      <c r="B316" s="22"/>
    </row>
    <row r="317">
      <c r="B317" s="22"/>
    </row>
    <row r="318">
      <c r="B318" s="22"/>
    </row>
    <row r="319">
      <c r="B319" s="22"/>
    </row>
    <row r="320">
      <c r="B320" s="22"/>
    </row>
    <row r="321">
      <c r="B321" s="22"/>
    </row>
    <row r="322">
      <c r="B322" s="22"/>
    </row>
    <row r="323">
      <c r="B323" s="22"/>
    </row>
    <row r="324">
      <c r="B324" s="22"/>
    </row>
    <row r="325">
      <c r="B325" s="22"/>
    </row>
    <row r="326">
      <c r="B326" s="22"/>
    </row>
    <row r="327">
      <c r="B327" s="22"/>
    </row>
    <row r="328">
      <c r="B328" s="22"/>
    </row>
    <row r="329">
      <c r="B329" s="22"/>
    </row>
    <row r="330">
      <c r="B330" s="22"/>
    </row>
    <row r="331">
      <c r="B331" s="22"/>
    </row>
    <row r="332">
      <c r="B332" s="22"/>
    </row>
    <row r="333">
      <c r="B333" s="22"/>
    </row>
    <row r="334">
      <c r="B334" s="22"/>
    </row>
    <row r="335">
      <c r="B335" s="22"/>
    </row>
    <row r="336">
      <c r="B336" s="22"/>
    </row>
    <row r="337">
      <c r="B337" s="22"/>
    </row>
    <row r="338">
      <c r="B338" s="22"/>
    </row>
    <row r="339">
      <c r="B339" s="22"/>
    </row>
    <row r="340">
      <c r="B340" s="22"/>
    </row>
    <row r="341">
      <c r="B341" s="22"/>
    </row>
    <row r="342">
      <c r="B342" s="22"/>
    </row>
    <row r="343">
      <c r="B343" s="22"/>
    </row>
    <row r="344">
      <c r="B344" s="22"/>
    </row>
    <row r="345">
      <c r="B345" s="22"/>
    </row>
    <row r="346">
      <c r="B346" s="22"/>
    </row>
    <row r="347">
      <c r="B347" s="22"/>
    </row>
    <row r="348">
      <c r="B348" s="22"/>
    </row>
    <row r="349">
      <c r="B349" s="22"/>
    </row>
    <row r="350">
      <c r="B350" s="22"/>
    </row>
    <row r="351">
      <c r="B351" s="22"/>
    </row>
    <row r="352">
      <c r="B352" s="22"/>
    </row>
    <row r="353">
      <c r="B353" s="22"/>
    </row>
    <row r="354">
      <c r="B354" s="22"/>
    </row>
    <row r="355">
      <c r="B355" s="22"/>
    </row>
    <row r="356">
      <c r="B356" s="22"/>
    </row>
    <row r="357">
      <c r="B357" s="22"/>
    </row>
    <row r="358">
      <c r="B358" s="22"/>
    </row>
    <row r="359">
      <c r="B359" s="22"/>
    </row>
    <row r="360">
      <c r="B360" s="22"/>
    </row>
    <row r="361">
      <c r="B361" s="22"/>
    </row>
    <row r="362">
      <c r="B362" s="22"/>
    </row>
    <row r="363">
      <c r="B363" s="22"/>
    </row>
    <row r="364">
      <c r="B364" s="22"/>
    </row>
    <row r="365">
      <c r="B365" s="22"/>
    </row>
    <row r="366">
      <c r="B366" s="22"/>
    </row>
    <row r="367">
      <c r="B367" s="22"/>
    </row>
    <row r="368">
      <c r="B368" s="22"/>
    </row>
    <row r="369">
      <c r="B369" s="22"/>
    </row>
    <row r="370">
      <c r="B370" s="22"/>
    </row>
    <row r="371">
      <c r="B371" s="22"/>
    </row>
    <row r="372">
      <c r="B372" s="22"/>
    </row>
    <row r="373">
      <c r="B373" s="22"/>
    </row>
    <row r="374">
      <c r="B374" s="22"/>
    </row>
    <row r="375">
      <c r="B375" s="22"/>
    </row>
    <row r="376">
      <c r="B376" s="22"/>
    </row>
    <row r="377">
      <c r="B377" s="22"/>
    </row>
    <row r="378">
      <c r="B378" s="22"/>
    </row>
    <row r="379">
      <c r="B379" s="22"/>
    </row>
    <row r="380">
      <c r="B380" s="22"/>
    </row>
    <row r="381">
      <c r="B381" s="22"/>
    </row>
    <row r="382">
      <c r="B382" s="22"/>
    </row>
    <row r="383">
      <c r="B383" s="22"/>
    </row>
    <row r="384">
      <c r="B384" s="22"/>
    </row>
    <row r="385">
      <c r="B385" s="22"/>
    </row>
    <row r="386">
      <c r="B386" s="22"/>
    </row>
    <row r="387">
      <c r="B387" s="22"/>
    </row>
    <row r="388">
      <c r="B388" s="22"/>
    </row>
    <row r="389">
      <c r="B389" s="22"/>
    </row>
    <row r="390">
      <c r="B390" s="22"/>
    </row>
    <row r="391">
      <c r="B391" s="22"/>
    </row>
    <row r="392">
      <c r="B392" s="22"/>
    </row>
    <row r="393">
      <c r="B393" s="22"/>
    </row>
    <row r="394">
      <c r="B394" s="22"/>
    </row>
    <row r="395">
      <c r="B395" s="22"/>
    </row>
    <row r="396">
      <c r="B396" s="22"/>
    </row>
    <row r="397">
      <c r="B397" s="22"/>
    </row>
    <row r="398">
      <c r="B398" s="22"/>
    </row>
    <row r="399">
      <c r="B399" s="22"/>
    </row>
    <row r="400">
      <c r="B400" s="22"/>
    </row>
    <row r="401">
      <c r="B401" s="22"/>
    </row>
    <row r="402">
      <c r="B402" s="22"/>
    </row>
    <row r="403">
      <c r="B403" s="22"/>
    </row>
    <row r="404">
      <c r="B404" s="22"/>
    </row>
    <row r="405">
      <c r="B405" s="22"/>
    </row>
    <row r="406">
      <c r="B406" s="22"/>
    </row>
    <row r="407">
      <c r="B407" s="22"/>
    </row>
    <row r="408">
      <c r="B408" s="22"/>
    </row>
    <row r="409">
      <c r="B409" s="22"/>
    </row>
    <row r="410">
      <c r="B410" s="22"/>
    </row>
    <row r="411">
      <c r="B411" s="22"/>
    </row>
    <row r="412">
      <c r="B412" s="22"/>
    </row>
    <row r="413">
      <c r="B413" s="22"/>
    </row>
    <row r="414">
      <c r="B414" s="22"/>
    </row>
    <row r="415">
      <c r="B415" s="22"/>
    </row>
    <row r="416">
      <c r="B416" s="22"/>
    </row>
    <row r="417">
      <c r="B417" s="22"/>
    </row>
    <row r="418">
      <c r="B418" s="22"/>
    </row>
    <row r="419">
      <c r="B419" s="22"/>
    </row>
    <row r="420">
      <c r="B420" s="22"/>
    </row>
    <row r="421">
      <c r="B421" s="22"/>
    </row>
    <row r="422">
      <c r="B422" s="22"/>
    </row>
    <row r="423">
      <c r="B423" s="22"/>
    </row>
    <row r="424">
      <c r="B424" s="22"/>
    </row>
    <row r="425">
      <c r="B425" s="22"/>
    </row>
    <row r="426">
      <c r="B426" s="22"/>
    </row>
    <row r="427">
      <c r="B427" s="22"/>
    </row>
    <row r="428">
      <c r="B428" s="22"/>
    </row>
    <row r="429">
      <c r="B429" s="22"/>
    </row>
    <row r="430">
      <c r="B430" s="22"/>
    </row>
    <row r="431">
      <c r="B431" s="22"/>
    </row>
    <row r="432">
      <c r="B432" s="22"/>
    </row>
    <row r="433">
      <c r="B433" s="22"/>
    </row>
    <row r="434">
      <c r="B434" s="22"/>
    </row>
    <row r="435">
      <c r="B435" s="22"/>
    </row>
    <row r="436">
      <c r="B436" s="22"/>
    </row>
    <row r="437">
      <c r="B437" s="22"/>
    </row>
    <row r="438">
      <c r="B438" s="22"/>
    </row>
    <row r="439">
      <c r="B439" s="22"/>
    </row>
    <row r="440">
      <c r="B440" s="22"/>
    </row>
    <row r="441">
      <c r="B441" s="22"/>
    </row>
    <row r="442">
      <c r="B442" s="22"/>
    </row>
    <row r="443">
      <c r="B443" s="22"/>
    </row>
    <row r="444">
      <c r="B444" s="22"/>
    </row>
    <row r="445">
      <c r="B445" s="22"/>
    </row>
    <row r="446">
      <c r="B446" s="22"/>
    </row>
    <row r="447">
      <c r="B447" s="22"/>
    </row>
    <row r="448">
      <c r="B448" s="22"/>
    </row>
    <row r="449">
      <c r="B449" s="22"/>
    </row>
    <row r="450">
      <c r="B450" s="22"/>
    </row>
    <row r="451">
      <c r="B451" s="22"/>
    </row>
    <row r="452">
      <c r="B452" s="22"/>
    </row>
    <row r="453">
      <c r="B453" s="22"/>
    </row>
    <row r="454">
      <c r="B454" s="22"/>
    </row>
    <row r="455">
      <c r="B455" s="22"/>
    </row>
    <row r="456">
      <c r="B456" s="22"/>
    </row>
    <row r="457">
      <c r="B457" s="22"/>
    </row>
    <row r="458">
      <c r="B458" s="22"/>
    </row>
    <row r="459">
      <c r="B459" s="22"/>
    </row>
    <row r="460">
      <c r="B460" s="22"/>
    </row>
    <row r="461">
      <c r="B461" s="22"/>
    </row>
    <row r="462">
      <c r="B462" s="22"/>
    </row>
    <row r="463">
      <c r="B463" s="22"/>
    </row>
    <row r="464">
      <c r="B464" s="22"/>
    </row>
    <row r="465">
      <c r="B465" s="22"/>
    </row>
    <row r="466">
      <c r="B466" s="22"/>
    </row>
    <row r="467">
      <c r="B467" s="22"/>
    </row>
    <row r="468">
      <c r="B468" s="22"/>
    </row>
    <row r="469">
      <c r="B469" s="22"/>
    </row>
    <row r="470">
      <c r="B470" s="22"/>
    </row>
    <row r="471">
      <c r="B471" s="22"/>
    </row>
    <row r="472">
      <c r="B472" s="22"/>
    </row>
    <row r="473">
      <c r="B473" s="22"/>
    </row>
    <row r="474">
      <c r="B474" s="22"/>
    </row>
    <row r="475">
      <c r="B475" s="22"/>
    </row>
    <row r="476">
      <c r="B476" s="22"/>
    </row>
    <row r="477">
      <c r="B477" s="22"/>
    </row>
    <row r="478">
      <c r="B478" s="22"/>
    </row>
    <row r="479">
      <c r="B479" s="22"/>
    </row>
    <row r="480">
      <c r="B480" s="22"/>
    </row>
    <row r="481">
      <c r="B481" s="22"/>
    </row>
    <row r="482">
      <c r="B482" s="22"/>
    </row>
    <row r="483">
      <c r="B483" s="22"/>
    </row>
    <row r="484">
      <c r="B484" s="22"/>
    </row>
    <row r="485">
      <c r="B485" s="22"/>
    </row>
    <row r="486">
      <c r="B486" s="22"/>
    </row>
    <row r="487">
      <c r="B487" s="22"/>
    </row>
    <row r="488">
      <c r="B488" s="22"/>
    </row>
    <row r="489">
      <c r="B489" s="22"/>
    </row>
    <row r="490">
      <c r="B490" s="22"/>
    </row>
    <row r="491">
      <c r="B491" s="22"/>
    </row>
    <row r="492">
      <c r="B492" s="22"/>
    </row>
    <row r="493">
      <c r="B493" s="22"/>
    </row>
    <row r="494">
      <c r="B494" s="22"/>
    </row>
    <row r="495">
      <c r="B495" s="22"/>
    </row>
    <row r="496">
      <c r="B496" s="22"/>
    </row>
    <row r="497">
      <c r="B497" s="22"/>
    </row>
    <row r="498">
      <c r="B498" s="22"/>
    </row>
    <row r="499">
      <c r="B499" s="22"/>
    </row>
    <row r="500">
      <c r="B500" s="22"/>
    </row>
    <row r="501">
      <c r="B501" s="22"/>
    </row>
    <row r="502">
      <c r="B502" s="22"/>
    </row>
    <row r="503">
      <c r="B503" s="22"/>
    </row>
    <row r="504">
      <c r="B504" s="22"/>
    </row>
    <row r="505">
      <c r="B505" s="22"/>
    </row>
    <row r="506">
      <c r="B506" s="22"/>
    </row>
    <row r="507">
      <c r="B507" s="22"/>
    </row>
    <row r="508">
      <c r="B508" s="22"/>
    </row>
    <row r="509">
      <c r="B509" s="22"/>
    </row>
    <row r="510">
      <c r="B510" s="22"/>
    </row>
    <row r="511">
      <c r="B511" s="22"/>
    </row>
    <row r="512">
      <c r="B512" s="22"/>
    </row>
    <row r="513">
      <c r="B513" s="22"/>
    </row>
    <row r="514">
      <c r="B514" s="22"/>
    </row>
    <row r="515">
      <c r="B515" s="22"/>
    </row>
    <row r="516">
      <c r="B516" s="22"/>
    </row>
    <row r="517">
      <c r="B517" s="22"/>
    </row>
    <row r="518">
      <c r="B518" s="22"/>
    </row>
    <row r="519">
      <c r="B519" s="22"/>
    </row>
    <row r="520">
      <c r="B520" s="22"/>
    </row>
    <row r="521">
      <c r="B521" s="22"/>
    </row>
    <row r="522">
      <c r="B522" s="22"/>
    </row>
    <row r="523">
      <c r="B523" s="22"/>
    </row>
    <row r="524">
      <c r="B524" s="22"/>
    </row>
    <row r="525">
      <c r="B525" s="22"/>
    </row>
    <row r="526">
      <c r="B526" s="22"/>
    </row>
    <row r="527">
      <c r="B527" s="22"/>
    </row>
    <row r="528">
      <c r="B528" s="22"/>
    </row>
    <row r="529">
      <c r="B529" s="22"/>
    </row>
    <row r="530">
      <c r="B530" s="22"/>
    </row>
    <row r="531">
      <c r="B531" s="22"/>
    </row>
    <row r="532">
      <c r="B532" s="22"/>
    </row>
    <row r="533">
      <c r="B533" s="22"/>
    </row>
    <row r="534">
      <c r="B534" s="22"/>
    </row>
    <row r="535">
      <c r="B535" s="22"/>
    </row>
    <row r="536">
      <c r="B536" s="22"/>
    </row>
    <row r="537">
      <c r="B537" s="22"/>
    </row>
    <row r="538">
      <c r="B538" s="22"/>
    </row>
    <row r="539">
      <c r="B539" s="22"/>
    </row>
    <row r="540">
      <c r="B540" s="22"/>
    </row>
    <row r="541">
      <c r="B541" s="22"/>
    </row>
    <row r="542">
      <c r="B542" s="22"/>
    </row>
    <row r="543">
      <c r="B543" s="22"/>
    </row>
    <row r="544">
      <c r="B544" s="22"/>
    </row>
    <row r="545">
      <c r="B545" s="22"/>
    </row>
    <row r="546">
      <c r="B546" s="22"/>
    </row>
    <row r="547">
      <c r="B547" s="22"/>
    </row>
    <row r="548">
      <c r="B548" s="22"/>
    </row>
    <row r="549">
      <c r="B549" s="22"/>
    </row>
    <row r="550">
      <c r="B550" s="22"/>
    </row>
    <row r="551">
      <c r="B551" s="22"/>
    </row>
    <row r="552">
      <c r="B552" s="22"/>
    </row>
    <row r="553">
      <c r="B553" s="22"/>
    </row>
    <row r="554">
      <c r="B554" s="22"/>
    </row>
    <row r="555">
      <c r="B555" s="22"/>
    </row>
    <row r="556">
      <c r="B556" s="22"/>
    </row>
    <row r="557">
      <c r="B557" s="22"/>
    </row>
    <row r="558">
      <c r="B558" s="22"/>
    </row>
    <row r="559">
      <c r="B559" s="22"/>
    </row>
    <row r="560">
      <c r="B560" s="22"/>
    </row>
    <row r="561">
      <c r="B561" s="22"/>
    </row>
    <row r="562">
      <c r="B562" s="22"/>
    </row>
    <row r="563">
      <c r="B563" s="22"/>
    </row>
    <row r="564">
      <c r="B564" s="22"/>
    </row>
    <row r="565">
      <c r="B565" s="22"/>
    </row>
    <row r="566">
      <c r="B566" s="22"/>
    </row>
    <row r="567">
      <c r="B567" s="22"/>
    </row>
    <row r="568">
      <c r="B568" s="22"/>
    </row>
    <row r="569">
      <c r="B569" s="22"/>
    </row>
    <row r="570">
      <c r="B570" s="22"/>
    </row>
    <row r="571">
      <c r="B571" s="22"/>
    </row>
    <row r="572">
      <c r="B572" s="22"/>
    </row>
    <row r="573">
      <c r="B573" s="22"/>
    </row>
    <row r="574">
      <c r="B574" s="22"/>
    </row>
    <row r="575">
      <c r="B575" s="22"/>
    </row>
    <row r="576">
      <c r="B576" s="22"/>
    </row>
    <row r="577">
      <c r="B577" s="22"/>
    </row>
    <row r="578">
      <c r="B578" s="22"/>
    </row>
    <row r="579">
      <c r="B579" s="22"/>
    </row>
    <row r="580">
      <c r="B580" s="22"/>
    </row>
    <row r="581">
      <c r="B581" s="22"/>
    </row>
    <row r="582">
      <c r="B582" s="22"/>
    </row>
    <row r="583">
      <c r="B583" s="22"/>
    </row>
    <row r="584">
      <c r="B584" s="22"/>
    </row>
    <row r="585">
      <c r="B585" s="22"/>
    </row>
    <row r="586">
      <c r="B586" s="22"/>
    </row>
    <row r="587">
      <c r="B587" s="22"/>
    </row>
    <row r="588">
      <c r="B588" s="22"/>
    </row>
    <row r="589">
      <c r="B589" s="22"/>
    </row>
    <row r="590">
      <c r="B590" s="22"/>
    </row>
    <row r="591">
      <c r="B591" s="22"/>
    </row>
    <row r="592">
      <c r="B592" s="22"/>
    </row>
    <row r="593">
      <c r="B593" s="22"/>
    </row>
    <row r="594">
      <c r="B594" s="22"/>
    </row>
    <row r="595">
      <c r="B595" s="22"/>
    </row>
    <row r="596">
      <c r="B596" s="22"/>
    </row>
    <row r="597">
      <c r="B597" s="22"/>
    </row>
    <row r="598">
      <c r="B598" s="22"/>
    </row>
    <row r="599">
      <c r="B599" s="22"/>
    </row>
    <row r="600">
      <c r="B600" s="22"/>
    </row>
    <row r="601">
      <c r="B601" s="22"/>
    </row>
    <row r="602">
      <c r="B602" s="22"/>
    </row>
    <row r="603">
      <c r="B603" s="22"/>
    </row>
    <row r="604">
      <c r="B604" s="22"/>
    </row>
    <row r="605">
      <c r="B605" s="22"/>
    </row>
    <row r="606">
      <c r="B606" s="22"/>
    </row>
    <row r="607">
      <c r="B607" s="22"/>
    </row>
    <row r="608">
      <c r="B608" s="22"/>
    </row>
    <row r="609">
      <c r="B609" s="22"/>
    </row>
    <row r="610">
      <c r="B610" s="22"/>
    </row>
    <row r="611">
      <c r="B611" s="22"/>
    </row>
    <row r="612">
      <c r="B612" s="22"/>
    </row>
    <row r="613">
      <c r="B613" s="22"/>
    </row>
    <row r="614">
      <c r="B614" s="22"/>
    </row>
    <row r="615">
      <c r="B615" s="22"/>
    </row>
    <row r="616">
      <c r="B616" s="22"/>
    </row>
    <row r="617">
      <c r="B617" s="22"/>
    </row>
    <row r="618">
      <c r="B618" s="22"/>
    </row>
    <row r="619">
      <c r="B619" s="22"/>
    </row>
    <row r="620">
      <c r="B620" s="22"/>
    </row>
    <row r="621">
      <c r="B621" s="22"/>
    </row>
    <row r="622">
      <c r="B622" s="22"/>
    </row>
    <row r="623">
      <c r="B623" s="22"/>
    </row>
    <row r="624">
      <c r="B624" s="22"/>
    </row>
    <row r="625">
      <c r="B625" s="22"/>
    </row>
    <row r="626">
      <c r="B626" s="22"/>
    </row>
    <row r="627">
      <c r="B627" s="22"/>
    </row>
    <row r="628">
      <c r="B628" s="22"/>
    </row>
    <row r="629">
      <c r="B629" s="22"/>
    </row>
    <row r="630">
      <c r="B630" s="22"/>
    </row>
    <row r="631">
      <c r="B631" s="22"/>
    </row>
    <row r="632">
      <c r="B632" s="22"/>
    </row>
    <row r="633">
      <c r="B633" s="22"/>
    </row>
    <row r="634">
      <c r="B634" s="22"/>
    </row>
    <row r="635">
      <c r="B635" s="22"/>
    </row>
    <row r="636">
      <c r="B636" s="22"/>
    </row>
    <row r="637">
      <c r="B637" s="22"/>
    </row>
    <row r="638">
      <c r="B638" s="22"/>
    </row>
    <row r="639">
      <c r="B639" s="22"/>
    </row>
    <row r="640">
      <c r="B640" s="22"/>
    </row>
    <row r="641">
      <c r="B641" s="22"/>
    </row>
    <row r="642">
      <c r="B642" s="22"/>
    </row>
    <row r="643">
      <c r="B643" s="22"/>
    </row>
    <row r="644">
      <c r="B644" s="22"/>
    </row>
    <row r="645">
      <c r="B645" s="22"/>
    </row>
    <row r="646">
      <c r="B646" s="22"/>
    </row>
    <row r="647">
      <c r="B647" s="22"/>
    </row>
    <row r="648">
      <c r="B648" s="22"/>
    </row>
    <row r="649">
      <c r="B649" s="22"/>
    </row>
    <row r="650">
      <c r="B650" s="22"/>
    </row>
    <row r="651">
      <c r="B651" s="22"/>
    </row>
    <row r="652">
      <c r="B652" s="22"/>
    </row>
    <row r="653">
      <c r="B653" s="22"/>
    </row>
    <row r="654">
      <c r="B654" s="22"/>
    </row>
    <row r="655">
      <c r="B655" s="22"/>
    </row>
    <row r="656">
      <c r="B656" s="22"/>
    </row>
    <row r="657">
      <c r="B657" s="22"/>
    </row>
    <row r="658">
      <c r="B658" s="22"/>
    </row>
    <row r="659">
      <c r="B659" s="22"/>
    </row>
    <row r="660">
      <c r="B660" s="22"/>
    </row>
    <row r="661">
      <c r="B661" s="22"/>
    </row>
    <row r="662">
      <c r="B662" s="22"/>
    </row>
    <row r="663">
      <c r="B663" s="22"/>
    </row>
    <row r="664">
      <c r="B664" s="22"/>
    </row>
    <row r="665">
      <c r="B665" s="22"/>
    </row>
    <row r="666">
      <c r="B666" s="22"/>
    </row>
    <row r="667">
      <c r="B667" s="22"/>
    </row>
    <row r="668">
      <c r="B668" s="22"/>
    </row>
    <row r="669">
      <c r="B669" s="22"/>
    </row>
    <row r="670">
      <c r="B670" s="22"/>
    </row>
    <row r="671">
      <c r="B671" s="22"/>
    </row>
    <row r="672">
      <c r="B672" s="22"/>
    </row>
    <row r="673">
      <c r="B673" s="22"/>
    </row>
    <row r="674">
      <c r="B674" s="22"/>
    </row>
    <row r="675">
      <c r="B675" s="22"/>
    </row>
    <row r="676">
      <c r="B676" s="22"/>
    </row>
    <row r="677">
      <c r="B677" s="22"/>
    </row>
    <row r="678">
      <c r="B678" s="22"/>
    </row>
    <row r="679">
      <c r="B679" s="22"/>
    </row>
    <row r="680">
      <c r="B680" s="22"/>
    </row>
    <row r="681">
      <c r="B681" s="22"/>
    </row>
    <row r="682">
      <c r="B682" s="22"/>
    </row>
    <row r="683">
      <c r="B683" s="22"/>
    </row>
    <row r="684">
      <c r="B684" s="22"/>
    </row>
    <row r="685">
      <c r="B685" s="22"/>
    </row>
    <row r="686">
      <c r="B686" s="22"/>
    </row>
    <row r="687">
      <c r="B687" s="22"/>
    </row>
    <row r="688">
      <c r="B688" s="22"/>
    </row>
    <row r="689">
      <c r="B689" s="22"/>
    </row>
    <row r="690">
      <c r="B690" s="22"/>
    </row>
    <row r="691">
      <c r="B691" s="22"/>
    </row>
    <row r="692">
      <c r="B692" s="22"/>
    </row>
    <row r="693">
      <c r="B693" s="22"/>
    </row>
    <row r="694">
      <c r="B694" s="22"/>
    </row>
    <row r="695">
      <c r="B695" s="22"/>
    </row>
    <row r="696">
      <c r="B696" s="22"/>
    </row>
    <row r="697">
      <c r="B697" s="22"/>
    </row>
    <row r="698">
      <c r="B698" s="22"/>
    </row>
    <row r="699">
      <c r="B699" s="22"/>
    </row>
    <row r="700">
      <c r="B700" s="22"/>
    </row>
    <row r="701">
      <c r="B701" s="22"/>
    </row>
    <row r="702">
      <c r="B702" s="22"/>
    </row>
    <row r="703">
      <c r="B703" s="22"/>
    </row>
    <row r="704">
      <c r="B704" s="22"/>
    </row>
    <row r="705">
      <c r="B705" s="22"/>
    </row>
    <row r="706">
      <c r="B706" s="22"/>
    </row>
    <row r="707">
      <c r="B707" s="22"/>
    </row>
    <row r="708">
      <c r="B708" s="22"/>
    </row>
    <row r="709">
      <c r="B709" s="22"/>
    </row>
    <row r="710">
      <c r="B710" s="22"/>
    </row>
    <row r="711">
      <c r="B711" s="22"/>
    </row>
    <row r="712">
      <c r="B712" s="22"/>
    </row>
    <row r="713">
      <c r="B713" s="22"/>
    </row>
    <row r="714">
      <c r="B714" s="22"/>
    </row>
    <row r="715">
      <c r="B715" s="22"/>
    </row>
    <row r="716">
      <c r="B716" s="22"/>
    </row>
    <row r="717">
      <c r="B717" s="22"/>
    </row>
    <row r="718">
      <c r="B718" s="22"/>
    </row>
    <row r="719">
      <c r="B719" s="22"/>
    </row>
    <row r="720">
      <c r="B720" s="22"/>
    </row>
    <row r="721">
      <c r="B721" s="22"/>
    </row>
    <row r="722">
      <c r="B722" s="22"/>
    </row>
    <row r="723">
      <c r="B723" s="22"/>
    </row>
    <row r="724">
      <c r="B724" s="22"/>
    </row>
    <row r="725">
      <c r="B725" s="22"/>
    </row>
    <row r="726">
      <c r="B726" s="22"/>
    </row>
    <row r="727">
      <c r="B727" s="22"/>
    </row>
    <row r="728">
      <c r="B728" s="22"/>
    </row>
    <row r="729">
      <c r="B729" s="22"/>
    </row>
    <row r="730">
      <c r="B730" s="22"/>
    </row>
    <row r="731">
      <c r="B731" s="22"/>
    </row>
    <row r="732">
      <c r="B732" s="22"/>
    </row>
    <row r="733">
      <c r="B733" s="22"/>
    </row>
    <row r="734">
      <c r="B734" s="22"/>
    </row>
    <row r="735">
      <c r="B735" s="22"/>
    </row>
    <row r="736">
      <c r="B736" s="22"/>
    </row>
    <row r="737">
      <c r="B737" s="22"/>
    </row>
    <row r="738">
      <c r="B738" s="22"/>
    </row>
    <row r="739">
      <c r="B739" s="22"/>
    </row>
    <row r="740">
      <c r="B740" s="22"/>
    </row>
    <row r="741">
      <c r="B741" s="22"/>
    </row>
    <row r="742">
      <c r="B742" s="22"/>
    </row>
    <row r="743">
      <c r="B743" s="22"/>
    </row>
    <row r="744">
      <c r="B744" s="22"/>
    </row>
    <row r="745">
      <c r="B745" s="22"/>
    </row>
    <row r="746">
      <c r="B746" s="22"/>
    </row>
    <row r="747">
      <c r="B747" s="22"/>
    </row>
    <row r="748">
      <c r="B748" s="22"/>
    </row>
    <row r="749">
      <c r="B749" s="22"/>
    </row>
    <row r="750">
      <c r="B750" s="22"/>
    </row>
    <row r="751">
      <c r="B751" s="22"/>
    </row>
    <row r="752">
      <c r="B752" s="22"/>
    </row>
    <row r="753">
      <c r="B753" s="22"/>
    </row>
    <row r="754">
      <c r="B754" s="22"/>
    </row>
    <row r="755">
      <c r="B755" s="22"/>
    </row>
    <row r="756">
      <c r="B756" s="22"/>
    </row>
    <row r="757">
      <c r="B757" s="22"/>
    </row>
    <row r="758">
      <c r="B758" s="22"/>
    </row>
    <row r="759">
      <c r="B759" s="22"/>
    </row>
    <row r="760">
      <c r="B760" s="22"/>
    </row>
    <row r="761">
      <c r="B761" s="22"/>
    </row>
    <row r="762">
      <c r="B762" s="22"/>
    </row>
    <row r="763">
      <c r="B763" s="22"/>
    </row>
    <row r="764">
      <c r="B764" s="22"/>
    </row>
    <row r="765">
      <c r="B765" s="22"/>
    </row>
    <row r="766">
      <c r="B766" s="22"/>
    </row>
    <row r="767">
      <c r="B767" s="22"/>
    </row>
    <row r="768">
      <c r="B768" s="22"/>
    </row>
    <row r="769">
      <c r="B769" s="22"/>
    </row>
    <row r="770">
      <c r="B770" s="22"/>
    </row>
    <row r="771">
      <c r="B771" s="22"/>
    </row>
    <row r="772">
      <c r="B772" s="22"/>
    </row>
    <row r="773">
      <c r="B773" s="22"/>
    </row>
    <row r="774">
      <c r="B774" s="22"/>
    </row>
    <row r="775">
      <c r="B775" s="22"/>
    </row>
    <row r="776">
      <c r="B776" s="22"/>
    </row>
    <row r="777">
      <c r="B777" s="22"/>
    </row>
    <row r="778">
      <c r="B778" s="22"/>
    </row>
    <row r="779">
      <c r="B779" s="22"/>
    </row>
    <row r="780">
      <c r="B780" s="22"/>
    </row>
    <row r="781">
      <c r="B781" s="22"/>
    </row>
    <row r="782">
      <c r="B782" s="22"/>
    </row>
    <row r="783">
      <c r="B783" s="22"/>
    </row>
    <row r="784">
      <c r="B784" s="22"/>
    </row>
    <row r="785">
      <c r="B785" s="22"/>
    </row>
    <row r="786">
      <c r="B786" s="22"/>
    </row>
    <row r="787">
      <c r="B787" s="22"/>
    </row>
    <row r="788">
      <c r="B788" s="22"/>
    </row>
    <row r="789">
      <c r="B789" s="22"/>
    </row>
    <row r="790">
      <c r="B790" s="22"/>
    </row>
    <row r="791">
      <c r="B791" s="22"/>
    </row>
    <row r="792">
      <c r="B792" s="22"/>
    </row>
    <row r="793">
      <c r="B793" s="22"/>
    </row>
    <row r="794">
      <c r="B794" s="22"/>
    </row>
    <row r="795">
      <c r="B795" s="22"/>
    </row>
    <row r="796">
      <c r="B796" s="22"/>
    </row>
    <row r="797">
      <c r="B797" s="22"/>
    </row>
    <row r="798">
      <c r="B798" s="22"/>
    </row>
    <row r="799">
      <c r="B799" s="22"/>
    </row>
    <row r="800">
      <c r="B800" s="22"/>
    </row>
    <row r="801">
      <c r="B801" s="22"/>
    </row>
    <row r="802">
      <c r="B802" s="22"/>
    </row>
    <row r="803">
      <c r="B803" s="22"/>
    </row>
    <row r="804">
      <c r="B804" s="22"/>
    </row>
    <row r="805">
      <c r="B805" s="22"/>
    </row>
    <row r="806">
      <c r="B806" s="22"/>
    </row>
    <row r="807">
      <c r="B807" s="22"/>
    </row>
    <row r="808">
      <c r="B808" s="22"/>
    </row>
    <row r="809">
      <c r="B809" s="22"/>
    </row>
    <row r="810">
      <c r="B810" s="22"/>
    </row>
    <row r="811">
      <c r="B811" s="22"/>
    </row>
    <row r="812">
      <c r="B812" s="22"/>
    </row>
    <row r="813">
      <c r="B813" s="22"/>
    </row>
    <row r="814">
      <c r="B814" s="22"/>
    </row>
    <row r="815">
      <c r="B815" s="22"/>
    </row>
    <row r="816">
      <c r="B816" s="22"/>
    </row>
    <row r="817">
      <c r="B817" s="22"/>
    </row>
    <row r="818">
      <c r="B818" s="22"/>
    </row>
    <row r="819">
      <c r="B819" s="22"/>
    </row>
    <row r="820">
      <c r="B820" s="22"/>
    </row>
    <row r="821">
      <c r="B821" s="22"/>
    </row>
    <row r="822">
      <c r="B822" s="22"/>
    </row>
    <row r="823">
      <c r="B823" s="22"/>
    </row>
    <row r="824">
      <c r="B824" s="22"/>
    </row>
    <row r="825">
      <c r="B825" s="22"/>
    </row>
    <row r="826">
      <c r="B826" s="22"/>
    </row>
    <row r="827">
      <c r="B827" s="22"/>
    </row>
    <row r="828">
      <c r="B828" s="22"/>
    </row>
    <row r="829">
      <c r="B829" s="22"/>
    </row>
    <row r="830">
      <c r="B830" s="22"/>
    </row>
    <row r="831">
      <c r="B831" s="22"/>
    </row>
    <row r="832">
      <c r="B832" s="22"/>
    </row>
    <row r="833">
      <c r="B833" s="22"/>
    </row>
    <row r="834">
      <c r="B834" s="22"/>
    </row>
    <row r="835">
      <c r="B835" s="22"/>
    </row>
    <row r="836">
      <c r="B836" s="22"/>
    </row>
    <row r="837">
      <c r="B837" s="22"/>
    </row>
    <row r="838">
      <c r="B838" s="22"/>
    </row>
    <row r="839">
      <c r="B839" s="22"/>
    </row>
    <row r="840">
      <c r="B840" s="22"/>
    </row>
    <row r="841">
      <c r="B841" s="22"/>
    </row>
    <row r="842">
      <c r="B842" s="22"/>
    </row>
    <row r="843">
      <c r="B843" s="22"/>
    </row>
    <row r="844">
      <c r="B844" s="22"/>
    </row>
    <row r="845">
      <c r="B845" s="22"/>
    </row>
    <row r="846">
      <c r="B846" s="22"/>
    </row>
    <row r="847">
      <c r="B847" s="22"/>
    </row>
    <row r="848">
      <c r="B848" s="22"/>
    </row>
    <row r="849">
      <c r="B849" s="22"/>
    </row>
    <row r="850">
      <c r="B850" s="22"/>
    </row>
    <row r="851">
      <c r="B851" s="22"/>
    </row>
    <row r="852">
      <c r="B852" s="22"/>
    </row>
    <row r="853">
      <c r="B853" s="22"/>
    </row>
    <row r="854">
      <c r="B854" s="22"/>
    </row>
    <row r="855">
      <c r="B855" s="22"/>
    </row>
    <row r="856">
      <c r="B856" s="22"/>
    </row>
    <row r="857">
      <c r="B857" s="22"/>
    </row>
    <row r="858">
      <c r="B858" s="22"/>
    </row>
    <row r="859">
      <c r="B859" s="22"/>
    </row>
    <row r="860">
      <c r="B860" s="22"/>
    </row>
    <row r="861">
      <c r="B861" s="22"/>
    </row>
    <row r="862">
      <c r="B862" s="22"/>
    </row>
    <row r="863">
      <c r="B863" s="22"/>
    </row>
    <row r="864">
      <c r="B864" s="22"/>
    </row>
    <row r="865">
      <c r="B865" s="22"/>
    </row>
    <row r="866">
      <c r="B866" s="22"/>
    </row>
    <row r="867">
      <c r="B867" s="22"/>
    </row>
    <row r="868">
      <c r="B868" s="22"/>
    </row>
    <row r="869">
      <c r="B869" s="22"/>
    </row>
    <row r="870">
      <c r="B870" s="22"/>
    </row>
    <row r="871">
      <c r="B871" s="22"/>
    </row>
    <row r="872">
      <c r="B872" s="22"/>
    </row>
    <row r="873">
      <c r="B873" s="22"/>
    </row>
    <row r="874">
      <c r="B874" s="22"/>
    </row>
    <row r="875">
      <c r="B875" s="22"/>
    </row>
    <row r="876">
      <c r="B876" s="22"/>
    </row>
    <row r="877">
      <c r="B877" s="22"/>
    </row>
    <row r="878">
      <c r="B878" s="22"/>
    </row>
    <row r="879">
      <c r="B879" s="22"/>
    </row>
    <row r="880">
      <c r="B880" s="22"/>
    </row>
    <row r="881">
      <c r="B881" s="22"/>
    </row>
    <row r="882">
      <c r="B882" s="22"/>
    </row>
    <row r="883">
      <c r="B883" s="22"/>
    </row>
    <row r="884">
      <c r="B884" s="22"/>
    </row>
    <row r="885">
      <c r="B885" s="22"/>
    </row>
    <row r="886">
      <c r="B886" s="22"/>
    </row>
    <row r="887">
      <c r="B887" s="22"/>
    </row>
    <row r="888">
      <c r="B888" s="22"/>
    </row>
    <row r="889">
      <c r="B889" s="22"/>
    </row>
    <row r="890">
      <c r="B890" s="22"/>
    </row>
    <row r="891">
      <c r="B891" s="22"/>
    </row>
    <row r="892">
      <c r="B892" s="22"/>
    </row>
    <row r="893">
      <c r="B893" s="22"/>
    </row>
    <row r="894">
      <c r="B894" s="22"/>
    </row>
    <row r="895">
      <c r="B895" s="22"/>
    </row>
    <row r="896">
      <c r="B896" s="22"/>
    </row>
    <row r="897">
      <c r="B897" s="22"/>
    </row>
    <row r="898">
      <c r="B898" s="22"/>
    </row>
    <row r="899">
      <c r="B899" s="22"/>
    </row>
    <row r="900">
      <c r="B900" s="22"/>
    </row>
    <row r="901">
      <c r="B901" s="22"/>
    </row>
    <row r="902">
      <c r="B902" s="22"/>
    </row>
    <row r="903">
      <c r="B903" s="22"/>
    </row>
    <row r="904">
      <c r="B904" s="22"/>
    </row>
    <row r="905">
      <c r="B905" s="22"/>
    </row>
    <row r="906">
      <c r="B906" s="22"/>
    </row>
    <row r="907">
      <c r="B907" s="22"/>
    </row>
    <row r="908">
      <c r="B908" s="22"/>
    </row>
    <row r="909">
      <c r="B909" s="22"/>
    </row>
    <row r="910">
      <c r="B910" s="22"/>
    </row>
    <row r="911">
      <c r="B911" s="22"/>
    </row>
    <row r="912">
      <c r="B912" s="22"/>
    </row>
    <row r="913">
      <c r="B913" s="22"/>
    </row>
    <row r="914">
      <c r="B914" s="22"/>
    </row>
    <row r="915">
      <c r="B915" s="22"/>
    </row>
    <row r="916">
      <c r="B916" s="22"/>
    </row>
    <row r="917">
      <c r="B917" s="22"/>
    </row>
    <row r="918">
      <c r="B918" s="22"/>
    </row>
    <row r="919">
      <c r="B919" s="22"/>
    </row>
    <row r="920">
      <c r="B920" s="22"/>
    </row>
    <row r="921">
      <c r="B921" s="22"/>
    </row>
    <row r="922">
      <c r="B922" s="22"/>
    </row>
    <row r="923">
      <c r="B923" s="22"/>
    </row>
    <row r="924">
      <c r="B924" s="22"/>
    </row>
    <row r="925">
      <c r="B925" s="22"/>
    </row>
    <row r="926">
      <c r="B926" s="22"/>
    </row>
    <row r="927">
      <c r="B927" s="22"/>
    </row>
    <row r="928">
      <c r="B928" s="22"/>
    </row>
    <row r="929">
      <c r="B929" s="22"/>
    </row>
    <row r="930">
      <c r="B930" s="22"/>
    </row>
    <row r="931">
      <c r="B931" s="22"/>
    </row>
    <row r="932">
      <c r="B932" s="22"/>
    </row>
    <row r="933">
      <c r="B933" s="22"/>
    </row>
    <row r="934">
      <c r="B934" s="22"/>
    </row>
    <row r="935">
      <c r="B935" s="22"/>
    </row>
    <row r="936">
      <c r="B936" s="22"/>
    </row>
    <row r="937">
      <c r="B937" s="22"/>
    </row>
    <row r="938">
      <c r="B938" s="22"/>
    </row>
    <row r="939">
      <c r="B939" s="22"/>
    </row>
    <row r="940">
      <c r="B940" s="22"/>
    </row>
    <row r="941">
      <c r="B941" s="22"/>
    </row>
    <row r="942">
      <c r="B942" s="22"/>
    </row>
    <row r="943">
      <c r="B943" s="22"/>
    </row>
    <row r="944">
      <c r="B944" s="22"/>
    </row>
    <row r="945">
      <c r="B945" s="22"/>
    </row>
    <row r="946">
      <c r="B946" s="22"/>
    </row>
    <row r="947">
      <c r="B947" s="22"/>
    </row>
    <row r="948">
      <c r="B948" s="22"/>
    </row>
    <row r="949">
      <c r="B949" s="22"/>
    </row>
    <row r="950">
      <c r="B950" s="22"/>
    </row>
    <row r="951">
      <c r="B951" s="22"/>
    </row>
    <row r="952">
      <c r="B952" s="22"/>
    </row>
    <row r="953">
      <c r="B953" s="22"/>
    </row>
    <row r="954">
      <c r="B954" s="22"/>
    </row>
    <row r="955">
      <c r="B955" s="22"/>
    </row>
    <row r="956">
      <c r="B956" s="22"/>
    </row>
    <row r="957">
      <c r="B957" s="22"/>
    </row>
    <row r="958">
      <c r="B958" s="22"/>
    </row>
    <row r="959">
      <c r="B959" s="22"/>
    </row>
    <row r="960">
      <c r="B960" s="22"/>
    </row>
    <row r="961">
      <c r="B961" s="22"/>
    </row>
    <row r="962">
      <c r="B962" s="22"/>
    </row>
    <row r="963">
      <c r="B963" s="22"/>
    </row>
    <row r="964">
      <c r="B964" s="22"/>
    </row>
    <row r="965">
      <c r="B965" s="22"/>
    </row>
    <row r="966">
      <c r="B966" s="22"/>
    </row>
    <row r="967">
      <c r="B967" s="22"/>
    </row>
    <row r="968">
      <c r="B968" s="22"/>
    </row>
    <row r="969">
      <c r="B969" s="22"/>
    </row>
    <row r="970">
      <c r="B970" s="22"/>
    </row>
    <row r="971">
      <c r="B971" s="22"/>
    </row>
    <row r="972">
      <c r="B972" s="22"/>
    </row>
    <row r="973">
      <c r="B973" s="22"/>
    </row>
    <row r="974">
      <c r="B974" s="22"/>
    </row>
    <row r="975">
      <c r="B975" s="22"/>
    </row>
    <row r="976">
      <c r="B976" s="22"/>
    </row>
    <row r="977">
      <c r="B977" s="22"/>
    </row>
    <row r="978">
      <c r="B978" s="22"/>
    </row>
    <row r="979">
      <c r="B979" s="22"/>
    </row>
    <row r="980">
      <c r="B980" s="22"/>
    </row>
    <row r="981">
      <c r="B981" s="22"/>
    </row>
    <row r="982">
      <c r="B982" s="22"/>
    </row>
    <row r="983">
      <c r="B983" s="22"/>
    </row>
    <row r="984">
      <c r="B984" s="22"/>
    </row>
    <row r="985">
      <c r="B985" s="22"/>
    </row>
    <row r="986">
      <c r="B986" s="22"/>
    </row>
    <row r="987">
      <c r="B987" s="22"/>
    </row>
    <row r="988">
      <c r="B988" s="22"/>
    </row>
    <row r="989">
      <c r="B989" s="22"/>
    </row>
    <row r="990">
      <c r="B990" s="22"/>
    </row>
    <row r="991">
      <c r="B991" s="22"/>
    </row>
    <row r="992">
      <c r="B992" s="22"/>
    </row>
    <row r="993">
      <c r="B993" s="22"/>
    </row>
    <row r="994">
      <c r="B994" s="22"/>
    </row>
    <row r="995">
      <c r="B995" s="22"/>
    </row>
    <row r="996">
      <c r="B996" s="22"/>
    </row>
    <row r="997">
      <c r="B997" s="22"/>
    </row>
    <row r="998">
      <c r="B998" s="22"/>
    </row>
    <row r="999">
      <c r="B999" s="22"/>
    </row>
    <row r="1000">
      <c r="B1000" s="22"/>
    </row>
    <row r="1001">
      <c r="B1001" s="2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56" width="8.0"/>
    <col customWidth="1" min="57" max="57" width="23.0"/>
    <col customWidth="1" min="58" max="72" width="8.0"/>
  </cols>
  <sheetData>
    <row r="1" ht="12.75" customHeight="1">
      <c r="A1" s="7" t="s">
        <v>2822</v>
      </c>
      <c r="B1" s="7" t="s">
        <v>15</v>
      </c>
      <c r="C1" s="7" t="s">
        <v>2823</v>
      </c>
      <c r="D1" s="7" t="s">
        <v>2824</v>
      </c>
      <c r="E1" s="7" t="s">
        <v>2825</v>
      </c>
      <c r="F1" s="7" t="s">
        <v>2826</v>
      </c>
      <c r="G1" s="7" t="s">
        <v>2827</v>
      </c>
      <c r="H1" s="7" t="s">
        <v>2828</v>
      </c>
      <c r="I1" s="7" t="s">
        <v>2631</v>
      </c>
      <c r="J1" s="7" t="s">
        <v>2829</v>
      </c>
      <c r="K1" s="7" t="s">
        <v>2830</v>
      </c>
      <c r="L1" s="7" t="s">
        <v>2831</v>
      </c>
      <c r="M1" s="7" t="s">
        <v>2832</v>
      </c>
      <c r="N1" s="7" t="s">
        <v>2833</v>
      </c>
      <c r="O1" s="7" t="s">
        <v>2834</v>
      </c>
      <c r="P1" s="7" t="s">
        <v>2835</v>
      </c>
      <c r="Q1" s="7" t="s">
        <v>2836</v>
      </c>
      <c r="R1" s="7" t="s">
        <v>2837</v>
      </c>
      <c r="S1" s="7" t="s">
        <v>2838</v>
      </c>
      <c r="T1" s="7" t="s">
        <v>2839</v>
      </c>
      <c r="U1" s="7" t="s">
        <v>2840</v>
      </c>
      <c r="V1" s="7" t="s">
        <v>2632</v>
      </c>
      <c r="W1" s="7" t="s">
        <v>2841</v>
      </c>
      <c r="X1" s="7" t="s">
        <v>2842</v>
      </c>
      <c r="Y1" s="7" t="s">
        <v>2843</v>
      </c>
      <c r="Z1" s="7" t="s">
        <v>2844</v>
      </c>
      <c r="AA1" s="7" t="s">
        <v>2845</v>
      </c>
      <c r="AB1" s="7" t="s">
        <v>2846</v>
      </c>
      <c r="AC1" s="7" t="s">
        <v>2847</v>
      </c>
      <c r="AD1" s="7" t="s">
        <v>2848</v>
      </c>
      <c r="AE1" s="7" t="s">
        <v>2849</v>
      </c>
      <c r="AF1" s="7" t="s">
        <v>2850</v>
      </c>
      <c r="AG1" s="7" t="s">
        <v>2851</v>
      </c>
      <c r="AH1" s="7" t="s">
        <v>2852</v>
      </c>
      <c r="AI1" s="7" t="s">
        <v>2853</v>
      </c>
      <c r="AJ1" s="7" t="s">
        <v>2854</v>
      </c>
      <c r="AK1" s="7" t="s">
        <v>2855</v>
      </c>
      <c r="AL1" s="7" t="s">
        <v>2856</v>
      </c>
      <c r="AM1" s="7" t="s">
        <v>2857</v>
      </c>
      <c r="AN1" s="7" t="s">
        <v>2858</v>
      </c>
      <c r="AO1" s="7" t="s">
        <v>2859</v>
      </c>
      <c r="AP1" s="7" t="s">
        <v>2860</v>
      </c>
      <c r="AQ1" s="7" t="s">
        <v>2861</v>
      </c>
      <c r="AR1" s="7" t="s">
        <v>2862</v>
      </c>
      <c r="AS1" s="7" t="s">
        <v>2863</v>
      </c>
      <c r="AT1" s="7" t="s">
        <v>2864</v>
      </c>
      <c r="AU1" s="7" t="s">
        <v>2865</v>
      </c>
      <c r="AV1" s="7" t="s">
        <v>2866</v>
      </c>
      <c r="AW1" s="7" t="s">
        <v>2867</v>
      </c>
      <c r="AX1" s="7" t="s">
        <v>2868</v>
      </c>
      <c r="AY1" s="7" t="s">
        <v>2869</v>
      </c>
      <c r="AZ1" s="7" t="s">
        <v>2870</v>
      </c>
      <c r="BA1" s="7" t="s">
        <v>2871</v>
      </c>
      <c r="BB1" s="7" t="s">
        <v>2872</v>
      </c>
      <c r="BC1" s="7" t="s">
        <v>2873</v>
      </c>
      <c r="BD1" s="7" t="s">
        <v>2874</v>
      </c>
      <c r="BE1" s="7" t="s">
        <v>335</v>
      </c>
      <c r="BF1" s="7" t="s">
        <v>17</v>
      </c>
      <c r="BG1" s="7" t="s">
        <v>2875</v>
      </c>
      <c r="BH1" s="7" t="s">
        <v>2876</v>
      </c>
      <c r="BI1" s="7" t="s">
        <v>2877</v>
      </c>
      <c r="BJ1" s="7" t="s">
        <v>2878</v>
      </c>
      <c r="BK1" s="7" t="s">
        <v>2879</v>
      </c>
      <c r="BL1" s="7" t="s">
        <v>2880</v>
      </c>
      <c r="BM1" s="7" t="s">
        <v>2881</v>
      </c>
      <c r="BN1" s="7" t="s">
        <v>2882</v>
      </c>
      <c r="BO1" s="7" t="s">
        <v>2883</v>
      </c>
      <c r="BP1" s="7" t="s">
        <v>2884</v>
      </c>
      <c r="BQ1" s="7" t="s">
        <v>2885</v>
      </c>
      <c r="BR1" s="7" t="s">
        <v>2886</v>
      </c>
      <c r="BS1" s="7" t="s">
        <v>2634</v>
      </c>
      <c r="BT1" s="7" t="s">
        <v>2887</v>
      </c>
    </row>
    <row r="2" ht="12.75" customHeight="1">
      <c r="A2" s="7" t="s">
        <v>2888</v>
      </c>
      <c r="B2" s="7" t="s">
        <v>2889</v>
      </c>
      <c r="C2" s="7" t="s">
        <v>2890</v>
      </c>
      <c r="D2" s="7" t="s">
        <v>2890</v>
      </c>
      <c r="E2" s="7" t="s">
        <v>2890</v>
      </c>
      <c r="F2" s="7" t="s">
        <v>2891</v>
      </c>
      <c r="G2" s="7" t="s">
        <v>2890</v>
      </c>
      <c r="H2" s="7" t="s">
        <v>2890</v>
      </c>
      <c r="I2" s="7" t="s">
        <v>309</v>
      </c>
      <c r="J2" s="7" t="s">
        <v>2892</v>
      </c>
      <c r="K2" s="7" t="s">
        <v>2890</v>
      </c>
      <c r="L2" s="7" t="s">
        <v>2890</v>
      </c>
      <c r="M2" s="7" t="s">
        <v>2893</v>
      </c>
      <c r="N2" s="7" t="s">
        <v>2894</v>
      </c>
      <c r="O2" s="7" t="s">
        <v>2890</v>
      </c>
      <c r="P2" s="7" t="s">
        <v>2890</v>
      </c>
      <c r="Q2" s="7" t="s">
        <v>2890</v>
      </c>
      <c r="R2" s="7" t="s">
        <v>2890</v>
      </c>
      <c r="S2" s="7" t="s">
        <v>2890</v>
      </c>
      <c r="T2" s="7" t="s">
        <v>2895</v>
      </c>
      <c r="U2" s="7" t="s">
        <v>2896</v>
      </c>
      <c r="V2" s="7" t="s">
        <v>2677</v>
      </c>
      <c r="W2" s="7" t="s">
        <v>2897</v>
      </c>
      <c r="X2" s="7" t="s">
        <v>2898</v>
      </c>
      <c r="Y2" s="7" t="s">
        <v>2899</v>
      </c>
      <c r="Z2" s="7" t="s">
        <v>2900</v>
      </c>
      <c r="AA2" s="7" t="s">
        <v>2890</v>
      </c>
      <c r="AB2" s="7" t="s">
        <v>2901</v>
      </c>
      <c r="AC2" s="7" t="s">
        <v>2902</v>
      </c>
      <c r="AD2" s="7" t="s">
        <v>2903</v>
      </c>
      <c r="AE2" s="7" t="s">
        <v>2904</v>
      </c>
      <c r="AF2" s="7" t="s">
        <v>2890</v>
      </c>
      <c r="AG2" s="7">
        <v>60.0</v>
      </c>
      <c r="AH2" s="7">
        <v>18.0</v>
      </c>
      <c r="AI2" s="7">
        <v>18.0</v>
      </c>
      <c r="AJ2" s="7">
        <v>0.0</v>
      </c>
      <c r="AK2" s="7">
        <v>35.0</v>
      </c>
      <c r="AL2" s="7" t="s">
        <v>2905</v>
      </c>
      <c r="AM2" s="7" t="s">
        <v>2906</v>
      </c>
      <c r="AN2" s="7" t="s">
        <v>2907</v>
      </c>
      <c r="AO2" s="7" t="s">
        <v>2908</v>
      </c>
      <c r="AP2" s="7" t="s">
        <v>2909</v>
      </c>
      <c r="AQ2" s="7" t="s">
        <v>2890</v>
      </c>
      <c r="AR2" s="7" t="s">
        <v>2910</v>
      </c>
      <c r="AS2" s="7" t="s">
        <v>2911</v>
      </c>
      <c r="AT2" s="7" t="s">
        <v>2912</v>
      </c>
      <c r="AU2" s="7">
        <v>2015.0</v>
      </c>
      <c r="AV2" s="7">
        <v>63.0</v>
      </c>
      <c r="AW2" s="7" t="s">
        <v>2890</v>
      </c>
      <c r="AX2" s="7" t="s">
        <v>2890</v>
      </c>
      <c r="AY2" s="7" t="s">
        <v>2890</v>
      </c>
      <c r="AZ2" s="7" t="s">
        <v>2890</v>
      </c>
      <c r="BA2" s="7" t="s">
        <v>2890</v>
      </c>
      <c r="BB2" s="7">
        <v>204.0</v>
      </c>
      <c r="BC2" s="7">
        <v>211.0</v>
      </c>
      <c r="BD2" s="7" t="s">
        <v>2890</v>
      </c>
      <c r="BE2" s="7" t="s">
        <v>2567</v>
      </c>
      <c r="BF2" s="24" t="str">
        <f>HYPERLINK("http://dx.doi.org/10.1016/j.apgeog.2015.06.013","http://dx.doi.org/10.1016/j.apgeog.2015.06.013")</f>
        <v>http://dx.doi.org/10.1016/j.apgeog.2015.06.013</v>
      </c>
      <c r="BG2" s="7" t="s">
        <v>2890</v>
      </c>
      <c r="BH2" s="7" t="s">
        <v>2890</v>
      </c>
      <c r="BI2" s="7">
        <v>8.0</v>
      </c>
      <c r="BJ2" s="7" t="s">
        <v>2913</v>
      </c>
      <c r="BK2" s="7" t="s">
        <v>2914</v>
      </c>
      <c r="BL2" s="7" t="s">
        <v>2913</v>
      </c>
      <c r="BM2" s="7" t="s">
        <v>2915</v>
      </c>
      <c r="BN2" s="7" t="s">
        <v>2890</v>
      </c>
      <c r="BO2" s="7" t="s">
        <v>2890</v>
      </c>
      <c r="BP2" s="7" t="s">
        <v>2890</v>
      </c>
      <c r="BQ2" s="7" t="s">
        <v>2890</v>
      </c>
      <c r="BR2" s="7" t="s">
        <v>2916</v>
      </c>
      <c r="BS2" s="7" t="s">
        <v>2678</v>
      </c>
      <c r="BT2" s="7" t="str">
        <f>HYPERLINK("https%3A%2F%2Fwww.webofscience.com%2Fwos%2Fwoscc%2Ffull-record%2FWOS:000362059700019","View Full Record in Web of Science")</f>
        <v>View Full Record in Web of Science</v>
      </c>
    </row>
    <row r="3" ht="12.75" customHeight="1">
      <c r="A3" s="7" t="s">
        <v>2888</v>
      </c>
      <c r="B3" s="7" t="s">
        <v>2917</v>
      </c>
      <c r="C3" s="7" t="s">
        <v>2890</v>
      </c>
      <c r="D3" s="7" t="s">
        <v>2890</v>
      </c>
      <c r="E3" s="7" t="s">
        <v>2890</v>
      </c>
      <c r="F3" s="7" t="s">
        <v>2918</v>
      </c>
      <c r="G3" s="7" t="s">
        <v>2890</v>
      </c>
      <c r="H3" s="7" t="s">
        <v>2890</v>
      </c>
      <c r="I3" s="7" t="s">
        <v>69</v>
      </c>
      <c r="J3" s="7" t="s">
        <v>2919</v>
      </c>
      <c r="K3" s="7" t="s">
        <v>2890</v>
      </c>
      <c r="L3" s="7" t="s">
        <v>2890</v>
      </c>
      <c r="M3" s="7" t="s">
        <v>2893</v>
      </c>
      <c r="N3" s="7" t="s">
        <v>2894</v>
      </c>
      <c r="O3" s="7" t="s">
        <v>2890</v>
      </c>
      <c r="P3" s="7" t="s">
        <v>2890</v>
      </c>
      <c r="Q3" s="7" t="s">
        <v>2890</v>
      </c>
      <c r="R3" s="7" t="s">
        <v>2890</v>
      </c>
      <c r="S3" s="7" t="s">
        <v>2890</v>
      </c>
      <c r="T3" s="7" t="s">
        <v>2920</v>
      </c>
      <c r="U3" s="7" t="s">
        <v>2921</v>
      </c>
      <c r="V3" s="7" t="s">
        <v>2787</v>
      </c>
      <c r="W3" s="7" t="s">
        <v>2922</v>
      </c>
      <c r="X3" s="7" t="s">
        <v>2923</v>
      </c>
      <c r="Y3" s="7" t="s">
        <v>2924</v>
      </c>
      <c r="Z3" s="7" t="s">
        <v>2925</v>
      </c>
      <c r="AA3" s="7" t="s">
        <v>2926</v>
      </c>
      <c r="AB3" s="7" t="s">
        <v>2927</v>
      </c>
      <c r="AC3" s="7" t="s">
        <v>2890</v>
      </c>
      <c r="AD3" s="7" t="s">
        <v>2890</v>
      </c>
      <c r="AE3" s="7" t="s">
        <v>2890</v>
      </c>
      <c r="AF3" s="7" t="s">
        <v>2890</v>
      </c>
      <c r="AG3" s="7">
        <v>84.0</v>
      </c>
      <c r="AH3" s="7">
        <v>10.0</v>
      </c>
      <c r="AI3" s="7">
        <v>11.0</v>
      </c>
      <c r="AJ3" s="7">
        <v>2.0</v>
      </c>
      <c r="AK3" s="7">
        <v>21.0</v>
      </c>
      <c r="AL3" s="7" t="s">
        <v>2928</v>
      </c>
      <c r="AM3" s="7" t="s">
        <v>2929</v>
      </c>
      <c r="AN3" s="7" t="s">
        <v>2930</v>
      </c>
      <c r="AO3" s="7" t="s">
        <v>2931</v>
      </c>
      <c r="AP3" s="7" t="s">
        <v>2932</v>
      </c>
      <c r="AQ3" s="7" t="s">
        <v>2890</v>
      </c>
      <c r="AR3" s="7" t="s">
        <v>2933</v>
      </c>
      <c r="AS3" s="7" t="s">
        <v>2934</v>
      </c>
      <c r="AT3" s="7" t="s">
        <v>2935</v>
      </c>
      <c r="AU3" s="7">
        <v>2023.0</v>
      </c>
      <c r="AV3" s="7">
        <v>38.0</v>
      </c>
      <c r="AW3" s="7">
        <v>8.0</v>
      </c>
      <c r="AX3" s="7" t="s">
        <v>2890</v>
      </c>
      <c r="AY3" s="7" t="s">
        <v>2890</v>
      </c>
      <c r="AZ3" s="7" t="s">
        <v>2890</v>
      </c>
      <c r="BA3" s="7" t="s">
        <v>2890</v>
      </c>
      <c r="BB3" s="7">
        <v>2121.0</v>
      </c>
      <c r="BC3" s="7">
        <v>2143.0</v>
      </c>
      <c r="BD3" s="7" t="s">
        <v>2890</v>
      </c>
      <c r="BE3" s="7" t="s">
        <v>2612</v>
      </c>
      <c r="BF3" s="24" t="str">
        <f>HYPERLINK("http://dx.doi.org/10.1007/s10980-023-01684-0","http://dx.doi.org/10.1007/s10980-023-01684-0")</f>
        <v>http://dx.doi.org/10.1007/s10980-023-01684-0</v>
      </c>
      <c r="BG3" s="7" t="s">
        <v>2890</v>
      </c>
      <c r="BH3" s="7" t="s">
        <v>2936</v>
      </c>
      <c r="BI3" s="7">
        <v>23.0</v>
      </c>
      <c r="BJ3" s="7" t="s">
        <v>2937</v>
      </c>
      <c r="BK3" s="7" t="s">
        <v>2938</v>
      </c>
      <c r="BL3" s="7" t="s">
        <v>2939</v>
      </c>
      <c r="BM3" s="7" t="s">
        <v>2940</v>
      </c>
      <c r="BN3" s="7" t="s">
        <v>2890</v>
      </c>
      <c r="BO3" s="7" t="s">
        <v>2941</v>
      </c>
      <c r="BP3" s="7" t="s">
        <v>2890</v>
      </c>
      <c r="BQ3" s="7" t="s">
        <v>2890</v>
      </c>
      <c r="BR3" s="7" t="s">
        <v>2916</v>
      </c>
      <c r="BS3" s="7" t="s">
        <v>2788</v>
      </c>
      <c r="BT3" s="7" t="str">
        <f>HYPERLINK("https%3A%2F%2Fwww.webofscience.com%2Fwos%2Fwoscc%2Ffull-record%2FWOS:001003692300001","View Full Record in Web of Science")</f>
        <v>View Full Record in Web of Science</v>
      </c>
    </row>
    <row r="4" ht="12.75" customHeight="1">
      <c r="A4" s="7" t="s">
        <v>2888</v>
      </c>
      <c r="B4" s="7" t="s">
        <v>2942</v>
      </c>
      <c r="C4" s="7" t="s">
        <v>2890</v>
      </c>
      <c r="D4" s="7" t="s">
        <v>2890</v>
      </c>
      <c r="E4" s="7" t="s">
        <v>2890</v>
      </c>
      <c r="F4" s="7" t="s">
        <v>2943</v>
      </c>
      <c r="G4" s="7" t="s">
        <v>2890</v>
      </c>
      <c r="H4" s="7" t="s">
        <v>2890</v>
      </c>
      <c r="I4" s="7" t="s">
        <v>2795</v>
      </c>
      <c r="J4" s="7" t="s">
        <v>2944</v>
      </c>
      <c r="K4" s="7" t="s">
        <v>2890</v>
      </c>
      <c r="L4" s="7" t="s">
        <v>2890</v>
      </c>
      <c r="M4" s="7" t="s">
        <v>2893</v>
      </c>
      <c r="N4" s="7" t="s">
        <v>2945</v>
      </c>
      <c r="O4" s="7" t="s">
        <v>2890</v>
      </c>
      <c r="P4" s="7" t="s">
        <v>2890</v>
      </c>
      <c r="Q4" s="7" t="s">
        <v>2890</v>
      </c>
      <c r="R4" s="7" t="s">
        <v>2890</v>
      </c>
      <c r="S4" s="7" t="s">
        <v>2890</v>
      </c>
      <c r="T4" s="7" t="s">
        <v>2946</v>
      </c>
      <c r="U4" s="7" t="s">
        <v>2947</v>
      </c>
      <c r="V4" s="7" t="s">
        <v>2796</v>
      </c>
      <c r="W4" s="7" t="s">
        <v>2948</v>
      </c>
      <c r="X4" s="7" t="s">
        <v>2949</v>
      </c>
      <c r="Y4" s="7" t="s">
        <v>2950</v>
      </c>
      <c r="Z4" s="7" t="s">
        <v>2951</v>
      </c>
      <c r="AA4" s="7" t="s">
        <v>2952</v>
      </c>
      <c r="AB4" s="7" t="s">
        <v>2953</v>
      </c>
      <c r="AC4" s="7" t="s">
        <v>2954</v>
      </c>
      <c r="AD4" s="7" t="s">
        <v>2955</v>
      </c>
      <c r="AE4" s="7" t="s">
        <v>2956</v>
      </c>
      <c r="AF4" s="7" t="s">
        <v>2890</v>
      </c>
      <c r="AG4" s="7">
        <v>74.0</v>
      </c>
      <c r="AH4" s="7">
        <v>18.0</v>
      </c>
      <c r="AI4" s="7">
        <v>20.0</v>
      </c>
      <c r="AJ4" s="7">
        <v>2.0</v>
      </c>
      <c r="AK4" s="7">
        <v>24.0</v>
      </c>
      <c r="AL4" s="7" t="s">
        <v>2928</v>
      </c>
      <c r="AM4" s="7" t="s">
        <v>2929</v>
      </c>
      <c r="AN4" s="7" t="s">
        <v>2930</v>
      </c>
      <c r="AO4" s="7" t="s">
        <v>2957</v>
      </c>
      <c r="AP4" s="7" t="s">
        <v>2958</v>
      </c>
      <c r="AQ4" s="7" t="s">
        <v>2890</v>
      </c>
      <c r="AR4" s="7" t="s">
        <v>2944</v>
      </c>
      <c r="AS4" s="7" t="s">
        <v>2959</v>
      </c>
      <c r="AT4" s="7" t="s">
        <v>2960</v>
      </c>
      <c r="AU4" s="7">
        <v>2023.0</v>
      </c>
      <c r="AV4" s="7" t="s">
        <v>2890</v>
      </c>
      <c r="AW4" s="7" t="s">
        <v>2890</v>
      </c>
      <c r="AX4" s="7" t="s">
        <v>2890</v>
      </c>
      <c r="AY4" s="7" t="s">
        <v>2890</v>
      </c>
      <c r="AZ4" s="7" t="s">
        <v>2890</v>
      </c>
      <c r="BA4" s="7" t="s">
        <v>2890</v>
      </c>
      <c r="BB4" s="7" t="s">
        <v>2890</v>
      </c>
      <c r="BC4" s="7" t="s">
        <v>2890</v>
      </c>
      <c r="BD4" s="7" t="s">
        <v>2890</v>
      </c>
      <c r="BE4" s="7" t="s">
        <v>2609</v>
      </c>
      <c r="BF4" s="24" t="str">
        <f>HYPERLINK("http://dx.doi.org/10.1007/s13280-023-01886-5","http://dx.doi.org/10.1007/s13280-023-01886-5")</f>
        <v>http://dx.doi.org/10.1007/s13280-023-01886-5</v>
      </c>
      <c r="BG4" s="7" t="s">
        <v>2890</v>
      </c>
      <c r="BH4" s="7" t="s">
        <v>2936</v>
      </c>
      <c r="BI4" s="7">
        <v>15.0</v>
      </c>
      <c r="BJ4" s="7" t="s">
        <v>2961</v>
      </c>
      <c r="BK4" s="7" t="s">
        <v>2938</v>
      </c>
      <c r="BL4" s="7" t="s">
        <v>2962</v>
      </c>
      <c r="BM4" s="7" t="s">
        <v>2963</v>
      </c>
      <c r="BN4" s="7">
        <v>3.7261644E7</v>
      </c>
      <c r="BO4" s="7" t="s">
        <v>2941</v>
      </c>
      <c r="BP4" s="7" t="s">
        <v>2890</v>
      </c>
      <c r="BQ4" s="7" t="s">
        <v>2890</v>
      </c>
      <c r="BR4" s="7" t="s">
        <v>2916</v>
      </c>
      <c r="BS4" s="7" t="s">
        <v>2797</v>
      </c>
      <c r="BT4" s="7" t="str">
        <f>HYPERLINK("https%3A%2F%2Fwww.webofscience.com%2Fwos%2Fwoscc%2Ffull-record%2FWOS:000999538100001","View Full Record in Web of Science")</f>
        <v>View Full Record in Web of Science</v>
      </c>
    </row>
    <row r="5" ht="12.75" customHeight="1">
      <c r="A5" s="7" t="s">
        <v>2888</v>
      </c>
      <c r="B5" s="7" t="s">
        <v>2964</v>
      </c>
      <c r="C5" s="7" t="s">
        <v>2890</v>
      </c>
      <c r="D5" s="7" t="s">
        <v>2890</v>
      </c>
      <c r="E5" s="7" t="s">
        <v>2890</v>
      </c>
      <c r="F5" s="7" t="s">
        <v>2965</v>
      </c>
      <c r="G5" s="7" t="s">
        <v>2890</v>
      </c>
      <c r="H5" s="7" t="s">
        <v>2890</v>
      </c>
      <c r="I5" s="7" t="s">
        <v>276</v>
      </c>
      <c r="J5" s="7" t="s">
        <v>2966</v>
      </c>
      <c r="K5" s="7" t="s">
        <v>2890</v>
      </c>
      <c r="L5" s="7" t="s">
        <v>2890</v>
      </c>
      <c r="M5" s="7" t="s">
        <v>2893</v>
      </c>
      <c r="N5" s="7" t="s">
        <v>2894</v>
      </c>
      <c r="O5" s="7" t="s">
        <v>2890</v>
      </c>
      <c r="P5" s="7" t="s">
        <v>2890</v>
      </c>
      <c r="Q5" s="7" t="s">
        <v>2890</v>
      </c>
      <c r="R5" s="7" t="s">
        <v>2890</v>
      </c>
      <c r="S5" s="7" t="s">
        <v>2890</v>
      </c>
      <c r="T5" s="7" t="s">
        <v>2967</v>
      </c>
      <c r="U5" s="7" t="s">
        <v>2968</v>
      </c>
      <c r="V5" s="7" t="s">
        <v>2639</v>
      </c>
      <c r="W5" s="7" t="s">
        <v>2969</v>
      </c>
      <c r="X5" s="7" t="s">
        <v>2970</v>
      </c>
      <c r="Y5" s="7" t="s">
        <v>2971</v>
      </c>
      <c r="Z5" s="7" t="s">
        <v>2972</v>
      </c>
      <c r="AA5" s="7" t="s">
        <v>2973</v>
      </c>
      <c r="AB5" s="7" t="s">
        <v>2974</v>
      </c>
      <c r="AC5" s="7" t="s">
        <v>2975</v>
      </c>
      <c r="AD5" s="7" t="s">
        <v>2976</v>
      </c>
      <c r="AE5" s="7" t="s">
        <v>2977</v>
      </c>
      <c r="AF5" s="7" t="s">
        <v>2890</v>
      </c>
      <c r="AG5" s="7">
        <v>42.0</v>
      </c>
      <c r="AH5" s="7">
        <v>10.0</v>
      </c>
      <c r="AI5" s="7">
        <v>12.0</v>
      </c>
      <c r="AJ5" s="7">
        <v>6.0</v>
      </c>
      <c r="AK5" s="7">
        <v>93.0</v>
      </c>
      <c r="AL5" s="7" t="s">
        <v>2978</v>
      </c>
      <c r="AM5" s="7" t="s">
        <v>2979</v>
      </c>
      <c r="AN5" s="7" t="s">
        <v>2980</v>
      </c>
      <c r="AO5" s="7" t="s">
        <v>2890</v>
      </c>
      <c r="AP5" s="7" t="s">
        <v>2981</v>
      </c>
      <c r="AQ5" s="7" t="s">
        <v>2890</v>
      </c>
      <c r="AR5" s="7" t="s">
        <v>2982</v>
      </c>
      <c r="AS5" s="7" t="s">
        <v>2983</v>
      </c>
      <c r="AT5" s="7" t="s">
        <v>2984</v>
      </c>
      <c r="AU5" s="7">
        <v>2023.0</v>
      </c>
      <c r="AV5" s="7">
        <v>10.0</v>
      </c>
      <c r="AW5" s="7" t="s">
        <v>2890</v>
      </c>
      <c r="AX5" s="7" t="s">
        <v>2890</v>
      </c>
      <c r="AY5" s="7" t="s">
        <v>2890</v>
      </c>
      <c r="AZ5" s="7" t="s">
        <v>2890</v>
      </c>
      <c r="BA5" s="7" t="s">
        <v>2890</v>
      </c>
      <c r="BB5" s="7" t="s">
        <v>2890</v>
      </c>
      <c r="BC5" s="7" t="s">
        <v>2890</v>
      </c>
      <c r="BD5" s="7">
        <v>1187702.0</v>
      </c>
      <c r="BE5" s="7" t="s">
        <v>2611</v>
      </c>
      <c r="BF5" s="24" t="str">
        <f>HYPERLINK("http://dx.doi.org/10.3389/fmars.2023.1187702","http://dx.doi.org/10.3389/fmars.2023.1187702")</f>
        <v>http://dx.doi.org/10.3389/fmars.2023.1187702</v>
      </c>
      <c r="BG5" s="7" t="s">
        <v>2890</v>
      </c>
      <c r="BH5" s="7" t="s">
        <v>2890</v>
      </c>
      <c r="BI5" s="7">
        <v>9.0</v>
      </c>
      <c r="BJ5" s="7" t="s">
        <v>2985</v>
      </c>
      <c r="BK5" s="7" t="s">
        <v>2938</v>
      </c>
      <c r="BL5" s="7" t="s">
        <v>2986</v>
      </c>
      <c r="BM5" s="7" t="s">
        <v>2987</v>
      </c>
      <c r="BN5" s="7" t="s">
        <v>2890</v>
      </c>
      <c r="BO5" s="7" t="s">
        <v>2988</v>
      </c>
      <c r="BP5" s="7" t="s">
        <v>2890</v>
      </c>
      <c r="BQ5" s="7" t="s">
        <v>2890</v>
      </c>
      <c r="BR5" s="7" t="s">
        <v>2916</v>
      </c>
      <c r="BS5" s="7" t="s">
        <v>2640</v>
      </c>
      <c r="BT5" s="7" t="str">
        <f>HYPERLINK("https%3A%2F%2Fwww.webofscience.com%2Fwos%2Fwoscc%2Ffull-record%2FWOS:001000632800001","View Full Record in Web of Science")</f>
        <v>View Full Record in Web of Science</v>
      </c>
    </row>
    <row r="6" ht="12.75" customHeight="1">
      <c r="A6" s="7" t="s">
        <v>2888</v>
      </c>
      <c r="B6" s="7" t="s">
        <v>2989</v>
      </c>
      <c r="C6" s="7" t="s">
        <v>2890</v>
      </c>
      <c r="D6" s="7" t="s">
        <v>2890</v>
      </c>
      <c r="E6" s="7" t="s">
        <v>2890</v>
      </c>
      <c r="F6" s="7" t="s">
        <v>2990</v>
      </c>
      <c r="G6" s="7" t="s">
        <v>2890</v>
      </c>
      <c r="H6" s="7" t="s">
        <v>2890</v>
      </c>
      <c r="I6" s="7" t="s">
        <v>36</v>
      </c>
      <c r="J6" s="7" t="s">
        <v>2991</v>
      </c>
      <c r="K6" s="7" t="s">
        <v>2890</v>
      </c>
      <c r="L6" s="7" t="s">
        <v>2890</v>
      </c>
      <c r="M6" s="7" t="s">
        <v>2893</v>
      </c>
      <c r="N6" s="7" t="s">
        <v>2894</v>
      </c>
      <c r="O6" s="7" t="s">
        <v>2890</v>
      </c>
      <c r="P6" s="7" t="s">
        <v>2890</v>
      </c>
      <c r="Q6" s="7" t="s">
        <v>2890</v>
      </c>
      <c r="R6" s="7" t="s">
        <v>2890</v>
      </c>
      <c r="S6" s="7" t="s">
        <v>2890</v>
      </c>
      <c r="T6" s="7" t="s">
        <v>2992</v>
      </c>
      <c r="U6" s="7" t="s">
        <v>2993</v>
      </c>
      <c r="V6" s="7" t="s">
        <v>2650</v>
      </c>
      <c r="W6" s="7" t="s">
        <v>2994</v>
      </c>
      <c r="X6" s="7" t="s">
        <v>2995</v>
      </c>
      <c r="Y6" s="7" t="s">
        <v>2996</v>
      </c>
      <c r="Z6" s="7" t="s">
        <v>2997</v>
      </c>
      <c r="AA6" s="7" t="s">
        <v>2998</v>
      </c>
      <c r="AB6" s="7" t="s">
        <v>2999</v>
      </c>
      <c r="AC6" s="7" t="s">
        <v>3000</v>
      </c>
      <c r="AD6" s="7" t="s">
        <v>3001</v>
      </c>
      <c r="AE6" s="7" t="s">
        <v>3002</v>
      </c>
      <c r="AF6" s="7" t="s">
        <v>2890</v>
      </c>
      <c r="AG6" s="7">
        <v>62.0</v>
      </c>
      <c r="AH6" s="7">
        <v>11.0</v>
      </c>
      <c r="AI6" s="7">
        <v>13.0</v>
      </c>
      <c r="AJ6" s="7">
        <v>1.0</v>
      </c>
      <c r="AK6" s="7">
        <v>15.0</v>
      </c>
      <c r="AL6" s="7" t="s">
        <v>2978</v>
      </c>
      <c r="AM6" s="7" t="s">
        <v>2979</v>
      </c>
      <c r="AN6" s="7" t="s">
        <v>2980</v>
      </c>
      <c r="AO6" s="7" t="s">
        <v>2890</v>
      </c>
      <c r="AP6" s="7" t="s">
        <v>3003</v>
      </c>
      <c r="AQ6" s="7" t="s">
        <v>2890</v>
      </c>
      <c r="AR6" s="7" t="s">
        <v>3004</v>
      </c>
      <c r="AS6" s="7" t="s">
        <v>3005</v>
      </c>
      <c r="AT6" s="7" t="s">
        <v>3006</v>
      </c>
      <c r="AU6" s="7">
        <v>2023.0</v>
      </c>
      <c r="AV6" s="7">
        <v>11.0</v>
      </c>
      <c r="AW6" s="7" t="s">
        <v>2890</v>
      </c>
      <c r="AX6" s="7" t="s">
        <v>2890</v>
      </c>
      <c r="AY6" s="7" t="s">
        <v>2890</v>
      </c>
      <c r="AZ6" s="7" t="s">
        <v>2890</v>
      </c>
      <c r="BA6" s="7" t="s">
        <v>2890</v>
      </c>
      <c r="BB6" s="7" t="s">
        <v>2890</v>
      </c>
      <c r="BC6" s="7" t="s">
        <v>2890</v>
      </c>
      <c r="BD6" s="7">
        <v>1122464.0</v>
      </c>
      <c r="BE6" s="7" t="s">
        <v>2608</v>
      </c>
      <c r="BF6" s="24" t="str">
        <f>HYPERLINK("http://dx.doi.org/10.3389/fenvs.2023.1122464","http://dx.doi.org/10.3389/fenvs.2023.1122464")</f>
        <v>http://dx.doi.org/10.3389/fenvs.2023.1122464</v>
      </c>
      <c r="BG6" s="7" t="s">
        <v>2890</v>
      </c>
      <c r="BH6" s="7" t="s">
        <v>2890</v>
      </c>
      <c r="BI6" s="7">
        <v>10.0</v>
      </c>
      <c r="BJ6" s="7" t="s">
        <v>3007</v>
      </c>
      <c r="BK6" s="7" t="s">
        <v>2938</v>
      </c>
      <c r="BL6" s="7" t="s">
        <v>3008</v>
      </c>
      <c r="BM6" s="7" t="s">
        <v>3009</v>
      </c>
      <c r="BN6" s="7" t="s">
        <v>2890</v>
      </c>
      <c r="BO6" s="7" t="s">
        <v>2988</v>
      </c>
      <c r="BP6" s="7" t="s">
        <v>2890</v>
      </c>
      <c r="BQ6" s="7" t="s">
        <v>2890</v>
      </c>
      <c r="BR6" s="7" t="s">
        <v>2916</v>
      </c>
      <c r="BS6" s="7" t="s">
        <v>2651</v>
      </c>
      <c r="BT6" s="7" t="str">
        <f>HYPERLINK("https%3A%2F%2Fwww.webofscience.com%2Fwos%2Fwoscc%2Ffull-record%2FWOS:000948482300001","View Full Record in Web of Science")</f>
        <v>View Full Record in Web of Science</v>
      </c>
    </row>
    <row r="7" ht="12.75" customHeight="1">
      <c r="A7" s="7" t="s">
        <v>2888</v>
      </c>
      <c r="B7" s="7" t="s">
        <v>3010</v>
      </c>
      <c r="C7" s="7" t="s">
        <v>2890</v>
      </c>
      <c r="D7" s="7" t="s">
        <v>2890</v>
      </c>
      <c r="E7" s="7" t="s">
        <v>2890</v>
      </c>
      <c r="F7" s="7" t="s">
        <v>3011</v>
      </c>
      <c r="G7" s="7" t="s">
        <v>2890</v>
      </c>
      <c r="H7" s="7" t="s">
        <v>2890</v>
      </c>
      <c r="I7" s="7" t="s">
        <v>237</v>
      </c>
      <c r="J7" s="7" t="s">
        <v>3012</v>
      </c>
      <c r="K7" s="7" t="s">
        <v>2890</v>
      </c>
      <c r="L7" s="7" t="s">
        <v>2890</v>
      </c>
      <c r="M7" s="7" t="s">
        <v>2893</v>
      </c>
      <c r="N7" s="7" t="s">
        <v>2894</v>
      </c>
      <c r="O7" s="7" t="s">
        <v>2890</v>
      </c>
      <c r="P7" s="7" t="s">
        <v>2890</v>
      </c>
      <c r="Q7" s="7" t="s">
        <v>2890</v>
      </c>
      <c r="R7" s="7" t="s">
        <v>2890</v>
      </c>
      <c r="S7" s="7" t="s">
        <v>2890</v>
      </c>
      <c r="T7" s="7" t="s">
        <v>3013</v>
      </c>
      <c r="U7" s="7" t="s">
        <v>3014</v>
      </c>
      <c r="V7" s="7" t="s">
        <v>2668</v>
      </c>
      <c r="W7" s="7" t="s">
        <v>3015</v>
      </c>
      <c r="X7" s="7" t="s">
        <v>3016</v>
      </c>
      <c r="Y7" s="7" t="s">
        <v>3017</v>
      </c>
      <c r="Z7" s="7" t="s">
        <v>3018</v>
      </c>
      <c r="AA7" s="7" t="s">
        <v>3019</v>
      </c>
      <c r="AB7" s="7" t="s">
        <v>3020</v>
      </c>
      <c r="AC7" s="7" t="s">
        <v>3021</v>
      </c>
      <c r="AD7" s="7" t="s">
        <v>3022</v>
      </c>
      <c r="AE7" s="7" t="s">
        <v>3023</v>
      </c>
      <c r="AF7" s="7" t="s">
        <v>2890</v>
      </c>
      <c r="AG7" s="7">
        <v>55.0</v>
      </c>
      <c r="AH7" s="7">
        <v>45.0</v>
      </c>
      <c r="AI7" s="7">
        <v>56.0</v>
      </c>
      <c r="AJ7" s="7">
        <v>44.0</v>
      </c>
      <c r="AK7" s="7">
        <v>289.0</v>
      </c>
      <c r="AL7" s="7" t="s">
        <v>3024</v>
      </c>
      <c r="AM7" s="7" t="s">
        <v>3025</v>
      </c>
      <c r="AN7" s="7" t="s">
        <v>3026</v>
      </c>
      <c r="AO7" s="7" t="s">
        <v>3027</v>
      </c>
      <c r="AP7" s="7" t="s">
        <v>3028</v>
      </c>
      <c r="AQ7" s="7" t="s">
        <v>2890</v>
      </c>
      <c r="AR7" s="7" t="s">
        <v>3029</v>
      </c>
      <c r="AS7" s="7" t="s">
        <v>3030</v>
      </c>
      <c r="AT7" s="7" t="s">
        <v>3031</v>
      </c>
      <c r="AU7" s="7">
        <v>2023.0</v>
      </c>
      <c r="AV7" s="7">
        <v>29.0</v>
      </c>
      <c r="AW7" s="7">
        <v>8.0</v>
      </c>
      <c r="AX7" s="7" t="s">
        <v>2890</v>
      </c>
      <c r="AY7" s="7" t="s">
        <v>2890</v>
      </c>
      <c r="AZ7" s="7" t="s">
        <v>2890</v>
      </c>
      <c r="BA7" s="7" t="s">
        <v>2890</v>
      </c>
      <c r="BB7" s="7">
        <v>2286.0</v>
      </c>
      <c r="BC7" s="7">
        <v>2300.0</v>
      </c>
      <c r="BD7" s="7" t="s">
        <v>2890</v>
      </c>
      <c r="BE7" s="7" t="s">
        <v>2607</v>
      </c>
      <c r="BF7" s="24" t="str">
        <f>HYPERLINK("http://dx.doi.org/10.1111/gcb.16583","http://dx.doi.org/10.1111/gcb.16583")</f>
        <v>http://dx.doi.org/10.1111/gcb.16583</v>
      </c>
      <c r="BG7" s="7" t="s">
        <v>2890</v>
      </c>
      <c r="BH7" s="7" t="s">
        <v>3032</v>
      </c>
      <c r="BI7" s="7">
        <v>15.0</v>
      </c>
      <c r="BJ7" s="7" t="s">
        <v>3033</v>
      </c>
      <c r="BK7" s="7" t="s">
        <v>2938</v>
      </c>
      <c r="BL7" s="7" t="s">
        <v>3034</v>
      </c>
      <c r="BM7" s="7" t="s">
        <v>3035</v>
      </c>
      <c r="BN7" s="7">
        <v>3.6653974E7</v>
      </c>
      <c r="BO7" s="7" t="s">
        <v>2890</v>
      </c>
      <c r="BP7" s="7" t="s">
        <v>2890</v>
      </c>
      <c r="BQ7" s="7" t="s">
        <v>2890</v>
      </c>
      <c r="BR7" s="7" t="s">
        <v>2916</v>
      </c>
      <c r="BS7" s="7" t="s">
        <v>2669</v>
      </c>
      <c r="BT7" s="7" t="str">
        <f>HYPERLINK("https%3A%2F%2Fwww.webofscience.com%2Fwos%2Fwoscc%2Ffull-record%2FWOS:000913869100001","View Full Record in Web of Science")</f>
        <v>View Full Record in Web of Science</v>
      </c>
    </row>
    <row r="8" ht="12.75" customHeight="1">
      <c r="A8" s="7" t="s">
        <v>2888</v>
      </c>
      <c r="B8" s="7" t="s">
        <v>3036</v>
      </c>
      <c r="C8" s="7" t="s">
        <v>2890</v>
      </c>
      <c r="D8" s="7" t="s">
        <v>2890</v>
      </c>
      <c r="E8" s="7" t="s">
        <v>2890</v>
      </c>
      <c r="F8" s="7" t="s">
        <v>3037</v>
      </c>
      <c r="G8" s="7" t="s">
        <v>2890</v>
      </c>
      <c r="H8" s="7" t="s">
        <v>2890</v>
      </c>
      <c r="I8" s="7" t="s">
        <v>3038</v>
      </c>
      <c r="J8" s="7" t="s">
        <v>3039</v>
      </c>
      <c r="K8" s="7" t="s">
        <v>2890</v>
      </c>
      <c r="L8" s="7" t="s">
        <v>2890</v>
      </c>
      <c r="M8" s="7" t="s">
        <v>2893</v>
      </c>
      <c r="N8" s="7" t="s">
        <v>2894</v>
      </c>
      <c r="O8" s="7" t="s">
        <v>2890</v>
      </c>
      <c r="P8" s="7" t="s">
        <v>2890</v>
      </c>
      <c r="Q8" s="7" t="s">
        <v>2890</v>
      </c>
      <c r="R8" s="7" t="s">
        <v>2890</v>
      </c>
      <c r="S8" s="7" t="s">
        <v>2890</v>
      </c>
      <c r="T8" s="7" t="s">
        <v>3040</v>
      </c>
      <c r="U8" s="7" t="s">
        <v>2890</v>
      </c>
      <c r="V8" s="7" t="s">
        <v>3041</v>
      </c>
      <c r="W8" s="7" t="s">
        <v>3042</v>
      </c>
      <c r="X8" s="7" t="s">
        <v>2890</v>
      </c>
      <c r="Y8" s="7" t="s">
        <v>3043</v>
      </c>
      <c r="Z8" s="7" t="s">
        <v>3044</v>
      </c>
      <c r="AA8" s="7" t="s">
        <v>3045</v>
      </c>
      <c r="AB8" s="7" t="s">
        <v>3046</v>
      </c>
      <c r="AC8" s="7" t="s">
        <v>3047</v>
      </c>
      <c r="AD8" s="7" t="s">
        <v>3047</v>
      </c>
      <c r="AE8" s="7" t="s">
        <v>3048</v>
      </c>
      <c r="AF8" s="7" t="s">
        <v>2890</v>
      </c>
      <c r="AG8" s="7">
        <v>29.0</v>
      </c>
      <c r="AH8" s="7">
        <v>4.0</v>
      </c>
      <c r="AI8" s="7">
        <v>5.0</v>
      </c>
      <c r="AJ8" s="7">
        <v>1.0</v>
      </c>
      <c r="AK8" s="7">
        <v>17.0</v>
      </c>
      <c r="AL8" s="7" t="s">
        <v>3049</v>
      </c>
      <c r="AM8" s="7" t="s">
        <v>3050</v>
      </c>
      <c r="AN8" s="7" t="s">
        <v>3051</v>
      </c>
      <c r="AO8" s="7" t="s">
        <v>3052</v>
      </c>
      <c r="AP8" s="7" t="s">
        <v>3053</v>
      </c>
      <c r="AQ8" s="7" t="s">
        <v>2890</v>
      </c>
      <c r="AR8" s="7" t="s">
        <v>3054</v>
      </c>
      <c r="AS8" s="7" t="s">
        <v>3055</v>
      </c>
      <c r="AT8" s="7" t="s">
        <v>2890</v>
      </c>
      <c r="AU8" s="7">
        <v>2023.0</v>
      </c>
      <c r="AV8" s="7">
        <v>95.0</v>
      </c>
      <c r="AW8" s="7">
        <v>1.0</v>
      </c>
      <c r="AX8" s="7" t="s">
        <v>2890</v>
      </c>
      <c r="AY8" s="7" t="s">
        <v>2890</v>
      </c>
      <c r="AZ8" s="7" t="s">
        <v>2890</v>
      </c>
      <c r="BA8" s="7" t="s">
        <v>2890</v>
      </c>
      <c r="BB8" s="7" t="s">
        <v>2890</v>
      </c>
      <c r="BC8" s="7" t="s">
        <v>2890</v>
      </c>
      <c r="BD8" s="7" t="s">
        <v>3056</v>
      </c>
      <c r="BE8" s="7" t="s">
        <v>3057</v>
      </c>
      <c r="BF8" s="24" t="str">
        <f>HYPERLINK("http://dx.doi.org/10.1590/0001-3765202320211079","http://dx.doi.org/10.1590/0001-3765202320211079")</f>
        <v>http://dx.doi.org/10.1590/0001-3765202320211079</v>
      </c>
      <c r="BG8" s="7" t="s">
        <v>2890</v>
      </c>
      <c r="BH8" s="7" t="s">
        <v>2890</v>
      </c>
      <c r="BI8" s="7">
        <v>15.0</v>
      </c>
      <c r="BJ8" s="7" t="s">
        <v>3058</v>
      </c>
      <c r="BK8" s="7" t="s">
        <v>2938</v>
      </c>
      <c r="BL8" s="7" t="s">
        <v>3059</v>
      </c>
      <c r="BM8" s="7" t="s">
        <v>3060</v>
      </c>
      <c r="BN8" s="7">
        <v>3.7222361E7</v>
      </c>
      <c r="BO8" s="7" t="s">
        <v>2988</v>
      </c>
      <c r="BP8" s="7" t="s">
        <v>2890</v>
      </c>
      <c r="BQ8" s="7" t="s">
        <v>2890</v>
      </c>
      <c r="BR8" s="7" t="s">
        <v>2916</v>
      </c>
      <c r="BS8" s="7" t="s">
        <v>3061</v>
      </c>
      <c r="BT8" s="7" t="str">
        <f>HYPERLINK("https%3A%2F%2Fwww.webofscience.com%2Fwos%2Fwoscc%2Ffull-record%2FWOS:000996440000001","View Full Record in Web of Science")</f>
        <v>View Full Record in Web of Science</v>
      </c>
    </row>
    <row r="9" ht="12.75" customHeight="1">
      <c r="A9" s="7" t="s">
        <v>2888</v>
      </c>
      <c r="B9" s="7" t="s">
        <v>3062</v>
      </c>
      <c r="C9" s="7" t="s">
        <v>2890</v>
      </c>
      <c r="D9" s="7" t="s">
        <v>2890</v>
      </c>
      <c r="E9" s="7" t="s">
        <v>2890</v>
      </c>
      <c r="F9" s="7" t="s">
        <v>3063</v>
      </c>
      <c r="G9" s="7" t="s">
        <v>2890</v>
      </c>
      <c r="H9" s="7" t="s">
        <v>2890</v>
      </c>
      <c r="I9" s="7" t="s">
        <v>2764</v>
      </c>
      <c r="J9" s="7" t="s">
        <v>3064</v>
      </c>
      <c r="K9" s="7" t="s">
        <v>2890</v>
      </c>
      <c r="L9" s="7" t="s">
        <v>2890</v>
      </c>
      <c r="M9" s="7" t="s">
        <v>2893</v>
      </c>
      <c r="N9" s="7" t="s">
        <v>2894</v>
      </c>
      <c r="O9" s="7" t="s">
        <v>2890</v>
      </c>
      <c r="P9" s="7" t="s">
        <v>2890</v>
      </c>
      <c r="Q9" s="7" t="s">
        <v>2890</v>
      </c>
      <c r="R9" s="7" t="s">
        <v>2890</v>
      </c>
      <c r="S9" s="7" t="s">
        <v>2890</v>
      </c>
      <c r="T9" s="7" t="s">
        <v>3065</v>
      </c>
      <c r="U9" s="7" t="s">
        <v>3066</v>
      </c>
      <c r="V9" s="7" t="s">
        <v>2765</v>
      </c>
      <c r="W9" s="7" t="s">
        <v>3067</v>
      </c>
      <c r="X9" s="7" t="s">
        <v>3068</v>
      </c>
      <c r="Y9" s="7" t="s">
        <v>3069</v>
      </c>
      <c r="Z9" s="7" t="s">
        <v>3070</v>
      </c>
      <c r="AA9" s="7" t="s">
        <v>3071</v>
      </c>
      <c r="AB9" s="7" t="s">
        <v>3072</v>
      </c>
      <c r="AC9" s="7" t="s">
        <v>3073</v>
      </c>
      <c r="AD9" s="7" t="s">
        <v>3074</v>
      </c>
      <c r="AE9" s="7" t="s">
        <v>3075</v>
      </c>
      <c r="AF9" s="7" t="s">
        <v>2890</v>
      </c>
      <c r="AG9" s="7">
        <v>61.0</v>
      </c>
      <c r="AH9" s="7">
        <v>11.0</v>
      </c>
      <c r="AI9" s="7">
        <v>14.0</v>
      </c>
      <c r="AJ9" s="7">
        <v>0.0</v>
      </c>
      <c r="AK9" s="7">
        <v>12.0</v>
      </c>
      <c r="AL9" s="7" t="s">
        <v>3076</v>
      </c>
      <c r="AM9" s="7" t="s">
        <v>3077</v>
      </c>
      <c r="AN9" s="7" t="s">
        <v>3078</v>
      </c>
      <c r="AO9" s="7" t="s">
        <v>3079</v>
      </c>
      <c r="AP9" s="7" t="s">
        <v>3080</v>
      </c>
      <c r="AQ9" s="7" t="s">
        <v>2890</v>
      </c>
      <c r="AR9" s="7" t="s">
        <v>3081</v>
      </c>
      <c r="AS9" s="7" t="s">
        <v>3082</v>
      </c>
      <c r="AT9" s="7" t="s">
        <v>3083</v>
      </c>
      <c r="AU9" s="7">
        <v>2023.0</v>
      </c>
      <c r="AV9" s="7">
        <v>71.0</v>
      </c>
      <c r="AW9" s="7" t="s">
        <v>2890</v>
      </c>
      <c r="AX9" s="7" t="s">
        <v>2890</v>
      </c>
      <c r="AY9" s="7" t="s">
        <v>2890</v>
      </c>
      <c r="AZ9" s="7" t="s">
        <v>2890</v>
      </c>
      <c r="BA9" s="7" t="s">
        <v>2890</v>
      </c>
      <c r="BB9" s="7" t="s">
        <v>2890</v>
      </c>
      <c r="BC9" s="7" t="s">
        <v>2890</v>
      </c>
      <c r="BD9" s="7">
        <v>126318.0</v>
      </c>
      <c r="BE9" s="7" t="s">
        <v>2606</v>
      </c>
      <c r="BF9" s="24" t="str">
        <f>HYPERLINK("http://dx.doi.org/10.1016/j.jnc.2022.126318","http://dx.doi.org/10.1016/j.jnc.2022.126318")</f>
        <v>http://dx.doi.org/10.1016/j.jnc.2022.126318</v>
      </c>
      <c r="BG9" s="7" t="s">
        <v>2890</v>
      </c>
      <c r="BH9" s="7" t="s">
        <v>3084</v>
      </c>
      <c r="BI9" s="7">
        <v>10.0</v>
      </c>
      <c r="BJ9" s="7" t="s">
        <v>3085</v>
      </c>
      <c r="BK9" s="7" t="s">
        <v>2938</v>
      </c>
      <c r="BL9" s="7" t="s">
        <v>3034</v>
      </c>
      <c r="BM9" s="7" t="s">
        <v>3086</v>
      </c>
      <c r="BN9" s="7" t="s">
        <v>2890</v>
      </c>
      <c r="BO9" s="7" t="s">
        <v>3087</v>
      </c>
      <c r="BP9" s="7" t="s">
        <v>2890</v>
      </c>
      <c r="BQ9" s="7" t="s">
        <v>2890</v>
      </c>
      <c r="BR9" s="7" t="s">
        <v>2916</v>
      </c>
      <c r="BS9" s="7" t="s">
        <v>2766</v>
      </c>
      <c r="BT9" s="7" t="str">
        <f>HYPERLINK("https%3A%2F%2Fwww.webofscience.com%2Fwos%2Fwoscc%2Ffull-record%2FWOS:000907994500001","View Full Record in Web of Science")</f>
        <v>View Full Record in Web of Science</v>
      </c>
    </row>
    <row r="10" ht="12.75" customHeight="1">
      <c r="A10" s="7" t="s">
        <v>2888</v>
      </c>
      <c r="B10" s="7" t="s">
        <v>3088</v>
      </c>
      <c r="C10" s="7" t="s">
        <v>2890</v>
      </c>
      <c r="D10" s="7" t="s">
        <v>2890</v>
      </c>
      <c r="E10" s="7" t="s">
        <v>2890</v>
      </c>
      <c r="F10" s="7" t="s">
        <v>3089</v>
      </c>
      <c r="G10" s="7" t="s">
        <v>2890</v>
      </c>
      <c r="H10" s="7" t="s">
        <v>2890</v>
      </c>
      <c r="I10" s="7" t="s">
        <v>273</v>
      </c>
      <c r="J10" s="7" t="s">
        <v>2991</v>
      </c>
      <c r="K10" s="7" t="s">
        <v>2890</v>
      </c>
      <c r="L10" s="7" t="s">
        <v>2890</v>
      </c>
      <c r="M10" s="7" t="s">
        <v>2893</v>
      </c>
      <c r="N10" s="7" t="s">
        <v>2894</v>
      </c>
      <c r="O10" s="7" t="s">
        <v>2890</v>
      </c>
      <c r="P10" s="7" t="s">
        <v>2890</v>
      </c>
      <c r="Q10" s="7" t="s">
        <v>2890</v>
      </c>
      <c r="R10" s="7" t="s">
        <v>2890</v>
      </c>
      <c r="S10" s="7" t="s">
        <v>2890</v>
      </c>
      <c r="T10" s="7" t="s">
        <v>3090</v>
      </c>
      <c r="U10" s="7" t="s">
        <v>3091</v>
      </c>
      <c r="V10" s="7" t="s">
        <v>2666</v>
      </c>
      <c r="W10" s="7" t="s">
        <v>3092</v>
      </c>
      <c r="X10" s="7" t="s">
        <v>3093</v>
      </c>
      <c r="Y10" s="7" t="s">
        <v>3094</v>
      </c>
      <c r="Z10" s="7" t="s">
        <v>3095</v>
      </c>
      <c r="AA10" s="7" t="s">
        <v>2890</v>
      </c>
      <c r="AB10" s="7" t="s">
        <v>3096</v>
      </c>
      <c r="AC10" s="7" t="s">
        <v>3097</v>
      </c>
      <c r="AD10" s="7" t="s">
        <v>3098</v>
      </c>
      <c r="AE10" s="7" t="s">
        <v>3099</v>
      </c>
      <c r="AF10" s="7" t="s">
        <v>2890</v>
      </c>
      <c r="AG10" s="7">
        <v>57.0</v>
      </c>
      <c r="AH10" s="7">
        <v>3.0</v>
      </c>
      <c r="AI10" s="7">
        <v>3.0</v>
      </c>
      <c r="AJ10" s="7">
        <v>3.0</v>
      </c>
      <c r="AK10" s="7">
        <v>88.0</v>
      </c>
      <c r="AL10" s="7" t="s">
        <v>2978</v>
      </c>
      <c r="AM10" s="7" t="s">
        <v>2979</v>
      </c>
      <c r="AN10" s="7" t="s">
        <v>2980</v>
      </c>
      <c r="AO10" s="7" t="s">
        <v>2890</v>
      </c>
      <c r="AP10" s="7" t="s">
        <v>3003</v>
      </c>
      <c r="AQ10" s="7" t="s">
        <v>2890</v>
      </c>
      <c r="AR10" s="7" t="s">
        <v>3004</v>
      </c>
      <c r="AS10" s="7" t="s">
        <v>3005</v>
      </c>
      <c r="AT10" s="7" t="s">
        <v>3100</v>
      </c>
      <c r="AU10" s="7">
        <v>2022.0</v>
      </c>
      <c r="AV10" s="7">
        <v>10.0</v>
      </c>
      <c r="AW10" s="7" t="s">
        <v>2890</v>
      </c>
      <c r="AX10" s="7" t="s">
        <v>2890</v>
      </c>
      <c r="AY10" s="7" t="s">
        <v>2890</v>
      </c>
      <c r="AZ10" s="7" t="s">
        <v>2890</v>
      </c>
      <c r="BA10" s="7" t="s">
        <v>2890</v>
      </c>
      <c r="BB10" s="7" t="s">
        <v>2890</v>
      </c>
      <c r="BC10" s="7" t="s">
        <v>2890</v>
      </c>
      <c r="BD10" s="7">
        <v>1094406.0</v>
      </c>
      <c r="BE10" s="7" t="s">
        <v>2605</v>
      </c>
      <c r="BF10" s="24" t="str">
        <f>HYPERLINK("http://dx.doi.org/10.3389/fenvs.2022.1094406","http://dx.doi.org/10.3389/fenvs.2022.1094406")</f>
        <v>http://dx.doi.org/10.3389/fenvs.2022.1094406</v>
      </c>
      <c r="BG10" s="7" t="s">
        <v>2890</v>
      </c>
      <c r="BH10" s="7" t="s">
        <v>2890</v>
      </c>
      <c r="BI10" s="7">
        <v>15.0</v>
      </c>
      <c r="BJ10" s="7" t="s">
        <v>3007</v>
      </c>
      <c r="BK10" s="7" t="s">
        <v>2938</v>
      </c>
      <c r="BL10" s="7" t="s">
        <v>3008</v>
      </c>
      <c r="BM10" s="7" t="s">
        <v>3101</v>
      </c>
      <c r="BN10" s="7" t="s">
        <v>2890</v>
      </c>
      <c r="BO10" s="7" t="s">
        <v>2988</v>
      </c>
      <c r="BP10" s="7" t="s">
        <v>2890</v>
      </c>
      <c r="BQ10" s="7" t="s">
        <v>2890</v>
      </c>
      <c r="BR10" s="7" t="s">
        <v>2916</v>
      </c>
      <c r="BS10" s="7" t="s">
        <v>2667</v>
      </c>
      <c r="BT10" s="7" t="str">
        <f>HYPERLINK("https%3A%2F%2Fwww.webofscience.com%2Fwos%2Fwoscc%2Ffull-record%2FWOS:000905345300001","View Full Record in Web of Science")</f>
        <v>View Full Record in Web of Science</v>
      </c>
    </row>
    <row r="11" ht="12.75" customHeight="1">
      <c r="A11" s="7" t="s">
        <v>2888</v>
      </c>
      <c r="B11" s="7" t="s">
        <v>3102</v>
      </c>
      <c r="C11" s="7" t="s">
        <v>2890</v>
      </c>
      <c r="D11" s="7" t="s">
        <v>2890</v>
      </c>
      <c r="E11" s="7" t="s">
        <v>2890</v>
      </c>
      <c r="F11" s="7" t="s">
        <v>3103</v>
      </c>
      <c r="G11" s="7" t="s">
        <v>2890</v>
      </c>
      <c r="H11" s="7" t="s">
        <v>2890</v>
      </c>
      <c r="I11" s="7" t="s">
        <v>165</v>
      </c>
      <c r="J11" s="7" t="s">
        <v>3104</v>
      </c>
      <c r="K11" s="7" t="s">
        <v>2890</v>
      </c>
      <c r="L11" s="7" t="s">
        <v>2890</v>
      </c>
      <c r="M11" s="7" t="s">
        <v>2893</v>
      </c>
      <c r="N11" s="7" t="s">
        <v>2894</v>
      </c>
      <c r="O11" s="7" t="s">
        <v>2890</v>
      </c>
      <c r="P11" s="7" t="s">
        <v>2890</v>
      </c>
      <c r="Q11" s="7" t="s">
        <v>2890</v>
      </c>
      <c r="R11" s="7" t="s">
        <v>2890</v>
      </c>
      <c r="S11" s="7" t="s">
        <v>2890</v>
      </c>
      <c r="T11" s="7" t="s">
        <v>3105</v>
      </c>
      <c r="U11" s="7" t="s">
        <v>3106</v>
      </c>
      <c r="V11" s="7" t="s">
        <v>3107</v>
      </c>
      <c r="W11" s="7" t="s">
        <v>3108</v>
      </c>
      <c r="X11" s="7" t="s">
        <v>3109</v>
      </c>
      <c r="Y11" s="7" t="s">
        <v>3110</v>
      </c>
      <c r="Z11" s="7" t="s">
        <v>3111</v>
      </c>
      <c r="AA11" s="7" t="s">
        <v>3112</v>
      </c>
      <c r="AB11" s="7" t="s">
        <v>3113</v>
      </c>
      <c r="AC11" s="7" t="s">
        <v>2890</v>
      </c>
      <c r="AD11" s="7" t="s">
        <v>2890</v>
      </c>
      <c r="AE11" s="7" t="s">
        <v>2890</v>
      </c>
      <c r="AF11" s="7" t="s">
        <v>2890</v>
      </c>
      <c r="AG11" s="7">
        <v>62.0</v>
      </c>
      <c r="AH11" s="7">
        <v>29.0</v>
      </c>
      <c r="AI11" s="7">
        <v>32.0</v>
      </c>
      <c r="AJ11" s="7">
        <v>7.0</v>
      </c>
      <c r="AK11" s="7">
        <v>46.0</v>
      </c>
      <c r="AL11" s="7" t="s">
        <v>2905</v>
      </c>
      <c r="AM11" s="7" t="s">
        <v>3114</v>
      </c>
      <c r="AN11" s="7" t="s">
        <v>3115</v>
      </c>
      <c r="AO11" s="7" t="s">
        <v>3116</v>
      </c>
      <c r="AP11" s="7" t="s">
        <v>3117</v>
      </c>
      <c r="AQ11" s="7" t="s">
        <v>2890</v>
      </c>
      <c r="AR11" s="7" t="s">
        <v>3104</v>
      </c>
      <c r="AS11" s="7" t="s">
        <v>3118</v>
      </c>
      <c r="AT11" s="7" t="s">
        <v>3119</v>
      </c>
      <c r="AU11" s="7">
        <v>2023.0</v>
      </c>
      <c r="AV11" s="7">
        <v>124.0</v>
      </c>
      <c r="AW11" s="7" t="s">
        <v>2890</v>
      </c>
      <c r="AX11" s="7" t="s">
        <v>2890</v>
      </c>
      <c r="AY11" s="7" t="s">
        <v>2890</v>
      </c>
      <c r="AZ11" s="7" t="s">
        <v>2890</v>
      </c>
      <c r="BA11" s="7" t="s">
        <v>2890</v>
      </c>
      <c r="BB11" s="7" t="s">
        <v>2890</v>
      </c>
      <c r="BC11" s="7" t="s">
        <v>2890</v>
      </c>
      <c r="BD11" s="7">
        <v>106434.0</v>
      </c>
      <c r="BE11" s="7" t="s">
        <v>3120</v>
      </c>
      <c r="BF11" s="24" t="str">
        <f>HYPERLINK("http://dx.doi.org/10.1016/j.landusepol.2022.106434","http://dx.doi.org/10.1016/j.landusepol.2022.106434")</f>
        <v>http://dx.doi.org/10.1016/j.landusepol.2022.106434</v>
      </c>
      <c r="BG11" s="7" t="s">
        <v>2890</v>
      </c>
      <c r="BH11" s="7" t="s">
        <v>3121</v>
      </c>
      <c r="BI11" s="7">
        <v>10.0</v>
      </c>
      <c r="BJ11" s="7" t="s">
        <v>3122</v>
      </c>
      <c r="BK11" s="7" t="s">
        <v>2914</v>
      </c>
      <c r="BL11" s="7" t="s">
        <v>3008</v>
      </c>
      <c r="BM11" s="7" t="s">
        <v>3123</v>
      </c>
      <c r="BN11" s="7" t="s">
        <v>2890</v>
      </c>
      <c r="BO11" s="7" t="s">
        <v>2890</v>
      </c>
      <c r="BP11" s="7" t="s">
        <v>2890</v>
      </c>
      <c r="BQ11" s="7" t="s">
        <v>2890</v>
      </c>
      <c r="BR11" s="7" t="s">
        <v>2916</v>
      </c>
      <c r="BS11" s="7" t="s">
        <v>3124</v>
      </c>
      <c r="BT11" s="7" t="str">
        <f>HYPERLINK("https%3A%2F%2Fwww.webofscience.com%2Fwos%2Fwoscc%2Ffull-record%2FWOS:000886832900006","View Full Record in Web of Science")</f>
        <v>View Full Record in Web of Science</v>
      </c>
    </row>
    <row r="12" ht="12.75" customHeight="1">
      <c r="A12" s="7" t="s">
        <v>2888</v>
      </c>
      <c r="B12" s="7" t="s">
        <v>3125</v>
      </c>
      <c r="C12" s="7" t="s">
        <v>2890</v>
      </c>
      <c r="D12" s="7" t="s">
        <v>2890</v>
      </c>
      <c r="E12" s="7" t="s">
        <v>2890</v>
      </c>
      <c r="F12" s="7" t="s">
        <v>3126</v>
      </c>
      <c r="G12" s="7" t="s">
        <v>2890</v>
      </c>
      <c r="H12" s="7" t="s">
        <v>2890</v>
      </c>
      <c r="I12" s="7" t="s">
        <v>72</v>
      </c>
      <c r="J12" s="7" t="s">
        <v>3127</v>
      </c>
      <c r="K12" s="7" t="s">
        <v>2890</v>
      </c>
      <c r="L12" s="7" t="s">
        <v>2890</v>
      </c>
      <c r="M12" s="7" t="s">
        <v>2893</v>
      </c>
      <c r="N12" s="7" t="s">
        <v>2894</v>
      </c>
      <c r="O12" s="7" t="s">
        <v>2890</v>
      </c>
      <c r="P12" s="7" t="s">
        <v>2890</v>
      </c>
      <c r="Q12" s="7" t="s">
        <v>2890</v>
      </c>
      <c r="R12" s="7" t="s">
        <v>2890</v>
      </c>
      <c r="S12" s="7" t="s">
        <v>2890</v>
      </c>
      <c r="T12" s="7" t="s">
        <v>3128</v>
      </c>
      <c r="U12" s="7" t="s">
        <v>3129</v>
      </c>
      <c r="V12" s="7" t="s">
        <v>2679</v>
      </c>
      <c r="W12" s="7" t="s">
        <v>3130</v>
      </c>
      <c r="X12" s="7" t="s">
        <v>3131</v>
      </c>
      <c r="Y12" s="7" t="s">
        <v>3132</v>
      </c>
      <c r="Z12" s="7" t="s">
        <v>3133</v>
      </c>
      <c r="AA12" s="7" t="s">
        <v>3134</v>
      </c>
      <c r="AB12" s="7" t="s">
        <v>3135</v>
      </c>
      <c r="AC12" s="7" t="s">
        <v>3136</v>
      </c>
      <c r="AD12" s="7" t="s">
        <v>3137</v>
      </c>
      <c r="AE12" s="7" t="s">
        <v>3138</v>
      </c>
      <c r="AF12" s="7" t="s">
        <v>2890</v>
      </c>
      <c r="AG12" s="7">
        <v>43.0</v>
      </c>
      <c r="AH12" s="7">
        <v>10.0</v>
      </c>
      <c r="AI12" s="7">
        <v>13.0</v>
      </c>
      <c r="AJ12" s="7">
        <v>5.0</v>
      </c>
      <c r="AK12" s="7">
        <v>20.0</v>
      </c>
      <c r="AL12" s="7" t="s">
        <v>2928</v>
      </c>
      <c r="AM12" s="7" t="s">
        <v>2929</v>
      </c>
      <c r="AN12" s="7" t="s">
        <v>2930</v>
      </c>
      <c r="AO12" s="7" t="s">
        <v>3139</v>
      </c>
      <c r="AP12" s="7" t="s">
        <v>3140</v>
      </c>
      <c r="AQ12" s="7" t="s">
        <v>2890</v>
      </c>
      <c r="AR12" s="7" t="s">
        <v>3141</v>
      </c>
      <c r="AS12" s="7" t="s">
        <v>3142</v>
      </c>
      <c r="AT12" s="7" t="s">
        <v>3143</v>
      </c>
      <c r="AU12" s="7">
        <v>2022.0</v>
      </c>
      <c r="AV12" s="7">
        <v>30.0</v>
      </c>
      <c r="AW12" s="7">
        <v>6.0</v>
      </c>
      <c r="AX12" s="7" t="s">
        <v>2890</v>
      </c>
      <c r="AY12" s="7" t="s">
        <v>2890</v>
      </c>
      <c r="AZ12" s="7" t="s">
        <v>2890</v>
      </c>
      <c r="BA12" s="7" t="s">
        <v>2890</v>
      </c>
      <c r="BB12" s="7">
        <v>1245.0</v>
      </c>
      <c r="BC12" s="7">
        <v>1259.0</v>
      </c>
      <c r="BD12" s="7" t="s">
        <v>2890</v>
      </c>
      <c r="BE12" s="7" t="s">
        <v>2604</v>
      </c>
      <c r="BF12" s="24" t="str">
        <f>HYPERLINK("http://dx.doi.org/10.1007/s11273-022-09894-0","http://dx.doi.org/10.1007/s11273-022-09894-0")</f>
        <v>http://dx.doi.org/10.1007/s11273-022-09894-0</v>
      </c>
      <c r="BG12" s="7" t="s">
        <v>2890</v>
      </c>
      <c r="BH12" s="7" t="s">
        <v>3144</v>
      </c>
      <c r="BI12" s="7">
        <v>15.0</v>
      </c>
      <c r="BJ12" s="7" t="s">
        <v>3145</v>
      </c>
      <c r="BK12" s="7" t="s">
        <v>2938</v>
      </c>
      <c r="BL12" s="7" t="s">
        <v>3146</v>
      </c>
      <c r="BM12" s="7" t="s">
        <v>3147</v>
      </c>
      <c r="BN12" s="7" t="s">
        <v>2890</v>
      </c>
      <c r="BO12" s="7" t="s">
        <v>3148</v>
      </c>
      <c r="BP12" s="7" t="s">
        <v>2890</v>
      </c>
      <c r="BQ12" s="7" t="s">
        <v>2890</v>
      </c>
      <c r="BR12" s="7" t="s">
        <v>2916</v>
      </c>
      <c r="BS12" s="7" t="s">
        <v>2680</v>
      </c>
      <c r="BT12" s="7" t="str">
        <f>HYPERLINK("https%3A%2F%2Fwww.webofscience.com%2Fwos%2Fwoscc%2Ffull-record%2FWOS:000851347000001","View Full Record in Web of Science")</f>
        <v>View Full Record in Web of Science</v>
      </c>
    </row>
    <row r="13" ht="12.75" customHeight="1">
      <c r="A13" s="7" t="s">
        <v>2888</v>
      </c>
      <c r="B13" s="7" t="s">
        <v>3149</v>
      </c>
      <c r="C13" s="7" t="s">
        <v>2890</v>
      </c>
      <c r="D13" s="7" t="s">
        <v>2890</v>
      </c>
      <c r="E13" s="7" t="s">
        <v>2890</v>
      </c>
      <c r="F13" s="7" t="s">
        <v>3150</v>
      </c>
      <c r="G13" s="7" t="s">
        <v>2890</v>
      </c>
      <c r="H13" s="7" t="s">
        <v>2890</v>
      </c>
      <c r="I13" s="7" t="s">
        <v>3151</v>
      </c>
      <c r="J13" s="7" t="s">
        <v>3152</v>
      </c>
      <c r="K13" s="7" t="s">
        <v>2890</v>
      </c>
      <c r="L13" s="7" t="s">
        <v>2890</v>
      </c>
      <c r="M13" s="7" t="s">
        <v>2893</v>
      </c>
      <c r="N13" s="7" t="s">
        <v>2894</v>
      </c>
      <c r="O13" s="7" t="s">
        <v>2890</v>
      </c>
      <c r="P13" s="7" t="s">
        <v>2890</v>
      </c>
      <c r="Q13" s="7" t="s">
        <v>2890</v>
      </c>
      <c r="R13" s="7" t="s">
        <v>2890</v>
      </c>
      <c r="S13" s="7" t="s">
        <v>2890</v>
      </c>
      <c r="T13" s="7" t="s">
        <v>3153</v>
      </c>
      <c r="U13" s="7" t="s">
        <v>3154</v>
      </c>
      <c r="V13" s="7" t="s">
        <v>3155</v>
      </c>
      <c r="W13" s="7" t="s">
        <v>3156</v>
      </c>
      <c r="X13" s="7" t="s">
        <v>3157</v>
      </c>
      <c r="Y13" s="7" t="s">
        <v>3158</v>
      </c>
      <c r="Z13" s="7" t="s">
        <v>3159</v>
      </c>
      <c r="AA13" s="7" t="s">
        <v>2890</v>
      </c>
      <c r="AB13" s="7" t="s">
        <v>2890</v>
      </c>
      <c r="AC13" s="7" t="s">
        <v>2890</v>
      </c>
      <c r="AD13" s="7" t="s">
        <v>2890</v>
      </c>
      <c r="AE13" s="7" t="s">
        <v>2890</v>
      </c>
      <c r="AF13" s="7" t="s">
        <v>2890</v>
      </c>
      <c r="AG13" s="7">
        <v>94.0</v>
      </c>
      <c r="AH13" s="7">
        <v>5.0</v>
      </c>
      <c r="AI13" s="7">
        <v>7.0</v>
      </c>
      <c r="AJ13" s="7">
        <v>1.0</v>
      </c>
      <c r="AK13" s="7">
        <v>22.0</v>
      </c>
      <c r="AL13" s="7" t="s">
        <v>3160</v>
      </c>
      <c r="AM13" s="7" t="s">
        <v>3161</v>
      </c>
      <c r="AN13" s="7" t="s">
        <v>3162</v>
      </c>
      <c r="AO13" s="7" t="s">
        <v>3163</v>
      </c>
      <c r="AP13" s="7" t="s">
        <v>3164</v>
      </c>
      <c r="AQ13" s="7" t="s">
        <v>2890</v>
      </c>
      <c r="AR13" s="7" t="s">
        <v>3165</v>
      </c>
      <c r="AS13" s="7" t="s">
        <v>3166</v>
      </c>
      <c r="AT13" s="7" t="s">
        <v>3167</v>
      </c>
      <c r="AU13" s="7">
        <v>2022.0</v>
      </c>
      <c r="AV13" s="7">
        <v>143.0</v>
      </c>
      <c r="AW13" s="7" t="s">
        <v>2890</v>
      </c>
      <c r="AX13" s="7" t="s">
        <v>2890</v>
      </c>
      <c r="AY13" s="7" t="s">
        <v>2890</v>
      </c>
      <c r="AZ13" s="7" t="s">
        <v>2890</v>
      </c>
      <c r="BA13" s="7" t="s">
        <v>2890</v>
      </c>
      <c r="BB13" s="7" t="s">
        <v>2890</v>
      </c>
      <c r="BC13" s="7" t="s">
        <v>2890</v>
      </c>
      <c r="BD13" s="7">
        <v>109337.0</v>
      </c>
      <c r="BE13" s="7" t="s">
        <v>553</v>
      </c>
      <c r="BF13" s="24" t="str">
        <f>HYPERLINK("http://dx.doi.org/10.1016/j.ecolind.2022.109337","http://dx.doi.org/10.1016/j.ecolind.2022.109337")</f>
        <v>http://dx.doi.org/10.1016/j.ecolind.2022.109337</v>
      </c>
      <c r="BG13" s="7" t="s">
        <v>2890</v>
      </c>
      <c r="BH13" s="7" t="s">
        <v>3168</v>
      </c>
      <c r="BI13" s="7">
        <v>11.0</v>
      </c>
      <c r="BJ13" s="7" t="s">
        <v>3169</v>
      </c>
      <c r="BK13" s="7" t="s">
        <v>2938</v>
      </c>
      <c r="BL13" s="7" t="s">
        <v>3034</v>
      </c>
      <c r="BM13" s="7" t="s">
        <v>3170</v>
      </c>
      <c r="BN13" s="7" t="s">
        <v>2890</v>
      </c>
      <c r="BO13" s="7" t="s">
        <v>2988</v>
      </c>
      <c r="BP13" s="7" t="s">
        <v>2890</v>
      </c>
      <c r="BQ13" s="7" t="s">
        <v>2890</v>
      </c>
      <c r="BR13" s="7" t="s">
        <v>2916</v>
      </c>
      <c r="BS13" s="7" t="s">
        <v>3171</v>
      </c>
      <c r="BT13" s="7" t="str">
        <f>HYPERLINK("https%3A%2F%2Fwww.webofscience.com%2Fwos%2Fwoscc%2Ffull-record%2FWOS:000873987200002","View Full Record in Web of Science")</f>
        <v>View Full Record in Web of Science</v>
      </c>
    </row>
    <row r="14" ht="12.75" customHeight="1">
      <c r="A14" s="7" t="s">
        <v>2888</v>
      </c>
      <c r="B14" s="7" t="s">
        <v>3172</v>
      </c>
      <c r="C14" s="7" t="s">
        <v>2890</v>
      </c>
      <c r="D14" s="7" t="s">
        <v>2890</v>
      </c>
      <c r="E14" s="7" t="s">
        <v>2890</v>
      </c>
      <c r="F14" s="7" t="s">
        <v>3173</v>
      </c>
      <c r="G14" s="7" t="s">
        <v>2890</v>
      </c>
      <c r="H14" s="7" t="s">
        <v>2890</v>
      </c>
      <c r="I14" s="7" t="s">
        <v>2789</v>
      </c>
      <c r="J14" s="7" t="s">
        <v>3174</v>
      </c>
      <c r="K14" s="7" t="s">
        <v>2890</v>
      </c>
      <c r="L14" s="7" t="s">
        <v>2890</v>
      </c>
      <c r="M14" s="7" t="s">
        <v>2893</v>
      </c>
      <c r="N14" s="7" t="s">
        <v>2894</v>
      </c>
      <c r="O14" s="7" t="s">
        <v>2890</v>
      </c>
      <c r="P14" s="7" t="s">
        <v>2890</v>
      </c>
      <c r="Q14" s="7" t="s">
        <v>2890</v>
      </c>
      <c r="R14" s="7" t="s">
        <v>2890</v>
      </c>
      <c r="S14" s="7" t="s">
        <v>2890</v>
      </c>
      <c r="T14" s="7" t="s">
        <v>3175</v>
      </c>
      <c r="U14" s="7" t="s">
        <v>3176</v>
      </c>
      <c r="V14" s="7" t="s">
        <v>2790</v>
      </c>
      <c r="W14" s="7" t="s">
        <v>3177</v>
      </c>
      <c r="X14" s="7" t="s">
        <v>3178</v>
      </c>
      <c r="Y14" s="7" t="s">
        <v>3179</v>
      </c>
      <c r="Z14" s="7" t="s">
        <v>3180</v>
      </c>
      <c r="AA14" s="7" t="s">
        <v>3181</v>
      </c>
      <c r="AB14" s="7" t="s">
        <v>3182</v>
      </c>
      <c r="AC14" s="7" t="s">
        <v>3183</v>
      </c>
      <c r="AD14" s="7" t="s">
        <v>3184</v>
      </c>
      <c r="AE14" s="7" t="s">
        <v>3185</v>
      </c>
      <c r="AF14" s="7" t="s">
        <v>2890</v>
      </c>
      <c r="AG14" s="7">
        <v>88.0</v>
      </c>
      <c r="AH14" s="7">
        <v>8.0</v>
      </c>
      <c r="AI14" s="7">
        <v>10.0</v>
      </c>
      <c r="AJ14" s="7">
        <v>0.0</v>
      </c>
      <c r="AK14" s="7">
        <v>5.0</v>
      </c>
      <c r="AL14" s="7" t="s">
        <v>3186</v>
      </c>
      <c r="AM14" s="7" t="s">
        <v>3187</v>
      </c>
      <c r="AN14" s="7" t="s">
        <v>3188</v>
      </c>
      <c r="AO14" s="7" t="s">
        <v>3189</v>
      </c>
      <c r="AP14" s="7" t="s">
        <v>3190</v>
      </c>
      <c r="AQ14" s="7" t="s">
        <v>2890</v>
      </c>
      <c r="AR14" s="7" t="s">
        <v>3191</v>
      </c>
      <c r="AS14" s="7" t="s">
        <v>3192</v>
      </c>
      <c r="AT14" s="7" t="s">
        <v>3143</v>
      </c>
      <c r="AU14" s="7">
        <v>2022.0</v>
      </c>
      <c r="AV14" s="7">
        <v>49.0</v>
      </c>
      <c r="AW14" s="7">
        <v>4.0</v>
      </c>
      <c r="AX14" s="7" t="s">
        <v>2890</v>
      </c>
      <c r="AY14" s="7" t="s">
        <v>2890</v>
      </c>
      <c r="AZ14" s="7" t="s">
        <v>2890</v>
      </c>
      <c r="BA14" s="7" t="s">
        <v>2890</v>
      </c>
      <c r="BB14" s="7">
        <v>215.0</v>
      </c>
      <c r="BC14" s="7">
        <v>224.0</v>
      </c>
      <c r="BD14" s="7" t="s">
        <v>3193</v>
      </c>
      <c r="BE14" s="7" t="s">
        <v>708</v>
      </c>
      <c r="BF14" s="24" t="str">
        <f>HYPERLINK("http://dx.doi.org/10.1017/S0376892922000261","http://dx.doi.org/10.1017/S0376892922000261")</f>
        <v>http://dx.doi.org/10.1017/S0376892922000261</v>
      </c>
      <c r="BG14" s="7" t="s">
        <v>2890</v>
      </c>
      <c r="BH14" s="7" t="s">
        <v>3194</v>
      </c>
      <c r="BI14" s="7">
        <v>10.0</v>
      </c>
      <c r="BJ14" s="7" t="s">
        <v>3169</v>
      </c>
      <c r="BK14" s="7" t="s">
        <v>2938</v>
      </c>
      <c r="BL14" s="7" t="s">
        <v>3034</v>
      </c>
      <c r="BM14" s="7" t="s">
        <v>3195</v>
      </c>
      <c r="BN14" s="7" t="s">
        <v>2890</v>
      </c>
      <c r="BO14" s="7" t="s">
        <v>2890</v>
      </c>
      <c r="BP14" s="7" t="s">
        <v>2890</v>
      </c>
      <c r="BQ14" s="7" t="s">
        <v>2890</v>
      </c>
      <c r="BR14" s="7" t="s">
        <v>2916</v>
      </c>
      <c r="BS14" s="7" t="s">
        <v>2791</v>
      </c>
      <c r="BT14" s="7" t="str">
        <f>HYPERLINK("https%3A%2F%2Fwww.webofscience.com%2Fwos%2Fwoscc%2Ffull-record%2FWOS:000828889500001","View Full Record in Web of Science")</f>
        <v>View Full Record in Web of Science</v>
      </c>
    </row>
    <row r="15" ht="12.75" customHeight="1">
      <c r="A15" s="7" t="s">
        <v>2888</v>
      </c>
      <c r="B15" s="7" t="s">
        <v>3196</v>
      </c>
      <c r="C15" s="7" t="s">
        <v>2890</v>
      </c>
      <c r="D15" s="7" t="s">
        <v>2890</v>
      </c>
      <c r="E15" s="7" t="s">
        <v>2890</v>
      </c>
      <c r="F15" s="7" t="s">
        <v>3197</v>
      </c>
      <c r="G15" s="7" t="s">
        <v>2890</v>
      </c>
      <c r="H15" s="7" t="s">
        <v>2890</v>
      </c>
      <c r="I15" s="7" t="s">
        <v>240</v>
      </c>
      <c r="J15" s="7" t="s">
        <v>3198</v>
      </c>
      <c r="K15" s="7" t="s">
        <v>2890</v>
      </c>
      <c r="L15" s="7" t="s">
        <v>2890</v>
      </c>
      <c r="M15" s="7" t="s">
        <v>2893</v>
      </c>
      <c r="N15" s="7" t="s">
        <v>2894</v>
      </c>
      <c r="O15" s="7" t="s">
        <v>2890</v>
      </c>
      <c r="P15" s="7" t="s">
        <v>2890</v>
      </c>
      <c r="Q15" s="7" t="s">
        <v>2890</v>
      </c>
      <c r="R15" s="7" t="s">
        <v>2890</v>
      </c>
      <c r="S15" s="7" t="s">
        <v>2890</v>
      </c>
      <c r="T15" s="7" t="s">
        <v>3199</v>
      </c>
      <c r="U15" s="7" t="s">
        <v>3200</v>
      </c>
      <c r="V15" s="7" t="s">
        <v>2767</v>
      </c>
      <c r="W15" s="7" t="s">
        <v>3201</v>
      </c>
      <c r="X15" s="7" t="s">
        <v>3202</v>
      </c>
      <c r="Y15" s="7" t="s">
        <v>3203</v>
      </c>
      <c r="Z15" s="7" t="s">
        <v>3204</v>
      </c>
      <c r="AA15" s="7" t="s">
        <v>3205</v>
      </c>
      <c r="AB15" s="7" t="s">
        <v>3206</v>
      </c>
      <c r="AC15" s="7" t="s">
        <v>3207</v>
      </c>
      <c r="AD15" s="7" t="s">
        <v>3208</v>
      </c>
      <c r="AE15" s="7" t="s">
        <v>3209</v>
      </c>
      <c r="AF15" s="7" t="s">
        <v>2890</v>
      </c>
      <c r="AG15" s="7">
        <v>69.0</v>
      </c>
      <c r="AH15" s="7">
        <v>34.0</v>
      </c>
      <c r="AI15" s="7">
        <v>39.0</v>
      </c>
      <c r="AJ15" s="7">
        <v>2.0</v>
      </c>
      <c r="AK15" s="7">
        <v>33.0</v>
      </c>
      <c r="AL15" s="7" t="s">
        <v>3024</v>
      </c>
      <c r="AM15" s="7" t="s">
        <v>3025</v>
      </c>
      <c r="AN15" s="7" t="s">
        <v>3026</v>
      </c>
      <c r="AO15" s="7" t="s">
        <v>3210</v>
      </c>
      <c r="AP15" s="7" t="s">
        <v>3211</v>
      </c>
      <c r="AQ15" s="7" t="s">
        <v>2890</v>
      </c>
      <c r="AR15" s="7" t="s">
        <v>3212</v>
      </c>
      <c r="AS15" s="7" t="s">
        <v>3213</v>
      </c>
      <c r="AT15" s="7" t="s">
        <v>3167</v>
      </c>
      <c r="AU15" s="7">
        <v>2022.0</v>
      </c>
      <c r="AV15" s="7">
        <v>31.0</v>
      </c>
      <c r="AW15" s="7">
        <v>10.0</v>
      </c>
      <c r="AX15" s="7" t="s">
        <v>2890</v>
      </c>
      <c r="AY15" s="7" t="s">
        <v>2890</v>
      </c>
      <c r="AZ15" s="7" t="s">
        <v>3214</v>
      </c>
      <c r="BA15" s="7" t="s">
        <v>2890</v>
      </c>
      <c r="BB15" s="7">
        <v>1960.0</v>
      </c>
      <c r="BC15" s="7">
        <v>1975.0</v>
      </c>
      <c r="BD15" s="7" t="s">
        <v>2890</v>
      </c>
      <c r="BE15" s="7" t="s">
        <v>2602</v>
      </c>
      <c r="BF15" s="24" t="str">
        <f>HYPERLINK("http://dx.doi.org/10.1111/geb.13563","http://dx.doi.org/10.1111/geb.13563")</f>
        <v>http://dx.doi.org/10.1111/geb.13563</v>
      </c>
      <c r="BG15" s="7" t="s">
        <v>2890</v>
      </c>
      <c r="BH15" s="7" t="s">
        <v>3194</v>
      </c>
      <c r="BI15" s="7">
        <v>16.0</v>
      </c>
      <c r="BJ15" s="7" t="s">
        <v>3215</v>
      </c>
      <c r="BK15" s="7" t="s">
        <v>2938</v>
      </c>
      <c r="BL15" s="7" t="s">
        <v>3216</v>
      </c>
      <c r="BM15" s="7" t="s">
        <v>3217</v>
      </c>
      <c r="BN15" s="7" t="s">
        <v>2890</v>
      </c>
      <c r="BO15" s="7" t="s">
        <v>2890</v>
      </c>
      <c r="BP15" s="7" t="s">
        <v>2890</v>
      </c>
      <c r="BQ15" s="7" t="s">
        <v>2890</v>
      </c>
      <c r="BR15" s="7" t="s">
        <v>2916</v>
      </c>
      <c r="BS15" s="7" t="s">
        <v>2768</v>
      </c>
      <c r="BT15" s="7" t="str">
        <f>HYPERLINK("https%3A%2F%2Fwww.webofscience.com%2Fwos%2Fwoscc%2Ffull-record%2FWOS:000821583800001","View Full Record in Web of Science")</f>
        <v>View Full Record in Web of Science</v>
      </c>
    </row>
    <row r="16" ht="12.75" customHeight="1">
      <c r="A16" s="7" t="s">
        <v>2888</v>
      </c>
      <c r="B16" s="7" t="s">
        <v>3218</v>
      </c>
      <c r="C16" s="7" t="s">
        <v>2890</v>
      </c>
      <c r="D16" s="7" t="s">
        <v>2890</v>
      </c>
      <c r="E16" s="7" t="s">
        <v>2890</v>
      </c>
      <c r="F16" s="7" t="s">
        <v>3219</v>
      </c>
      <c r="G16" s="7" t="s">
        <v>2890</v>
      </c>
      <c r="H16" s="7" t="s">
        <v>2890</v>
      </c>
      <c r="I16" s="7" t="s">
        <v>288</v>
      </c>
      <c r="J16" s="7" t="s">
        <v>3220</v>
      </c>
      <c r="K16" s="7" t="s">
        <v>2890</v>
      </c>
      <c r="L16" s="7" t="s">
        <v>2890</v>
      </c>
      <c r="M16" s="7" t="s">
        <v>2893</v>
      </c>
      <c r="N16" s="7" t="s">
        <v>2894</v>
      </c>
      <c r="O16" s="7" t="s">
        <v>2890</v>
      </c>
      <c r="P16" s="7" t="s">
        <v>2890</v>
      </c>
      <c r="Q16" s="7" t="s">
        <v>2890</v>
      </c>
      <c r="R16" s="7" t="s">
        <v>2890</v>
      </c>
      <c r="S16" s="7" t="s">
        <v>2890</v>
      </c>
      <c r="T16" s="7" t="s">
        <v>3221</v>
      </c>
      <c r="U16" s="7" t="s">
        <v>3222</v>
      </c>
      <c r="V16" s="7" t="s">
        <v>2681</v>
      </c>
      <c r="W16" s="7" t="s">
        <v>3223</v>
      </c>
      <c r="X16" s="7" t="s">
        <v>3224</v>
      </c>
      <c r="Y16" s="7" t="s">
        <v>3225</v>
      </c>
      <c r="Z16" s="7" t="s">
        <v>3226</v>
      </c>
      <c r="AA16" s="7" t="s">
        <v>3227</v>
      </c>
      <c r="AB16" s="7" t="s">
        <v>3228</v>
      </c>
      <c r="AC16" s="7" t="s">
        <v>3229</v>
      </c>
      <c r="AD16" s="7" t="s">
        <v>3230</v>
      </c>
      <c r="AE16" s="7" t="s">
        <v>3231</v>
      </c>
      <c r="AF16" s="7" t="s">
        <v>2890</v>
      </c>
      <c r="AG16" s="7">
        <v>56.0</v>
      </c>
      <c r="AH16" s="7">
        <v>30.0</v>
      </c>
      <c r="AI16" s="7">
        <v>32.0</v>
      </c>
      <c r="AJ16" s="7">
        <v>4.0</v>
      </c>
      <c r="AK16" s="7">
        <v>77.0</v>
      </c>
      <c r="AL16" s="7" t="s">
        <v>3232</v>
      </c>
      <c r="AM16" s="7" t="s">
        <v>3233</v>
      </c>
      <c r="AN16" s="7" t="s">
        <v>3234</v>
      </c>
      <c r="AO16" s="7" t="s">
        <v>2890</v>
      </c>
      <c r="AP16" s="7" t="s">
        <v>3235</v>
      </c>
      <c r="AQ16" s="7" t="s">
        <v>2890</v>
      </c>
      <c r="AR16" s="7" t="s">
        <v>3236</v>
      </c>
      <c r="AS16" s="7" t="s">
        <v>3237</v>
      </c>
      <c r="AT16" s="7" t="s">
        <v>3238</v>
      </c>
      <c r="AU16" s="7">
        <v>2022.0</v>
      </c>
      <c r="AV16" s="7">
        <v>11.0</v>
      </c>
      <c r="AW16" s="7">
        <v>7.0</v>
      </c>
      <c r="AX16" s="7" t="s">
        <v>2890</v>
      </c>
      <c r="AY16" s="7" t="s">
        <v>2890</v>
      </c>
      <c r="AZ16" s="7" t="s">
        <v>2890</v>
      </c>
      <c r="BA16" s="7" t="s">
        <v>2890</v>
      </c>
      <c r="BB16" s="7" t="s">
        <v>2890</v>
      </c>
      <c r="BC16" s="7" t="s">
        <v>2890</v>
      </c>
      <c r="BD16" s="7">
        <v>1071.0</v>
      </c>
      <c r="BE16" s="7" t="s">
        <v>2603</v>
      </c>
      <c r="BF16" s="24" t="str">
        <f>HYPERLINK("http://dx.doi.org/10.3390/land11071071","http://dx.doi.org/10.3390/land11071071")</f>
        <v>http://dx.doi.org/10.3390/land11071071</v>
      </c>
      <c r="BG16" s="7" t="s">
        <v>2890</v>
      </c>
      <c r="BH16" s="7" t="s">
        <v>2890</v>
      </c>
      <c r="BI16" s="7">
        <v>12.0</v>
      </c>
      <c r="BJ16" s="7" t="s">
        <v>3122</v>
      </c>
      <c r="BK16" s="7" t="s">
        <v>2914</v>
      </c>
      <c r="BL16" s="7" t="s">
        <v>3008</v>
      </c>
      <c r="BM16" s="7" t="s">
        <v>3239</v>
      </c>
      <c r="BN16" s="7" t="s">
        <v>2890</v>
      </c>
      <c r="BO16" s="7" t="s">
        <v>2988</v>
      </c>
      <c r="BP16" s="7" t="s">
        <v>2890</v>
      </c>
      <c r="BQ16" s="7" t="s">
        <v>2890</v>
      </c>
      <c r="BR16" s="7" t="s">
        <v>2916</v>
      </c>
      <c r="BS16" s="7" t="s">
        <v>2682</v>
      </c>
      <c r="BT16" s="7" t="str">
        <f>HYPERLINK("https%3A%2F%2Fwww.webofscience.com%2Fwos%2Fwoscc%2Ffull-record%2FWOS:000834425400001","View Full Record in Web of Science")</f>
        <v>View Full Record in Web of Science</v>
      </c>
    </row>
    <row r="17" ht="12.75" customHeight="1">
      <c r="A17" s="7" t="s">
        <v>2888</v>
      </c>
      <c r="B17" s="7" t="s">
        <v>3240</v>
      </c>
      <c r="C17" s="7" t="s">
        <v>2890</v>
      </c>
      <c r="D17" s="7" t="s">
        <v>2890</v>
      </c>
      <c r="E17" s="7" t="s">
        <v>2890</v>
      </c>
      <c r="F17" s="7" t="s">
        <v>3241</v>
      </c>
      <c r="G17" s="7" t="s">
        <v>2890</v>
      </c>
      <c r="H17" s="7" t="s">
        <v>2890</v>
      </c>
      <c r="I17" s="7" t="s">
        <v>2745</v>
      </c>
      <c r="J17" s="7" t="s">
        <v>3242</v>
      </c>
      <c r="K17" s="7" t="s">
        <v>2890</v>
      </c>
      <c r="L17" s="7" t="s">
        <v>2890</v>
      </c>
      <c r="M17" s="7" t="s">
        <v>2893</v>
      </c>
      <c r="N17" s="7" t="s">
        <v>2894</v>
      </c>
      <c r="O17" s="7" t="s">
        <v>2890</v>
      </c>
      <c r="P17" s="7" t="s">
        <v>2890</v>
      </c>
      <c r="Q17" s="7" t="s">
        <v>2890</v>
      </c>
      <c r="R17" s="7" t="s">
        <v>2890</v>
      </c>
      <c r="S17" s="7" t="s">
        <v>2890</v>
      </c>
      <c r="T17" s="7" t="s">
        <v>3243</v>
      </c>
      <c r="U17" s="7" t="s">
        <v>3244</v>
      </c>
      <c r="V17" s="7" t="s">
        <v>2746</v>
      </c>
      <c r="W17" s="7" t="s">
        <v>3245</v>
      </c>
      <c r="X17" s="7" t="s">
        <v>3246</v>
      </c>
      <c r="Y17" s="7" t="s">
        <v>3247</v>
      </c>
      <c r="Z17" s="7" t="s">
        <v>3248</v>
      </c>
      <c r="AA17" s="7" t="s">
        <v>3249</v>
      </c>
      <c r="AB17" s="7" t="s">
        <v>3250</v>
      </c>
      <c r="AC17" s="7" t="s">
        <v>3251</v>
      </c>
      <c r="AD17" s="7" t="s">
        <v>3252</v>
      </c>
      <c r="AE17" s="7" t="s">
        <v>3253</v>
      </c>
      <c r="AF17" s="7" t="s">
        <v>2890</v>
      </c>
      <c r="AG17" s="7">
        <v>51.0</v>
      </c>
      <c r="AH17" s="7">
        <v>4.0</v>
      </c>
      <c r="AI17" s="7">
        <v>5.0</v>
      </c>
      <c r="AJ17" s="7">
        <v>1.0</v>
      </c>
      <c r="AK17" s="7">
        <v>15.0</v>
      </c>
      <c r="AL17" s="7" t="s">
        <v>2928</v>
      </c>
      <c r="AM17" s="7" t="s">
        <v>2929</v>
      </c>
      <c r="AN17" s="7" t="s">
        <v>2930</v>
      </c>
      <c r="AO17" s="7" t="s">
        <v>3254</v>
      </c>
      <c r="AP17" s="7" t="s">
        <v>3255</v>
      </c>
      <c r="AQ17" s="7" t="s">
        <v>2890</v>
      </c>
      <c r="AR17" s="7" t="s">
        <v>3256</v>
      </c>
      <c r="AS17" s="7" t="s">
        <v>3257</v>
      </c>
      <c r="AT17" s="7" t="s">
        <v>3258</v>
      </c>
      <c r="AU17" s="7">
        <v>2022.0</v>
      </c>
      <c r="AV17" s="7">
        <v>31.0</v>
      </c>
      <c r="AW17" s="7" t="s">
        <v>3259</v>
      </c>
      <c r="AX17" s="7" t="s">
        <v>2890</v>
      </c>
      <c r="AY17" s="7" t="s">
        <v>2890</v>
      </c>
      <c r="AZ17" s="7" t="s">
        <v>2890</v>
      </c>
      <c r="BA17" s="7" t="s">
        <v>2890</v>
      </c>
      <c r="BB17" s="7">
        <v>1535.0</v>
      </c>
      <c r="BC17" s="7">
        <v>1550.0</v>
      </c>
      <c r="BD17" s="7" t="s">
        <v>2890</v>
      </c>
      <c r="BE17" s="7" t="s">
        <v>2600</v>
      </c>
      <c r="BF17" s="24" t="str">
        <f>HYPERLINK("http://dx.doi.org/10.1007/s10531-022-02407-8","http://dx.doi.org/10.1007/s10531-022-02407-8")</f>
        <v>http://dx.doi.org/10.1007/s10531-022-02407-8</v>
      </c>
      <c r="BG17" s="7" t="s">
        <v>2890</v>
      </c>
      <c r="BH17" s="7" t="s">
        <v>3260</v>
      </c>
      <c r="BI17" s="7">
        <v>16.0</v>
      </c>
      <c r="BJ17" s="7" t="s">
        <v>3033</v>
      </c>
      <c r="BK17" s="7" t="s">
        <v>2938</v>
      </c>
      <c r="BL17" s="7" t="s">
        <v>3034</v>
      </c>
      <c r="BM17" s="7" t="s">
        <v>3261</v>
      </c>
      <c r="BN17" s="7" t="s">
        <v>2890</v>
      </c>
      <c r="BO17" s="7" t="s">
        <v>3262</v>
      </c>
      <c r="BP17" s="7" t="s">
        <v>2890</v>
      </c>
      <c r="BQ17" s="7" t="s">
        <v>2890</v>
      </c>
      <c r="BR17" s="7" t="s">
        <v>2916</v>
      </c>
      <c r="BS17" s="7" t="s">
        <v>2747</v>
      </c>
      <c r="BT17" s="7" t="str">
        <f>HYPERLINK("https%3A%2F%2Fwww.webofscience.com%2Fwos%2Fwoscc%2Ffull-record%2FWOS:000791663700001","View Full Record in Web of Science")</f>
        <v>View Full Record in Web of Science</v>
      </c>
    </row>
    <row r="18" ht="12.75" customHeight="1">
      <c r="A18" s="7" t="s">
        <v>2888</v>
      </c>
      <c r="B18" s="7" t="s">
        <v>3263</v>
      </c>
      <c r="C18" s="7" t="s">
        <v>2890</v>
      </c>
      <c r="D18" s="7" t="s">
        <v>2890</v>
      </c>
      <c r="E18" s="7" t="s">
        <v>2890</v>
      </c>
      <c r="F18" s="7" t="s">
        <v>3264</v>
      </c>
      <c r="G18" s="7" t="s">
        <v>2890</v>
      </c>
      <c r="H18" s="7" t="s">
        <v>2890</v>
      </c>
      <c r="I18" s="7" t="s">
        <v>2654</v>
      </c>
      <c r="J18" s="7" t="s">
        <v>3265</v>
      </c>
      <c r="K18" s="7" t="s">
        <v>2890</v>
      </c>
      <c r="L18" s="7" t="s">
        <v>2890</v>
      </c>
      <c r="M18" s="7" t="s">
        <v>2893</v>
      </c>
      <c r="N18" s="7" t="s">
        <v>2894</v>
      </c>
      <c r="O18" s="7" t="s">
        <v>2890</v>
      </c>
      <c r="P18" s="7" t="s">
        <v>2890</v>
      </c>
      <c r="Q18" s="7" t="s">
        <v>2890</v>
      </c>
      <c r="R18" s="7" t="s">
        <v>2890</v>
      </c>
      <c r="S18" s="7" t="s">
        <v>2890</v>
      </c>
      <c r="T18" s="7" t="s">
        <v>2890</v>
      </c>
      <c r="U18" s="7" t="s">
        <v>3266</v>
      </c>
      <c r="V18" s="7" t="s">
        <v>2655</v>
      </c>
      <c r="W18" s="7" t="s">
        <v>3267</v>
      </c>
      <c r="X18" s="7" t="s">
        <v>3268</v>
      </c>
      <c r="Y18" s="7" t="s">
        <v>3269</v>
      </c>
      <c r="Z18" s="7" t="s">
        <v>3270</v>
      </c>
      <c r="AA18" s="7" t="s">
        <v>3271</v>
      </c>
      <c r="AB18" s="7" t="s">
        <v>3272</v>
      </c>
      <c r="AC18" s="7" t="s">
        <v>3273</v>
      </c>
      <c r="AD18" s="7" t="s">
        <v>3274</v>
      </c>
      <c r="AE18" s="7" t="s">
        <v>3275</v>
      </c>
      <c r="AF18" s="7" t="s">
        <v>2890</v>
      </c>
      <c r="AG18" s="7">
        <v>62.0</v>
      </c>
      <c r="AH18" s="7">
        <v>40.0</v>
      </c>
      <c r="AI18" s="7">
        <v>47.0</v>
      </c>
      <c r="AJ18" s="7">
        <v>3.0</v>
      </c>
      <c r="AK18" s="7">
        <v>30.0</v>
      </c>
      <c r="AL18" s="7" t="s">
        <v>3276</v>
      </c>
      <c r="AM18" s="7" t="s">
        <v>3277</v>
      </c>
      <c r="AN18" s="7" t="s">
        <v>3278</v>
      </c>
      <c r="AO18" s="7" t="s">
        <v>3279</v>
      </c>
      <c r="AP18" s="7" t="s">
        <v>2890</v>
      </c>
      <c r="AQ18" s="7" t="s">
        <v>2890</v>
      </c>
      <c r="AR18" s="7" t="s">
        <v>3280</v>
      </c>
      <c r="AS18" s="7" t="s">
        <v>3281</v>
      </c>
      <c r="AT18" s="7" t="s">
        <v>3238</v>
      </c>
      <c r="AU18" s="7">
        <v>2022.0</v>
      </c>
      <c r="AV18" s="7">
        <v>5.0</v>
      </c>
      <c r="AW18" s="7">
        <v>7.0</v>
      </c>
      <c r="AX18" s="7" t="s">
        <v>2890</v>
      </c>
      <c r="AY18" s="7" t="s">
        <v>2890</v>
      </c>
      <c r="AZ18" s="7" t="s">
        <v>2890</v>
      </c>
      <c r="BA18" s="7" t="s">
        <v>2890</v>
      </c>
      <c r="BB18" s="7">
        <v>603.0</v>
      </c>
      <c r="BC18" s="7">
        <v>609.0</v>
      </c>
      <c r="BD18" s="7" t="s">
        <v>2890</v>
      </c>
      <c r="BE18" s="7" t="s">
        <v>2599</v>
      </c>
      <c r="BF18" s="24" t="str">
        <f>HYPERLINK("http://dx.doi.org/10.1038/s41893-022-00884-x","http://dx.doi.org/10.1038/s41893-022-00884-x")</f>
        <v>http://dx.doi.org/10.1038/s41893-022-00884-x</v>
      </c>
      <c r="BG18" s="7" t="s">
        <v>2890</v>
      </c>
      <c r="BH18" s="7" t="s">
        <v>3260</v>
      </c>
      <c r="BI18" s="7">
        <v>7.0</v>
      </c>
      <c r="BJ18" s="7" t="s">
        <v>3282</v>
      </c>
      <c r="BK18" s="7" t="s">
        <v>3283</v>
      </c>
      <c r="BL18" s="7" t="s">
        <v>3284</v>
      </c>
      <c r="BM18" s="7" t="s">
        <v>3285</v>
      </c>
      <c r="BN18" s="7" t="s">
        <v>2890</v>
      </c>
      <c r="BO18" s="7" t="s">
        <v>3286</v>
      </c>
      <c r="BP18" s="7" t="s">
        <v>2890</v>
      </c>
      <c r="BQ18" s="7" t="s">
        <v>2890</v>
      </c>
      <c r="BR18" s="7" t="s">
        <v>2916</v>
      </c>
      <c r="BS18" s="7" t="s">
        <v>2656</v>
      </c>
      <c r="BT18" s="7" t="str">
        <f>HYPERLINK("https%3A%2F%2Fwww.webofscience.com%2Fwos%2Fwoscc%2Ffull-record%2FWOS:000791083000003","View Full Record in Web of Science")</f>
        <v>View Full Record in Web of Science</v>
      </c>
    </row>
    <row r="19" ht="12.75" customHeight="1">
      <c r="A19" s="7" t="s">
        <v>2888</v>
      </c>
      <c r="B19" s="7" t="s">
        <v>3287</v>
      </c>
      <c r="C19" s="7" t="s">
        <v>2890</v>
      </c>
      <c r="D19" s="7" t="s">
        <v>2890</v>
      </c>
      <c r="E19" s="7" t="s">
        <v>2890</v>
      </c>
      <c r="F19" s="7" t="s">
        <v>3288</v>
      </c>
      <c r="G19" s="7" t="s">
        <v>2890</v>
      </c>
      <c r="H19" s="7" t="s">
        <v>2890</v>
      </c>
      <c r="I19" s="7" t="s">
        <v>117</v>
      </c>
      <c r="J19" s="7" t="s">
        <v>3152</v>
      </c>
      <c r="K19" s="7" t="s">
        <v>2890</v>
      </c>
      <c r="L19" s="7" t="s">
        <v>2890</v>
      </c>
      <c r="M19" s="7" t="s">
        <v>2893</v>
      </c>
      <c r="N19" s="7" t="s">
        <v>2894</v>
      </c>
      <c r="O19" s="7" t="s">
        <v>2890</v>
      </c>
      <c r="P19" s="7" t="s">
        <v>2890</v>
      </c>
      <c r="Q19" s="7" t="s">
        <v>2890</v>
      </c>
      <c r="R19" s="7" t="s">
        <v>2890</v>
      </c>
      <c r="S19" s="7" t="s">
        <v>2890</v>
      </c>
      <c r="T19" s="7" t="s">
        <v>3289</v>
      </c>
      <c r="U19" s="7" t="s">
        <v>3290</v>
      </c>
      <c r="V19" s="7" t="s">
        <v>3291</v>
      </c>
      <c r="W19" s="7" t="s">
        <v>3292</v>
      </c>
      <c r="X19" s="7" t="s">
        <v>3293</v>
      </c>
      <c r="Y19" s="7" t="s">
        <v>3294</v>
      </c>
      <c r="Z19" s="7" t="s">
        <v>3295</v>
      </c>
      <c r="AA19" s="7" t="s">
        <v>3296</v>
      </c>
      <c r="AB19" s="7" t="s">
        <v>3297</v>
      </c>
      <c r="AC19" s="7" t="s">
        <v>2890</v>
      </c>
      <c r="AD19" s="7" t="s">
        <v>2890</v>
      </c>
      <c r="AE19" s="7" t="s">
        <v>2890</v>
      </c>
      <c r="AF19" s="7" t="s">
        <v>2890</v>
      </c>
      <c r="AG19" s="7">
        <v>76.0</v>
      </c>
      <c r="AH19" s="7">
        <v>43.0</v>
      </c>
      <c r="AI19" s="7">
        <v>47.0</v>
      </c>
      <c r="AJ19" s="7">
        <v>11.0</v>
      </c>
      <c r="AK19" s="7">
        <v>146.0</v>
      </c>
      <c r="AL19" s="7" t="s">
        <v>3160</v>
      </c>
      <c r="AM19" s="7" t="s">
        <v>3161</v>
      </c>
      <c r="AN19" s="7" t="s">
        <v>3162</v>
      </c>
      <c r="AO19" s="7" t="s">
        <v>3163</v>
      </c>
      <c r="AP19" s="7" t="s">
        <v>3164</v>
      </c>
      <c r="AQ19" s="7" t="s">
        <v>2890</v>
      </c>
      <c r="AR19" s="7" t="s">
        <v>3165</v>
      </c>
      <c r="AS19" s="7" t="s">
        <v>3166</v>
      </c>
      <c r="AT19" s="7" t="s">
        <v>3258</v>
      </c>
      <c r="AU19" s="7">
        <v>2022.0</v>
      </c>
      <c r="AV19" s="7">
        <v>138.0</v>
      </c>
      <c r="AW19" s="7" t="s">
        <v>2890</v>
      </c>
      <c r="AX19" s="7" t="s">
        <v>2890</v>
      </c>
      <c r="AY19" s="7" t="s">
        <v>2890</v>
      </c>
      <c r="AZ19" s="7" t="s">
        <v>2890</v>
      </c>
      <c r="BA19" s="7" t="s">
        <v>2890</v>
      </c>
      <c r="BB19" s="7" t="s">
        <v>2890</v>
      </c>
      <c r="BC19" s="7" t="s">
        <v>2890</v>
      </c>
      <c r="BD19" s="7">
        <v>108844.0</v>
      </c>
      <c r="BE19" s="7" t="s">
        <v>3298</v>
      </c>
      <c r="BF19" s="24" t="str">
        <f>HYPERLINK("http://dx.doi.org/10.1016/j.ecolind.2022.108844","http://dx.doi.org/10.1016/j.ecolind.2022.108844")</f>
        <v>http://dx.doi.org/10.1016/j.ecolind.2022.108844</v>
      </c>
      <c r="BG19" s="7" t="s">
        <v>2890</v>
      </c>
      <c r="BH19" s="7" t="s">
        <v>3299</v>
      </c>
      <c r="BI19" s="7">
        <v>12.0</v>
      </c>
      <c r="BJ19" s="7" t="s">
        <v>3169</v>
      </c>
      <c r="BK19" s="7" t="s">
        <v>3283</v>
      </c>
      <c r="BL19" s="7" t="s">
        <v>3034</v>
      </c>
      <c r="BM19" s="7" t="s">
        <v>3300</v>
      </c>
      <c r="BN19" s="7" t="s">
        <v>2890</v>
      </c>
      <c r="BO19" s="7" t="s">
        <v>2988</v>
      </c>
      <c r="BP19" s="7" t="s">
        <v>2890</v>
      </c>
      <c r="BQ19" s="7" t="s">
        <v>2890</v>
      </c>
      <c r="BR19" s="7" t="s">
        <v>2916</v>
      </c>
      <c r="BS19" s="7" t="s">
        <v>3301</v>
      </c>
      <c r="BT19" s="7" t="str">
        <f>HYPERLINK("https%3A%2F%2Fwww.webofscience.com%2Fwos%2Fwoscc%2Ffull-record%2FWOS:000795551800005","View Full Record in Web of Science")</f>
        <v>View Full Record in Web of Science</v>
      </c>
    </row>
    <row r="20" ht="12.75" customHeight="1">
      <c r="A20" s="7" t="s">
        <v>2888</v>
      </c>
      <c r="B20" s="7" t="s">
        <v>3302</v>
      </c>
      <c r="C20" s="7" t="s">
        <v>2890</v>
      </c>
      <c r="D20" s="7" t="s">
        <v>2890</v>
      </c>
      <c r="E20" s="7" t="s">
        <v>2890</v>
      </c>
      <c r="F20" s="7" t="s">
        <v>3303</v>
      </c>
      <c r="G20" s="7" t="s">
        <v>2890</v>
      </c>
      <c r="H20" s="7" t="s">
        <v>2890</v>
      </c>
      <c r="I20" s="7" t="s">
        <v>3304</v>
      </c>
      <c r="J20" s="7" t="s">
        <v>3305</v>
      </c>
      <c r="K20" s="7" t="s">
        <v>2890</v>
      </c>
      <c r="L20" s="7" t="s">
        <v>2890</v>
      </c>
      <c r="M20" s="7" t="s">
        <v>2893</v>
      </c>
      <c r="N20" s="7" t="s">
        <v>2894</v>
      </c>
      <c r="O20" s="7" t="s">
        <v>2890</v>
      </c>
      <c r="P20" s="7" t="s">
        <v>2890</v>
      </c>
      <c r="Q20" s="7" t="s">
        <v>2890</v>
      </c>
      <c r="R20" s="7" t="s">
        <v>2890</v>
      </c>
      <c r="S20" s="7" t="s">
        <v>2890</v>
      </c>
      <c r="T20" s="7" t="s">
        <v>3306</v>
      </c>
      <c r="U20" s="7" t="s">
        <v>3307</v>
      </c>
      <c r="V20" s="7" t="s">
        <v>3308</v>
      </c>
      <c r="W20" s="7" t="s">
        <v>3309</v>
      </c>
      <c r="X20" s="7" t="s">
        <v>3310</v>
      </c>
      <c r="Y20" s="7" t="s">
        <v>3311</v>
      </c>
      <c r="Z20" s="7" t="s">
        <v>3312</v>
      </c>
      <c r="AA20" s="7" t="s">
        <v>3313</v>
      </c>
      <c r="AB20" s="7" t="s">
        <v>2890</v>
      </c>
      <c r="AC20" s="7" t="s">
        <v>3314</v>
      </c>
      <c r="AD20" s="7" t="s">
        <v>3315</v>
      </c>
      <c r="AE20" s="7" t="s">
        <v>3316</v>
      </c>
      <c r="AF20" s="7" t="s">
        <v>2890</v>
      </c>
      <c r="AG20" s="7">
        <v>55.0</v>
      </c>
      <c r="AH20" s="7">
        <v>24.0</v>
      </c>
      <c r="AI20" s="7">
        <v>29.0</v>
      </c>
      <c r="AJ20" s="7">
        <v>3.0</v>
      </c>
      <c r="AK20" s="7">
        <v>101.0</v>
      </c>
      <c r="AL20" s="7" t="s">
        <v>3024</v>
      </c>
      <c r="AM20" s="7" t="s">
        <v>3025</v>
      </c>
      <c r="AN20" s="7" t="s">
        <v>3026</v>
      </c>
      <c r="AO20" s="7" t="s">
        <v>3317</v>
      </c>
      <c r="AP20" s="7" t="s">
        <v>3318</v>
      </c>
      <c r="AQ20" s="7" t="s">
        <v>2890</v>
      </c>
      <c r="AR20" s="7" t="s">
        <v>3319</v>
      </c>
      <c r="AS20" s="7" t="s">
        <v>3320</v>
      </c>
      <c r="AT20" s="7" t="s">
        <v>2935</v>
      </c>
      <c r="AU20" s="7">
        <v>2022.0</v>
      </c>
      <c r="AV20" s="7">
        <v>36.0</v>
      </c>
      <c r="AW20" s="7">
        <v>4.0</v>
      </c>
      <c r="AX20" s="7" t="s">
        <v>2890</v>
      </c>
      <c r="AY20" s="7" t="s">
        <v>2890</v>
      </c>
      <c r="AZ20" s="7" t="s">
        <v>2890</v>
      </c>
      <c r="BA20" s="7" t="s">
        <v>2890</v>
      </c>
      <c r="BB20" s="7" t="s">
        <v>2890</v>
      </c>
      <c r="BC20" s="7" t="s">
        <v>2890</v>
      </c>
      <c r="BD20" s="7" t="s">
        <v>3321</v>
      </c>
      <c r="BE20" s="7" t="s">
        <v>3322</v>
      </c>
      <c r="BF20" s="24" t="str">
        <f>HYPERLINK("http://dx.doi.org/10.1111/cobi.13887","http://dx.doi.org/10.1111/cobi.13887")</f>
        <v>http://dx.doi.org/10.1111/cobi.13887</v>
      </c>
      <c r="BG20" s="7" t="s">
        <v>2890</v>
      </c>
      <c r="BH20" s="7" t="s">
        <v>3323</v>
      </c>
      <c r="BI20" s="7">
        <v>10.0</v>
      </c>
      <c r="BJ20" s="7" t="s">
        <v>3033</v>
      </c>
      <c r="BK20" s="7" t="s">
        <v>2938</v>
      </c>
      <c r="BL20" s="7" t="s">
        <v>3034</v>
      </c>
      <c r="BM20" s="7" t="s">
        <v>3324</v>
      </c>
      <c r="BN20" s="7">
        <v>3.4989447E7</v>
      </c>
      <c r="BO20" s="7" t="s">
        <v>2941</v>
      </c>
      <c r="BP20" s="7" t="s">
        <v>2890</v>
      </c>
      <c r="BQ20" s="7" t="s">
        <v>2890</v>
      </c>
      <c r="BR20" s="7" t="s">
        <v>2916</v>
      </c>
      <c r="BS20" s="7" t="s">
        <v>3325</v>
      </c>
      <c r="BT20" s="7" t="str">
        <f>HYPERLINK("https%3A%2F%2Fwww.webofscience.com%2Fwos%2Fwoscc%2Ffull-record%2FWOS:000776102900001","View Full Record in Web of Science")</f>
        <v>View Full Record in Web of Science</v>
      </c>
    </row>
    <row r="21" ht="12.75" customHeight="1">
      <c r="A21" s="7" t="s">
        <v>2888</v>
      </c>
      <c r="B21" s="7" t="s">
        <v>3326</v>
      </c>
      <c r="C21" s="7" t="s">
        <v>2890</v>
      </c>
      <c r="D21" s="7" t="s">
        <v>2890</v>
      </c>
      <c r="E21" s="7" t="s">
        <v>2890</v>
      </c>
      <c r="F21" s="7" t="s">
        <v>3327</v>
      </c>
      <c r="G21" s="7" t="s">
        <v>2890</v>
      </c>
      <c r="H21" s="7" t="s">
        <v>2890</v>
      </c>
      <c r="I21" s="7" t="s">
        <v>2769</v>
      </c>
      <c r="J21" s="7" t="s">
        <v>3328</v>
      </c>
      <c r="K21" s="7" t="s">
        <v>2890</v>
      </c>
      <c r="L21" s="7" t="s">
        <v>2890</v>
      </c>
      <c r="M21" s="7" t="s">
        <v>2893</v>
      </c>
      <c r="N21" s="7" t="s">
        <v>2894</v>
      </c>
      <c r="O21" s="7" t="s">
        <v>2890</v>
      </c>
      <c r="P21" s="7" t="s">
        <v>2890</v>
      </c>
      <c r="Q21" s="7" t="s">
        <v>2890</v>
      </c>
      <c r="R21" s="7" t="s">
        <v>2890</v>
      </c>
      <c r="S21" s="7" t="s">
        <v>2890</v>
      </c>
      <c r="T21" s="7" t="s">
        <v>3329</v>
      </c>
      <c r="U21" s="7" t="s">
        <v>3330</v>
      </c>
      <c r="V21" s="7" t="s">
        <v>2770</v>
      </c>
      <c r="W21" s="7" t="s">
        <v>3331</v>
      </c>
      <c r="X21" s="7" t="s">
        <v>3332</v>
      </c>
      <c r="Y21" s="7" t="s">
        <v>3333</v>
      </c>
      <c r="Z21" s="7" t="s">
        <v>3334</v>
      </c>
      <c r="AA21" s="7" t="s">
        <v>3335</v>
      </c>
      <c r="AB21" s="7" t="s">
        <v>3336</v>
      </c>
      <c r="AC21" s="7" t="s">
        <v>3337</v>
      </c>
      <c r="AD21" s="7" t="s">
        <v>3337</v>
      </c>
      <c r="AE21" s="7" t="s">
        <v>3337</v>
      </c>
      <c r="AF21" s="7" t="s">
        <v>2890</v>
      </c>
      <c r="AG21" s="7">
        <v>107.0</v>
      </c>
      <c r="AH21" s="7">
        <v>11.0</v>
      </c>
      <c r="AI21" s="7">
        <v>13.0</v>
      </c>
      <c r="AJ21" s="7">
        <v>1.0</v>
      </c>
      <c r="AK21" s="7">
        <v>17.0</v>
      </c>
      <c r="AL21" s="7" t="s">
        <v>3024</v>
      </c>
      <c r="AM21" s="7" t="s">
        <v>3025</v>
      </c>
      <c r="AN21" s="7" t="s">
        <v>3026</v>
      </c>
      <c r="AO21" s="7" t="s">
        <v>2890</v>
      </c>
      <c r="AP21" s="7" t="s">
        <v>3338</v>
      </c>
      <c r="AQ21" s="7" t="s">
        <v>2890</v>
      </c>
      <c r="AR21" s="7" t="s">
        <v>3339</v>
      </c>
      <c r="AS21" s="7" t="s">
        <v>3340</v>
      </c>
      <c r="AT21" s="7" t="s">
        <v>3341</v>
      </c>
      <c r="AU21" s="7">
        <v>2022.0</v>
      </c>
      <c r="AV21" s="7">
        <v>4.0</v>
      </c>
      <c r="AW21" s="7">
        <v>6.0</v>
      </c>
      <c r="AX21" s="7" t="s">
        <v>2890</v>
      </c>
      <c r="AY21" s="7" t="s">
        <v>2890</v>
      </c>
      <c r="AZ21" s="7" t="s">
        <v>2890</v>
      </c>
      <c r="BA21" s="7" t="s">
        <v>2890</v>
      </c>
      <c r="BB21" s="7" t="s">
        <v>2890</v>
      </c>
      <c r="BC21" s="7" t="s">
        <v>2890</v>
      </c>
      <c r="BD21" s="7" t="s">
        <v>3342</v>
      </c>
      <c r="BE21" s="7" t="s">
        <v>2598</v>
      </c>
      <c r="BF21" s="24" t="str">
        <f>HYPERLINK("http://dx.doi.org/10.1111/csp2.12684","http://dx.doi.org/10.1111/csp2.12684")</f>
        <v>http://dx.doi.org/10.1111/csp2.12684</v>
      </c>
      <c r="BG21" s="7" t="s">
        <v>2890</v>
      </c>
      <c r="BH21" s="7" t="s">
        <v>3323</v>
      </c>
      <c r="BI21" s="7">
        <v>17.0</v>
      </c>
      <c r="BJ21" s="7" t="s">
        <v>3343</v>
      </c>
      <c r="BK21" s="7" t="s">
        <v>2938</v>
      </c>
      <c r="BL21" s="7" t="s">
        <v>3344</v>
      </c>
      <c r="BM21" s="7" t="s">
        <v>3345</v>
      </c>
      <c r="BN21" s="7" t="s">
        <v>2890</v>
      </c>
      <c r="BO21" s="7" t="s">
        <v>3346</v>
      </c>
      <c r="BP21" s="7" t="s">
        <v>2890</v>
      </c>
      <c r="BQ21" s="7" t="s">
        <v>2890</v>
      </c>
      <c r="BR21" s="7" t="s">
        <v>2916</v>
      </c>
      <c r="BS21" s="7" t="s">
        <v>2771</v>
      </c>
      <c r="BT21" s="7" t="str">
        <f>HYPERLINK("https%3A%2F%2Fwww.webofscience.com%2Fwos%2Fwoscc%2Ffull-record%2FWOS:000774061900001","View Full Record in Web of Science")</f>
        <v>View Full Record in Web of Science</v>
      </c>
    </row>
    <row r="22" ht="12.75" customHeight="1">
      <c r="A22" s="7" t="s">
        <v>2888</v>
      </c>
      <c r="B22" s="7" t="s">
        <v>3347</v>
      </c>
      <c r="C22" s="7" t="s">
        <v>2890</v>
      </c>
      <c r="D22" s="7" t="s">
        <v>2890</v>
      </c>
      <c r="E22" s="7" t="s">
        <v>2890</v>
      </c>
      <c r="F22" s="7" t="s">
        <v>3348</v>
      </c>
      <c r="G22" s="7" t="s">
        <v>2890</v>
      </c>
      <c r="H22" s="7" t="s">
        <v>2890</v>
      </c>
      <c r="I22" s="7" t="s">
        <v>3349</v>
      </c>
      <c r="J22" s="7" t="s">
        <v>2892</v>
      </c>
      <c r="K22" s="7" t="s">
        <v>2890</v>
      </c>
      <c r="L22" s="7" t="s">
        <v>2890</v>
      </c>
      <c r="M22" s="7" t="s">
        <v>2893</v>
      </c>
      <c r="N22" s="7" t="s">
        <v>2894</v>
      </c>
      <c r="O22" s="7" t="s">
        <v>2890</v>
      </c>
      <c r="P22" s="7" t="s">
        <v>2890</v>
      </c>
      <c r="Q22" s="7" t="s">
        <v>2890</v>
      </c>
      <c r="R22" s="7" t="s">
        <v>2890</v>
      </c>
      <c r="S22" s="7" t="s">
        <v>2890</v>
      </c>
      <c r="T22" s="7" t="s">
        <v>3350</v>
      </c>
      <c r="U22" s="7" t="s">
        <v>3351</v>
      </c>
      <c r="V22" s="7" t="s">
        <v>3352</v>
      </c>
      <c r="W22" s="7" t="s">
        <v>3353</v>
      </c>
      <c r="X22" s="7" t="s">
        <v>3354</v>
      </c>
      <c r="Y22" s="7" t="s">
        <v>3355</v>
      </c>
      <c r="Z22" s="7" t="s">
        <v>3356</v>
      </c>
      <c r="AA22" s="7" t="s">
        <v>3357</v>
      </c>
      <c r="AB22" s="7" t="s">
        <v>3358</v>
      </c>
      <c r="AC22" s="7" t="s">
        <v>3359</v>
      </c>
      <c r="AD22" s="7" t="s">
        <v>3360</v>
      </c>
      <c r="AE22" s="7" t="s">
        <v>3361</v>
      </c>
      <c r="AF22" s="7" t="s">
        <v>2890</v>
      </c>
      <c r="AG22" s="7">
        <v>61.0</v>
      </c>
      <c r="AH22" s="7">
        <v>22.0</v>
      </c>
      <c r="AI22" s="7">
        <v>25.0</v>
      </c>
      <c r="AJ22" s="7">
        <v>2.0</v>
      </c>
      <c r="AK22" s="7">
        <v>81.0</v>
      </c>
      <c r="AL22" s="7" t="s">
        <v>2905</v>
      </c>
      <c r="AM22" s="7" t="s">
        <v>3114</v>
      </c>
      <c r="AN22" s="7" t="s">
        <v>3115</v>
      </c>
      <c r="AO22" s="7" t="s">
        <v>2908</v>
      </c>
      <c r="AP22" s="7" t="s">
        <v>2909</v>
      </c>
      <c r="AQ22" s="7" t="s">
        <v>2890</v>
      </c>
      <c r="AR22" s="7" t="s">
        <v>2910</v>
      </c>
      <c r="AS22" s="7" t="s">
        <v>2911</v>
      </c>
      <c r="AT22" s="7" t="s">
        <v>3031</v>
      </c>
      <c r="AU22" s="7">
        <v>2022.0</v>
      </c>
      <c r="AV22" s="7">
        <v>141.0</v>
      </c>
      <c r="AW22" s="7" t="s">
        <v>2890</v>
      </c>
      <c r="AX22" s="7" t="s">
        <v>2890</v>
      </c>
      <c r="AY22" s="7" t="s">
        <v>2890</v>
      </c>
      <c r="AZ22" s="7" t="s">
        <v>2890</v>
      </c>
      <c r="BA22" s="7" t="s">
        <v>2890</v>
      </c>
      <c r="BB22" s="7" t="s">
        <v>2890</v>
      </c>
      <c r="BC22" s="7" t="s">
        <v>2890</v>
      </c>
      <c r="BD22" s="7">
        <v>102682.0</v>
      </c>
      <c r="BE22" s="7" t="s">
        <v>3362</v>
      </c>
      <c r="BF22" s="24" t="str">
        <f>HYPERLINK("http://dx.doi.org/10.1016/j.apgeog.2022.102682","http://dx.doi.org/10.1016/j.apgeog.2022.102682")</f>
        <v>http://dx.doi.org/10.1016/j.apgeog.2022.102682</v>
      </c>
      <c r="BG22" s="7" t="s">
        <v>2890</v>
      </c>
      <c r="BH22" s="7" t="s">
        <v>3323</v>
      </c>
      <c r="BI22" s="7">
        <v>12.0</v>
      </c>
      <c r="BJ22" s="7" t="s">
        <v>2913</v>
      </c>
      <c r="BK22" s="7" t="s">
        <v>2914</v>
      </c>
      <c r="BL22" s="7" t="s">
        <v>2913</v>
      </c>
      <c r="BM22" s="7" t="s">
        <v>3363</v>
      </c>
      <c r="BN22" s="7" t="s">
        <v>2890</v>
      </c>
      <c r="BO22" s="7" t="s">
        <v>2890</v>
      </c>
      <c r="BP22" s="7" t="s">
        <v>2890</v>
      </c>
      <c r="BQ22" s="7" t="s">
        <v>2890</v>
      </c>
      <c r="BR22" s="7" t="s">
        <v>2916</v>
      </c>
      <c r="BS22" s="7" t="s">
        <v>3364</v>
      </c>
      <c r="BT22" s="7" t="str">
        <f>HYPERLINK("https%3A%2F%2Fwww.webofscience.com%2Fwos%2Fwoscc%2Ffull-record%2FWOS:000795690600003","View Full Record in Web of Science")</f>
        <v>View Full Record in Web of Science</v>
      </c>
    </row>
    <row r="23" ht="12.75" customHeight="1">
      <c r="A23" s="7" t="s">
        <v>2888</v>
      </c>
      <c r="B23" s="7" t="s">
        <v>3365</v>
      </c>
      <c r="C23" s="7" t="s">
        <v>2890</v>
      </c>
      <c r="D23" s="7" t="s">
        <v>2890</v>
      </c>
      <c r="E23" s="7" t="s">
        <v>2890</v>
      </c>
      <c r="F23" s="7" t="s">
        <v>3366</v>
      </c>
      <c r="G23" s="7" t="s">
        <v>2890</v>
      </c>
      <c r="H23" s="7" t="s">
        <v>2890</v>
      </c>
      <c r="I23" s="7" t="s">
        <v>2798</v>
      </c>
      <c r="J23" s="7" t="s">
        <v>3367</v>
      </c>
      <c r="K23" s="7" t="s">
        <v>2890</v>
      </c>
      <c r="L23" s="7" t="s">
        <v>2890</v>
      </c>
      <c r="M23" s="7" t="s">
        <v>2893</v>
      </c>
      <c r="N23" s="7" t="s">
        <v>2894</v>
      </c>
      <c r="O23" s="7" t="s">
        <v>2890</v>
      </c>
      <c r="P23" s="7" t="s">
        <v>2890</v>
      </c>
      <c r="Q23" s="7" t="s">
        <v>2890</v>
      </c>
      <c r="R23" s="7" t="s">
        <v>2890</v>
      </c>
      <c r="S23" s="7" t="s">
        <v>2890</v>
      </c>
      <c r="T23" s="7" t="s">
        <v>3368</v>
      </c>
      <c r="U23" s="7" t="s">
        <v>3369</v>
      </c>
      <c r="V23" s="7" t="s">
        <v>2799</v>
      </c>
      <c r="W23" s="7" t="s">
        <v>3370</v>
      </c>
      <c r="X23" s="7" t="s">
        <v>3371</v>
      </c>
      <c r="Y23" s="7" t="s">
        <v>3372</v>
      </c>
      <c r="Z23" s="7" t="s">
        <v>3373</v>
      </c>
      <c r="AA23" s="7" t="s">
        <v>3374</v>
      </c>
      <c r="AB23" s="7" t="s">
        <v>3375</v>
      </c>
      <c r="AC23" s="7" t="s">
        <v>2890</v>
      </c>
      <c r="AD23" s="7" t="s">
        <v>2890</v>
      </c>
      <c r="AE23" s="7" t="s">
        <v>2890</v>
      </c>
      <c r="AF23" s="7" t="s">
        <v>2890</v>
      </c>
      <c r="AG23" s="7">
        <v>107.0</v>
      </c>
      <c r="AH23" s="7">
        <v>3.0</v>
      </c>
      <c r="AI23" s="7">
        <v>3.0</v>
      </c>
      <c r="AJ23" s="7">
        <v>0.0</v>
      </c>
      <c r="AK23" s="7">
        <v>15.0</v>
      </c>
      <c r="AL23" s="7" t="s">
        <v>2978</v>
      </c>
      <c r="AM23" s="7" t="s">
        <v>2979</v>
      </c>
      <c r="AN23" s="7" t="s">
        <v>2980</v>
      </c>
      <c r="AO23" s="7" t="s">
        <v>2890</v>
      </c>
      <c r="AP23" s="7" t="s">
        <v>3376</v>
      </c>
      <c r="AQ23" s="7" t="s">
        <v>2890</v>
      </c>
      <c r="AR23" s="7" t="s">
        <v>3377</v>
      </c>
      <c r="AS23" s="7" t="s">
        <v>3378</v>
      </c>
      <c r="AT23" s="7" t="s">
        <v>3379</v>
      </c>
      <c r="AU23" s="7">
        <v>2022.0</v>
      </c>
      <c r="AV23" s="7">
        <v>5.0</v>
      </c>
      <c r="AW23" s="7" t="s">
        <v>2890</v>
      </c>
      <c r="AX23" s="7" t="s">
        <v>2890</v>
      </c>
      <c r="AY23" s="7" t="s">
        <v>2890</v>
      </c>
      <c r="AZ23" s="7" t="s">
        <v>2890</v>
      </c>
      <c r="BA23" s="7" t="s">
        <v>2890</v>
      </c>
      <c r="BB23" s="7" t="s">
        <v>2890</v>
      </c>
      <c r="BC23" s="7" t="s">
        <v>2890</v>
      </c>
      <c r="BD23" s="7">
        <v>807214.0</v>
      </c>
      <c r="BE23" s="7" t="s">
        <v>2597</v>
      </c>
      <c r="BF23" s="24" t="str">
        <f>HYPERLINK("http://dx.doi.org/10.3389/ffgc.2022.807214","http://dx.doi.org/10.3389/ffgc.2022.807214")</f>
        <v>http://dx.doi.org/10.3389/ffgc.2022.807214</v>
      </c>
      <c r="BG23" s="7" t="s">
        <v>2890</v>
      </c>
      <c r="BH23" s="7" t="s">
        <v>2890</v>
      </c>
      <c r="BI23" s="7">
        <v>14.0</v>
      </c>
      <c r="BJ23" s="7" t="s">
        <v>3380</v>
      </c>
      <c r="BK23" s="7" t="s">
        <v>3283</v>
      </c>
      <c r="BL23" s="7" t="s">
        <v>3381</v>
      </c>
      <c r="BM23" s="7" t="s">
        <v>3382</v>
      </c>
      <c r="BN23" s="7" t="s">
        <v>2890</v>
      </c>
      <c r="BO23" s="7" t="s">
        <v>2988</v>
      </c>
      <c r="BP23" s="7" t="s">
        <v>2890</v>
      </c>
      <c r="BQ23" s="7" t="s">
        <v>2890</v>
      </c>
      <c r="BR23" s="7" t="s">
        <v>2916</v>
      </c>
      <c r="BS23" s="7" t="s">
        <v>2800</v>
      </c>
      <c r="BT23" s="7" t="str">
        <f>HYPERLINK("https%3A%2F%2Fwww.webofscience.com%2Fwos%2Fwoscc%2Ffull-record%2FWOS:000765705600001","View Full Record in Web of Science")</f>
        <v>View Full Record in Web of Science</v>
      </c>
    </row>
    <row r="24" ht="12.75" customHeight="1">
      <c r="A24" s="7" t="s">
        <v>2888</v>
      </c>
      <c r="B24" s="7" t="s">
        <v>3383</v>
      </c>
      <c r="C24" s="7" t="s">
        <v>2890</v>
      </c>
      <c r="D24" s="7" t="s">
        <v>2890</v>
      </c>
      <c r="E24" s="7" t="s">
        <v>2890</v>
      </c>
      <c r="F24" s="7" t="s">
        <v>3384</v>
      </c>
      <c r="G24" s="7" t="s">
        <v>2890</v>
      </c>
      <c r="H24" s="7" t="s">
        <v>2890</v>
      </c>
      <c r="I24" s="7" t="s">
        <v>3385</v>
      </c>
      <c r="J24" s="7" t="s">
        <v>3386</v>
      </c>
      <c r="K24" s="7" t="s">
        <v>2890</v>
      </c>
      <c r="L24" s="7" t="s">
        <v>2890</v>
      </c>
      <c r="M24" s="7" t="s">
        <v>2893</v>
      </c>
      <c r="N24" s="7" t="s">
        <v>2894</v>
      </c>
      <c r="O24" s="7" t="s">
        <v>2890</v>
      </c>
      <c r="P24" s="7" t="s">
        <v>2890</v>
      </c>
      <c r="Q24" s="7" t="s">
        <v>2890</v>
      </c>
      <c r="R24" s="7" t="s">
        <v>2890</v>
      </c>
      <c r="S24" s="7" t="s">
        <v>2890</v>
      </c>
      <c r="T24" s="7" t="s">
        <v>3387</v>
      </c>
      <c r="U24" s="7" t="s">
        <v>3388</v>
      </c>
      <c r="V24" s="7" t="s">
        <v>3389</v>
      </c>
      <c r="W24" s="7" t="s">
        <v>3390</v>
      </c>
      <c r="X24" s="7" t="s">
        <v>3391</v>
      </c>
      <c r="Y24" s="7" t="s">
        <v>3392</v>
      </c>
      <c r="Z24" s="7" t="s">
        <v>3393</v>
      </c>
      <c r="AA24" s="7" t="s">
        <v>3394</v>
      </c>
      <c r="AB24" s="7" t="s">
        <v>3395</v>
      </c>
      <c r="AC24" s="7" t="s">
        <v>3396</v>
      </c>
      <c r="AD24" s="7" t="s">
        <v>3397</v>
      </c>
      <c r="AE24" s="7" t="s">
        <v>3398</v>
      </c>
      <c r="AF24" s="7" t="s">
        <v>2890</v>
      </c>
      <c r="AG24" s="7">
        <v>68.0</v>
      </c>
      <c r="AH24" s="7">
        <v>49.0</v>
      </c>
      <c r="AI24" s="7">
        <v>56.0</v>
      </c>
      <c r="AJ24" s="7">
        <v>5.0</v>
      </c>
      <c r="AK24" s="7">
        <v>163.0</v>
      </c>
      <c r="AL24" s="7" t="s">
        <v>3160</v>
      </c>
      <c r="AM24" s="7" t="s">
        <v>3161</v>
      </c>
      <c r="AN24" s="7" t="s">
        <v>3162</v>
      </c>
      <c r="AO24" s="7" t="s">
        <v>2890</v>
      </c>
      <c r="AP24" s="7" t="s">
        <v>3399</v>
      </c>
      <c r="AQ24" s="7" t="s">
        <v>2890</v>
      </c>
      <c r="AR24" s="7" t="s">
        <v>3400</v>
      </c>
      <c r="AS24" s="7" t="s">
        <v>3401</v>
      </c>
      <c r="AT24" s="7" t="s">
        <v>3031</v>
      </c>
      <c r="AU24" s="7">
        <v>2022.0</v>
      </c>
      <c r="AV24" s="7">
        <v>34.0</v>
      </c>
      <c r="AW24" s="7" t="s">
        <v>2890</v>
      </c>
      <c r="AX24" s="7" t="s">
        <v>2890</v>
      </c>
      <c r="AY24" s="7" t="s">
        <v>2890</v>
      </c>
      <c r="AZ24" s="7" t="s">
        <v>2890</v>
      </c>
      <c r="BA24" s="7" t="s">
        <v>2890</v>
      </c>
      <c r="BB24" s="7" t="s">
        <v>2890</v>
      </c>
      <c r="BC24" s="7" t="s">
        <v>2890</v>
      </c>
      <c r="BD24" s="7" t="s">
        <v>3402</v>
      </c>
      <c r="BE24" s="7" t="s">
        <v>3403</v>
      </c>
      <c r="BF24" s="24" t="str">
        <f>HYPERLINK("http://dx.doi.org/10.1016/j.gecco.2022.e02053","http://dx.doi.org/10.1016/j.gecco.2022.e02053")</f>
        <v>http://dx.doi.org/10.1016/j.gecco.2022.e02053</v>
      </c>
      <c r="BG24" s="7" t="s">
        <v>2890</v>
      </c>
      <c r="BH24" s="7" t="s">
        <v>3404</v>
      </c>
      <c r="BI24" s="7">
        <v>13.0</v>
      </c>
      <c r="BJ24" s="7" t="s">
        <v>3085</v>
      </c>
      <c r="BK24" s="7" t="s">
        <v>2938</v>
      </c>
      <c r="BL24" s="7" t="s">
        <v>3034</v>
      </c>
      <c r="BM24" s="7" t="s">
        <v>3405</v>
      </c>
      <c r="BN24" s="7" t="s">
        <v>2890</v>
      </c>
      <c r="BO24" s="7" t="s">
        <v>2988</v>
      </c>
      <c r="BP24" s="7" t="s">
        <v>2890</v>
      </c>
      <c r="BQ24" s="7" t="s">
        <v>2890</v>
      </c>
      <c r="BR24" s="7" t="s">
        <v>2916</v>
      </c>
      <c r="BS24" s="7" t="s">
        <v>3406</v>
      </c>
      <c r="BT24" s="7" t="str">
        <f>HYPERLINK("https%3A%2F%2Fwww.webofscience.com%2Fwos%2Fwoscc%2Ffull-record%2FWOS:000761024600001","View Full Record in Web of Science")</f>
        <v>View Full Record in Web of Science</v>
      </c>
    </row>
    <row r="25" ht="12.75" customHeight="1">
      <c r="A25" s="7" t="s">
        <v>2888</v>
      </c>
      <c r="B25" s="7" t="s">
        <v>3407</v>
      </c>
      <c r="C25" s="7" t="s">
        <v>2890</v>
      </c>
      <c r="D25" s="7" t="s">
        <v>2890</v>
      </c>
      <c r="E25" s="7" t="s">
        <v>2890</v>
      </c>
      <c r="F25" s="7" t="s">
        <v>3408</v>
      </c>
      <c r="G25" s="7" t="s">
        <v>2890</v>
      </c>
      <c r="H25" s="7" t="s">
        <v>2890</v>
      </c>
      <c r="I25" s="7" t="s">
        <v>3409</v>
      </c>
      <c r="J25" s="7" t="s">
        <v>3220</v>
      </c>
      <c r="K25" s="7" t="s">
        <v>2890</v>
      </c>
      <c r="L25" s="7" t="s">
        <v>2890</v>
      </c>
      <c r="M25" s="7" t="s">
        <v>2893</v>
      </c>
      <c r="N25" s="7" t="s">
        <v>2894</v>
      </c>
      <c r="O25" s="7" t="s">
        <v>2890</v>
      </c>
      <c r="P25" s="7" t="s">
        <v>2890</v>
      </c>
      <c r="Q25" s="7" t="s">
        <v>2890</v>
      </c>
      <c r="R25" s="7" t="s">
        <v>2890</v>
      </c>
      <c r="S25" s="7" t="s">
        <v>2890</v>
      </c>
      <c r="T25" s="7" t="s">
        <v>3410</v>
      </c>
      <c r="U25" s="7" t="s">
        <v>3411</v>
      </c>
      <c r="V25" s="7" t="s">
        <v>3412</v>
      </c>
      <c r="W25" s="7" t="s">
        <v>3413</v>
      </c>
      <c r="X25" s="7" t="s">
        <v>3414</v>
      </c>
      <c r="Y25" s="7" t="s">
        <v>3415</v>
      </c>
      <c r="Z25" s="7" t="s">
        <v>3416</v>
      </c>
      <c r="AA25" s="7" t="s">
        <v>3417</v>
      </c>
      <c r="AB25" s="7" t="s">
        <v>3418</v>
      </c>
      <c r="AC25" s="7" t="s">
        <v>3419</v>
      </c>
      <c r="AD25" s="7" t="s">
        <v>3419</v>
      </c>
      <c r="AE25" s="7" t="s">
        <v>3420</v>
      </c>
      <c r="AF25" s="7" t="s">
        <v>2890</v>
      </c>
      <c r="AG25" s="7">
        <v>116.0</v>
      </c>
      <c r="AH25" s="7">
        <v>54.0</v>
      </c>
      <c r="AI25" s="7">
        <v>68.0</v>
      </c>
      <c r="AJ25" s="7">
        <v>4.0</v>
      </c>
      <c r="AK25" s="7">
        <v>25.0</v>
      </c>
      <c r="AL25" s="7" t="s">
        <v>3232</v>
      </c>
      <c r="AM25" s="7" t="s">
        <v>3233</v>
      </c>
      <c r="AN25" s="7" t="s">
        <v>3234</v>
      </c>
      <c r="AO25" s="7" t="s">
        <v>2890</v>
      </c>
      <c r="AP25" s="7" t="s">
        <v>3235</v>
      </c>
      <c r="AQ25" s="7" t="s">
        <v>2890</v>
      </c>
      <c r="AR25" s="7" t="s">
        <v>3236</v>
      </c>
      <c r="AS25" s="7" t="s">
        <v>3237</v>
      </c>
      <c r="AT25" s="7" t="s">
        <v>3083</v>
      </c>
      <c r="AU25" s="7">
        <v>2022.0</v>
      </c>
      <c r="AV25" s="7">
        <v>11.0</v>
      </c>
      <c r="AW25" s="7">
        <v>2.0</v>
      </c>
      <c r="AX25" s="7" t="s">
        <v>2890</v>
      </c>
      <c r="AY25" s="7" t="s">
        <v>2890</v>
      </c>
      <c r="AZ25" s="7" t="s">
        <v>2890</v>
      </c>
      <c r="BA25" s="7" t="s">
        <v>2890</v>
      </c>
      <c r="BB25" s="7" t="s">
        <v>2890</v>
      </c>
      <c r="BC25" s="7" t="s">
        <v>2890</v>
      </c>
      <c r="BD25" s="7">
        <v>268.0</v>
      </c>
      <c r="BE25" s="7" t="s">
        <v>1292</v>
      </c>
      <c r="BF25" s="24" t="str">
        <f>HYPERLINK("http://dx.doi.org/10.3390/land11020268","http://dx.doi.org/10.3390/land11020268")</f>
        <v>http://dx.doi.org/10.3390/land11020268</v>
      </c>
      <c r="BG25" s="7" t="s">
        <v>2890</v>
      </c>
      <c r="BH25" s="7" t="s">
        <v>2890</v>
      </c>
      <c r="BI25" s="7">
        <v>26.0</v>
      </c>
      <c r="BJ25" s="7" t="s">
        <v>3122</v>
      </c>
      <c r="BK25" s="7" t="s">
        <v>2914</v>
      </c>
      <c r="BL25" s="7" t="s">
        <v>3008</v>
      </c>
      <c r="BM25" s="7" t="s">
        <v>3421</v>
      </c>
      <c r="BN25" s="7" t="s">
        <v>2890</v>
      </c>
      <c r="BO25" s="7" t="s">
        <v>2988</v>
      </c>
      <c r="BP25" s="7" t="s">
        <v>2890</v>
      </c>
      <c r="BQ25" s="7" t="s">
        <v>2890</v>
      </c>
      <c r="BR25" s="7" t="s">
        <v>2916</v>
      </c>
      <c r="BS25" s="7" t="s">
        <v>3422</v>
      </c>
      <c r="BT25" s="7" t="str">
        <f>HYPERLINK("https%3A%2F%2Fwww.webofscience.com%2Fwos%2Fwoscc%2Ffull-record%2FWOS:000770674500001","View Full Record in Web of Science")</f>
        <v>View Full Record in Web of Science</v>
      </c>
    </row>
    <row r="26" ht="12.75" customHeight="1">
      <c r="A26" s="7" t="s">
        <v>2888</v>
      </c>
      <c r="B26" s="7" t="s">
        <v>3423</v>
      </c>
      <c r="C26" s="7" t="s">
        <v>2890</v>
      </c>
      <c r="D26" s="7" t="s">
        <v>2890</v>
      </c>
      <c r="E26" s="7" t="s">
        <v>2890</v>
      </c>
      <c r="F26" s="7" t="s">
        <v>3424</v>
      </c>
      <c r="G26" s="7" t="s">
        <v>2890</v>
      </c>
      <c r="H26" s="7" t="s">
        <v>2890</v>
      </c>
      <c r="I26" s="7" t="s">
        <v>150</v>
      </c>
      <c r="J26" s="7" t="s">
        <v>3425</v>
      </c>
      <c r="K26" s="7" t="s">
        <v>2890</v>
      </c>
      <c r="L26" s="7" t="s">
        <v>2890</v>
      </c>
      <c r="M26" s="7" t="s">
        <v>2893</v>
      </c>
      <c r="N26" s="7" t="s">
        <v>2894</v>
      </c>
      <c r="O26" s="7" t="s">
        <v>2890</v>
      </c>
      <c r="P26" s="7" t="s">
        <v>2890</v>
      </c>
      <c r="Q26" s="7" t="s">
        <v>2890</v>
      </c>
      <c r="R26" s="7" t="s">
        <v>2890</v>
      </c>
      <c r="S26" s="7" t="s">
        <v>2890</v>
      </c>
      <c r="T26" s="7" t="s">
        <v>3426</v>
      </c>
      <c r="U26" s="7" t="s">
        <v>3427</v>
      </c>
      <c r="V26" s="7" t="s">
        <v>2683</v>
      </c>
      <c r="W26" s="7" t="s">
        <v>3428</v>
      </c>
      <c r="X26" s="7" t="s">
        <v>3310</v>
      </c>
      <c r="Y26" s="7" t="s">
        <v>3429</v>
      </c>
      <c r="Z26" s="7" t="s">
        <v>3312</v>
      </c>
      <c r="AA26" s="7" t="s">
        <v>3430</v>
      </c>
      <c r="AB26" s="7" t="s">
        <v>3431</v>
      </c>
      <c r="AC26" s="7" t="s">
        <v>3432</v>
      </c>
      <c r="AD26" s="7" t="s">
        <v>3433</v>
      </c>
      <c r="AE26" s="7" t="s">
        <v>3434</v>
      </c>
      <c r="AF26" s="7" t="s">
        <v>2890</v>
      </c>
      <c r="AG26" s="7">
        <v>56.0</v>
      </c>
      <c r="AH26" s="7">
        <v>36.0</v>
      </c>
      <c r="AI26" s="7">
        <v>40.0</v>
      </c>
      <c r="AJ26" s="7">
        <v>4.0</v>
      </c>
      <c r="AK26" s="7">
        <v>102.0</v>
      </c>
      <c r="AL26" s="7" t="s">
        <v>3435</v>
      </c>
      <c r="AM26" s="7" t="s">
        <v>3436</v>
      </c>
      <c r="AN26" s="7" t="s">
        <v>3437</v>
      </c>
      <c r="AO26" s="7" t="s">
        <v>3438</v>
      </c>
      <c r="AP26" s="7" t="s">
        <v>3439</v>
      </c>
      <c r="AQ26" s="7" t="s">
        <v>2890</v>
      </c>
      <c r="AR26" s="7" t="s">
        <v>3440</v>
      </c>
      <c r="AS26" s="7" t="s">
        <v>3441</v>
      </c>
      <c r="AT26" s="7" t="s">
        <v>3442</v>
      </c>
      <c r="AU26" s="7">
        <v>2022.0</v>
      </c>
      <c r="AV26" s="7">
        <v>308.0</v>
      </c>
      <c r="AW26" s="7" t="s">
        <v>2890</v>
      </c>
      <c r="AX26" s="7" t="s">
        <v>2890</v>
      </c>
      <c r="AY26" s="7" t="s">
        <v>2890</v>
      </c>
      <c r="AZ26" s="7" t="s">
        <v>2890</v>
      </c>
      <c r="BA26" s="7" t="s">
        <v>2890</v>
      </c>
      <c r="BB26" s="7" t="s">
        <v>2890</v>
      </c>
      <c r="BC26" s="7" t="s">
        <v>2890</v>
      </c>
      <c r="BD26" s="7">
        <v>114593.0</v>
      </c>
      <c r="BE26" s="7" t="s">
        <v>2684</v>
      </c>
      <c r="BF26" s="24" t="str">
        <f>HYPERLINK("http://dx.doi.org/10.1016/j.jenvman.2022.114593","http://dx.doi.org/10.1016/j.jenvman.2022.114593")</f>
        <v>http://dx.doi.org/10.1016/j.jenvman.2022.114593</v>
      </c>
      <c r="BG26" s="7" t="s">
        <v>2890</v>
      </c>
      <c r="BH26" s="7" t="s">
        <v>3404</v>
      </c>
      <c r="BI26" s="7">
        <v>6.0</v>
      </c>
      <c r="BJ26" s="7" t="s">
        <v>3007</v>
      </c>
      <c r="BK26" s="7" t="s">
        <v>3283</v>
      </c>
      <c r="BL26" s="7" t="s">
        <v>3008</v>
      </c>
      <c r="BM26" s="7" t="s">
        <v>3443</v>
      </c>
      <c r="BN26" s="7">
        <v>3.5121461E7</v>
      </c>
      <c r="BO26" s="7" t="s">
        <v>2890</v>
      </c>
      <c r="BP26" s="7" t="s">
        <v>2890</v>
      </c>
      <c r="BQ26" s="7" t="s">
        <v>2890</v>
      </c>
      <c r="BR26" s="7" t="s">
        <v>2916</v>
      </c>
      <c r="BS26" s="7" t="s">
        <v>2617</v>
      </c>
      <c r="BT26" s="7" t="str">
        <f>HYPERLINK("https%3A%2F%2Fwww.webofscience.com%2Fwos%2Fwoscc%2Ffull-record%2FWOS:000782122800006","View Full Record in Web of Science")</f>
        <v>View Full Record in Web of Science</v>
      </c>
    </row>
    <row r="27" ht="12.75" customHeight="1">
      <c r="A27" s="7" t="s">
        <v>2888</v>
      </c>
      <c r="B27" s="7" t="s">
        <v>3444</v>
      </c>
      <c r="C27" s="7" t="s">
        <v>2890</v>
      </c>
      <c r="D27" s="7" t="s">
        <v>2890</v>
      </c>
      <c r="E27" s="7" t="s">
        <v>2890</v>
      </c>
      <c r="F27" s="7" t="s">
        <v>3445</v>
      </c>
      <c r="G27" s="7" t="s">
        <v>2890</v>
      </c>
      <c r="H27" s="7" t="s">
        <v>2890</v>
      </c>
      <c r="I27" s="7" t="s">
        <v>147</v>
      </c>
      <c r="J27" s="7" t="s">
        <v>3425</v>
      </c>
      <c r="K27" s="7" t="s">
        <v>2890</v>
      </c>
      <c r="L27" s="7" t="s">
        <v>2890</v>
      </c>
      <c r="M27" s="7" t="s">
        <v>2893</v>
      </c>
      <c r="N27" s="7" t="s">
        <v>2894</v>
      </c>
      <c r="O27" s="7" t="s">
        <v>2890</v>
      </c>
      <c r="P27" s="7" t="s">
        <v>2890</v>
      </c>
      <c r="Q27" s="7" t="s">
        <v>2890</v>
      </c>
      <c r="R27" s="7" t="s">
        <v>2890</v>
      </c>
      <c r="S27" s="7" t="s">
        <v>2890</v>
      </c>
      <c r="T27" s="7" t="s">
        <v>3446</v>
      </c>
      <c r="U27" s="7" t="s">
        <v>3447</v>
      </c>
      <c r="V27" s="7" t="s">
        <v>2685</v>
      </c>
      <c r="W27" s="7" t="s">
        <v>3448</v>
      </c>
      <c r="X27" s="7" t="s">
        <v>3449</v>
      </c>
      <c r="Y27" s="7" t="s">
        <v>3450</v>
      </c>
      <c r="Z27" s="7" t="s">
        <v>3451</v>
      </c>
      <c r="AA27" s="7" t="s">
        <v>3452</v>
      </c>
      <c r="AB27" s="7" t="s">
        <v>3453</v>
      </c>
      <c r="AC27" s="7" t="s">
        <v>3454</v>
      </c>
      <c r="AD27" s="7" t="s">
        <v>3455</v>
      </c>
      <c r="AE27" s="7" t="s">
        <v>3456</v>
      </c>
      <c r="AF27" s="7" t="s">
        <v>2890</v>
      </c>
      <c r="AG27" s="7">
        <v>43.0</v>
      </c>
      <c r="AH27" s="7">
        <v>26.0</v>
      </c>
      <c r="AI27" s="7">
        <v>28.0</v>
      </c>
      <c r="AJ27" s="7">
        <v>11.0</v>
      </c>
      <c r="AK27" s="7">
        <v>89.0</v>
      </c>
      <c r="AL27" s="7" t="s">
        <v>3435</v>
      </c>
      <c r="AM27" s="7" t="s">
        <v>3436</v>
      </c>
      <c r="AN27" s="7" t="s">
        <v>3437</v>
      </c>
      <c r="AO27" s="7" t="s">
        <v>3438</v>
      </c>
      <c r="AP27" s="7" t="s">
        <v>3439</v>
      </c>
      <c r="AQ27" s="7" t="s">
        <v>2890</v>
      </c>
      <c r="AR27" s="7" t="s">
        <v>3440</v>
      </c>
      <c r="AS27" s="7" t="s">
        <v>3441</v>
      </c>
      <c r="AT27" s="7" t="s">
        <v>3457</v>
      </c>
      <c r="AU27" s="7">
        <v>2022.0</v>
      </c>
      <c r="AV27" s="7">
        <v>306.0</v>
      </c>
      <c r="AW27" s="7" t="s">
        <v>2890</v>
      </c>
      <c r="AX27" s="7" t="s">
        <v>2890</v>
      </c>
      <c r="AY27" s="7" t="s">
        <v>2890</v>
      </c>
      <c r="AZ27" s="7" t="s">
        <v>2890</v>
      </c>
      <c r="BA27" s="7" t="s">
        <v>2890</v>
      </c>
      <c r="BB27" s="7" t="s">
        <v>2890</v>
      </c>
      <c r="BC27" s="7" t="s">
        <v>2890</v>
      </c>
      <c r="BD27" s="7">
        <v>114485.0</v>
      </c>
      <c r="BE27" s="7" t="s">
        <v>2686</v>
      </c>
      <c r="BF27" s="24" t="str">
        <f>HYPERLINK("http://dx.doi.org/10.1016/j.jenvman.2022.114485","http://dx.doi.org/10.1016/j.jenvman.2022.114485")</f>
        <v>http://dx.doi.org/10.1016/j.jenvman.2022.114485</v>
      </c>
      <c r="BG27" s="7" t="s">
        <v>2890</v>
      </c>
      <c r="BH27" s="7" t="s">
        <v>3458</v>
      </c>
      <c r="BI27" s="7">
        <v>7.0</v>
      </c>
      <c r="BJ27" s="7" t="s">
        <v>3007</v>
      </c>
      <c r="BK27" s="7" t="s">
        <v>2938</v>
      </c>
      <c r="BL27" s="7" t="s">
        <v>3008</v>
      </c>
      <c r="BM27" s="7" t="s">
        <v>3459</v>
      </c>
      <c r="BN27" s="7">
        <v>3.5033892E7</v>
      </c>
      <c r="BO27" s="7" t="s">
        <v>2890</v>
      </c>
      <c r="BP27" s="7" t="s">
        <v>2890</v>
      </c>
      <c r="BQ27" s="7" t="s">
        <v>2890</v>
      </c>
      <c r="BR27" s="7" t="s">
        <v>2916</v>
      </c>
      <c r="BS27" s="7" t="s">
        <v>2615</v>
      </c>
      <c r="BT27" s="7" t="str">
        <f>HYPERLINK("https%3A%2F%2Fwww.webofscience.com%2Fwos%2Fwoscc%2Ffull-record%2FWOS:000783627100005","View Full Record in Web of Science")</f>
        <v>View Full Record in Web of Science</v>
      </c>
    </row>
    <row r="28" ht="12.75" customHeight="1">
      <c r="A28" s="7" t="s">
        <v>2888</v>
      </c>
      <c r="B28" s="7" t="s">
        <v>3460</v>
      </c>
      <c r="C28" s="7" t="s">
        <v>2890</v>
      </c>
      <c r="D28" s="7" t="s">
        <v>2890</v>
      </c>
      <c r="E28" s="7" t="s">
        <v>2890</v>
      </c>
      <c r="F28" s="7" t="s">
        <v>3461</v>
      </c>
      <c r="G28" s="7" t="s">
        <v>2890</v>
      </c>
      <c r="H28" s="7" t="s">
        <v>2890</v>
      </c>
      <c r="I28" s="7" t="s">
        <v>2687</v>
      </c>
      <c r="J28" s="7" t="s">
        <v>3462</v>
      </c>
      <c r="K28" s="7" t="s">
        <v>2890</v>
      </c>
      <c r="L28" s="7" t="s">
        <v>2890</v>
      </c>
      <c r="M28" s="7" t="s">
        <v>2893</v>
      </c>
      <c r="N28" s="7" t="s">
        <v>2894</v>
      </c>
      <c r="O28" s="7" t="s">
        <v>2890</v>
      </c>
      <c r="P28" s="7" t="s">
        <v>2890</v>
      </c>
      <c r="Q28" s="7" t="s">
        <v>2890</v>
      </c>
      <c r="R28" s="7" t="s">
        <v>2890</v>
      </c>
      <c r="S28" s="7" t="s">
        <v>2890</v>
      </c>
      <c r="T28" s="7" t="s">
        <v>3463</v>
      </c>
      <c r="U28" s="7" t="s">
        <v>3464</v>
      </c>
      <c r="V28" s="7" t="s">
        <v>2688</v>
      </c>
      <c r="W28" s="7" t="s">
        <v>3465</v>
      </c>
      <c r="X28" s="7" t="s">
        <v>3466</v>
      </c>
      <c r="Y28" s="7" t="s">
        <v>3467</v>
      </c>
      <c r="Z28" s="7" t="s">
        <v>3468</v>
      </c>
      <c r="AA28" s="7" t="s">
        <v>3469</v>
      </c>
      <c r="AB28" s="7" t="s">
        <v>3470</v>
      </c>
      <c r="AC28" s="7" t="s">
        <v>3471</v>
      </c>
      <c r="AD28" s="7" t="s">
        <v>3472</v>
      </c>
      <c r="AE28" s="7" t="s">
        <v>3473</v>
      </c>
      <c r="AF28" s="7" t="s">
        <v>2890</v>
      </c>
      <c r="AG28" s="7">
        <v>83.0</v>
      </c>
      <c r="AH28" s="7">
        <v>32.0</v>
      </c>
      <c r="AI28" s="7">
        <v>37.0</v>
      </c>
      <c r="AJ28" s="7">
        <v>2.0</v>
      </c>
      <c r="AK28" s="7">
        <v>25.0</v>
      </c>
      <c r="AL28" s="7" t="s">
        <v>3474</v>
      </c>
      <c r="AM28" s="7" t="s">
        <v>3475</v>
      </c>
      <c r="AN28" s="7" t="s">
        <v>3476</v>
      </c>
      <c r="AO28" s="7" t="s">
        <v>3477</v>
      </c>
      <c r="AP28" s="7" t="s">
        <v>3478</v>
      </c>
      <c r="AQ28" s="7" t="s">
        <v>2890</v>
      </c>
      <c r="AR28" s="7" t="s">
        <v>3479</v>
      </c>
      <c r="AS28" s="7" t="s">
        <v>3480</v>
      </c>
      <c r="AT28" s="7" t="s">
        <v>3119</v>
      </c>
      <c r="AU28" s="7">
        <v>2022.0</v>
      </c>
      <c r="AV28" s="7">
        <v>111.0</v>
      </c>
      <c r="AW28" s="7" t="s">
        <v>2890</v>
      </c>
      <c r="AX28" s="7" t="s">
        <v>2890</v>
      </c>
      <c r="AY28" s="7" t="s">
        <v>2890</v>
      </c>
      <c r="AZ28" s="7" t="s">
        <v>2890</v>
      </c>
      <c r="BA28" s="7" t="s">
        <v>2890</v>
      </c>
      <c r="BB28" s="7" t="s">
        <v>2890</v>
      </c>
      <c r="BC28" s="7" t="s">
        <v>2890</v>
      </c>
      <c r="BD28" s="7">
        <v>102572.0</v>
      </c>
      <c r="BE28" s="7" t="s">
        <v>2601</v>
      </c>
      <c r="BF28" s="24" t="str">
        <f>HYPERLINK("http://dx.doi.org/10.1016/j.jeem.2021.102572","http://dx.doi.org/10.1016/j.jeem.2021.102572")</f>
        <v>http://dx.doi.org/10.1016/j.jeem.2021.102572</v>
      </c>
      <c r="BG28" s="7" t="s">
        <v>2890</v>
      </c>
      <c r="BH28" s="7" t="s">
        <v>2890</v>
      </c>
      <c r="BI28" s="7">
        <v>13.0</v>
      </c>
      <c r="BJ28" s="7" t="s">
        <v>3481</v>
      </c>
      <c r="BK28" s="7" t="s">
        <v>2914</v>
      </c>
      <c r="BL28" s="7" t="s">
        <v>3482</v>
      </c>
      <c r="BM28" s="7" t="s">
        <v>3483</v>
      </c>
      <c r="BN28" s="7" t="s">
        <v>2890</v>
      </c>
      <c r="BO28" s="7" t="s">
        <v>2941</v>
      </c>
      <c r="BP28" s="7" t="s">
        <v>2890</v>
      </c>
      <c r="BQ28" s="7" t="s">
        <v>2890</v>
      </c>
      <c r="BR28" s="7" t="s">
        <v>2916</v>
      </c>
      <c r="BS28" s="7" t="s">
        <v>2689</v>
      </c>
      <c r="BT28" s="7" t="str">
        <f>HYPERLINK("https%3A%2F%2Fwww.webofscience.com%2Fwos%2Fwoscc%2Ffull-record%2FWOS:000819659600002","View Full Record in Web of Science")</f>
        <v>View Full Record in Web of Science</v>
      </c>
    </row>
    <row r="29" ht="12.75" customHeight="1">
      <c r="A29" s="7" t="s">
        <v>2888</v>
      </c>
      <c r="B29" s="7" t="s">
        <v>3484</v>
      </c>
      <c r="C29" s="7" t="s">
        <v>2890</v>
      </c>
      <c r="D29" s="7" t="s">
        <v>2890</v>
      </c>
      <c r="E29" s="7" t="s">
        <v>2890</v>
      </c>
      <c r="F29" s="7" t="s">
        <v>3485</v>
      </c>
      <c r="G29" s="7" t="s">
        <v>2890</v>
      </c>
      <c r="H29" s="7" t="s">
        <v>2890</v>
      </c>
      <c r="I29" s="7" t="s">
        <v>282</v>
      </c>
      <c r="J29" s="7" t="s">
        <v>3220</v>
      </c>
      <c r="K29" s="7" t="s">
        <v>2890</v>
      </c>
      <c r="L29" s="7" t="s">
        <v>2890</v>
      </c>
      <c r="M29" s="7" t="s">
        <v>2893</v>
      </c>
      <c r="N29" s="7" t="s">
        <v>2894</v>
      </c>
      <c r="O29" s="7" t="s">
        <v>2890</v>
      </c>
      <c r="P29" s="7" t="s">
        <v>2890</v>
      </c>
      <c r="Q29" s="7" t="s">
        <v>2890</v>
      </c>
      <c r="R29" s="7" t="s">
        <v>2890</v>
      </c>
      <c r="S29" s="7" t="s">
        <v>2890</v>
      </c>
      <c r="T29" s="7" t="s">
        <v>3486</v>
      </c>
      <c r="U29" s="7" t="s">
        <v>3487</v>
      </c>
      <c r="V29" s="7" t="s">
        <v>3488</v>
      </c>
      <c r="W29" s="7" t="s">
        <v>3489</v>
      </c>
      <c r="X29" s="7" t="s">
        <v>3490</v>
      </c>
      <c r="Y29" s="7" t="s">
        <v>3491</v>
      </c>
      <c r="Z29" s="7" t="s">
        <v>3492</v>
      </c>
      <c r="AA29" s="7" t="s">
        <v>3493</v>
      </c>
      <c r="AB29" s="7" t="s">
        <v>3494</v>
      </c>
      <c r="AC29" s="7" t="s">
        <v>3495</v>
      </c>
      <c r="AD29" s="7" t="s">
        <v>3496</v>
      </c>
      <c r="AE29" s="7" t="s">
        <v>3497</v>
      </c>
      <c r="AF29" s="7" t="s">
        <v>2890</v>
      </c>
      <c r="AG29" s="7">
        <v>57.0</v>
      </c>
      <c r="AH29" s="7">
        <v>20.0</v>
      </c>
      <c r="AI29" s="7">
        <v>21.0</v>
      </c>
      <c r="AJ29" s="7">
        <v>3.0</v>
      </c>
      <c r="AK29" s="7">
        <v>96.0</v>
      </c>
      <c r="AL29" s="7" t="s">
        <v>3232</v>
      </c>
      <c r="AM29" s="7" t="s">
        <v>3233</v>
      </c>
      <c r="AN29" s="7" t="s">
        <v>3234</v>
      </c>
      <c r="AO29" s="7" t="s">
        <v>2890</v>
      </c>
      <c r="AP29" s="7" t="s">
        <v>3235</v>
      </c>
      <c r="AQ29" s="7" t="s">
        <v>2890</v>
      </c>
      <c r="AR29" s="7" t="s">
        <v>3236</v>
      </c>
      <c r="AS29" s="7" t="s">
        <v>3237</v>
      </c>
      <c r="AT29" s="7" t="s">
        <v>3119</v>
      </c>
      <c r="AU29" s="7">
        <v>2022.0</v>
      </c>
      <c r="AV29" s="7">
        <v>11.0</v>
      </c>
      <c r="AW29" s="7">
        <v>1.0</v>
      </c>
      <c r="AX29" s="7" t="s">
        <v>2890</v>
      </c>
      <c r="AY29" s="7" t="s">
        <v>2890</v>
      </c>
      <c r="AZ29" s="7" t="s">
        <v>2890</v>
      </c>
      <c r="BA29" s="7" t="s">
        <v>2890</v>
      </c>
      <c r="BB29" s="7" t="s">
        <v>2890</v>
      </c>
      <c r="BC29" s="7" t="s">
        <v>2890</v>
      </c>
      <c r="BD29" s="7">
        <v>43.0</v>
      </c>
      <c r="BE29" s="7" t="s">
        <v>3498</v>
      </c>
      <c r="BF29" s="24" t="str">
        <f>HYPERLINK("http://dx.doi.org/10.3390/land11010043","http://dx.doi.org/10.3390/land11010043")</f>
        <v>http://dx.doi.org/10.3390/land11010043</v>
      </c>
      <c r="BG29" s="7" t="s">
        <v>2890</v>
      </c>
      <c r="BH29" s="7" t="s">
        <v>2890</v>
      </c>
      <c r="BI29" s="7">
        <v>15.0</v>
      </c>
      <c r="BJ29" s="7" t="s">
        <v>3122</v>
      </c>
      <c r="BK29" s="7" t="s">
        <v>2914</v>
      </c>
      <c r="BL29" s="7" t="s">
        <v>3008</v>
      </c>
      <c r="BM29" s="7" t="s">
        <v>3499</v>
      </c>
      <c r="BN29" s="7" t="s">
        <v>2890</v>
      </c>
      <c r="BO29" s="7" t="s">
        <v>2988</v>
      </c>
      <c r="BP29" s="7" t="s">
        <v>2890</v>
      </c>
      <c r="BQ29" s="7" t="s">
        <v>2890</v>
      </c>
      <c r="BR29" s="7" t="s">
        <v>2916</v>
      </c>
      <c r="BS29" s="7" t="s">
        <v>3500</v>
      </c>
      <c r="BT29" s="7" t="str">
        <f>HYPERLINK("https%3A%2F%2Fwww.webofscience.com%2Fwos%2Fwoscc%2Ffull-record%2FWOS:000790203200001","View Full Record in Web of Science")</f>
        <v>View Full Record in Web of Science</v>
      </c>
    </row>
    <row r="30" ht="12.75" customHeight="1">
      <c r="A30" s="7" t="s">
        <v>2888</v>
      </c>
      <c r="B30" s="7" t="s">
        <v>3501</v>
      </c>
      <c r="C30" s="7" t="s">
        <v>2890</v>
      </c>
      <c r="D30" s="7" t="s">
        <v>2890</v>
      </c>
      <c r="E30" s="7" t="s">
        <v>2890</v>
      </c>
      <c r="F30" s="7" t="s">
        <v>3502</v>
      </c>
      <c r="G30" s="7" t="s">
        <v>2890</v>
      </c>
      <c r="H30" s="7" t="s">
        <v>2890</v>
      </c>
      <c r="I30" s="7" t="s">
        <v>2772</v>
      </c>
      <c r="J30" s="7" t="s">
        <v>3503</v>
      </c>
      <c r="K30" s="7" t="s">
        <v>2890</v>
      </c>
      <c r="L30" s="7" t="s">
        <v>2890</v>
      </c>
      <c r="M30" s="7" t="s">
        <v>2893</v>
      </c>
      <c r="N30" s="7" t="s">
        <v>2894</v>
      </c>
      <c r="O30" s="7" t="s">
        <v>2890</v>
      </c>
      <c r="P30" s="7" t="s">
        <v>2890</v>
      </c>
      <c r="Q30" s="7" t="s">
        <v>2890</v>
      </c>
      <c r="R30" s="7" t="s">
        <v>2890</v>
      </c>
      <c r="S30" s="7" t="s">
        <v>2890</v>
      </c>
      <c r="T30" s="7" t="s">
        <v>3504</v>
      </c>
      <c r="U30" s="7" t="s">
        <v>3505</v>
      </c>
      <c r="V30" s="7" t="s">
        <v>2773</v>
      </c>
      <c r="W30" s="7" t="s">
        <v>3506</v>
      </c>
      <c r="X30" s="7" t="s">
        <v>3507</v>
      </c>
      <c r="Y30" s="7" t="s">
        <v>3508</v>
      </c>
      <c r="Z30" s="7" t="s">
        <v>3509</v>
      </c>
      <c r="AA30" s="7" t="s">
        <v>3510</v>
      </c>
      <c r="AB30" s="7" t="s">
        <v>3511</v>
      </c>
      <c r="AC30" s="7" t="s">
        <v>3512</v>
      </c>
      <c r="AD30" s="7" t="s">
        <v>3513</v>
      </c>
      <c r="AE30" s="7" t="s">
        <v>3514</v>
      </c>
      <c r="AF30" s="7" t="s">
        <v>2890</v>
      </c>
      <c r="AG30" s="7">
        <v>67.0</v>
      </c>
      <c r="AH30" s="7">
        <v>10.0</v>
      </c>
      <c r="AI30" s="7">
        <v>11.0</v>
      </c>
      <c r="AJ30" s="7">
        <v>0.0</v>
      </c>
      <c r="AK30" s="7">
        <v>25.0</v>
      </c>
      <c r="AL30" s="7" t="s">
        <v>3232</v>
      </c>
      <c r="AM30" s="7" t="s">
        <v>3233</v>
      </c>
      <c r="AN30" s="7" t="s">
        <v>3234</v>
      </c>
      <c r="AO30" s="7" t="s">
        <v>2890</v>
      </c>
      <c r="AP30" s="7" t="s">
        <v>3515</v>
      </c>
      <c r="AQ30" s="7" t="s">
        <v>2890</v>
      </c>
      <c r="AR30" s="7" t="s">
        <v>3516</v>
      </c>
      <c r="AS30" s="7" t="s">
        <v>3517</v>
      </c>
      <c r="AT30" s="7" t="s">
        <v>3119</v>
      </c>
      <c r="AU30" s="7">
        <v>2022.0</v>
      </c>
      <c r="AV30" s="7">
        <v>14.0</v>
      </c>
      <c r="AW30" s="7">
        <v>2.0</v>
      </c>
      <c r="AX30" s="7" t="s">
        <v>2890</v>
      </c>
      <c r="AY30" s="7" t="s">
        <v>2890</v>
      </c>
      <c r="AZ30" s="7" t="s">
        <v>2890</v>
      </c>
      <c r="BA30" s="7" t="s">
        <v>2890</v>
      </c>
      <c r="BB30" s="7" t="s">
        <v>2890</v>
      </c>
      <c r="BC30" s="7" t="s">
        <v>2890</v>
      </c>
      <c r="BD30" s="7">
        <v>753.0</v>
      </c>
      <c r="BE30" s="7" t="s">
        <v>2595</v>
      </c>
      <c r="BF30" s="24" t="str">
        <f>HYPERLINK("http://dx.doi.org/10.3390/su14020753","http://dx.doi.org/10.3390/su14020753")</f>
        <v>http://dx.doi.org/10.3390/su14020753</v>
      </c>
      <c r="BG30" s="7" t="s">
        <v>2890</v>
      </c>
      <c r="BH30" s="7" t="s">
        <v>2890</v>
      </c>
      <c r="BI30" s="7">
        <v>22.0</v>
      </c>
      <c r="BJ30" s="7" t="s">
        <v>3282</v>
      </c>
      <c r="BK30" s="7" t="s">
        <v>3283</v>
      </c>
      <c r="BL30" s="7" t="s">
        <v>3284</v>
      </c>
      <c r="BM30" s="7" t="s">
        <v>3518</v>
      </c>
      <c r="BN30" s="7" t="s">
        <v>2890</v>
      </c>
      <c r="BO30" s="7" t="s">
        <v>2988</v>
      </c>
      <c r="BP30" s="7" t="s">
        <v>2890</v>
      </c>
      <c r="BQ30" s="7" t="s">
        <v>2890</v>
      </c>
      <c r="BR30" s="7" t="s">
        <v>2916</v>
      </c>
      <c r="BS30" s="7" t="s">
        <v>2774</v>
      </c>
      <c r="BT30" s="7" t="str">
        <f>HYPERLINK("https%3A%2F%2Fwww.webofscience.com%2Fwos%2Fwoscc%2Ffull-record%2FWOS:000748146300001","View Full Record in Web of Science")</f>
        <v>View Full Record in Web of Science</v>
      </c>
    </row>
    <row r="31" ht="12.75" customHeight="1">
      <c r="A31" s="7" t="s">
        <v>2888</v>
      </c>
      <c r="B31" s="7" t="s">
        <v>3519</v>
      </c>
      <c r="C31" s="7" t="s">
        <v>2890</v>
      </c>
      <c r="D31" s="7" t="s">
        <v>2890</v>
      </c>
      <c r="E31" s="7" t="s">
        <v>2890</v>
      </c>
      <c r="F31" s="7" t="s">
        <v>3520</v>
      </c>
      <c r="G31" s="7" t="s">
        <v>2890</v>
      </c>
      <c r="H31" s="7" t="s">
        <v>2890</v>
      </c>
      <c r="I31" s="7" t="s">
        <v>2775</v>
      </c>
      <c r="J31" s="7" t="s">
        <v>3521</v>
      </c>
      <c r="K31" s="7" t="s">
        <v>2890</v>
      </c>
      <c r="L31" s="7" t="s">
        <v>2890</v>
      </c>
      <c r="M31" s="7" t="s">
        <v>2893</v>
      </c>
      <c r="N31" s="7" t="s">
        <v>2894</v>
      </c>
      <c r="O31" s="7" t="s">
        <v>2890</v>
      </c>
      <c r="P31" s="7" t="s">
        <v>2890</v>
      </c>
      <c r="Q31" s="7" t="s">
        <v>2890</v>
      </c>
      <c r="R31" s="7" t="s">
        <v>2890</v>
      </c>
      <c r="S31" s="7" t="s">
        <v>2890</v>
      </c>
      <c r="T31" s="7" t="s">
        <v>3522</v>
      </c>
      <c r="U31" s="7" t="s">
        <v>3523</v>
      </c>
      <c r="V31" s="7" t="s">
        <v>2776</v>
      </c>
      <c r="W31" s="7" t="s">
        <v>3524</v>
      </c>
      <c r="X31" s="7" t="s">
        <v>3525</v>
      </c>
      <c r="Y31" s="7" t="s">
        <v>3526</v>
      </c>
      <c r="Z31" s="7" t="s">
        <v>3527</v>
      </c>
      <c r="AA31" s="7" t="s">
        <v>3528</v>
      </c>
      <c r="AB31" s="7" t="s">
        <v>3529</v>
      </c>
      <c r="AC31" s="7" t="s">
        <v>3530</v>
      </c>
      <c r="AD31" s="7" t="s">
        <v>3531</v>
      </c>
      <c r="AE31" s="7" t="s">
        <v>3532</v>
      </c>
      <c r="AF31" s="7" t="s">
        <v>2890</v>
      </c>
      <c r="AG31" s="7">
        <v>73.0</v>
      </c>
      <c r="AH31" s="7">
        <v>31.0</v>
      </c>
      <c r="AI31" s="7">
        <v>36.0</v>
      </c>
      <c r="AJ31" s="7">
        <v>18.0</v>
      </c>
      <c r="AK31" s="7">
        <v>177.0</v>
      </c>
      <c r="AL31" s="7" t="s">
        <v>3024</v>
      </c>
      <c r="AM31" s="7" t="s">
        <v>3025</v>
      </c>
      <c r="AN31" s="7" t="s">
        <v>3026</v>
      </c>
      <c r="AO31" s="7" t="s">
        <v>3533</v>
      </c>
      <c r="AP31" s="7" t="s">
        <v>3534</v>
      </c>
      <c r="AQ31" s="7" t="s">
        <v>2890</v>
      </c>
      <c r="AR31" s="7" t="s">
        <v>3535</v>
      </c>
      <c r="AS31" s="7" t="s">
        <v>3536</v>
      </c>
      <c r="AT31" s="7" t="s">
        <v>3143</v>
      </c>
      <c r="AU31" s="7">
        <v>2022.0</v>
      </c>
      <c r="AV31" s="7">
        <v>28.0</v>
      </c>
      <c r="AW31" s="7">
        <v>12.0</v>
      </c>
      <c r="AX31" s="7" t="s">
        <v>2890</v>
      </c>
      <c r="AY31" s="7" t="s">
        <v>2890</v>
      </c>
      <c r="AZ31" s="7" t="s">
        <v>3214</v>
      </c>
      <c r="BA31" s="7" t="s">
        <v>2890</v>
      </c>
      <c r="BB31" s="7">
        <v>2944.0</v>
      </c>
      <c r="BC31" s="7">
        <v>2955.0</v>
      </c>
      <c r="BD31" s="7" t="s">
        <v>2890</v>
      </c>
      <c r="BE31" s="7" t="s">
        <v>1260</v>
      </c>
      <c r="BF31" s="24" t="str">
        <f>HYPERLINK("http://dx.doi.org/10.1111/ddi.13466","http://dx.doi.org/10.1111/ddi.13466")</f>
        <v>http://dx.doi.org/10.1111/ddi.13466</v>
      </c>
      <c r="BG31" s="7" t="s">
        <v>2890</v>
      </c>
      <c r="BH31" s="7" t="s">
        <v>3537</v>
      </c>
      <c r="BI31" s="7">
        <v>12.0</v>
      </c>
      <c r="BJ31" s="7" t="s">
        <v>3085</v>
      </c>
      <c r="BK31" s="7" t="s">
        <v>2938</v>
      </c>
      <c r="BL31" s="7" t="s">
        <v>3034</v>
      </c>
      <c r="BM31" s="7" t="s">
        <v>3538</v>
      </c>
      <c r="BN31" s="7" t="s">
        <v>2890</v>
      </c>
      <c r="BO31" s="7" t="s">
        <v>3539</v>
      </c>
      <c r="BP31" s="7" t="s">
        <v>2890</v>
      </c>
      <c r="BQ31" s="7" t="s">
        <v>2890</v>
      </c>
      <c r="BR31" s="7" t="s">
        <v>2916</v>
      </c>
      <c r="BS31" s="7" t="s">
        <v>2777</v>
      </c>
      <c r="BT31" s="7" t="str">
        <f>HYPERLINK("https%3A%2F%2Fwww.webofscience.com%2Fwos%2Fwoscc%2Ffull-record%2FWOS:000736699700001","View Full Record in Web of Science")</f>
        <v>View Full Record in Web of Science</v>
      </c>
    </row>
    <row r="32" ht="12.75" customHeight="1">
      <c r="A32" s="7" t="s">
        <v>2888</v>
      </c>
      <c r="B32" s="7" t="s">
        <v>3540</v>
      </c>
      <c r="C32" s="7" t="s">
        <v>2890</v>
      </c>
      <c r="D32" s="7" t="s">
        <v>2890</v>
      </c>
      <c r="E32" s="7" t="s">
        <v>2890</v>
      </c>
      <c r="F32" s="7" t="s">
        <v>3541</v>
      </c>
      <c r="G32" s="7" t="s">
        <v>2890</v>
      </c>
      <c r="H32" s="7" t="s">
        <v>2890</v>
      </c>
      <c r="I32" s="7" t="s">
        <v>3542</v>
      </c>
      <c r="J32" s="7" t="s">
        <v>3543</v>
      </c>
      <c r="K32" s="7" t="s">
        <v>2890</v>
      </c>
      <c r="L32" s="7" t="s">
        <v>2890</v>
      </c>
      <c r="M32" s="7" t="s">
        <v>2893</v>
      </c>
      <c r="N32" s="7" t="s">
        <v>2894</v>
      </c>
      <c r="O32" s="7" t="s">
        <v>2890</v>
      </c>
      <c r="P32" s="7" t="s">
        <v>2890</v>
      </c>
      <c r="Q32" s="7" t="s">
        <v>2890</v>
      </c>
      <c r="R32" s="7" t="s">
        <v>2890</v>
      </c>
      <c r="S32" s="7" t="s">
        <v>2890</v>
      </c>
      <c r="T32" s="7" t="s">
        <v>2890</v>
      </c>
      <c r="U32" s="7" t="s">
        <v>3544</v>
      </c>
      <c r="V32" s="7" t="s">
        <v>3545</v>
      </c>
      <c r="W32" s="7" t="s">
        <v>3546</v>
      </c>
      <c r="X32" s="7" t="s">
        <v>3547</v>
      </c>
      <c r="Y32" s="7" t="s">
        <v>3548</v>
      </c>
      <c r="Z32" s="7" t="s">
        <v>3549</v>
      </c>
      <c r="AA32" s="7" t="s">
        <v>3550</v>
      </c>
      <c r="AB32" s="7" t="s">
        <v>3551</v>
      </c>
      <c r="AC32" s="7" t="s">
        <v>3552</v>
      </c>
      <c r="AD32" s="7" t="s">
        <v>3553</v>
      </c>
      <c r="AE32" s="7" t="s">
        <v>3554</v>
      </c>
      <c r="AF32" s="7" t="s">
        <v>2890</v>
      </c>
      <c r="AG32" s="7">
        <v>70.0</v>
      </c>
      <c r="AH32" s="7">
        <v>42.0</v>
      </c>
      <c r="AI32" s="7">
        <v>48.0</v>
      </c>
      <c r="AJ32" s="7">
        <v>9.0</v>
      </c>
      <c r="AK32" s="7">
        <v>73.0</v>
      </c>
      <c r="AL32" s="7" t="s">
        <v>3276</v>
      </c>
      <c r="AM32" s="7" t="s">
        <v>3277</v>
      </c>
      <c r="AN32" s="7" t="s">
        <v>3278</v>
      </c>
      <c r="AO32" s="7" t="s">
        <v>3555</v>
      </c>
      <c r="AP32" s="7" t="s">
        <v>2890</v>
      </c>
      <c r="AQ32" s="7" t="s">
        <v>2890</v>
      </c>
      <c r="AR32" s="7" t="s">
        <v>3556</v>
      </c>
      <c r="AS32" s="7" t="s">
        <v>3557</v>
      </c>
      <c r="AT32" s="7" t="s">
        <v>3558</v>
      </c>
      <c r="AU32" s="7">
        <v>2021.0</v>
      </c>
      <c r="AV32" s="7">
        <v>11.0</v>
      </c>
      <c r="AW32" s="7">
        <v>1.0</v>
      </c>
      <c r="AX32" s="7" t="s">
        <v>2890</v>
      </c>
      <c r="AY32" s="7" t="s">
        <v>2890</v>
      </c>
      <c r="AZ32" s="7" t="s">
        <v>2890</v>
      </c>
      <c r="BA32" s="7" t="s">
        <v>2890</v>
      </c>
      <c r="BB32" s="7" t="s">
        <v>2890</v>
      </c>
      <c r="BC32" s="7" t="s">
        <v>2890</v>
      </c>
      <c r="BD32" s="7">
        <v>23760.0</v>
      </c>
      <c r="BE32" s="7" t="s">
        <v>3559</v>
      </c>
      <c r="BF32" s="24" t="str">
        <f>HYPERLINK("http://dx.doi.org/10.1038/s41598-021-03188-w","http://dx.doi.org/10.1038/s41598-021-03188-w")</f>
        <v>http://dx.doi.org/10.1038/s41598-021-03188-w</v>
      </c>
      <c r="BG32" s="7" t="s">
        <v>2890</v>
      </c>
      <c r="BH32" s="7" t="s">
        <v>2890</v>
      </c>
      <c r="BI32" s="7">
        <v>12.0</v>
      </c>
      <c r="BJ32" s="7" t="s">
        <v>3058</v>
      </c>
      <c r="BK32" s="7" t="s">
        <v>2938</v>
      </c>
      <c r="BL32" s="7" t="s">
        <v>3059</v>
      </c>
      <c r="BM32" s="7" t="s">
        <v>3560</v>
      </c>
      <c r="BN32" s="7">
        <v>3.4887488E7</v>
      </c>
      <c r="BO32" s="7" t="s">
        <v>2988</v>
      </c>
      <c r="BP32" s="7" t="s">
        <v>2890</v>
      </c>
      <c r="BQ32" s="7" t="s">
        <v>2890</v>
      </c>
      <c r="BR32" s="7" t="s">
        <v>2916</v>
      </c>
      <c r="BS32" s="7" t="s">
        <v>3561</v>
      </c>
      <c r="BT32" s="7" t="str">
        <f>HYPERLINK("https%3A%2F%2Fwww.webofscience.com%2Fwos%2Fwoscc%2Ffull-record%2FWOS:000728570400052","View Full Record in Web of Science")</f>
        <v>View Full Record in Web of Science</v>
      </c>
    </row>
    <row r="33" ht="12.75" customHeight="1">
      <c r="A33" s="7" t="s">
        <v>2888</v>
      </c>
      <c r="B33" s="7" t="s">
        <v>3562</v>
      </c>
      <c r="C33" s="7" t="s">
        <v>2890</v>
      </c>
      <c r="D33" s="7" t="s">
        <v>2890</v>
      </c>
      <c r="E33" s="7" t="s">
        <v>2890</v>
      </c>
      <c r="F33" s="7" t="s">
        <v>3563</v>
      </c>
      <c r="G33" s="7" t="s">
        <v>2890</v>
      </c>
      <c r="H33" s="7" t="s">
        <v>2890</v>
      </c>
      <c r="I33" s="7" t="s">
        <v>291</v>
      </c>
      <c r="J33" s="7" t="s">
        <v>3564</v>
      </c>
      <c r="K33" s="7" t="s">
        <v>2890</v>
      </c>
      <c r="L33" s="7" t="s">
        <v>2890</v>
      </c>
      <c r="M33" s="7" t="s">
        <v>2893</v>
      </c>
      <c r="N33" s="7" t="s">
        <v>2894</v>
      </c>
      <c r="O33" s="7" t="s">
        <v>2890</v>
      </c>
      <c r="P33" s="7" t="s">
        <v>2890</v>
      </c>
      <c r="Q33" s="7" t="s">
        <v>2890</v>
      </c>
      <c r="R33" s="7" t="s">
        <v>2890</v>
      </c>
      <c r="S33" s="7" t="s">
        <v>2890</v>
      </c>
      <c r="T33" s="7" t="s">
        <v>3565</v>
      </c>
      <c r="U33" s="7" t="s">
        <v>3566</v>
      </c>
      <c r="V33" s="7" t="s">
        <v>2690</v>
      </c>
      <c r="W33" s="7" t="s">
        <v>3567</v>
      </c>
      <c r="X33" s="7" t="s">
        <v>3568</v>
      </c>
      <c r="Y33" s="7" t="s">
        <v>3569</v>
      </c>
      <c r="Z33" s="7" t="s">
        <v>3570</v>
      </c>
      <c r="AA33" s="7" t="s">
        <v>3571</v>
      </c>
      <c r="AB33" s="7" t="s">
        <v>3572</v>
      </c>
      <c r="AC33" s="7" t="s">
        <v>2890</v>
      </c>
      <c r="AD33" s="7" t="s">
        <v>2890</v>
      </c>
      <c r="AE33" s="7" t="s">
        <v>2890</v>
      </c>
      <c r="AF33" s="7" t="s">
        <v>2890</v>
      </c>
      <c r="AG33" s="7">
        <v>49.0</v>
      </c>
      <c r="AH33" s="7">
        <v>14.0</v>
      </c>
      <c r="AI33" s="7">
        <v>17.0</v>
      </c>
      <c r="AJ33" s="7">
        <v>2.0</v>
      </c>
      <c r="AK33" s="7">
        <v>39.0</v>
      </c>
      <c r="AL33" s="7" t="s">
        <v>3232</v>
      </c>
      <c r="AM33" s="7" t="s">
        <v>3233</v>
      </c>
      <c r="AN33" s="7" t="s">
        <v>3234</v>
      </c>
      <c r="AO33" s="7" t="s">
        <v>3573</v>
      </c>
      <c r="AP33" s="7" t="s">
        <v>2890</v>
      </c>
      <c r="AQ33" s="7" t="s">
        <v>2890</v>
      </c>
      <c r="AR33" s="7" t="s">
        <v>3564</v>
      </c>
      <c r="AS33" s="7" t="s">
        <v>3574</v>
      </c>
      <c r="AT33" s="7" t="s">
        <v>3143</v>
      </c>
      <c r="AU33" s="7">
        <v>2021.0</v>
      </c>
      <c r="AV33" s="7">
        <v>10.0</v>
      </c>
      <c r="AW33" s="7">
        <v>12.0</v>
      </c>
      <c r="AX33" s="7" t="s">
        <v>2890</v>
      </c>
      <c r="AY33" s="7" t="s">
        <v>2890</v>
      </c>
      <c r="AZ33" s="7" t="s">
        <v>2890</v>
      </c>
      <c r="BA33" s="7" t="s">
        <v>2890</v>
      </c>
      <c r="BB33" s="7" t="s">
        <v>2890</v>
      </c>
      <c r="BC33" s="7" t="s">
        <v>2890</v>
      </c>
      <c r="BD33" s="7">
        <v>2670.0</v>
      </c>
      <c r="BE33" s="7" t="s">
        <v>2594</v>
      </c>
      <c r="BF33" s="24" t="str">
        <f>HYPERLINK("http://dx.doi.org/10.3390/plants10122670","http://dx.doi.org/10.3390/plants10122670")</f>
        <v>http://dx.doi.org/10.3390/plants10122670</v>
      </c>
      <c r="BG33" s="7" t="s">
        <v>2890</v>
      </c>
      <c r="BH33" s="7" t="s">
        <v>2890</v>
      </c>
      <c r="BI33" s="7">
        <v>15.0</v>
      </c>
      <c r="BJ33" s="7" t="s">
        <v>3575</v>
      </c>
      <c r="BK33" s="7" t="s">
        <v>2938</v>
      </c>
      <c r="BL33" s="7" t="s">
        <v>3575</v>
      </c>
      <c r="BM33" s="7" t="s">
        <v>3576</v>
      </c>
      <c r="BN33" s="7">
        <v>3.496114E7</v>
      </c>
      <c r="BO33" s="7" t="s">
        <v>3577</v>
      </c>
      <c r="BP33" s="7" t="s">
        <v>2890</v>
      </c>
      <c r="BQ33" s="7" t="s">
        <v>2890</v>
      </c>
      <c r="BR33" s="7" t="s">
        <v>2916</v>
      </c>
      <c r="BS33" s="7" t="s">
        <v>2691</v>
      </c>
      <c r="BT33" s="7" t="str">
        <f>HYPERLINK("https%3A%2F%2Fwww.webofscience.com%2Fwos%2Fwoscc%2Ffull-record%2FWOS:000737848000001","View Full Record in Web of Science")</f>
        <v>View Full Record in Web of Science</v>
      </c>
    </row>
    <row r="34" ht="12.75" customHeight="1">
      <c r="A34" s="7" t="s">
        <v>2888</v>
      </c>
      <c r="B34" s="7" t="s">
        <v>3578</v>
      </c>
      <c r="C34" s="7" t="s">
        <v>2890</v>
      </c>
      <c r="D34" s="7" t="s">
        <v>2890</v>
      </c>
      <c r="E34" s="7" t="s">
        <v>2890</v>
      </c>
      <c r="F34" s="7" t="s">
        <v>3579</v>
      </c>
      <c r="G34" s="7" t="s">
        <v>2890</v>
      </c>
      <c r="H34" s="7" t="s">
        <v>2890</v>
      </c>
      <c r="I34" s="7" t="s">
        <v>323</v>
      </c>
      <c r="J34" s="7" t="s">
        <v>3580</v>
      </c>
      <c r="K34" s="7" t="s">
        <v>2890</v>
      </c>
      <c r="L34" s="7" t="s">
        <v>2890</v>
      </c>
      <c r="M34" s="7" t="s">
        <v>2893</v>
      </c>
      <c r="N34" s="7" t="s">
        <v>2894</v>
      </c>
      <c r="O34" s="7" t="s">
        <v>2890</v>
      </c>
      <c r="P34" s="7" t="s">
        <v>2890</v>
      </c>
      <c r="Q34" s="7" t="s">
        <v>2890</v>
      </c>
      <c r="R34" s="7" t="s">
        <v>2890</v>
      </c>
      <c r="S34" s="7" t="s">
        <v>2890</v>
      </c>
      <c r="T34" s="7" t="s">
        <v>3581</v>
      </c>
      <c r="U34" s="7" t="s">
        <v>3582</v>
      </c>
      <c r="V34" s="7" t="s">
        <v>2786</v>
      </c>
      <c r="W34" s="7" t="s">
        <v>3583</v>
      </c>
      <c r="X34" s="7" t="s">
        <v>3584</v>
      </c>
      <c r="Y34" s="7" t="s">
        <v>3585</v>
      </c>
      <c r="Z34" s="7" t="s">
        <v>3586</v>
      </c>
      <c r="AA34" s="7" t="s">
        <v>2890</v>
      </c>
      <c r="AB34" s="7" t="s">
        <v>3587</v>
      </c>
      <c r="AC34" s="7" t="s">
        <v>3588</v>
      </c>
      <c r="AD34" s="7" t="s">
        <v>3588</v>
      </c>
      <c r="AE34" s="7" t="s">
        <v>3589</v>
      </c>
      <c r="AF34" s="7" t="s">
        <v>2890</v>
      </c>
      <c r="AG34" s="7">
        <v>51.0</v>
      </c>
      <c r="AH34" s="7">
        <v>4.0</v>
      </c>
      <c r="AI34" s="7">
        <v>4.0</v>
      </c>
      <c r="AJ34" s="7">
        <v>3.0</v>
      </c>
      <c r="AK34" s="7">
        <v>14.0</v>
      </c>
      <c r="AL34" s="7" t="s">
        <v>3186</v>
      </c>
      <c r="AM34" s="7" t="s">
        <v>3187</v>
      </c>
      <c r="AN34" s="7" t="s">
        <v>3188</v>
      </c>
      <c r="AO34" s="7" t="s">
        <v>3590</v>
      </c>
      <c r="AP34" s="7" t="s">
        <v>3591</v>
      </c>
      <c r="AQ34" s="7" t="s">
        <v>2890</v>
      </c>
      <c r="AR34" s="7" t="s">
        <v>3580</v>
      </c>
      <c r="AS34" s="7" t="s">
        <v>3592</v>
      </c>
      <c r="AT34" s="7" t="s">
        <v>3258</v>
      </c>
      <c r="AU34" s="7">
        <v>2022.0</v>
      </c>
      <c r="AV34" s="7">
        <v>56.0</v>
      </c>
      <c r="AW34" s="7">
        <v>3.0</v>
      </c>
      <c r="AX34" s="7" t="s">
        <v>2890</v>
      </c>
      <c r="AY34" s="7" t="s">
        <v>2890</v>
      </c>
      <c r="AZ34" s="7" t="s">
        <v>2890</v>
      </c>
      <c r="BA34" s="7" t="s">
        <v>2890</v>
      </c>
      <c r="BB34" s="7">
        <v>457.0</v>
      </c>
      <c r="BC34" s="7">
        <v>464.0</v>
      </c>
      <c r="BD34" s="7" t="s">
        <v>3593</v>
      </c>
      <c r="BE34" s="7" t="s">
        <v>2630</v>
      </c>
      <c r="BF34" s="24" t="str">
        <f>HYPERLINK("http://dx.doi.org/10.1017/S0030605320001088","http://dx.doi.org/10.1017/S0030605320001088")</f>
        <v>http://dx.doi.org/10.1017/S0030605320001088</v>
      </c>
      <c r="BG34" s="7" t="s">
        <v>2890</v>
      </c>
      <c r="BH34" s="7" t="s">
        <v>3594</v>
      </c>
      <c r="BI34" s="7">
        <v>8.0</v>
      </c>
      <c r="BJ34" s="7" t="s">
        <v>3085</v>
      </c>
      <c r="BK34" s="7" t="s">
        <v>2938</v>
      </c>
      <c r="BL34" s="7" t="s">
        <v>3034</v>
      </c>
      <c r="BM34" s="7" t="s">
        <v>3595</v>
      </c>
      <c r="BN34" s="7" t="s">
        <v>2890</v>
      </c>
      <c r="BO34" s="7" t="s">
        <v>3539</v>
      </c>
      <c r="BP34" s="7" t="s">
        <v>2890</v>
      </c>
      <c r="BQ34" s="7" t="s">
        <v>2890</v>
      </c>
      <c r="BR34" s="7" t="s">
        <v>2916</v>
      </c>
      <c r="BS34" s="7" t="s">
        <v>2629</v>
      </c>
      <c r="BT34" s="7" t="str">
        <f>HYPERLINK("https%3A%2F%2Fwww.webofscience.com%2Fwos%2Fwoscc%2Ffull-record%2FWOS:000780960100001","View Full Record in Web of Science")</f>
        <v>View Full Record in Web of Science</v>
      </c>
    </row>
    <row r="35" ht="12.75" customHeight="1">
      <c r="A35" s="7" t="s">
        <v>2888</v>
      </c>
      <c r="B35" s="7" t="s">
        <v>3596</v>
      </c>
      <c r="C35" s="7" t="s">
        <v>2890</v>
      </c>
      <c r="D35" s="7" t="s">
        <v>2890</v>
      </c>
      <c r="E35" s="7" t="s">
        <v>2890</v>
      </c>
      <c r="F35" s="7" t="s">
        <v>3597</v>
      </c>
      <c r="G35" s="7" t="s">
        <v>2890</v>
      </c>
      <c r="H35" s="7" t="s">
        <v>2890</v>
      </c>
      <c r="I35" s="7" t="s">
        <v>279</v>
      </c>
      <c r="J35" s="7" t="s">
        <v>3220</v>
      </c>
      <c r="K35" s="7" t="s">
        <v>2890</v>
      </c>
      <c r="L35" s="7" t="s">
        <v>2890</v>
      </c>
      <c r="M35" s="7" t="s">
        <v>2893</v>
      </c>
      <c r="N35" s="7" t="s">
        <v>2894</v>
      </c>
      <c r="O35" s="7" t="s">
        <v>2890</v>
      </c>
      <c r="P35" s="7" t="s">
        <v>2890</v>
      </c>
      <c r="Q35" s="7" t="s">
        <v>2890</v>
      </c>
      <c r="R35" s="7" t="s">
        <v>2890</v>
      </c>
      <c r="S35" s="7" t="s">
        <v>2890</v>
      </c>
      <c r="T35" s="7" t="s">
        <v>3598</v>
      </c>
      <c r="U35" s="7" t="s">
        <v>3599</v>
      </c>
      <c r="V35" s="7" t="s">
        <v>2692</v>
      </c>
      <c r="W35" s="7" t="s">
        <v>3600</v>
      </c>
      <c r="X35" s="7" t="s">
        <v>3601</v>
      </c>
      <c r="Y35" s="7" t="s">
        <v>3602</v>
      </c>
      <c r="Z35" s="7" t="s">
        <v>3603</v>
      </c>
      <c r="AA35" s="7" t="s">
        <v>3604</v>
      </c>
      <c r="AB35" s="7" t="s">
        <v>2890</v>
      </c>
      <c r="AC35" s="7" t="s">
        <v>2890</v>
      </c>
      <c r="AD35" s="7" t="s">
        <v>2890</v>
      </c>
      <c r="AE35" s="7" t="s">
        <v>2890</v>
      </c>
      <c r="AF35" s="7" t="s">
        <v>2890</v>
      </c>
      <c r="AG35" s="7">
        <v>45.0</v>
      </c>
      <c r="AH35" s="7">
        <v>29.0</v>
      </c>
      <c r="AI35" s="7">
        <v>31.0</v>
      </c>
      <c r="AJ35" s="7">
        <v>4.0</v>
      </c>
      <c r="AK35" s="7">
        <v>95.0</v>
      </c>
      <c r="AL35" s="7" t="s">
        <v>3232</v>
      </c>
      <c r="AM35" s="7" t="s">
        <v>3233</v>
      </c>
      <c r="AN35" s="7" t="s">
        <v>3234</v>
      </c>
      <c r="AO35" s="7" t="s">
        <v>2890</v>
      </c>
      <c r="AP35" s="7" t="s">
        <v>3235</v>
      </c>
      <c r="AQ35" s="7" t="s">
        <v>2890</v>
      </c>
      <c r="AR35" s="7" t="s">
        <v>3236</v>
      </c>
      <c r="AS35" s="7" t="s">
        <v>3237</v>
      </c>
      <c r="AT35" s="7" t="s">
        <v>3605</v>
      </c>
      <c r="AU35" s="7">
        <v>2021.0</v>
      </c>
      <c r="AV35" s="7">
        <v>10.0</v>
      </c>
      <c r="AW35" s="7">
        <v>11.0</v>
      </c>
      <c r="AX35" s="7" t="s">
        <v>2890</v>
      </c>
      <c r="AY35" s="7" t="s">
        <v>2890</v>
      </c>
      <c r="AZ35" s="7" t="s">
        <v>2890</v>
      </c>
      <c r="BA35" s="7" t="s">
        <v>2890</v>
      </c>
      <c r="BB35" s="7" t="s">
        <v>2890</v>
      </c>
      <c r="BC35" s="7" t="s">
        <v>2890</v>
      </c>
      <c r="BD35" s="7">
        <v>1124.0</v>
      </c>
      <c r="BE35" s="7" t="s">
        <v>996</v>
      </c>
      <c r="BF35" s="24" t="str">
        <f>HYPERLINK("http://dx.doi.org/10.3390/land10111124","http://dx.doi.org/10.3390/land10111124")</f>
        <v>http://dx.doi.org/10.3390/land10111124</v>
      </c>
      <c r="BG35" s="7" t="s">
        <v>2890</v>
      </c>
      <c r="BH35" s="7" t="s">
        <v>2890</v>
      </c>
      <c r="BI35" s="7">
        <v>20.0</v>
      </c>
      <c r="BJ35" s="7" t="s">
        <v>3122</v>
      </c>
      <c r="BK35" s="7" t="s">
        <v>2914</v>
      </c>
      <c r="BL35" s="7" t="s">
        <v>3008</v>
      </c>
      <c r="BM35" s="7" t="s">
        <v>3606</v>
      </c>
      <c r="BN35" s="7" t="s">
        <v>2890</v>
      </c>
      <c r="BO35" s="7" t="s">
        <v>2988</v>
      </c>
      <c r="BP35" s="7" t="s">
        <v>2890</v>
      </c>
      <c r="BQ35" s="7" t="s">
        <v>2890</v>
      </c>
      <c r="BR35" s="7" t="s">
        <v>2916</v>
      </c>
      <c r="BS35" s="7" t="s">
        <v>2693</v>
      </c>
      <c r="BT35" s="7" t="str">
        <f>HYPERLINK("https%3A%2F%2Fwww.webofscience.com%2Fwos%2Fwoscc%2Ffull-record%2FWOS:000724501100001","View Full Record in Web of Science")</f>
        <v>View Full Record in Web of Science</v>
      </c>
    </row>
    <row r="36" ht="12.75" customHeight="1">
      <c r="A36" s="7" t="s">
        <v>2888</v>
      </c>
      <c r="B36" s="7" t="s">
        <v>3607</v>
      </c>
      <c r="C36" s="7" t="s">
        <v>2890</v>
      </c>
      <c r="D36" s="7" t="s">
        <v>2890</v>
      </c>
      <c r="E36" s="7" t="s">
        <v>2890</v>
      </c>
      <c r="F36" s="7" t="s">
        <v>3608</v>
      </c>
      <c r="G36" s="7" t="s">
        <v>2890</v>
      </c>
      <c r="H36" s="7" t="s">
        <v>2890</v>
      </c>
      <c r="I36" s="7" t="s">
        <v>267</v>
      </c>
      <c r="J36" s="7" t="s">
        <v>3609</v>
      </c>
      <c r="K36" s="7" t="s">
        <v>2890</v>
      </c>
      <c r="L36" s="7" t="s">
        <v>2890</v>
      </c>
      <c r="M36" s="7" t="s">
        <v>2893</v>
      </c>
      <c r="N36" s="7" t="s">
        <v>2894</v>
      </c>
      <c r="O36" s="7" t="s">
        <v>2890</v>
      </c>
      <c r="P36" s="7" t="s">
        <v>2890</v>
      </c>
      <c r="Q36" s="7" t="s">
        <v>2890</v>
      </c>
      <c r="R36" s="7" t="s">
        <v>2890</v>
      </c>
      <c r="S36" s="7" t="s">
        <v>2890</v>
      </c>
      <c r="T36" s="7" t="s">
        <v>2890</v>
      </c>
      <c r="U36" s="7" t="s">
        <v>3610</v>
      </c>
      <c r="V36" s="7" t="s">
        <v>2641</v>
      </c>
      <c r="W36" s="7" t="s">
        <v>3611</v>
      </c>
      <c r="X36" s="7" t="s">
        <v>3612</v>
      </c>
      <c r="Y36" s="7" t="s">
        <v>3613</v>
      </c>
      <c r="Z36" s="7" t="s">
        <v>3614</v>
      </c>
      <c r="AA36" s="7" t="s">
        <v>3615</v>
      </c>
      <c r="AB36" s="7" t="s">
        <v>3616</v>
      </c>
      <c r="AC36" s="7" t="s">
        <v>3617</v>
      </c>
      <c r="AD36" s="7" t="s">
        <v>3618</v>
      </c>
      <c r="AE36" s="7" t="s">
        <v>3619</v>
      </c>
      <c r="AF36" s="7" t="s">
        <v>2890</v>
      </c>
      <c r="AG36" s="7">
        <v>70.0</v>
      </c>
      <c r="AH36" s="7">
        <v>31.0</v>
      </c>
      <c r="AI36" s="7">
        <v>32.0</v>
      </c>
      <c r="AJ36" s="7">
        <v>1.0</v>
      </c>
      <c r="AK36" s="7">
        <v>16.0</v>
      </c>
      <c r="AL36" s="7" t="s">
        <v>3620</v>
      </c>
      <c r="AM36" s="7" t="s">
        <v>3621</v>
      </c>
      <c r="AN36" s="7" t="s">
        <v>3622</v>
      </c>
      <c r="AO36" s="7" t="s">
        <v>3623</v>
      </c>
      <c r="AP36" s="7" t="s">
        <v>2890</v>
      </c>
      <c r="AQ36" s="7" t="s">
        <v>2890</v>
      </c>
      <c r="AR36" s="7" t="s">
        <v>3609</v>
      </c>
      <c r="AS36" s="7" t="s">
        <v>3624</v>
      </c>
      <c r="AT36" s="7" t="s">
        <v>3625</v>
      </c>
      <c r="AU36" s="7">
        <v>2021.0</v>
      </c>
      <c r="AV36" s="7">
        <v>16.0</v>
      </c>
      <c r="AW36" s="7">
        <v>10.0</v>
      </c>
      <c r="AX36" s="7" t="s">
        <v>2890</v>
      </c>
      <c r="AY36" s="7" t="s">
        <v>2890</v>
      </c>
      <c r="AZ36" s="7" t="s">
        <v>2890</v>
      </c>
      <c r="BA36" s="7" t="s">
        <v>2890</v>
      </c>
      <c r="BB36" s="7" t="s">
        <v>2890</v>
      </c>
      <c r="BC36" s="7" t="s">
        <v>2890</v>
      </c>
      <c r="BD36" s="7" t="s">
        <v>3626</v>
      </c>
      <c r="BE36" s="7" t="s">
        <v>2596</v>
      </c>
      <c r="BF36" s="24" t="str">
        <f>HYPERLINK("http://dx.doi.org/10.1371/journal.pone.0258615","http://dx.doi.org/10.1371/journal.pone.0258615")</f>
        <v>http://dx.doi.org/10.1371/journal.pone.0258615</v>
      </c>
      <c r="BG36" s="7" t="s">
        <v>2890</v>
      </c>
      <c r="BH36" s="7" t="s">
        <v>2890</v>
      </c>
      <c r="BI36" s="7">
        <v>22.0</v>
      </c>
      <c r="BJ36" s="7" t="s">
        <v>3058</v>
      </c>
      <c r="BK36" s="7" t="s">
        <v>2938</v>
      </c>
      <c r="BL36" s="7" t="s">
        <v>3059</v>
      </c>
      <c r="BM36" s="7" t="s">
        <v>3627</v>
      </c>
      <c r="BN36" s="7">
        <v>3.4673802E7</v>
      </c>
      <c r="BO36" s="7" t="s">
        <v>3577</v>
      </c>
      <c r="BP36" s="7" t="s">
        <v>2890</v>
      </c>
      <c r="BQ36" s="7" t="s">
        <v>2890</v>
      </c>
      <c r="BR36" s="7" t="s">
        <v>2916</v>
      </c>
      <c r="BS36" s="7" t="s">
        <v>2642</v>
      </c>
      <c r="BT36" s="7" t="str">
        <f>HYPERLINK("https%3A%2F%2Fwww.webofscience.com%2Fwos%2Fwoscc%2Ffull-record%2FWOS:000755680200022","View Full Record in Web of Science")</f>
        <v>View Full Record in Web of Science</v>
      </c>
    </row>
    <row r="37" ht="12.75" customHeight="1">
      <c r="A37" s="7" t="s">
        <v>2888</v>
      </c>
      <c r="B37" s="7" t="s">
        <v>3628</v>
      </c>
      <c r="C37" s="7" t="s">
        <v>2890</v>
      </c>
      <c r="D37" s="7" t="s">
        <v>2890</v>
      </c>
      <c r="E37" s="7" t="s">
        <v>2890</v>
      </c>
      <c r="F37" s="7" t="s">
        <v>3629</v>
      </c>
      <c r="G37" s="7" t="s">
        <v>2890</v>
      </c>
      <c r="H37" s="7" t="s">
        <v>2890</v>
      </c>
      <c r="I37" s="7" t="s">
        <v>2748</v>
      </c>
      <c r="J37" s="7" t="s">
        <v>3630</v>
      </c>
      <c r="K37" s="7" t="s">
        <v>2890</v>
      </c>
      <c r="L37" s="7" t="s">
        <v>2890</v>
      </c>
      <c r="M37" s="7" t="s">
        <v>2893</v>
      </c>
      <c r="N37" s="7" t="s">
        <v>2894</v>
      </c>
      <c r="O37" s="7" t="s">
        <v>2890</v>
      </c>
      <c r="P37" s="7" t="s">
        <v>2890</v>
      </c>
      <c r="Q37" s="7" t="s">
        <v>2890</v>
      </c>
      <c r="R37" s="7" t="s">
        <v>2890</v>
      </c>
      <c r="S37" s="7" t="s">
        <v>2890</v>
      </c>
      <c r="T37" s="7" t="s">
        <v>2890</v>
      </c>
      <c r="U37" s="7" t="s">
        <v>3631</v>
      </c>
      <c r="V37" s="7" t="s">
        <v>2749</v>
      </c>
      <c r="W37" s="7" t="s">
        <v>3632</v>
      </c>
      <c r="X37" s="7" t="s">
        <v>3633</v>
      </c>
      <c r="Y37" s="7" t="s">
        <v>3634</v>
      </c>
      <c r="Z37" s="7" t="s">
        <v>3635</v>
      </c>
      <c r="AA37" s="7" t="s">
        <v>3636</v>
      </c>
      <c r="AB37" s="7" t="s">
        <v>3637</v>
      </c>
      <c r="AC37" s="7" t="s">
        <v>3638</v>
      </c>
      <c r="AD37" s="7" t="s">
        <v>3639</v>
      </c>
      <c r="AE37" s="7" t="s">
        <v>3640</v>
      </c>
      <c r="AF37" s="7" t="s">
        <v>2890</v>
      </c>
      <c r="AG37" s="7">
        <v>60.0</v>
      </c>
      <c r="AH37" s="7">
        <v>94.0</v>
      </c>
      <c r="AI37" s="7">
        <v>113.0</v>
      </c>
      <c r="AJ37" s="7">
        <v>16.0</v>
      </c>
      <c r="AK37" s="7">
        <v>274.0</v>
      </c>
      <c r="AL37" s="7" t="s">
        <v>3641</v>
      </c>
      <c r="AM37" s="7" t="s">
        <v>3642</v>
      </c>
      <c r="AN37" s="7" t="s">
        <v>3643</v>
      </c>
      <c r="AO37" s="7" t="s">
        <v>2890</v>
      </c>
      <c r="AP37" s="7" t="s">
        <v>3644</v>
      </c>
      <c r="AQ37" s="7" t="s">
        <v>2890</v>
      </c>
      <c r="AR37" s="7" t="s">
        <v>3645</v>
      </c>
      <c r="AS37" s="7" t="s">
        <v>3646</v>
      </c>
      <c r="AT37" s="7" t="s">
        <v>3167</v>
      </c>
      <c r="AU37" s="7">
        <v>2021.0</v>
      </c>
      <c r="AV37" s="7">
        <v>7.0</v>
      </c>
      <c r="AW37" s="7">
        <v>42.0</v>
      </c>
      <c r="AX37" s="7" t="s">
        <v>2890</v>
      </c>
      <c r="AY37" s="7" t="s">
        <v>2890</v>
      </c>
      <c r="AZ37" s="7" t="s">
        <v>2890</v>
      </c>
      <c r="BA37" s="7" t="s">
        <v>2890</v>
      </c>
      <c r="BB37" s="7" t="s">
        <v>2890</v>
      </c>
      <c r="BC37" s="7" t="s">
        <v>2890</v>
      </c>
      <c r="BD37" s="7" t="s">
        <v>3647</v>
      </c>
      <c r="BE37" s="7" t="s">
        <v>2593</v>
      </c>
      <c r="BF37" s="24" t="str">
        <f>HYPERLINK("http://dx.doi.org/10.1126/sciadv.abi8943","http://dx.doi.org/10.1126/sciadv.abi8943")</f>
        <v>http://dx.doi.org/10.1126/sciadv.abi8943</v>
      </c>
      <c r="BG37" s="7" t="s">
        <v>2890</v>
      </c>
      <c r="BH37" s="7" t="s">
        <v>2890</v>
      </c>
      <c r="BI37" s="7">
        <v>10.0</v>
      </c>
      <c r="BJ37" s="7" t="s">
        <v>3058</v>
      </c>
      <c r="BK37" s="7" t="s">
        <v>2938</v>
      </c>
      <c r="BL37" s="7" t="s">
        <v>3059</v>
      </c>
      <c r="BM37" s="7" t="s">
        <v>3648</v>
      </c>
      <c r="BN37" s="7">
        <v>3.4644105E7</v>
      </c>
      <c r="BO37" s="7" t="s">
        <v>3649</v>
      </c>
      <c r="BP37" s="7" t="s">
        <v>2890</v>
      </c>
      <c r="BQ37" s="7" t="s">
        <v>2890</v>
      </c>
      <c r="BR37" s="7" t="s">
        <v>2916</v>
      </c>
      <c r="BS37" s="7" t="s">
        <v>2750</v>
      </c>
      <c r="BT37" s="7" t="str">
        <f>HYPERLINK("https%3A%2F%2Fwww.webofscience.com%2Fwos%2Fwoscc%2Ffull-record%2FWOS:000707571700025","View Full Record in Web of Science")</f>
        <v>View Full Record in Web of Science</v>
      </c>
    </row>
    <row r="38" ht="12.75" customHeight="1">
      <c r="A38" s="7" t="s">
        <v>2888</v>
      </c>
      <c r="B38" s="7" t="s">
        <v>3650</v>
      </c>
      <c r="C38" s="7" t="s">
        <v>2890</v>
      </c>
      <c r="D38" s="7" t="s">
        <v>2890</v>
      </c>
      <c r="E38" s="7" t="s">
        <v>2890</v>
      </c>
      <c r="F38" s="7" t="s">
        <v>3651</v>
      </c>
      <c r="G38" s="7" t="s">
        <v>2890</v>
      </c>
      <c r="H38" s="7" t="s">
        <v>2890</v>
      </c>
      <c r="I38" s="7" t="s">
        <v>108</v>
      </c>
      <c r="J38" s="7" t="s">
        <v>3652</v>
      </c>
      <c r="K38" s="7" t="s">
        <v>2890</v>
      </c>
      <c r="L38" s="7" t="s">
        <v>2890</v>
      </c>
      <c r="M38" s="7" t="s">
        <v>2893</v>
      </c>
      <c r="N38" s="7" t="s">
        <v>2894</v>
      </c>
      <c r="O38" s="7" t="s">
        <v>2890</v>
      </c>
      <c r="P38" s="7" t="s">
        <v>2890</v>
      </c>
      <c r="Q38" s="7" t="s">
        <v>2890</v>
      </c>
      <c r="R38" s="7" t="s">
        <v>2890</v>
      </c>
      <c r="S38" s="7" t="s">
        <v>2890</v>
      </c>
      <c r="T38" s="7" t="s">
        <v>3653</v>
      </c>
      <c r="U38" s="7" t="s">
        <v>3654</v>
      </c>
      <c r="V38" s="7" t="s">
        <v>2810</v>
      </c>
      <c r="W38" s="7" t="s">
        <v>3655</v>
      </c>
      <c r="X38" s="7" t="s">
        <v>3656</v>
      </c>
      <c r="Y38" s="7" t="s">
        <v>3657</v>
      </c>
      <c r="Z38" s="7" t="s">
        <v>3658</v>
      </c>
      <c r="AA38" s="7" t="s">
        <v>3659</v>
      </c>
      <c r="AB38" s="7" t="s">
        <v>3660</v>
      </c>
      <c r="AC38" s="7" t="s">
        <v>3661</v>
      </c>
      <c r="AD38" s="7" t="s">
        <v>3662</v>
      </c>
      <c r="AE38" s="7" t="s">
        <v>3663</v>
      </c>
      <c r="AF38" s="7" t="s">
        <v>2890</v>
      </c>
      <c r="AG38" s="7">
        <v>69.0</v>
      </c>
      <c r="AH38" s="7">
        <v>32.0</v>
      </c>
      <c r="AI38" s="7">
        <v>37.0</v>
      </c>
      <c r="AJ38" s="7">
        <v>4.0</v>
      </c>
      <c r="AK38" s="7">
        <v>64.0</v>
      </c>
      <c r="AL38" s="7" t="s">
        <v>2905</v>
      </c>
      <c r="AM38" s="7" t="s">
        <v>3114</v>
      </c>
      <c r="AN38" s="7" t="s">
        <v>3115</v>
      </c>
      <c r="AO38" s="7" t="s">
        <v>3664</v>
      </c>
      <c r="AP38" s="7" t="s">
        <v>3665</v>
      </c>
      <c r="AQ38" s="7" t="s">
        <v>2890</v>
      </c>
      <c r="AR38" s="7" t="s">
        <v>3666</v>
      </c>
      <c r="AS38" s="7" t="s">
        <v>3667</v>
      </c>
      <c r="AT38" s="7" t="s">
        <v>2912</v>
      </c>
      <c r="AU38" s="7">
        <v>2021.0</v>
      </c>
      <c r="AV38" s="7">
        <v>261.0</v>
      </c>
      <c r="AW38" s="7" t="s">
        <v>2890</v>
      </c>
      <c r="AX38" s="7" t="s">
        <v>2890</v>
      </c>
      <c r="AY38" s="7" t="s">
        <v>2890</v>
      </c>
      <c r="AZ38" s="7" t="s">
        <v>2890</v>
      </c>
      <c r="BA38" s="7" t="s">
        <v>2890</v>
      </c>
      <c r="BB38" s="7" t="s">
        <v>2890</v>
      </c>
      <c r="BC38" s="7" t="s">
        <v>2890</v>
      </c>
      <c r="BD38" s="7">
        <v>109230.0</v>
      </c>
      <c r="BE38" s="7" t="s">
        <v>2592</v>
      </c>
      <c r="BF38" s="24" t="str">
        <f>HYPERLINK("http://dx.doi.org/10.1016/j.biocon.2021.109230","http://dx.doi.org/10.1016/j.biocon.2021.109230")</f>
        <v>http://dx.doi.org/10.1016/j.biocon.2021.109230</v>
      </c>
      <c r="BG38" s="7" t="s">
        <v>2890</v>
      </c>
      <c r="BH38" s="7" t="s">
        <v>3668</v>
      </c>
      <c r="BI38" s="7">
        <v>10.0</v>
      </c>
      <c r="BJ38" s="7" t="s">
        <v>3033</v>
      </c>
      <c r="BK38" s="7" t="s">
        <v>2938</v>
      </c>
      <c r="BL38" s="7" t="s">
        <v>3034</v>
      </c>
      <c r="BM38" s="7" t="s">
        <v>3669</v>
      </c>
      <c r="BN38" s="7" t="s">
        <v>2890</v>
      </c>
      <c r="BO38" s="7" t="s">
        <v>2890</v>
      </c>
      <c r="BP38" s="7" t="s">
        <v>2890</v>
      </c>
      <c r="BQ38" s="7" t="s">
        <v>2890</v>
      </c>
      <c r="BR38" s="7" t="s">
        <v>2916</v>
      </c>
      <c r="BS38" s="7" t="s">
        <v>2811</v>
      </c>
      <c r="BT38" s="7" t="str">
        <f>HYPERLINK("https%3A%2F%2Fwww.webofscience.com%2Fwos%2Fwoscc%2Ffull-record%2FWOS:000691802300015","View Full Record in Web of Science")</f>
        <v>View Full Record in Web of Science</v>
      </c>
    </row>
    <row r="39" ht="12.75" customHeight="1">
      <c r="A39" s="7" t="s">
        <v>2888</v>
      </c>
      <c r="B39" s="7" t="s">
        <v>3670</v>
      </c>
      <c r="C39" s="7" t="s">
        <v>2890</v>
      </c>
      <c r="D39" s="7" t="s">
        <v>2890</v>
      </c>
      <c r="E39" s="7" t="s">
        <v>2890</v>
      </c>
      <c r="F39" s="7" t="s">
        <v>3671</v>
      </c>
      <c r="G39" s="7" t="s">
        <v>2890</v>
      </c>
      <c r="H39" s="7" t="s">
        <v>2890</v>
      </c>
      <c r="I39" s="7" t="s">
        <v>2694</v>
      </c>
      <c r="J39" s="7" t="s">
        <v>3672</v>
      </c>
      <c r="K39" s="7" t="s">
        <v>2890</v>
      </c>
      <c r="L39" s="7" t="s">
        <v>2890</v>
      </c>
      <c r="M39" s="7" t="s">
        <v>2893</v>
      </c>
      <c r="N39" s="7" t="s">
        <v>2894</v>
      </c>
      <c r="O39" s="7" t="s">
        <v>2890</v>
      </c>
      <c r="P39" s="7" t="s">
        <v>2890</v>
      </c>
      <c r="Q39" s="7" t="s">
        <v>2890</v>
      </c>
      <c r="R39" s="7" t="s">
        <v>2890</v>
      </c>
      <c r="S39" s="7" t="s">
        <v>2890</v>
      </c>
      <c r="T39" s="7" t="s">
        <v>3673</v>
      </c>
      <c r="U39" s="7" t="s">
        <v>3674</v>
      </c>
      <c r="V39" s="7" t="s">
        <v>2695</v>
      </c>
      <c r="W39" s="7" t="s">
        <v>3675</v>
      </c>
      <c r="X39" s="7" t="s">
        <v>3676</v>
      </c>
      <c r="Y39" s="7" t="s">
        <v>3677</v>
      </c>
      <c r="Z39" s="7" t="s">
        <v>3678</v>
      </c>
      <c r="AA39" s="7" t="s">
        <v>2890</v>
      </c>
      <c r="AB39" s="7" t="s">
        <v>2890</v>
      </c>
      <c r="AC39" s="7" t="s">
        <v>3679</v>
      </c>
      <c r="AD39" s="7" t="s">
        <v>3680</v>
      </c>
      <c r="AE39" s="7" t="s">
        <v>3681</v>
      </c>
      <c r="AF39" s="7" t="s">
        <v>2890</v>
      </c>
      <c r="AG39" s="7">
        <v>59.0</v>
      </c>
      <c r="AH39" s="7">
        <v>29.0</v>
      </c>
      <c r="AI39" s="7">
        <v>33.0</v>
      </c>
      <c r="AJ39" s="7">
        <v>3.0</v>
      </c>
      <c r="AK39" s="7">
        <v>45.0</v>
      </c>
      <c r="AL39" s="7" t="s">
        <v>3682</v>
      </c>
      <c r="AM39" s="7" t="s">
        <v>3683</v>
      </c>
      <c r="AN39" s="7" t="s">
        <v>3684</v>
      </c>
      <c r="AO39" s="7" t="s">
        <v>3685</v>
      </c>
      <c r="AP39" s="7" t="s">
        <v>2890</v>
      </c>
      <c r="AQ39" s="7" t="s">
        <v>2890</v>
      </c>
      <c r="AR39" s="7" t="s">
        <v>3686</v>
      </c>
      <c r="AS39" s="7" t="s">
        <v>3687</v>
      </c>
      <c r="AT39" s="7" t="s">
        <v>3238</v>
      </c>
      <c r="AU39" s="7">
        <v>2021.0</v>
      </c>
      <c r="AV39" s="7">
        <v>16.0</v>
      </c>
      <c r="AW39" s="7">
        <v>7.0</v>
      </c>
      <c r="AX39" s="7" t="s">
        <v>2890</v>
      </c>
      <c r="AY39" s="7" t="s">
        <v>2890</v>
      </c>
      <c r="AZ39" s="7" t="s">
        <v>2890</v>
      </c>
      <c r="BA39" s="7" t="s">
        <v>2890</v>
      </c>
      <c r="BB39" s="7" t="s">
        <v>2890</v>
      </c>
      <c r="BC39" s="7" t="s">
        <v>2890</v>
      </c>
      <c r="BD39" s="7">
        <v>74017.0</v>
      </c>
      <c r="BE39" s="7" t="s">
        <v>2591</v>
      </c>
      <c r="BF39" s="24" t="str">
        <f>HYPERLINK("http://dx.doi.org/10.1088/1748-9326/ac05ed","http://dx.doi.org/10.1088/1748-9326/ac05ed")</f>
        <v>http://dx.doi.org/10.1088/1748-9326/ac05ed</v>
      </c>
      <c r="BG39" s="7" t="s">
        <v>2890</v>
      </c>
      <c r="BH39" s="7" t="s">
        <v>2890</v>
      </c>
      <c r="BI39" s="7">
        <v>12.0</v>
      </c>
      <c r="BJ39" s="7" t="s">
        <v>3688</v>
      </c>
      <c r="BK39" s="7" t="s">
        <v>3283</v>
      </c>
      <c r="BL39" s="7" t="s">
        <v>3689</v>
      </c>
      <c r="BM39" s="7" t="s">
        <v>3690</v>
      </c>
      <c r="BN39" s="7" t="s">
        <v>2890</v>
      </c>
      <c r="BO39" s="7" t="s">
        <v>2988</v>
      </c>
      <c r="BP39" s="7" t="s">
        <v>2890</v>
      </c>
      <c r="BQ39" s="7" t="s">
        <v>2890</v>
      </c>
      <c r="BR39" s="7" t="s">
        <v>2916</v>
      </c>
      <c r="BS39" s="7" t="s">
        <v>2696</v>
      </c>
      <c r="BT39" s="7" t="str">
        <f>HYPERLINK("https%3A%2F%2Fwww.webofscience.com%2Fwos%2Fwoscc%2Ffull-record%2FWOS:000667941300001","View Full Record in Web of Science")</f>
        <v>View Full Record in Web of Science</v>
      </c>
    </row>
    <row r="40" ht="12.75" customHeight="1">
      <c r="A40" s="7" t="s">
        <v>2888</v>
      </c>
      <c r="B40" s="7" t="s">
        <v>3691</v>
      </c>
      <c r="C40" s="7" t="s">
        <v>2890</v>
      </c>
      <c r="D40" s="7" t="s">
        <v>2890</v>
      </c>
      <c r="E40" s="7" t="s">
        <v>2890</v>
      </c>
      <c r="F40" s="7" t="s">
        <v>3692</v>
      </c>
      <c r="G40" s="7" t="s">
        <v>2890</v>
      </c>
      <c r="H40" s="7" t="s">
        <v>2890</v>
      </c>
      <c r="I40" s="7" t="s">
        <v>329</v>
      </c>
      <c r="J40" s="7" t="s">
        <v>3693</v>
      </c>
      <c r="K40" s="7" t="s">
        <v>2890</v>
      </c>
      <c r="L40" s="7" t="s">
        <v>2890</v>
      </c>
      <c r="M40" s="7" t="s">
        <v>2893</v>
      </c>
      <c r="N40" s="7" t="s">
        <v>2894</v>
      </c>
      <c r="O40" s="7" t="s">
        <v>2890</v>
      </c>
      <c r="P40" s="7" t="s">
        <v>2890</v>
      </c>
      <c r="Q40" s="7" t="s">
        <v>2890</v>
      </c>
      <c r="R40" s="7" t="s">
        <v>2890</v>
      </c>
      <c r="S40" s="7" t="s">
        <v>2890</v>
      </c>
      <c r="T40" s="7" t="s">
        <v>3694</v>
      </c>
      <c r="U40" s="7" t="s">
        <v>3695</v>
      </c>
      <c r="V40" s="7" t="s">
        <v>3696</v>
      </c>
      <c r="W40" s="7" t="s">
        <v>3697</v>
      </c>
      <c r="X40" s="7" t="s">
        <v>3698</v>
      </c>
      <c r="Y40" s="7" t="s">
        <v>3699</v>
      </c>
      <c r="Z40" s="7" t="s">
        <v>3700</v>
      </c>
      <c r="AA40" s="7" t="s">
        <v>3701</v>
      </c>
      <c r="AB40" s="7" t="s">
        <v>3702</v>
      </c>
      <c r="AC40" s="7" t="s">
        <v>3703</v>
      </c>
      <c r="AD40" s="7" t="s">
        <v>3703</v>
      </c>
      <c r="AE40" s="7" t="s">
        <v>3703</v>
      </c>
      <c r="AF40" s="7" t="s">
        <v>2890</v>
      </c>
      <c r="AG40" s="7">
        <v>39.0</v>
      </c>
      <c r="AH40" s="7">
        <v>28.0</v>
      </c>
      <c r="AI40" s="7">
        <v>31.0</v>
      </c>
      <c r="AJ40" s="7">
        <v>0.0</v>
      </c>
      <c r="AK40" s="7">
        <v>22.0</v>
      </c>
      <c r="AL40" s="7" t="s">
        <v>3024</v>
      </c>
      <c r="AM40" s="7" t="s">
        <v>3025</v>
      </c>
      <c r="AN40" s="7" t="s">
        <v>3026</v>
      </c>
      <c r="AO40" s="7" t="s">
        <v>3704</v>
      </c>
      <c r="AP40" s="7" t="s">
        <v>2890</v>
      </c>
      <c r="AQ40" s="7" t="s">
        <v>2890</v>
      </c>
      <c r="AR40" s="7" t="s">
        <v>3705</v>
      </c>
      <c r="AS40" s="7" t="s">
        <v>3706</v>
      </c>
      <c r="AT40" s="7" t="s">
        <v>3238</v>
      </c>
      <c r="AU40" s="7">
        <v>2021.0</v>
      </c>
      <c r="AV40" s="7">
        <v>11.0</v>
      </c>
      <c r="AW40" s="7">
        <v>14.0</v>
      </c>
      <c r="AX40" s="7" t="s">
        <v>2890</v>
      </c>
      <c r="AY40" s="7" t="s">
        <v>2890</v>
      </c>
      <c r="AZ40" s="7" t="s">
        <v>2890</v>
      </c>
      <c r="BA40" s="7" t="s">
        <v>2890</v>
      </c>
      <c r="BB40" s="7">
        <v>9198.0</v>
      </c>
      <c r="BC40" s="7">
        <v>9205.0</v>
      </c>
      <c r="BD40" s="7" t="s">
        <v>2890</v>
      </c>
      <c r="BE40" s="7" t="s">
        <v>3707</v>
      </c>
      <c r="BF40" s="24" t="str">
        <f>HYPERLINK("http://dx.doi.org/10.1002/ece3.7778","http://dx.doi.org/10.1002/ece3.7778")</f>
        <v>http://dx.doi.org/10.1002/ece3.7778</v>
      </c>
      <c r="BG40" s="7" t="s">
        <v>2890</v>
      </c>
      <c r="BH40" s="7" t="s">
        <v>3708</v>
      </c>
      <c r="BI40" s="7">
        <v>8.0</v>
      </c>
      <c r="BJ40" s="7" t="s">
        <v>3709</v>
      </c>
      <c r="BK40" s="7" t="s">
        <v>2938</v>
      </c>
      <c r="BL40" s="7" t="s">
        <v>3710</v>
      </c>
      <c r="BM40" s="7" t="s">
        <v>3711</v>
      </c>
      <c r="BN40" s="7">
        <v>3.4306616E7</v>
      </c>
      <c r="BO40" s="7" t="s">
        <v>2988</v>
      </c>
      <c r="BP40" s="7" t="s">
        <v>2890</v>
      </c>
      <c r="BQ40" s="7" t="s">
        <v>2890</v>
      </c>
      <c r="BR40" s="7" t="s">
        <v>2916</v>
      </c>
      <c r="BS40" s="7" t="s">
        <v>3712</v>
      </c>
      <c r="BT40" s="7" t="str">
        <f>HYPERLINK("https%3A%2F%2Fwww.webofscience.com%2Fwos%2Fwoscc%2Ffull-record%2FWOS:000664025800001","View Full Record in Web of Science")</f>
        <v>View Full Record in Web of Science</v>
      </c>
    </row>
    <row r="41" ht="12.75" customHeight="1">
      <c r="A41" s="7" t="s">
        <v>2888</v>
      </c>
      <c r="B41" s="7" t="s">
        <v>3713</v>
      </c>
      <c r="C41" s="7" t="s">
        <v>2890</v>
      </c>
      <c r="D41" s="7" t="s">
        <v>2890</v>
      </c>
      <c r="E41" s="7" t="s">
        <v>2890</v>
      </c>
      <c r="F41" s="7" t="s">
        <v>3714</v>
      </c>
      <c r="G41" s="7" t="s">
        <v>2890</v>
      </c>
      <c r="H41" s="7" t="s">
        <v>2890</v>
      </c>
      <c r="I41" s="7" t="s">
        <v>2778</v>
      </c>
      <c r="J41" s="7" t="s">
        <v>3064</v>
      </c>
      <c r="K41" s="7" t="s">
        <v>2890</v>
      </c>
      <c r="L41" s="7" t="s">
        <v>2890</v>
      </c>
      <c r="M41" s="7" t="s">
        <v>2893</v>
      </c>
      <c r="N41" s="7" t="s">
        <v>2894</v>
      </c>
      <c r="O41" s="7" t="s">
        <v>2890</v>
      </c>
      <c r="P41" s="7" t="s">
        <v>2890</v>
      </c>
      <c r="Q41" s="7" t="s">
        <v>2890</v>
      </c>
      <c r="R41" s="7" t="s">
        <v>2890</v>
      </c>
      <c r="S41" s="7" t="s">
        <v>2890</v>
      </c>
      <c r="T41" s="7" t="s">
        <v>3715</v>
      </c>
      <c r="U41" s="7" t="s">
        <v>3716</v>
      </c>
      <c r="V41" s="7" t="s">
        <v>2779</v>
      </c>
      <c r="W41" s="7" t="s">
        <v>3717</v>
      </c>
      <c r="X41" s="7" t="s">
        <v>3718</v>
      </c>
      <c r="Y41" s="7" t="s">
        <v>3719</v>
      </c>
      <c r="Z41" s="7" t="s">
        <v>3720</v>
      </c>
      <c r="AA41" s="7" t="s">
        <v>3721</v>
      </c>
      <c r="AB41" s="7" t="s">
        <v>3722</v>
      </c>
      <c r="AC41" s="7" t="s">
        <v>3723</v>
      </c>
      <c r="AD41" s="7" t="s">
        <v>3724</v>
      </c>
      <c r="AE41" s="7" t="s">
        <v>3725</v>
      </c>
      <c r="AF41" s="7" t="s">
        <v>2890</v>
      </c>
      <c r="AG41" s="7">
        <v>67.0</v>
      </c>
      <c r="AH41" s="7">
        <v>29.0</v>
      </c>
      <c r="AI41" s="7">
        <v>32.0</v>
      </c>
      <c r="AJ41" s="7">
        <v>0.0</v>
      </c>
      <c r="AK41" s="7">
        <v>29.0</v>
      </c>
      <c r="AL41" s="7" t="s">
        <v>3076</v>
      </c>
      <c r="AM41" s="7" t="s">
        <v>3077</v>
      </c>
      <c r="AN41" s="7" t="s">
        <v>3078</v>
      </c>
      <c r="AO41" s="7" t="s">
        <v>3079</v>
      </c>
      <c r="AP41" s="7" t="s">
        <v>3080</v>
      </c>
      <c r="AQ41" s="7" t="s">
        <v>2890</v>
      </c>
      <c r="AR41" s="7" t="s">
        <v>3081</v>
      </c>
      <c r="AS41" s="7" t="s">
        <v>3082</v>
      </c>
      <c r="AT41" s="7" t="s">
        <v>3341</v>
      </c>
      <c r="AU41" s="7">
        <v>2021.0</v>
      </c>
      <c r="AV41" s="7">
        <v>61.0</v>
      </c>
      <c r="AW41" s="7" t="s">
        <v>2890</v>
      </c>
      <c r="AX41" s="7" t="s">
        <v>2890</v>
      </c>
      <c r="AY41" s="7" t="s">
        <v>2890</v>
      </c>
      <c r="AZ41" s="7" t="s">
        <v>2890</v>
      </c>
      <c r="BA41" s="7" t="s">
        <v>2890</v>
      </c>
      <c r="BB41" s="7" t="s">
        <v>2890</v>
      </c>
      <c r="BC41" s="7" t="s">
        <v>2890</v>
      </c>
      <c r="BD41" s="7">
        <v>126006.0</v>
      </c>
      <c r="BE41" s="7" t="s">
        <v>2780</v>
      </c>
      <c r="BF41" s="24" t="str">
        <f>HYPERLINK("http://dx.doi.org/10.1016/j.jnc.2021.126006","http://dx.doi.org/10.1016/j.jnc.2021.126006")</f>
        <v>http://dx.doi.org/10.1016/j.jnc.2021.126006</v>
      </c>
      <c r="BG41" s="7" t="s">
        <v>2890</v>
      </c>
      <c r="BH41" s="7" t="s">
        <v>3726</v>
      </c>
      <c r="BI41" s="7">
        <v>10.0</v>
      </c>
      <c r="BJ41" s="7" t="s">
        <v>3085</v>
      </c>
      <c r="BK41" s="7" t="s">
        <v>2938</v>
      </c>
      <c r="BL41" s="7" t="s">
        <v>3034</v>
      </c>
      <c r="BM41" s="7" t="s">
        <v>3727</v>
      </c>
      <c r="BN41" s="7" t="s">
        <v>2890</v>
      </c>
      <c r="BO41" s="7" t="s">
        <v>3087</v>
      </c>
      <c r="BP41" s="7" t="s">
        <v>2890</v>
      </c>
      <c r="BQ41" s="7" t="s">
        <v>2890</v>
      </c>
      <c r="BR41" s="7" t="s">
        <v>2916</v>
      </c>
      <c r="BS41" s="7" t="s">
        <v>2619</v>
      </c>
      <c r="BT41" s="7" t="str">
        <f>HYPERLINK("https%3A%2F%2Fwww.webofscience.com%2Fwos%2Fwoscc%2Ffull-record%2FWOS:000649653800008","View Full Record in Web of Science")</f>
        <v>View Full Record in Web of Science</v>
      </c>
    </row>
    <row r="42" ht="12.75" customHeight="1">
      <c r="A42" s="7" t="s">
        <v>2888</v>
      </c>
      <c r="B42" s="7" t="s">
        <v>3728</v>
      </c>
      <c r="C42" s="7" t="s">
        <v>2890</v>
      </c>
      <c r="D42" s="7" t="s">
        <v>2890</v>
      </c>
      <c r="E42" s="7" t="s">
        <v>2890</v>
      </c>
      <c r="F42" s="7" t="s">
        <v>3729</v>
      </c>
      <c r="G42" s="7" t="s">
        <v>2890</v>
      </c>
      <c r="H42" s="7" t="s">
        <v>2890</v>
      </c>
      <c r="I42" s="7" t="s">
        <v>219</v>
      </c>
      <c r="J42" s="7" t="s">
        <v>3305</v>
      </c>
      <c r="K42" s="7" t="s">
        <v>2890</v>
      </c>
      <c r="L42" s="7" t="s">
        <v>2890</v>
      </c>
      <c r="M42" s="7" t="s">
        <v>2893</v>
      </c>
      <c r="N42" s="7" t="s">
        <v>2894</v>
      </c>
      <c r="O42" s="7" t="s">
        <v>2890</v>
      </c>
      <c r="P42" s="7" t="s">
        <v>2890</v>
      </c>
      <c r="Q42" s="7" t="s">
        <v>2890</v>
      </c>
      <c r="R42" s="7" t="s">
        <v>2890</v>
      </c>
      <c r="S42" s="7" t="s">
        <v>2890</v>
      </c>
      <c r="T42" s="7" t="s">
        <v>3730</v>
      </c>
      <c r="U42" s="7" t="s">
        <v>3731</v>
      </c>
      <c r="V42" s="7" t="s">
        <v>2803</v>
      </c>
      <c r="W42" s="7" t="s">
        <v>3732</v>
      </c>
      <c r="X42" s="7" t="s">
        <v>3733</v>
      </c>
      <c r="Y42" s="7" t="s">
        <v>3734</v>
      </c>
      <c r="Z42" s="7" t="s">
        <v>3735</v>
      </c>
      <c r="AA42" s="7" t="s">
        <v>3736</v>
      </c>
      <c r="AB42" s="7" t="s">
        <v>3737</v>
      </c>
      <c r="AC42" s="7" t="s">
        <v>3738</v>
      </c>
      <c r="AD42" s="7" t="s">
        <v>3739</v>
      </c>
      <c r="AE42" s="7" t="s">
        <v>3740</v>
      </c>
      <c r="AF42" s="7" t="s">
        <v>2890</v>
      </c>
      <c r="AG42" s="7">
        <v>28.0</v>
      </c>
      <c r="AH42" s="7">
        <v>38.0</v>
      </c>
      <c r="AI42" s="7">
        <v>41.0</v>
      </c>
      <c r="AJ42" s="7">
        <v>3.0</v>
      </c>
      <c r="AK42" s="7">
        <v>30.0</v>
      </c>
      <c r="AL42" s="7" t="s">
        <v>3024</v>
      </c>
      <c r="AM42" s="7" t="s">
        <v>3025</v>
      </c>
      <c r="AN42" s="7" t="s">
        <v>3026</v>
      </c>
      <c r="AO42" s="7" t="s">
        <v>3317</v>
      </c>
      <c r="AP42" s="7" t="s">
        <v>3318</v>
      </c>
      <c r="AQ42" s="7" t="s">
        <v>2890</v>
      </c>
      <c r="AR42" s="7" t="s">
        <v>3319</v>
      </c>
      <c r="AS42" s="7" t="s">
        <v>3320</v>
      </c>
      <c r="AT42" s="7" t="s">
        <v>2935</v>
      </c>
      <c r="AU42" s="7">
        <v>2021.0</v>
      </c>
      <c r="AV42" s="7">
        <v>35.0</v>
      </c>
      <c r="AW42" s="7">
        <v>4.0</v>
      </c>
      <c r="AX42" s="7" t="s">
        <v>2890</v>
      </c>
      <c r="AY42" s="7" t="s">
        <v>2890</v>
      </c>
      <c r="AZ42" s="7" t="s">
        <v>2890</v>
      </c>
      <c r="BA42" s="7" t="s">
        <v>2890</v>
      </c>
      <c r="BB42" s="7">
        <v>1063.0</v>
      </c>
      <c r="BC42" s="7">
        <v>1072.0</v>
      </c>
      <c r="BD42" s="7" t="s">
        <v>2890</v>
      </c>
      <c r="BE42" s="7" t="s">
        <v>2589</v>
      </c>
      <c r="BF42" s="24" t="str">
        <f>HYPERLINK("http://dx.doi.org/10.1111/cobi.13687","http://dx.doi.org/10.1111/cobi.13687")</f>
        <v>http://dx.doi.org/10.1111/cobi.13687</v>
      </c>
      <c r="BG42" s="7" t="s">
        <v>2890</v>
      </c>
      <c r="BH42" s="7" t="s">
        <v>3741</v>
      </c>
      <c r="BI42" s="7">
        <v>10.0</v>
      </c>
      <c r="BJ42" s="7" t="s">
        <v>3033</v>
      </c>
      <c r="BK42" s="7" t="s">
        <v>2938</v>
      </c>
      <c r="BL42" s="7" t="s">
        <v>3034</v>
      </c>
      <c r="BM42" s="7" t="s">
        <v>3742</v>
      </c>
      <c r="BN42" s="7">
        <v>3.3377545E7</v>
      </c>
      <c r="BO42" s="7" t="s">
        <v>3743</v>
      </c>
      <c r="BP42" s="7" t="s">
        <v>2890</v>
      </c>
      <c r="BQ42" s="7" t="s">
        <v>2890</v>
      </c>
      <c r="BR42" s="7" t="s">
        <v>2916</v>
      </c>
      <c r="BS42" s="7" t="s">
        <v>2804</v>
      </c>
      <c r="BT42" s="7" t="str">
        <f>HYPERLINK("https%3A%2F%2Fwww.webofscience.com%2Fwos%2Fwoscc%2Ffull-record%2FWOS:000626061900001","View Full Record in Web of Science")</f>
        <v>View Full Record in Web of Science</v>
      </c>
    </row>
    <row r="43" ht="12.75" customHeight="1">
      <c r="A43" s="7" t="s">
        <v>2888</v>
      </c>
      <c r="B43" s="7" t="s">
        <v>3744</v>
      </c>
      <c r="C43" s="7" t="s">
        <v>2890</v>
      </c>
      <c r="D43" s="7" t="s">
        <v>2890</v>
      </c>
      <c r="E43" s="7" t="s">
        <v>2890</v>
      </c>
      <c r="F43" s="7" t="s">
        <v>3745</v>
      </c>
      <c r="G43" s="7" t="s">
        <v>2890</v>
      </c>
      <c r="H43" s="7" t="s">
        <v>2890</v>
      </c>
      <c r="I43" s="7" t="s">
        <v>183</v>
      </c>
      <c r="J43" s="7" t="s">
        <v>3543</v>
      </c>
      <c r="K43" s="7" t="s">
        <v>2890</v>
      </c>
      <c r="L43" s="7" t="s">
        <v>2890</v>
      </c>
      <c r="M43" s="7" t="s">
        <v>2893</v>
      </c>
      <c r="N43" s="7" t="s">
        <v>2894</v>
      </c>
      <c r="O43" s="7" t="s">
        <v>2890</v>
      </c>
      <c r="P43" s="7" t="s">
        <v>2890</v>
      </c>
      <c r="Q43" s="7" t="s">
        <v>2890</v>
      </c>
      <c r="R43" s="7" t="s">
        <v>2890</v>
      </c>
      <c r="S43" s="7" t="s">
        <v>2890</v>
      </c>
      <c r="T43" s="7" t="s">
        <v>2890</v>
      </c>
      <c r="U43" s="7" t="s">
        <v>3746</v>
      </c>
      <c r="V43" s="7" t="s">
        <v>2751</v>
      </c>
      <c r="W43" s="7" t="s">
        <v>3747</v>
      </c>
      <c r="X43" s="7" t="s">
        <v>3748</v>
      </c>
      <c r="Y43" s="7" t="s">
        <v>3749</v>
      </c>
      <c r="Z43" s="7" t="s">
        <v>3750</v>
      </c>
      <c r="AA43" s="7" t="s">
        <v>3751</v>
      </c>
      <c r="AB43" s="7" t="s">
        <v>3752</v>
      </c>
      <c r="AC43" s="7" t="s">
        <v>3753</v>
      </c>
      <c r="AD43" s="7" t="s">
        <v>3754</v>
      </c>
      <c r="AE43" s="7" t="s">
        <v>3755</v>
      </c>
      <c r="AF43" s="7" t="s">
        <v>2890</v>
      </c>
      <c r="AG43" s="7">
        <v>72.0</v>
      </c>
      <c r="AH43" s="7">
        <v>21.0</v>
      </c>
      <c r="AI43" s="7">
        <v>25.0</v>
      </c>
      <c r="AJ43" s="7">
        <v>1.0</v>
      </c>
      <c r="AK43" s="7">
        <v>34.0</v>
      </c>
      <c r="AL43" s="7" t="s">
        <v>3276</v>
      </c>
      <c r="AM43" s="7" t="s">
        <v>3277</v>
      </c>
      <c r="AN43" s="7" t="s">
        <v>3278</v>
      </c>
      <c r="AO43" s="7" t="s">
        <v>3555</v>
      </c>
      <c r="AP43" s="7" t="s">
        <v>2890</v>
      </c>
      <c r="AQ43" s="7" t="s">
        <v>2890</v>
      </c>
      <c r="AR43" s="7" t="s">
        <v>3556</v>
      </c>
      <c r="AS43" s="7" t="s">
        <v>3557</v>
      </c>
      <c r="AT43" s="7" t="s">
        <v>3756</v>
      </c>
      <c r="AU43" s="7">
        <v>2021.0</v>
      </c>
      <c r="AV43" s="7">
        <v>11.0</v>
      </c>
      <c r="AW43" s="7">
        <v>1.0</v>
      </c>
      <c r="AX43" s="7" t="s">
        <v>2890</v>
      </c>
      <c r="AY43" s="7" t="s">
        <v>2890</v>
      </c>
      <c r="AZ43" s="7" t="s">
        <v>2890</v>
      </c>
      <c r="BA43" s="7" t="s">
        <v>2890</v>
      </c>
      <c r="BB43" s="7" t="s">
        <v>2890</v>
      </c>
      <c r="BC43" s="7" t="s">
        <v>2890</v>
      </c>
      <c r="BD43" s="7">
        <v>4510.0</v>
      </c>
      <c r="BE43" s="7" t="s">
        <v>2590</v>
      </c>
      <c r="BF43" s="24" t="str">
        <f>HYPERLINK("http://dx.doi.org/10.1038/s41598-021-83586-2","http://dx.doi.org/10.1038/s41598-021-83586-2")</f>
        <v>http://dx.doi.org/10.1038/s41598-021-83586-2</v>
      </c>
      <c r="BG43" s="7" t="s">
        <v>2890</v>
      </c>
      <c r="BH43" s="7" t="s">
        <v>2890</v>
      </c>
      <c r="BI43" s="7">
        <v>14.0</v>
      </c>
      <c r="BJ43" s="7" t="s">
        <v>3058</v>
      </c>
      <c r="BK43" s="7" t="s">
        <v>2938</v>
      </c>
      <c r="BL43" s="7" t="s">
        <v>3059</v>
      </c>
      <c r="BM43" s="7" t="s">
        <v>3757</v>
      </c>
      <c r="BN43" s="7">
        <v>3.3627682E7</v>
      </c>
      <c r="BO43" s="7" t="s">
        <v>2988</v>
      </c>
      <c r="BP43" s="7" t="s">
        <v>2890</v>
      </c>
      <c r="BQ43" s="7" t="s">
        <v>2890</v>
      </c>
      <c r="BR43" s="7" t="s">
        <v>2916</v>
      </c>
      <c r="BS43" s="7" t="s">
        <v>2752</v>
      </c>
      <c r="BT43" s="7" t="str">
        <f>HYPERLINK("https%3A%2F%2Fwww.webofscience.com%2Fwos%2Fwoscc%2Ffull-record%2FWOS:000626812400027","View Full Record in Web of Science")</f>
        <v>View Full Record in Web of Science</v>
      </c>
    </row>
    <row r="44" ht="12.75" customHeight="1">
      <c r="A44" s="7" t="s">
        <v>2888</v>
      </c>
      <c r="B44" s="7" t="s">
        <v>3758</v>
      </c>
      <c r="C44" s="7" t="s">
        <v>2890</v>
      </c>
      <c r="D44" s="7" t="s">
        <v>2890</v>
      </c>
      <c r="E44" s="7" t="s">
        <v>2890</v>
      </c>
      <c r="F44" s="7" t="s">
        <v>3759</v>
      </c>
      <c r="G44" s="7" t="s">
        <v>2890</v>
      </c>
      <c r="H44" s="7" t="s">
        <v>2890</v>
      </c>
      <c r="I44" s="7" t="s">
        <v>114</v>
      </c>
      <c r="J44" s="7" t="s">
        <v>3152</v>
      </c>
      <c r="K44" s="7" t="s">
        <v>2890</v>
      </c>
      <c r="L44" s="7" t="s">
        <v>2890</v>
      </c>
      <c r="M44" s="7" t="s">
        <v>2893</v>
      </c>
      <c r="N44" s="7" t="s">
        <v>2894</v>
      </c>
      <c r="O44" s="7" t="s">
        <v>2890</v>
      </c>
      <c r="P44" s="7" t="s">
        <v>2890</v>
      </c>
      <c r="Q44" s="7" t="s">
        <v>2890</v>
      </c>
      <c r="R44" s="7" t="s">
        <v>2890</v>
      </c>
      <c r="S44" s="7" t="s">
        <v>2890</v>
      </c>
      <c r="T44" s="7" t="s">
        <v>3760</v>
      </c>
      <c r="U44" s="7" t="s">
        <v>3761</v>
      </c>
      <c r="V44" s="7" t="s">
        <v>2643</v>
      </c>
      <c r="W44" s="7" t="s">
        <v>3762</v>
      </c>
      <c r="X44" s="7" t="s">
        <v>3763</v>
      </c>
      <c r="Y44" s="7" t="s">
        <v>3764</v>
      </c>
      <c r="Z44" s="7" t="s">
        <v>3765</v>
      </c>
      <c r="AA44" s="7" t="s">
        <v>2890</v>
      </c>
      <c r="AB44" s="7" t="s">
        <v>3766</v>
      </c>
      <c r="AC44" s="7" t="s">
        <v>3767</v>
      </c>
      <c r="AD44" s="7" t="s">
        <v>3768</v>
      </c>
      <c r="AE44" s="7" t="s">
        <v>3769</v>
      </c>
      <c r="AF44" s="7" t="s">
        <v>2890</v>
      </c>
      <c r="AG44" s="7">
        <v>64.0</v>
      </c>
      <c r="AH44" s="7">
        <v>219.0</v>
      </c>
      <c r="AI44" s="7">
        <v>257.0</v>
      </c>
      <c r="AJ44" s="7">
        <v>35.0</v>
      </c>
      <c r="AK44" s="7">
        <v>382.0</v>
      </c>
      <c r="AL44" s="7" t="s">
        <v>3160</v>
      </c>
      <c r="AM44" s="7" t="s">
        <v>3161</v>
      </c>
      <c r="AN44" s="7" t="s">
        <v>3162</v>
      </c>
      <c r="AO44" s="7" t="s">
        <v>3163</v>
      </c>
      <c r="AP44" s="7" t="s">
        <v>3164</v>
      </c>
      <c r="AQ44" s="7" t="s">
        <v>2890</v>
      </c>
      <c r="AR44" s="7" t="s">
        <v>3165</v>
      </c>
      <c r="AS44" s="7" t="s">
        <v>3166</v>
      </c>
      <c r="AT44" s="7" t="s">
        <v>3258</v>
      </c>
      <c r="AU44" s="7">
        <v>2021.0</v>
      </c>
      <c r="AV44" s="7">
        <v>124.0</v>
      </c>
      <c r="AW44" s="7" t="s">
        <v>2890</v>
      </c>
      <c r="AX44" s="7" t="s">
        <v>2890</v>
      </c>
      <c r="AY44" s="7" t="s">
        <v>2890</v>
      </c>
      <c r="AZ44" s="7" t="s">
        <v>2890</v>
      </c>
      <c r="BA44" s="7" t="s">
        <v>2890</v>
      </c>
      <c r="BB44" s="7" t="s">
        <v>2890</v>
      </c>
      <c r="BC44" s="7" t="s">
        <v>2890</v>
      </c>
      <c r="BD44" s="7">
        <v>107454.0</v>
      </c>
      <c r="BE44" s="7" t="s">
        <v>2588</v>
      </c>
      <c r="BF44" s="24" t="str">
        <f>HYPERLINK("http://dx.doi.org/10.1016/j.ecolind.2021.107454","http://dx.doi.org/10.1016/j.ecolind.2021.107454")</f>
        <v>http://dx.doi.org/10.1016/j.ecolind.2021.107454</v>
      </c>
      <c r="BG44" s="7" t="s">
        <v>2890</v>
      </c>
      <c r="BH44" s="7" t="s">
        <v>3770</v>
      </c>
      <c r="BI44" s="7">
        <v>11.0</v>
      </c>
      <c r="BJ44" s="7" t="s">
        <v>3169</v>
      </c>
      <c r="BK44" s="7" t="s">
        <v>2938</v>
      </c>
      <c r="BL44" s="7" t="s">
        <v>3034</v>
      </c>
      <c r="BM44" s="7" t="s">
        <v>3771</v>
      </c>
      <c r="BN44" s="7" t="s">
        <v>2890</v>
      </c>
      <c r="BO44" s="7" t="s">
        <v>2988</v>
      </c>
      <c r="BP44" s="7" t="s">
        <v>2890</v>
      </c>
      <c r="BQ44" s="7" t="s">
        <v>2890</v>
      </c>
      <c r="BR44" s="7" t="s">
        <v>2916</v>
      </c>
      <c r="BS44" s="7" t="s">
        <v>2644</v>
      </c>
      <c r="BT44" s="7" t="str">
        <f>HYPERLINK("https%3A%2F%2Fwww.webofscience.com%2Fwos%2Fwoscc%2Ffull-record%2FWOS:000621585800001","View Full Record in Web of Science")</f>
        <v>View Full Record in Web of Science</v>
      </c>
    </row>
    <row r="45" ht="12.75" customHeight="1">
      <c r="A45" s="7" t="s">
        <v>2888</v>
      </c>
      <c r="B45" s="7" t="s">
        <v>3772</v>
      </c>
      <c r="C45" s="7" t="s">
        <v>2890</v>
      </c>
      <c r="D45" s="7" t="s">
        <v>2890</v>
      </c>
      <c r="E45" s="7" t="s">
        <v>2890</v>
      </c>
      <c r="F45" s="7" t="s">
        <v>3773</v>
      </c>
      <c r="G45" s="7" t="s">
        <v>2890</v>
      </c>
      <c r="H45" s="7" t="s">
        <v>2890</v>
      </c>
      <c r="I45" s="7" t="s">
        <v>168</v>
      </c>
      <c r="J45" s="7" t="s">
        <v>3774</v>
      </c>
      <c r="K45" s="7" t="s">
        <v>2890</v>
      </c>
      <c r="L45" s="7" t="s">
        <v>2890</v>
      </c>
      <c r="M45" s="7" t="s">
        <v>2893</v>
      </c>
      <c r="N45" s="7" t="s">
        <v>2894</v>
      </c>
      <c r="O45" s="7" t="s">
        <v>2890</v>
      </c>
      <c r="P45" s="7" t="s">
        <v>2890</v>
      </c>
      <c r="Q45" s="7" t="s">
        <v>2890</v>
      </c>
      <c r="R45" s="7" t="s">
        <v>2890</v>
      </c>
      <c r="S45" s="7" t="s">
        <v>2890</v>
      </c>
      <c r="T45" s="7" t="s">
        <v>3775</v>
      </c>
      <c r="U45" s="7" t="s">
        <v>3776</v>
      </c>
      <c r="V45" s="7" t="s">
        <v>2812</v>
      </c>
      <c r="W45" s="7" t="s">
        <v>3777</v>
      </c>
      <c r="X45" s="7" t="s">
        <v>3778</v>
      </c>
      <c r="Y45" s="7" t="s">
        <v>3779</v>
      </c>
      <c r="Z45" s="7" t="s">
        <v>3780</v>
      </c>
      <c r="AA45" s="7" t="s">
        <v>2890</v>
      </c>
      <c r="AB45" s="7" t="s">
        <v>3781</v>
      </c>
      <c r="AC45" s="7" t="s">
        <v>3782</v>
      </c>
      <c r="AD45" s="7" t="s">
        <v>3783</v>
      </c>
      <c r="AE45" s="7" t="s">
        <v>3784</v>
      </c>
      <c r="AF45" s="7" t="s">
        <v>2890</v>
      </c>
      <c r="AG45" s="7">
        <v>72.0</v>
      </c>
      <c r="AH45" s="7">
        <v>11.0</v>
      </c>
      <c r="AI45" s="7">
        <v>12.0</v>
      </c>
      <c r="AJ45" s="7">
        <v>1.0</v>
      </c>
      <c r="AK45" s="7">
        <v>33.0</v>
      </c>
      <c r="AL45" s="7" t="s">
        <v>3785</v>
      </c>
      <c r="AM45" s="7" t="s">
        <v>2906</v>
      </c>
      <c r="AN45" s="7" t="s">
        <v>3786</v>
      </c>
      <c r="AO45" s="7" t="s">
        <v>3787</v>
      </c>
      <c r="AP45" s="7" t="s">
        <v>3788</v>
      </c>
      <c r="AQ45" s="7" t="s">
        <v>2890</v>
      </c>
      <c r="AR45" s="7" t="s">
        <v>3789</v>
      </c>
      <c r="AS45" s="7" t="s">
        <v>3790</v>
      </c>
      <c r="AT45" s="7" t="s">
        <v>3791</v>
      </c>
      <c r="AU45" s="7">
        <v>2021.0</v>
      </c>
      <c r="AV45" s="7">
        <v>164.0</v>
      </c>
      <c r="AW45" s="7" t="s">
        <v>2890</v>
      </c>
      <c r="AX45" s="7" t="s">
        <v>2890</v>
      </c>
      <c r="AY45" s="7" t="s">
        <v>2890</v>
      </c>
      <c r="AZ45" s="7" t="s">
        <v>2890</v>
      </c>
      <c r="BA45" s="7" t="s">
        <v>2890</v>
      </c>
      <c r="BB45" s="7" t="s">
        <v>2890</v>
      </c>
      <c r="BC45" s="7" t="s">
        <v>2890</v>
      </c>
      <c r="BD45" s="7">
        <v>112017.0</v>
      </c>
      <c r="BE45" s="7" t="s">
        <v>2813</v>
      </c>
      <c r="BF45" s="24" t="str">
        <f>HYPERLINK("http://dx.doi.org/10.1016/j.marpolbul.2021.112017","http://dx.doi.org/10.1016/j.marpolbul.2021.112017")</f>
        <v>http://dx.doi.org/10.1016/j.marpolbul.2021.112017</v>
      </c>
      <c r="BG45" s="7" t="s">
        <v>2890</v>
      </c>
      <c r="BH45" s="7" t="s">
        <v>3792</v>
      </c>
      <c r="BI45" s="7">
        <v>12.0</v>
      </c>
      <c r="BJ45" s="7" t="s">
        <v>3793</v>
      </c>
      <c r="BK45" s="7" t="s">
        <v>2938</v>
      </c>
      <c r="BL45" s="7" t="s">
        <v>3794</v>
      </c>
      <c r="BM45" s="7" t="s">
        <v>3795</v>
      </c>
      <c r="BN45" s="7">
        <v>3.3517084E7</v>
      </c>
      <c r="BO45" s="7" t="s">
        <v>2890</v>
      </c>
      <c r="BP45" s="7" t="s">
        <v>2890</v>
      </c>
      <c r="BQ45" s="7" t="s">
        <v>2890</v>
      </c>
      <c r="BR45" s="7" t="s">
        <v>2916</v>
      </c>
      <c r="BS45" s="7" t="s">
        <v>2621</v>
      </c>
      <c r="BT45" s="7" t="str">
        <f>HYPERLINK("https%3A%2F%2Fwww.webofscience.com%2Fwos%2Fwoscc%2Ffull-record%2FWOS:000632264200016","View Full Record in Web of Science")</f>
        <v>View Full Record in Web of Science</v>
      </c>
    </row>
    <row r="46" ht="12.75" customHeight="1">
      <c r="A46" s="7" t="s">
        <v>2888</v>
      </c>
      <c r="B46" s="7" t="s">
        <v>3796</v>
      </c>
      <c r="C46" s="7" t="s">
        <v>2890</v>
      </c>
      <c r="D46" s="7" t="s">
        <v>2890</v>
      </c>
      <c r="E46" s="7" t="s">
        <v>2890</v>
      </c>
      <c r="F46" s="7" t="s">
        <v>3797</v>
      </c>
      <c r="G46" s="7" t="s">
        <v>2890</v>
      </c>
      <c r="H46" s="7" t="s">
        <v>2890</v>
      </c>
      <c r="I46" s="7" t="s">
        <v>216</v>
      </c>
      <c r="J46" s="7" t="s">
        <v>3305</v>
      </c>
      <c r="K46" s="7" t="s">
        <v>2890</v>
      </c>
      <c r="L46" s="7" t="s">
        <v>2890</v>
      </c>
      <c r="M46" s="7" t="s">
        <v>2893</v>
      </c>
      <c r="N46" s="7" t="s">
        <v>2894</v>
      </c>
      <c r="O46" s="7" t="s">
        <v>2890</v>
      </c>
      <c r="P46" s="7" t="s">
        <v>2890</v>
      </c>
      <c r="Q46" s="7" t="s">
        <v>2890</v>
      </c>
      <c r="R46" s="7" t="s">
        <v>2890</v>
      </c>
      <c r="S46" s="7" t="s">
        <v>2890</v>
      </c>
      <c r="T46" s="7" t="s">
        <v>3798</v>
      </c>
      <c r="U46" s="7" t="s">
        <v>3799</v>
      </c>
      <c r="V46" s="7" t="s">
        <v>3800</v>
      </c>
      <c r="W46" s="7" t="s">
        <v>3801</v>
      </c>
      <c r="X46" s="7" t="s">
        <v>3802</v>
      </c>
      <c r="Y46" s="7" t="s">
        <v>3803</v>
      </c>
      <c r="Z46" s="7" t="s">
        <v>3804</v>
      </c>
      <c r="AA46" s="7" t="s">
        <v>3805</v>
      </c>
      <c r="AB46" s="7" t="s">
        <v>3806</v>
      </c>
      <c r="AC46" s="7" t="s">
        <v>3807</v>
      </c>
      <c r="AD46" s="7" t="s">
        <v>3808</v>
      </c>
      <c r="AE46" s="7" t="s">
        <v>3809</v>
      </c>
      <c r="AF46" s="7" t="s">
        <v>2890</v>
      </c>
      <c r="AG46" s="7">
        <v>50.0</v>
      </c>
      <c r="AH46" s="7">
        <v>35.0</v>
      </c>
      <c r="AI46" s="7">
        <v>40.0</v>
      </c>
      <c r="AJ46" s="7">
        <v>4.0</v>
      </c>
      <c r="AK46" s="7">
        <v>42.0</v>
      </c>
      <c r="AL46" s="7" t="s">
        <v>3024</v>
      </c>
      <c r="AM46" s="7" t="s">
        <v>3025</v>
      </c>
      <c r="AN46" s="7" t="s">
        <v>3026</v>
      </c>
      <c r="AO46" s="7" t="s">
        <v>3317</v>
      </c>
      <c r="AP46" s="7" t="s">
        <v>3318</v>
      </c>
      <c r="AQ46" s="7" t="s">
        <v>2890</v>
      </c>
      <c r="AR46" s="7" t="s">
        <v>3319</v>
      </c>
      <c r="AS46" s="7" t="s">
        <v>3320</v>
      </c>
      <c r="AT46" s="7" t="s">
        <v>3341</v>
      </c>
      <c r="AU46" s="7">
        <v>2021.0</v>
      </c>
      <c r="AV46" s="7">
        <v>35.0</v>
      </c>
      <c r="AW46" s="7">
        <v>3.0</v>
      </c>
      <c r="AX46" s="7" t="s">
        <v>2890</v>
      </c>
      <c r="AY46" s="7" t="s">
        <v>2890</v>
      </c>
      <c r="AZ46" s="7" t="s">
        <v>2890</v>
      </c>
      <c r="BA46" s="7" t="s">
        <v>2890</v>
      </c>
      <c r="BB46" s="7">
        <v>933.0</v>
      </c>
      <c r="BC46" s="7">
        <v>943.0</v>
      </c>
      <c r="BD46" s="7" t="s">
        <v>2890</v>
      </c>
      <c r="BE46" s="7" t="s">
        <v>3810</v>
      </c>
      <c r="BF46" s="24" t="str">
        <f>HYPERLINK("http://dx.doi.org/10.1111/cobi.13638","http://dx.doi.org/10.1111/cobi.13638")</f>
        <v>http://dx.doi.org/10.1111/cobi.13638</v>
      </c>
      <c r="BG46" s="7" t="s">
        <v>2890</v>
      </c>
      <c r="BH46" s="7" t="s">
        <v>3792</v>
      </c>
      <c r="BI46" s="7">
        <v>11.0</v>
      </c>
      <c r="BJ46" s="7" t="s">
        <v>3033</v>
      </c>
      <c r="BK46" s="7" t="s">
        <v>2938</v>
      </c>
      <c r="BL46" s="7" t="s">
        <v>3034</v>
      </c>
      <c r="BM46" s="7" t="s">
        <v>3811</v>
      </c>
      <c r="BN46" s="7">
        <v>3.2969049E7</v>
      </c>
      <c r="BO46" s="7" t="s">
        <v>2941</v>
      </c>
      <c r="BP46" s="7" t="s">
        <v>2890</v>
      </c>
      <c r="BQ46" s="7" t="s">
        <v>2890</v>
      </c>
      <c r="BR46" s="7" t="s">
        <v>2916</v>
      </c>
      <c r="BS46" s="7" t="s">
        <v>3812</v>
      </c>
      <c r="BT46" s="7" t="str">
        <f>HYPERLINK("https%3A%2F%2Fwww.webofscience.com%2Fwos%2Fwoscc%2Ffull-record%2FWOS:000609396700001","View Full Record in Web of Science")</f>
        <v>View Full Record in Web of Science</v>
      </c>
    </row>
    <row r="47" ht="12.75" customHeight="1">
      <c r="A47" s="7" t="s">
        <v>2888</v>
      </c>
      <c r="B47" s="7" t="s">
        <v>3813</v>
      </c>
      <c r="C47" s="7" t="s">
        <v>2890</v>
      </c>
      <c r="D47" s="7" t="s">
        <v>2890</v>
      </c>
      <c r="E47" s="7" t="s">
        <v>2890</v>
      </c>
      <c r="F47" s="7" t="s">
        <v>3814</v>
      </c>
      <c r="G47" s="7" t="s">
        <v>2890</v>
      </c>
      <c r="H47" s="7" t="s">
        <v>2890</v>
      </c>
      <c r="I47" s="7" t="s">
        <v>2635</v>
      </c>
      <c r="J47" s="7" t="s">
        <v>3386</v>
      </c>
      <c r="K47" s="7" t="s">
        <v>2890</v>
      </c>
      <c r="L47" s="7" t="s">
        <v>2890</v>
      </c>
      <c r="M47" s="7" t="s">
        <v>2893</v>
      </c>
      <c r="N47" s="7" t="s">
        <v>2894</v>
      </c>
      <c r="O47" s="7" t="s">
        <v>2890</v>
      </c>
      <c r="P47" s="7" t="s">
        <v>2890</v>
      </c>
      <c r="Q47" s="7" t="s">
        <v>2890</v>
      </c>
      <c r="R47" s="7" t="s">
        <v>2890</v>
      </c>
      <c r="S47" s="7" t="s">
        <v>2890</v>
      </c>
      <c r="T47" s="7" t="s">
        <v>3815</v>
      </c>
      <c r="U47" s="7" t="s">
        <v>3816</v>
      </c>
      <c r="V47" s="7" t="s">
        <v>2636</v>
      </c>
      <c r="W47" s="7" t="s">
        <v>3817</v>
      </c>
      <c r="X47" s="7" t="s">
        <v>3818</v>
      </c>
      <c r="Y47" s="7" t="s">
        <v>3819</v>
      </c>
      <c r="Z47" s="7" t="s">
        <v>3820</v>
      </c>
      <c r="AA47" s="7" t="s">
        <v>3821</v>
      </c>
      <c r="AB47" s="7" t="s">
        <v>3822</v>
      </c>
      <c r="AC47" s="7" t="s">
        <v>3823</v>
      </c>
      <c r="AD47" s="7" t="s">
        <v>3824</v>
      </c>
      <c r="AE47" s="7" t="s">
        <v>3825</v>
      </c>
      <c r="AF47" s="7" t="s">
        <v>2890</v>
      </c>
      <c r="AG47" s="7">
        <v>88.0</v>
      </c>
      <c r="AH47" s="7">
        <v>18.0</v>
      </c>
      <c r="AI47" s="7">
        <v>19.0</v>
      </c>
      <c r="AJ47" s="7">
        <v>1.0</v>
      </c>
      <c r="AK47" s="7">
        <v>10.0</v>
      </c>
      <c r="AL47" s="7" t="s">
        <v>3160</v>
      </c>
      <c r="AM47" s="7" t="s">
        <v>3161</v>
      </c>
      <c r="AN47" s="7" t="s">
        <v>3162</v>
      </c>
      <c r="AO47" s="7" t="s">
        <v>2890</v>
      </c>
      <c r="AP47" s="7" t="s">
        <v>3399</v>
      </c>
      <c r="AQ47" s="7" t="s">
        <v>2890</v>
      </c>
      <c r="AR47" s="7" t="s">
        <v>3400</v>
      </c>
      <c r="AS47" s="7" t="s">
        <v>3401</v>
      </c>
      <c r="AT47" s="7" t="s">
        <v>3143</v>
      </c>
      <c r="AU47" s="7">
        <v>2020.0</v>
      </c>
      <c r="AV47" s="7">
        <v>24.0</v>
      </c>
      <c r="AW47" s="7" t="s">
        <v>2890</v>
      </c>
      <c r="AX47" s="7" t="s">
        <v>2890</v>
      </c>
      <c r="AY47" s="7" t="s">
        <v>2890</v>
      </c>
      <c r="AZ47" s="7" t="s">
        <v>2890</v>
      </c>
      <c r="BA47" s="7" t="s">
        <v>2890</v>
      </c>
      <c r="BB47" s="7" t="s">
        <v>2890</v>
      </c>
      <c r="BC47" s="7" t="s">
        <v>2890</v>
      </c>
      <c r="BD47" s="7" t="s">
        <v>3826</v>
      </c>
      <c r="BE47" s="7" t="s">
        <v>2587</v>
      </c>
      <c r="BF47" s="24" t="str">
        <f>HYPERLINK("http://dx.doi.org/10.1016/j.gecco.2020.e01297","http://dx.doi.org/10.1016/j.gecco.2020.e01297")</f>
        <v>http://dx.doi.org/10.1016/j.gecco.2020.e01297</v>
      </c>
      <c r="BG47" s="7" t="s">
        <v>2890</v>
      </c>
      <c r="BH47" s="7" t="s">
        <v>2890</v>
      </c>
      <c r="BI47" s="7">
        <v>13.0</v>
      </c>
      <c r="BJ47" s="7" t="s">
        <v>3085</v>
      </c>
      <c r="BK47" s="7" t="s">
        <v>3283</v>
      </c>
      <c r="BL47" s="7" t="s">
        <v>3034</v>
      </c>
      <c r="BM47" s="7" t="s">
        <v>3827</v>
      </c>
      <c r="BN47" s="7" t="s">
        <v>2890</v>
      </c>
      <c r="BO47" s="7" t="s">
        <v>2988</v>
      </c>
      <c r="BP47" s="7" t="s">
        <v>2890</v>
      </c>
      <c r="BQ47" s="7" t="s">
        <v>2890</v>
      </c>
      <c r="BR47" s="7" t="s">
        <v>2916</v>
      </c>
      <c r="BS47" s="7" t="s">
        <v>2638</v>
      </c>
      <c r="BT47" s="7" t="str">
        <f>HYPERLINK("https%3A%2F%2Fwww.webofscience.com%2Fwos%2Fwoscc%2Ffull-record%2FWOS:000608479800021","View Full Record in Web of Science")</f>
        <v>View Full Record in Web of Science</v>
      </c>
    </row>
    <row r="48" ht="12.75" customHeight="1">
      <c r="A48" s="7" t="s">
        <v>2888</v>
      </c>
      <c r="B48" s="7" t="s">
        <v>3828</v>
      </c>
      <c r="C48" s="7" t="s">
        <v>2890</v>
      </c>
      <c r="D48" s="7" t="s">
        <v>2890</v>
      </c>
      <c r="E48" s="7" t="s">
        <v>2890</v>
      </c>
      <c r="F48" s="7" t="s">
        <v>3829</v>
      </c>
      <c r="G48" s="7" t="s">
        <v>2890</v>
      </c>
      <c r="H48" s="7" t="s">
        <v>2890</v>
      </c>
      <c r="I48" s="7" t="s">
        <v>2805</v>
      </c>
      <c r="J48" s="7" t="s">
        <v>3386</v>
      </c>
      <c r="K48" s="7" t="s">
        <v>2890</v>
      </c>
      <c r="L48" s="7" t="s">
        <v>2890</v>
      </c>
      <c r="M48" s="7" t="s">
        <v>2893</v>
      </c>
      <c r="N48" s="7" t="s">
        <v>2894</v>
      </c>
      <c r="O48" s="7" t="s">
        <v>2890</v>
      </c>
      <c r="P48" s="7" t="s">
        <v>2890</v>
      </c>
      <c r="Q48" s="7" t="s">
        <v>2890</v>
      </c>
      <c r="R48" s="7" t="s">
        <v>2890</v>
      </c>
      <c r="S48" s="7" t="s">
        <v>2890</v>
      </c>
      <c r="T48" s="7" t="s">
        <v>3830</v>
      </c>
      <c r="U48" s="7" t="s">
        <v>3831</v>
      </c>
      <c r="V48" s="7" t="s">
        <v>2806</v>
      </c>
      <c r="W48" s="7" t="s">
        <v>3832</v>
      </c>
      <c r="X48" s="7" t="s">
        <v>3833</v>
      </c>
      <c r="Y48" s="7" t="s">
        <v>3834</v>
      </c>
      <c r="Z48" s="7" t="s">
        <v>3835</v>
      </c>
      <c r="AA48" s="7" t="s">
        <v>3836</v>
      </c>
      <c r="AB48" s="7" t="s">
        <v>2890</v>
      </c>
      <c r="AC48" s="7" t="s">
        <v>3837</v>
      </c>
      <c r="AD48" s="7" t="s">
        <v>3838</v>
      </c>
      <c r="AE48" s="7" t="s">
        <v>3839</v>
      </c>
      <c r="AF48" s="7" t="s">
        <v>2890</v>
      </c>
      <c r="AG48" s="7">
        <v>47.0</v>
      </c>
      <c r="AH48" s="7">
        <v>18.0</v>
      </c>
      <c r="AI48" s="7">
        <v>20.0</v>
      </c>
      <c r="AJ48" s="7">
        <v>3.0</v>
      </c>
      <c r="AK48" s="7">
        <v>49.0</v>
      </c>
      <c r="AL48" s="7" t="s">
        <v>3160</v>
      </c>
      <c r="AM48" s="7" t="s">
        <v>3161</v>
      </c>
      <c r="AN48" s="7" t="s">
        <v>3162</v>
      </c>
      <c r="AO48" s="7" t="s">
        <v>2890</v>
      </c>
      <c r="AP48" s="7" t="s">
        <v>3399</v>
      </c>
      <c r="AQ48" s="7" t="s">
        <v>2890</v>
      </c>
      <c r="AR48" s="7" t="s">
        <v>3400</v>
      </c>
      <c r="AS48" s="7" t="s">
        <v>3401</v>
      </c>
      <c r="AT48" s="7" t="s">
        <v>3143</v>
      </c>
      <c r="AU48" s="7">
        <v>2020.0</v>
      </c>
      <c r="AV48" s="7">
        <v>24.0</v>
      </c>
      <c r="AW48" s="7" t="s">
        <v>2890</v>
      </c>
      <c r="AX48" s="7" t="s">
        <v>2890</v>
      </c>
      <c r="AY48" s="7" t="s">
        <v>2890</v>
      </c>
      <c r="AZ48" s="7" t="s">
        <v>2890</v>
      </c>
      <c r="BA48" s="7" t="s">
        <v>2890</v>
      </c>
      <c r="BB48" s="7" t="s">
        <v>2890</v>
      </c>
      <c r="BC48" s="7" t="s">
        <v>2890</v>
      </c>
      <c r="BD48" s="7" t="s">
        <v>3840</v>
      </c>
      <c r="BE48" s="7" t="s">
        <v>2586</v>
      </c>
      <c r="BF48" s="24" t="str">
        <f>HYPERLINK("http://dx.doi.org/10.1016/j.gecco.2020.e01222","http://dx.doi.org/10.1016/j.gecco.2020.e01222")</f>
        <v>http://dx.doi.org/10.1016/j.gecco.2020.e01222</v>
      </c>
      <c r="BG48" s="7" t="s">
        <v>2890</v>
      </c>
      <c r="BH48" s="7" t="s">
        <v>2890</v>
      </c>
      <c r="BI48" s="7">
        <v>8.0</v>
      </c>
      <c r="BJ48" s="7" t="s">
        <v>3085</v>
      </c>
      <c r="BK48" s="7" t="s">
        <v>2938</v>
      </c>
      <c r="BL48" s="7" t="s">
        <v>3034</v>
      </c>
      <c r="BM48" s="7" t="s">
        <v>3841</v>
      </c>
      <c r="BN48" s="7" t="s">
        <v>2890</v>
      </c>
      <c r="BO48" s="7" t="s">
        <v>2988</v>
      </c>
      <c r="BP48" s="7" t="s">
        <v>2890</v>
      </c>
      <c r="BQ48" s="7" t="s">
        <v>2890</v>
      </c>
      <c r="BR48" s="7" t="s">
        <v>2916</v>
      </c>
      <c r="BS48" s="7" t="s">
        <v>2807</v>
      </c>
      <c r="BT48" s="7" t="str">
        <f>HYPERLINK("https%3A%2F%2Fwww.webofscience.com%2Fwos%2Fwoscc%2Ffull-record%2FWOS:000608478800006","View Full Record in Web of Science")</f>
        <v>View Full Record in Web of Science</v>
      </c>
    </row>
    <row r="49" ht="12.75" customHeight="1">
      <c r="A49" s="7" t="s">
        <v>2888</v>
      </c>
      <c r="B49" s="7" t="s">
        <v>3842</v>
      </c>
      <c r="C49" s="7" t="s">
        <v>2890</v>
      </c>
      <c r="D49" s="7" t="s">
        <v>2890</v>
      </c>
      <c r="E49" s="7" t="s">
        <v>2890</v>
      </c>
      <c r="F49" s="7" t="s">
        <v>3843</v>
      </c>
      <c r="G49" s="7" t="s">
        <v>2890</v>
      </c>
      <c r="H49" s="7" t="s">
        <v>2890</v>
      </c>
      <c r="I49" s="7" t="s">
        <v>3844</v>
      </c>
      <c r="J49" s="7" t="s">
        <v>3305</v>
      </c>
      <c r="K49" s="7" t="s">
        <v>2890</v>
      </c>
      <c r="L49" s="7" t="s">
        <v>2890</v>
      </c>
      <c r="M49" s="7" t="s">
        <v>2893</v>
      </c>
      <c r="N49" s="7" t="s">
        <v>2894</v>
      </c>
      <c r="O49" s="7" t="s">
        <v>2890</v>
      </c>
      <c r="P49" s="7" t="s">
        <v>2890</v>
      </c>
      <c r="Q49" s="7" t="s">
        <v>2890</v>
      </c>
      <c r="R49" s="7" t="s">
        <v>2890</v>
      </c>
      <c r="S49" s="7" t="s">
        <v>2890</v>
      </c>
      <c r="T49" s="7" t="s">
        <v>3845</v>
      </c>
      <c r="U49" s="7" t="s">
        <v>3846</v>
      </c>
      <c r="V49" s="7" t="s">
        <v>3847</v>
      </c>
      <c r="W49" s="7" t="s">
        <v>3848</v>
      </c>
      <c r="X49" s="7" t="s">
        <v>3849</v>
      </c>
      <c r="Y49" s="7" t="s">
        <v>3850</v>
      </c>
      <c r="Z49" s="7" t="s">
        <v>3851</v>
      </c>
      <c r="AA49" s="7" t="s">
        <v>3852</v>
      </c>
      <c r="AB49" s="7" t="s">
        <v>3853</v>
      </c>
      <c r="AC49" s="7" t="s">
        <v>3854</v>
      </c>
      <c r="AD49" s="7" t="s">
        <v>3855</v>
      </c>
      <c r="AE49" s="7" t="s">
        <v>3856</v>
      </c>
      <c r="AF49" s="7" t="s">
        <v>2890</v>
      </c>
      <c r="AG49" s="7">
        <v>29.0</v>
      </c>
      <c r="AH49" s="7">
        <v>42.0</v>
      </c>
      <c r="AI49" s="7">
        <v>44.0</v>
      </c>
      <c r="AJ49" s="7">
        <v>0.0</v>
      </c>
      <c r="AK49" s="7">
        <v>19.0</v>
      </c>
      <c r="AL49" s="7" t="s">
        <v>3024</v>
      </c>
      <c r="AM49" s="7" t="s">
        <v>3025</v>
      </c>
      <c r="AN49" s="7" t="s">
        <v>3026</v>
      </c>
      <c r="AO49" s="7" t="s">
        <v>3317</v>
      </c>
      <c r="AP49" s="7" t="s">
        <v>3318</v>
      </c>
      <c r="AQ49" s="7" t="s">
        <v>2890</v>
      </c>
      <c r="AR49" s="7" t="s">
        <v>3319</v>
      </c>
      <c r="AS49" s="7" t="s">
        <v>3320</v>
      </c>
      <c r="AT49" s="7" t="s">
        <v>3143</v>
      </c>
      <c r="AU49" s="7">
        <v>2020.0</v>
      </c>
      <c r="AV49" s="7">
        <v>34.0</v>
      </c>
      <c r="AW49" s="7">
        <v>6.0</v>
      </c>
      <c r="AX49" s="7" t="s">
        <v>2890</v>
      </c>
      <c r="AY49" s="7" t="s">
        <v>2890</v>
      </c>
      <c r="AZ49" s="7" t="s">
        <v>2890</v>
      </c>
      <c r="BA49" s="7" t="s">
        <v>2890</v>
      </c>
      <c r="BB49" s="7">
        <v>1571.0</v>
      </c>
      <c r="BC49" s="7">
        <v>1578.0</v>
      </c>
      <c r="BD49" s="7" t="s">
        <v>2890</v>
      </c>
      <c r="BE49" s="7" t="s">
        <v>3857</v>
      </c>
      <c r="BF49" s="24" t="str">
        <f>HYPERLINK("http://dx.doi.org/10.1111/cobi.13584","http://dx.doi.org/10.1111/cobi.13584")</f>
        <v>http://dx.doi.org/10.1111/cobi.13584</v>
      </c>
      <c r="BG49" s="7" t="s">
        <v>2890</v>
      </c>
      <c r="BH49" s="7" t="s">
        <v>3858</v>
      </c>
      <c r="BI49" s="7">
        <v>8.0</v>
      </c>
      <c r="BJ49" s="7" t="s">
        <v>3033</v>
      </c>
      <c r="BK49" s="7" t="s">
        <v>2938</v>
      </c>
      <c r="BL49" s="7" t="s">
        <v>3034</v>
      </c>
      <c r="BM49" s="7" t="s">
        <v>3859</v>
      </c>
      <c r="BN49" s="7">
        <v>3.3031635E7</v>
      </c>
      <c r="BO49" s="7" t="s">
        <v>2890</v>
      </c>
      <c r="BP49" s="7" t="s">
        <v>2890</v>
      </c>
      <c r="BQ49" s="7" t="s">
        <v>2890</v>
      </c>
      <c r="BR49" s="7" t="s">
        <v>2916</v>
      </c>
      <c r="BS49" s="7" t="s">
        <v>3860</v>
      </c>
      <c r="BT49" s="7" t="str">
        <f>HYPERLINK("https%3A%2F%2Fwww.webofscience.com%2Fwos%2Fwoscc%2Ffull-record%2FWOS:000576038000001","View Full Record in Web of Science")</f>
        <v>View Full Record in Web of Science</v>
      </c>
    </row>
    <row r="50" ht="12.75" customHeight="1">
      <c r="A50" s="7" t="s">
        <v>2888</v>
      </c>
      <c r="B50" s="7" t="s">
        <v>3861</v>
      </c>
      <c r="C50" s="7" t="s">
        <v>2890</v>
      </c>
      <c r="D50" s="7" t="s">
        <v>2890</v>
      </c>
      <c r="E50" s="7" t="s">
        <v>2890</v>
      </c>
      <c r="F50" s="7" t="s">
        <v>3862</v>
      </c>
      <c r="G50" s="7" t="s">
        <v>2890</v>
      </c>
      <c r="H50" s="7" t="s">
        <v>2890</v>
      </c>
      <c r="I50" s="7" t="s">
        <v>78</v>
      </c>
      <c r="J50" s="7" t="s">
        <v>2944</v>
      </c>
      <c r="K50" s="7" t="s">
        <v>2890</v>
      </c>
      <c r="L50" s="7" t="s">
        <v>2890</v>
      </c>
      <c r="M50" s="7" t="s">
        <v>2893</v>
      </c>
      <c r="N50" s="7" t="s">
        <v>2894</v>
      </c>
      <c r="O50" s="7" t="s">
        <v>2890</v>
      </c>
      <c r="P50" s="7" t="s">
        <v>2890</v>
      </c>
      <c r="Q50" s="7" t="s">
        <v>2890</v>
      </c>
      <c r="R50" s="7" t="s">
        <v>2890</v>
      </c>
      <c r="S50" s="7" t="s">
        <v>2890</v>
      </c>
      <c r="T50" s="7" t="s">
        <v>3863</v>
      </c>
      <c r="U50" s="7" t="s">
        <v>3864</v>
      </c>
      <c r="V50" s="7" t="s">
        <v>2781</v>
      </c>
      <c r="W50" s="7" t="s">
        <v>3865</v>
      </c>
      <c r="X50" s="7" t="s">
        <v>3866</v>
      </c>
      <c r="Y50" s="7" t="s">
        <v>3867</v>
      </c>
      <c r="Z50" s="7" t="s">
        <v>3868</v>
      </c>
      <c r="AA50" s="7" t="s">
        <v>3869</v>
      </c>
      <c r="AB50" s="7" t="s">
        <v>3870</v>
      </c>
      <c r="AC50" s="7" t="s">
        <v>2890</v>
      </c>
      <c r="AD50" s="7" t="s">
        <v>2890</v>
      </c>
      <c r="AE50" s="7" t="s">
        <v>2890</v>
      </c>
      <c r="AF50" s="7" t="s">
        <v>2890</v>
      </c>
      <c r="AG50" s="7">
        <v>46.0</v>
      </c>
      <c r="AH50" s="7">
        <v>34.0</v>
      </c>
      <c r="AI50" s="7">
        <v>39.0</v>
      </c>
      <c r="AJ50" s="7">
        <v>1.0</v>
      </c>
      <c r="AK50" s="7">
        <v>47.0</v>
      </c>
      <c r="AL50" s="7" t="s">
        <v>2928</v>
      </c>
      <c r="AM50" s="7" t="s">
        <v>2929</v>
      </c>
      <c r="AN50" s="7" t="s">
        <v>2930</v>
      </c>
      <c r="AO50" s="7" t="s">
        <v>2957</v>
      </c>
      <c r="AP50" s="7" t="s">
        <v>2958</v>
      </c>
      <c r="AQ50" s="7" t="s">
        <v>2890</v>
      </c>
      <c r="AR50" s="7" t="s">
        <v>2944</v>
      </c>
      <c r="AS50" s="7" t="s">
        <v>2959</v>
      </c>
      <c r="AT50" s="7" t="s">
        <v>2912</v>
      </c>
      <c r="AU50" s="7">
        <v>2020.0</v>
      </c>
      <c r="AV50" s="7">
        <v>49.0</v>
      </c>
      <c r="AW50" s="7">
        <v>9.0</v>
      </c>
      <c r="AX50" s="7" t="s">
        <v>2890</v>
      </c>
      <c r="AY50" s="7" t="s">
        <v>2890</v>
      </c>
      <c r="AZ50" s="7" t="s">
        <v>2890</v>
      </c>
      <c r="BA50" s="7" t="s">
        <v>2890</v>
      </c>
      <c r="BB50" s="7">
        <v>1506.0</v>
      </c>
      <c r="BC50" s="7">
        <v>1518.0</v>
      </c>
      <c r="BD50" s="7" t="s">
        <v>2890</v>
      </c>
      <c r="BE50" s="7" t="s">
        <v>2584</v>
      </c>
      <c r="BF50" s="24" t="str">
        <f>HYPERLINK("http://dx.doi.org/10.1007/s13280-019-01305-8","http://dx.doi.org/10.1007/s13280-019-01305-8")</f>
        <v>http://dx.doi.org/10.1007/s13280-019-01305-8</v>
      </c>
      <c r="BG50" s="7" t="s">
        <v>2890</v>
      </c>
      <c r="BH50" s="7" t="s">
        <v>2890</v>
      </c>
      <c r="BI50" s="7">
        <v>13.0</v>
      </c>
      <c r="BJ50" s="7" t="s">
        <v>2961</v>
      </c>
      <c r="BK50" s="7" t="s">
        <v>2938</v>
      </c>
      <c r="BL50" s="7" t="s">
        <v>2962</v>
      </c>
      <c r="BM50" s="7" t="s">
        <v>3871</v>
      </c>
      <c r="BN50" s="7">
        <v>3.19554E7</v>
      </c>
      <c r="BO50" s="7" t="s">
        <v>3087</v>
      </c>
      <c r="BP50" s="7" t="s">
        <v>2890</v>
      </c>
      <c r="BQ50" s="7" t="s">
        <v>2890</v>
      </c>
      <c r="BR50" s="7" t="s">
        <v>2916</v>
      </c>
      <c r="BS50" s="7" t="s">
        <v>2782</v>
      </c>
      <c r="BT50" s="7" t="str">
        <f>HYPERLINK("https%3A%2F%2Fwww.webofscience.com%2Fwos%2Fwoscc%2Ffull-record%2FWOS:000543444600005","View Full Record in Web of Science")</f>
        <v>View Full Record in Web of Science</v>
      </c>
    </row>
    <row r="51" ht="12.75" customHeight="1">
      <c r="A51" s="7" t="s">
        <v>2888</v>
      </c>
      <c r="B51" s="7" t="s">
        <v>3872</v>
      </c>
      <c r="C51" s="7" t="s">
        <v>2890</v>
      </c>
      <c r="D51" s="7" t="s">
        <v>2890</v>
      </c>
      <c r="E51" s="7" t="s">
        <v>2890</v>
      </c>
      <c r="F51" s="7" t="s">
        <v>3873</v>
      </c>
      <c r="G51" s="7" t="s">
        <v>2890</v>
      </c>
      <c r="H51" s="7" t="s">
        <v>2890</v>
      </c>
      <c r="I51" s="7" t="s">
        <v>3874</v>
      </c>
      <c r="J51" s="7" t="s">
        <v>3152</v>
      </c>
      <c r="K51" s="7" t="s">
        <v>2890</v>
      </c>
      <c r="L51" s="7" t="s">
        <v>2890</v>
      </c>
      <c r="M51" s="7" t="s">
        <v>2893</v>
      </c>
      <c r="N51" s="7" t="s">
        <v>2894</v>
      </c>
      <c r="O51" s="7" t="s">
        <v>2890</v>
      </c>
      <c r="P51" s="7" t="s">
        <v>2890</v>
      </c>
      <c r="Q51" s="7" t="s">
        <v>2890</v>
      </c>
      <c r="R51" s="7" t="s">
        <v>2890</v>
      </c>
      <c r="S51" s="7" t="s">
        <v>2890</v>
      </c>
      <c r="T51" s="7" t="s">
        <v>3875</v>
      </c>
      <c r="U51" s="7" t="s">
        <v>3876</v>
      </c>
      <c r="V51" s="7" t="s">
        <v>3877</v>
      </c>
      <c r="W51" s="7" t="s">
        <v>3878</v>
      </c>
      <c r="X51" s="7" t="s">
        <v>3879</v>
      </c>
      <c r="Y51" s="7" t="s">
        <v>3880</v>
      </c>
      <c r="Z51" s="7" t="s">
        <v>3881</v>
      </c>
      <c r="AA51" s="7" t="s">
        <v>3882</v>
      </c>
      <c r="AB51" s="7" t="s">
        <v>3883</v>
      </c>
      <c r="AC51" s="7" t="s">
        <v>2890</v>
      </c>
      <c r="AD51" s="7" t="s">
        <v>2890</v>
      </c>
      <c r="AE51" s="7" t="s">
        <v>2890</v>
      </c>
      <c r="AF51" s="7" t="s">
        <v>2890</v>
      </c>
      <c r="AG51" s="7">
        <v>93.0</v>
      </c>
      <c r="AH51" s="7">
        <v>26.0</v>
      </c>
      <c r="AI51" s="7">
        <v>30.0</v>
      </c>
      <c r="AJ51" s="7">
        <v>2.0</v>
      </c>
      <c r="AK51" s="7">
        <v>34.0</v>
      </c>
      <c r="AL51" s="7" t="s">
        <v>3160</v>
      </c>
      <c r="AM51" s="7" t="s">
        <v>3161</v>
      </c>
      <c r="AN51" s="7" t="s">
        <v>3162</v>
      </c>
      <c r="AO51" s="7" t="s">
        <v>3163</v>
      </c>
      <c r="AP51" s="7" t="s">
        <v>3164</v>
      </c>
      <c r="AQ51" s="7" t="s">
        <v>2890</v>
      </c>
      <c r="AR51" s="7" t="s">
        <v>3165</v>
      </c>
      <c r="AS51" s="7" t="s">
        <v>3166</v>
      </c>
      <c r="AT51" s="7" t="s">
        <v>2935</v>
      </c>
      <c r="AU51" s="7">
        <v>2020.0</v>
      </c>
      <c r="AV51" s="7">
        <v>115.0</v>
      </c>
      <c r="AW51" s="7" t="s">
        <v>2890</v>
      </c>
      <c r="AX51" s="7" t="s">
        <v>2890</v>
      </c>
      <c r="AY51" s="7" t="s">
        <v>2890</v>
      </c>
      <c r="AZ51" s="7" t="s">
        <v>2890</v>
      </c>
      <c r="BA51" s="7" t="s">
        <v>2890</v>
      </c>
      <c r="BB51" s="7" t="s">
        <v>2890</v>
      </c>
      <c r="BC51" s="7" t="s">
        <v>2890</v>
      </c>
      <c r="BD51" s="7">
        <v>106357.0</v>
      </c>
      <c r="BE51" s="7" t="s">
        <v>3884</v>
      </c>
      <c r="BF51" s="24" t="str">
        <f>HYPERLINK("http://dx.doi.org/10.1016/j.ecolind.2020.106357","http://dx.doi.org/10.1016/j.ecolind.2020.106357")</f>
        <v>http://dx.doi.org/10.1016/j.ecolind.2020.106357</v>
      </c>
      <c r="BG51" s="7" t="s">
        <v>2890</v>
      </c>
      <c r="BH51" s="7" t="s">
        <v>2890</v>
      </c>
      <c r="BI51" s="7">
        <v>14.0</v>
      </c>
      <c r="BJ51" s="7" t="s">
        <v>3169</v>
      </c>
      <c r="BK51" s="7" t="s">
        <v>3283</v>
      </c>
      <c r="BL51" s="7" t="s">
        <v>3034</v>
      </c>
      <c r="BM51" s="7" t="s">
        <v>3885</v>
      </c>
      <c r="BN51" s="7" t="s">
        <v>2890</v>
      </c>
      <c r="BO51" s="7" t="s">
        <v>2890</v>
      </c>
      <c r="BP51" s="7" t="s">
        <v>2890</v>
      </c>
      <c r="BQ51" s="7" t="s">
        <v>2890</v>
      </c>
      <c r="BR51" s="7" t="s">
        <v>2916</v>
      </c>
      <c r="BS51" s="7" t="s">
        <v>3886</v>
      </c>
      <c r="BT51" s="7" t="str">
        <f>HYPERLINK("https%3A%2F%2Fwww.webofscience.com%2Fwos%2Fwoscc%2Ffull-record%2FWOS:000559802900007","View Full Record in Web of Science")</f>
        <v>View Full Record in Web of Science</v>
      </c>
    </row>
    <row r="52" ht="12.75" customHeight="1">
      <c r="A52" s="7" t="s">
        <v>2888</v>
      </c>
      <c r="B52" s="7" t="s">
        <v>3887</v>
      </c>
      <c r="C52" s="7" t="s">
        <v>2890</v>
      </c>
      <c r="D52" s="7" t="s">
        <v>2890</v>
      </c>
      <c r="E52" s="7" t="s">
        <v>2890</v>
      </c>
      <c r="F52" s="7" t="s">
        <v>3888</v>
      </c>
      <c r="G52" s="7" t="s">
        <v>2890</v>
      </c>
      <c r="H52" s="7" t="s">
        <v>2890</v>
      </c>
      <c r="I52" s="7" t="s">
        <v>2645</v>
      </c>
      <c r="J52" s="7" t="s">
        <v>3503</v>
      </c>
      <c r="K52" s="7" t="s">
        <v>2890</v>
      </c>
      <c r="L52" s="7" t="s">
        <v>2890</v>
      </c>
      <c r="M52" s="7" t="s">
        <v>2893</v>
      </c>
      <c r="N52" s="7" t="s">
        <v>2894</v>
      </c>
      <c r="O52" s="7" t="s">
        <v>2890</v>
      </c>
      <c r="P52" s="7" t="s">
        <v>2890</v>
      </c>
      <c r="Q52" s="7" t="s">
        <v>2890</v>
      </c>
      <c r="R52" s="7" t="s">
        <v>2890</v>
      </c>
      <c r="S52" s="7" t="s">
        <v>2890</v>
      </c>
      <c r="T52" s="7" t="s">
        <v>3889</v>
      </c>
      <c r="U52" s="7" t="s">
        <v>3890</v>
      </c>
      <c r="V52" s="7" t="s">
        <v>2646</v>
      </c>
      <c r="W52" s="7" t="s">
        <v>3891</v>
      </c>
      <c r="X52" s="7" t="s">
        <v>3892</v>
      </c>
      <c r="Y52" s="7" t="s">
        <v>3893</v>
      </c>
      <c r="Z52" s="7" t="s">
        <v>3894</v>
      </c>
      <c r="AA52" s="7" t="s">
        <v>2890</v>
      </c>
      <c r="AB52" s="7" t="s">
        <v>3895</v>
      </c>
      <c r="AC52" s="7" t="s">
        <v>3896</v>
      </c>
      <c r="AD52" s="7" t="s">
        <v>3897</v>
      </c>
      <c r="AE52" s="7" t="s">
        <v>3898</v>
      </c>
      <c r="AF52" s="7" t="s">
        <v>2890</v>
      </c>
      <c r="AG52" s="7">
        <v>57.0</v>
      </c>
      <c r="AH52" s="7">
        <v>26.0</v>
      </c>
      <c r="AI52" s="7">
        <v>39.0</v>
      </c>
      <c r="AJ52" s="7">
        <v>0.0</v>
      </c>
      <c r="AK52" s="7">
        <v>25.0</v>
      </c>
      <c r="AL52" s="7" t="s">
        <v>3232</v>
      </c>
      <c r="AM52" s="7" t="s">
        <v>3233</v>
      </c>
      <c r="AN52" s="7" t="s">
        <v>3234</v>
      </c>
      <c r="AO52" s="7" t="s">
        <v>2890</v>
      </c>
      <c r="AP52" s="7" t="s">
        <v>3515</v>
      </c>
      <c r="AQ52" s="7" t="s">
        <v>2890</v>
      </c>
      <c r="AR52" s="7" t="s">
        <v>3516</v>
      </c>
      <c r="AS52" s="7" t="s">
        <v>3517</v>
      </c>
      <c r="AT52" s="7" t="s">
        <v>3238</v>
      </c>
      <c r="AU52" s="7">
        <v>2020.0</v>
      </c>
      <c r="AV52" s="7">
        <v>12.0</v>
      </c>
      <c r="AW52" s="7">
        <v>13.0</v>
      </c>
      <c r="AX52" s="7" t="s">
        <v>2890</v>
      </c>
      <c r="AY52" s="7" t="s">
        <v>2890</v>
      </c>
      <c r="AZ52" s="7" t="s">
        <v>2890</v>
      </c>
      <c r="BA52" s="7" t="s">
        <v>2890</v>
      </c>
      <c r="BB52" s="7" t="s">
        <v>2890</v>
      </c>
      <c r="BC52" s="7" t="s">
        <v>2890</v>
      </c>
      <c r="BD52" s="7">
        <v>5439.0</v>
      </c>
      <c r="BE52" s="7" t="s">
        <v>2585</v>
      </c>
      <c r="BF52" s="24" t="str">
        <f>HYPERLINK("http://dx.doi.org/10.3390/su12135439","http://dx.doi.org/10.3390/su12135439")</f>
        <v>http://dx.doi.org/10.3390/su12135439</v>
      </c>
      <c r="BG52" s="7" t="s">
        <v>2890</v>
      </c>
      <c r="BH52" s="7" t="s">
        <v>2890</v>
      </c>
      <c r="BI52" s="7">
        <v>20.0</v>
      </c>
      <c r="BJ52" s="7" t="s">
        <v>3282</v>
      </c>
      <c r="BK52" s="7" t="s">
        <v>3283</v>
      </c>
      <c r="BL52" s="7" t="s">
        <v>3284</v>
      </c>
      <c r="BM52" s="7" t="s">
        <v>3899</v>
      </c>
      <c r="BN52" s="7" t="s">
        <v>2890</v>
      </c>
      <c r="BO52" s="7" t="s">
        <v>2988</v>
      </c>
      <c r="BP52" s="7" t="s">
        <v>2890</v>
      </c>
      <c r="BQ52" s="7" t="s">
        <v>2890</v>
      </c>
      <c r="BR52" s="7" t="s">
        <v>2916</v>
      </c>
      <c r="BS52" s="7" t="s">
        <v>2647</v>
      </c>
      <c r="BT52" s="7" t="str">
        <f>HYPERLINK("https%3A%2F%2Fwww.webofscience.com%2Fwos%2Fwoscc%2Ffull-record%2FWOS:000550230500001","View Full Record in Web of Science")</f>
        <v>View Full Record in Web of Science</v>
      </c>
    </row>
    <row r="53" ht="12.75" customHeight="1">
      <c r="A53" s="7" t="s">
        <v>2888</v>
      </c>
      <c r="B53" s="7" t="s">
        <v>3900</v>
      </c>
      <c r="C53" s="7" t="s">
        <v>2890</v>
      </c>
      <c r="D53" s="7" t="s">
        <v>2890</v>
      </c>
      <c r="E53" s="7" t="s">
        <v>2890</v>
      </c>
      <c r="F53" s="7" t="s">
        <v>3901</v>
      </c>
      <c r="G53" s="7" t="s">
        <v>2890</v>
      </c>
      <c r="H53" s="7" t="s">
        <v>2890</v>
      </c>
      <c r="I53" s="7" t="s">
        <v>105</v>
      </c>
      <c r="J53" s="7" t="s">
        <v>3652</v>
      </c>
      <c r="K53" s="7" t="s">
        <v>2890</v>
      </c>
      <c r="L53" s="7" t="s">
        <v>2890</v>
      </c>
      <c r="M53" s="7" t="s">
        <v>2893</v>
      </c>
      <c r="N53" s="7" t="s">
        <v>2894</v>
      </c>
      <c r="O53" s="7" t="s">
        <v>2890</v>
      </c>
      <c r="P53" s="7" t="s">
        <v>2890</v>
      </c>
      <c r="Q53" s="7" t="s">
        <v>2890</v>
      </c>
      <c r="R53" s="7" t="s">
        <v>2890</v>
      </c>
      <c r="S53" s="7" t="s">
        <v>2890</v>
      </c>
      <c r="T53" s="7" t="s">
        <v>3902</v>
      </c>
      <c r="U53" s="7" t="s">
        <v>3903</v>
      </c>
      <c r="V53" s="7" t="s">
        <v>2697</v>
      </c>
      <c r="W53" s="7" t="s">
        <v>3904</v>
      </c>
      <c r="X53" s="7" t="s">
        <v>3905</v>
      </c>
      <c r="Y53" s="7" t="s">
        <v>3906</v>
      </c>
      <c r="Z53" s="7" t="s">
        <v>3907</v>
      </c>
      <c r="AA53" s="7" t="s">
        <v>3908</v>
      </c>
      <c r="AB53" s="7" t="s">
        <v>2890</v>
      </c>
      <c r="AC53" s="7" t="s">
        <v>3909</v>
      </c>
      <c r="AD53" s="7" t="s">
        <v>3910</v>
      </c>
      <c r="AE53" s="7" t="s">
        <v>3911</v>
      </c>
      <c r="AF53" s="7" t="s">
        <v>2890</v>
      </c>
      <c r="AG53" s="7">
        <v>59.0</v>
      </c>
      <c r="AH53" s="7">
        <v>12.0</v>
      </c>
      <c r="AI53" s="7">
        <v>13.0</v>
      </c>
      <c r="AJ53" s="7">
        <v>1.0</v>
      </c>
      <c r="AK53" s="7">
        <v>26.0</v>
      </c>
      <c r="AL53" s="7" t="s">
        <v>2905</v>
      </c>
      <c r="AM53" s="7" t="s">
        <v>3114</v>
      </c>
      <c r="AN53" s="7" t="s">
        <v>3115</v>
      </c>
      <c r="AO53" s="7" t="s">
        <v>3664</v>
      </c>
      <c r="AP53" s="7" t="s">
        <v>3665</v>
      </c>
      <c r="AQ53" s="7" t="s">
        <v>2890</v>
      </c>
      <c r="AR53" s="7" t="s">
        <v>3666</v>
      </c>
      <c r="AS53" s="7" t="s">
        <v>3667</v>
      </c>
      <c r="AT53" s="7" t="s">
        <v>3238</v>
      </c>
      <c r="AU53" s="7">
        <v>2020.0</v>
      </c>
      <c r="AV53" s="7">
        <v>247.0</v>
      </c>
      <c r="AW53" s="7" t="s">
        <v>2890</v>
      </c>
      <c r="AX53" s="7" t="s">
        <v>2890</v>
      </c>
      <c r="AY53" s="7" t="s">
        <v>2890</v>
      </c>
      <c r="AZ53" s="7" t="s">
        <v>2890</v>
      </c>
      <c r="BA53" s="7" t="s">
        <v>2890</v>
      </c>
      <c r="BB53" s="7" t="s">
        <v>2890</v>
      </c>
      <c r="BC53" s="7" t="s">
        <v>2890</v>
      </c>
      <c r="BD53" s="7">
        <v>108511.0</v>
      </c>
      <c r="BE53" s="7" t="s">
        <v>2583</v>
      </c>
      <c r="BF53" s="24" t="str">
        <f>HYPERLINK("http://dx.doi.org/10.1016/j.biocon.2020.108511","http://dx.doi.org/10.1016/j.biocon.2020.108511")</f>
        <v>http://dx.doi.org/10.1016/j.biocon.2020.108511</v>
      </c>
      <c r="BG53" s="7" t="s">
        <v>2890</v>
      </c>
      <c r="BH53" s="7" t="s">
        <v>2890</v>
      </c>
      <c r="BI53" s="7">
        <v>9.0</v>
      </c>
      <c r="BJ53" s="7" t="s">
        <v>3033</v>
      </c>
      <c r="BK53" s="7" t="s">
        <v>2938</v>
      </c>
      <c r="BL53" s="7" t="s">
        <v>3034</v>
      </c>
      <c r="BM53" s="7" t="s">
        <v>3912</v>
      </c>
      <c r="BN53" s="7" t="s">
        <v>2890</v>
      </c>
      <c r="BO53" s="7" t="s">
        <v>2890</v>
      </c>
      <c r="BP53" s="7" t="s">
        <v>2890</v>
      </c>
      <c r="BQ53" s="7" t="s">
        <v>2890</v>
      </c>
      <c r="BR53" s="7" t="s">
        <v>2916</v>
      </c>
      <c r="BS53" s="7" t="s">
        <v>2698</v>
      </c>
      <c r="BT53" s="7" t="str">
        <f>HYPERLINK("https%3A%2F%2Fwww.webofscience.com%2Fwos%2Fwoscc%2Ffull-record%2FWOS:000540247600002","View Full Record in Web of Science")</f>
        <v>View Full Record in Web of Science</v>
      </c>
    </row>
    <row r="54" ht="12.75" customHeight="1">
      <c r="A54" s="7" t="s">
        <v>2888</v>
      </c>
      <c r="B54" s="7" t="s">
        <v>3913</v>
      </c>
      <c r="C54" s="7" t="s">
        <v>2890</v>
      </c>
      <c r="D54" s="7" t="s">
        <v>2890</v>
      </c>
      <c r="E54" s="7" t="s">
        <v>2890</v>
      </c>
      <c r="F54" s="7" t="s">
        <v>3914</v>
      </c>
      <c r="G54" s="7" t="s">
        <v>2890</v>
      </c>
      <c r="H54" s="7" t="s">
        <v>2890</v>
      </c>
      <c r="I54" s="7" t="s">
        <v>135</v>
      </c>
      <c r="J54" s="7" t="s">
        <v>3915</v>
      </c>
      <c r="K54" s="7" t="s">
        <v>2890</v>
      </c>
      <c r="L54" s="7" t="s">
        <v>2890</v>
      </c>
      <c r="M54" s="7" t="s">
        <v>2893</v>
      </c>
      <c r="N54" s="7" t="s">
        <v>2894</v>
      </c>
      <c r="O54" s="7" t="s">
        <v>2890</v>
      </c>
      <c r="P54" s="7" t="s">
        <v>2890</v>
      </c>
      <c r="Q54" s="7" t="s">
        <v>2890</v>
      </c>
      <c r="R54" s="7" t="s">
        <v>2890</v>
      </c>
      <c r="S54" s="7" t="s">
        <v>2890</v>
      </c>
      <c r="T54" s="7" t="s">
        <v>3916</v>
      </c>
      <c r="U54" s="7" t="s">
        <v>3917</v>
      </c>
      <c r="V54" s="7" t="s">
        <v>3918</v>
      </c>
      <c r="W54" s="7" t="s">
        <v>3919</v>
      </c>
      <c r="X54" s="7" t="s">
        <v>3920</v>
      </c>
      <c r="Y54" s="7" t="s">
        <v>3921</v>
      </c>
      <c r="Z54" s="7" t="s">
        <v>3922</v>
      </c>
      <c r="AA54" s="7" t="s">
        <v>3923</v>
      </c>
      <c r="AB54" s="7" t="s">
        <v>3924</v>
      </c>
      <c r="AC54" s="7" t="s">
        <v>2890</v>
      </c>
      <c r="AD54" s="7" t="s">
        <v>2890</v>
      </c>
      <c r="AE54" s="7" t="s">
        <v>2890</v>
      </c>
      <c r="AF54" s="7" t="s">
        <v>2890</v>
      </c>
      <c r="AG54" s="7">
        <v>67.0</v>
      </c>
      <c r="AH54" s="7">
        <v>71.0</v>
      </c>
      <c r="AI54" s="7">
        <v>77.0</v>
      </c>
      <c r="AJ54" s="7">
        <v>5.0</v>
      </c>
      <c r="AK54" s="7">
        <v>10.0</v>
      </c>
      <c r="AL54" s="7" t="s">
        <v>2905</v>
      </c>
      <c r="AM54" s="7" t="s">
        <v>3114</v>
      </c>
      <c r="AN54" s="7" t="s">
        <v>3115</v>
      </c>
      <c r="AO54" s="7" t="s">
        <v>3925</v>
      </c>
      <c r="AP54" s="7" t="s">
        <v>3926</v>
      </c>
      <c r="AQ54" s="7" t="s">
        <v>2890</v>
      </c>
      <c r="AR54" s="7" t="s">
        <v>3927</v>
      </c>
      <c r="AS54" s="7" t="s">
        <v>3928</v>
      </c>
      <c r="AT54" s="7" t="s">
        <v>3238</v>
      </c>
      <c r="AU54" s="7">
        <v>2020.0</v>
      </c>
      <c r="AV54" s="7">
        <v>63.0</v>
      </c>
      <c r="AW54" s="7" t="s">
        <v>2890</v>
      </c>
      <c r="AX54" s="7" t="s">
        <v>2890</v>
      </c>
      <c r="AY54" s="7" t="s">
        <v>2890</v>
      </c>
      <c r="AZ54" s="7" t="s">
        <v>2890</v>
      </c>
      <c r="BA54" s="7" t="s">
        <v>2890</v>
      </c>
      <c r="BB54" s="7" t="s">
        <v>2890</v>
      </c>
      <c r="BC54" s="7" t="s">
        <v>2890</v>
      </c>
      <c r="BD54" s="7">
        <v>102084.0</v>
      </c>
      <c r="BE54" s="7" t="s">
        <v>676</v>
      </c>
      <c r="BF54" s="24" t="str">
        <f>HYPERLINK("http://dx.doi.org/10.1016/j.gloenvcha.2020.102084","http://dx.doi.org/10.1016/j.gloenvcha.2020.102084")</f>
        <v>http://dx.doi.org/10.1016/j.gloenvcha.2020.102084</v>
      </c>
      <c r="BG54" s="7" t="s">
        <v>2890</v>
      </c>
      <c r="BH54" s="7" t="s">
        <v>2890</v>
      </c>
      <c r="BI54" s="7">
        <v>13.0</v>
      </c>
      <c r="BJ54" s="7" t="s">
        <v>3929</v>
      </c>
      <c r="BK54" s="7" t="s">
        <v>3283</v>
      </c>
      <c r="BL54" s="7" t="s">
        <v>3930</v>
      </c>
      <c r="BM54" s="7" t="s">
        <v>3931</v>
      </c>
      <c r="BN54" s="7" t="s">
        <v>2890</v>
      </c>
      <c r="BO54" s="7" t="s">
        <v>2890</v>
      </c>
      <c r="BP54" s="7" t="s">
        <v>2890</v>
      </c>
      <c r="BQ54" s="7" t="s">
        <v>2890</v>
      </c>
      <c r="BR54" s="7" t="s">
        <v>2916</v>
      </c>
      <c r="BS54" s="7" t="s">
        <v>3932</v>
      </c>
      <c r="BT54" s="7" t="str">
        <f>HYPERLINK("https%3A%2F%2Fwww.webofscience.com%2Fwos%2Fwoscc%2Ffull-record%2FWOS:001435877500001","View Full Record in Web of Science")</f>
        <v>View Full Record in Web of Science</v>
      </c>
    </row>
    <row r="55" ht="12.75" customHeight="1">
      <c r="A55" s="7" t="s">
        <v>2888</v>
      </c>
      <c r="B55" s="7" t="s">
        <v>3933</v>
      </c>
      <c r="C55" s="7" t="s">
        <v>2890</v>
      </c>
      <c r="D55" s="7" t="s">
        <v>2890</v>
      </c>
      <c r="E55" s="7" t="s">
        <v>2890</v>
      </c>
      <c r="F55" s="7" t="s">
        <v>3934</v>
      </c>
      <c r="G55" s="7" t="s">
        <v>2890</v>
      </c>
      <c r="H55" s="7" t="s">
        <v>2890</v>
      </c>
      <c r="I55" s="7" t="s">
        <v>2753</v>
      </c>
      <c r="J55" s="7" t="s">
        <v>3652</v>
      </c>
      <c r="K55" s="7" t="s">
        <v>2890</v>
      </c>
      <c r="L55" s="7" t="s">
        <v>2890</v>
      </c>
      <c r="M55" s="7" t="s">
        <v>2893</v>
      </c>
      <c r="N55" s="7" t="s">
        <v>2894</v>
      </c>
      <c r="O55" s="7" t="s">
        <v>2890</v>
      </c>
      <c r="P55" s="7" t="s">
        <v>2890</v>
      </c>
      <c r="Q55" s="7" t="s">
        <v>2890</v>
      </c>
      <c r="R55" s="7" t="s">
        <v>2890</v>
      </c>
      <c r="S55" s="7" t="s">
        <v>2890</v>
      </c>
      <c r="T55" s="7" t="s">
        <v>3935</v>
      </c>
      <c r="U55" s="7" t="s">
        <v>3936</v>
      </c>
      <c r="V55" s="7" t="s">
        <v>2754</v>
      </c>
      <c r="W55" s="7" t="s">
        <v>3937</v>
      </c>
      <c r="X55" s="7" t="s">
        <v>3938</v>
      </c>
      <c r="Y55" s="7" t="s">
        <v>3939</v>
      </c>
      <c r="Z55" s="7" t="s">
        <v>3940</v>
      </c>
      <c r="AA55" s="7" t="s">
        <v>3941</v>
      </c>
      <c r="AB55" s="7" t="s">
        <v>3942</v>
      </c>
      <c r="AC55" s="7" t="s">
        <v>3943</v>
      </c>
      <c r="AD55" s="7" t="s">
        <v>3944</v>
      </c>
      <c r="AE55" s="7" t="s">
        <v>3945</v>
      </c>
      <c r="AF55" s="7" t="s">
        <v>2890</v>
      </c>
      <c r="AG55" s="7">
        <v>84.0</v>
      </c>
      <c r="AH55" s="7">
        <v>68.0</v>
      </c>
      <c r="AI55" s="7">
        <v>73.0</v>
      </c>
      <c r="AJ55" s="7">
        <v>4.0</v>
      </c>
      <c r="AK55" s="7">
        <v>58.0</v>
      </c>
      <c r="AL55" s="7" t="s">
        <v>2905</v>
      </c>
      <c r="AM55" s="7" t="s">
        <v>3114</v>
      </c>
      <c r="AN55" s="7" t="s">
        <v>3115</v>
      </c>
      <c r="AO55" s="7" t="s">
        <v>3664</v>
      </c>
      <c r="AP55" s="7" t="s">
        <v>3665</v>
      </c>
      <c r="AQ55" s="7" t="s">
        <v>2890</v>
      </c>
      <c r="AR55" s="7" t="s">
        <v>3666</v>
      </c>
      <c r="AS55" s="7" t="s">
        <v>3667</v>
      </c>
      <c r="AT55" s="7" t="s">
        <v>3791</v>
      </c>
      <c r="AU55" s="7">
        <v>2020.0</v>
      </c>
      <c r="AV55" s="7">
        <v>243.0</v>
      </c>
      <c r="AW55" s="7" t="s">
        <v>2890</v>
      </c>
      <c r="AX55" s="7" t="s">
        <v>2890</v>
      </c>
      <c r="AY55" s="7" t="s">
        <v>2890</v>
      </c>
      <c r="AZ55" s="7" t="s">
        <v>2890</v>
      </c>
      <c r="BA55" s="7" t="s">
        <v>2890</v>
      </c>
      <c r="BB55" s="7" t="s">
        <v>2890</v>
      </c>
      <c r="BC55" s="7" t="s">
        <v>2890</v>
      </c>
      <c r="BD55" s="7">
        <v>108424.0</v>
      </c>
      <c r="BE55" s="7" t="s">
        <v>776</v>
      </c>
      <c r="BF55" s="24" t="str">
        <f>HYPERLINK("http://dx.doi.org/10.1016/j.biocon.2020.108424","http://dx.doi.org/10.1016/j.biocon.2020.108424")</f>
        <v>http://dx.doi.org/10.1016/j.biocon.2020.108424</v>
      </c>
      <c r="BG55" s="7" t="s">
        <v>2890</v>
      </c>
      <c r="BH55" s="7" t="s">
        <v>2890</v>
      </c>
      <c r="BI55" s="7">
        <v>10.0</v>
      </c>
      <c r="BJ55" s="7" t="s">
        <v>3033</v>
      </c>
      <c r="BK55" s="7" t="s">
        <v>2938</v>
      </c>
      <c r="BL55" s="7" t="s">
        <v>3034</v>
      </c>
      <c r="BM55" s="7" t="s">
        <v>3946</v>
      </c>
      <c r="BN55" s="7" t="s">
        <v>2890</v>
      </c>
      <c r="BO55" s="7" t="s">
        <v>3087</v>
      </c>
      <c r="BP55" s="7" t="s">
        <v>2890</v>
      </c>
      <c r="BQ55" s="7" t="s">
        <v>2890</v>
      </c>
      <c r="BR55" s="7" t="s">
        <v>2916</v>
      </c>
      <c r="BS55" s="7" t="s">
        <v>2755</v>
      </c>
      <c r="BT55" s="7" t="str">
        <f>HYPERLINK("https%3A%2F%2Fwww.webofscience.com%2Fwos%2Fwoscc%2Ffull-record%2FWOS:000526787100002","View Full Record in Web of Science")</f>
        <v>View Full Record in Web of Science</v>
      </c>
    </row>
    <row r="56" ht="12.75" customHeight="1">
      <c r="A56" s="7" t="s">
        <v>2888</v>
      </c>
      <c r="B56" s="7" t="s">
        <v>3947</v>
      </c>
      <c r="C56" s="7" t="s">
        <v>2890</v>
      </c>
      <c r="D56" s="7" t="s">
        <v>2890</v>
      </c>
      <c r="E56" s="7" t="s">
        <v>2890</v>
      </c>
      <c r="F56" s="7" t="s">
        <v>3948</v>
      </c>
      <c r="G56" s="7" t="s">
        <v>2890</v>
      </c>
      <c r="H56" s="7" t="s">
        <v>2890</v>
      </c>
      <c r="I56" s="7" t="s">
        <v>231</v>
      </c>
      <c r="J56" s="7" t="s">
        <v>3328</v>
      </c>
      <c r="K56" s="7" t="s">
        <v>2890</v>
      </c>
      <c r="L56" s="7" t="s">
        <v>2890</v>
      </c>
      <c r="M56" s="7" t="s">
        <v>2893</v>
      </c>
      <c r="N56" s="7" t="s">
        <v>2894</v>
      </c>
      <c r="O56" s="7" t="s">
        <v>2890</v>
      </c>
      <c r="P56" s="7" t="s">
        <v>2890</v>
      </c>
      <c r="Q56" s="7" t="s">
        <v>2890</v>
      </c>
      <c r="R56" s="7" t="s">
        <v>2890</v>
      </c>
      <c r="S56" s="7" t="s">
        <v>2890</v>
      </c>
      <c r="T56" s="7" t="s">
        <v>3949</v>
      </c>
      <c r="U56" s="7" t="s">
        <v>3950</v>
      </c>
      <c r="V56" s="7" t="s">
        <v>3951</v>
      </c>
      <c r="W56" s="7" t="s">
        <v>3952</v>
      </c>
      <c r="X56" s="7" t="s">
        <v>3953</v>
      </c>
      <c r="Y56" s="7" t="s">
        <v>3954</v>
      </c>
      <c r="Z56" s="7" t="s">
        <v>3955</v>
      </c>
      <c r="AA56" s="7" t="s">
        <v>3956</v>
      </c>
      <c r="AB56" s="7" t="s">
        <v>3957</v>
      </c>
      <c r="AC56" s="7" t="s">
        <v>3958</v>
      </c>
      <c r="AD56" s="7" t="s">
        <v>3959</v>
      </c>
      <c r="AE56" s="7" t="s">
        <v>3960</v>
      </c>
      <c r="AF56" s="7" t="s">
        <v>2890</v>
      </c>
      <c r="AG56" s="7">
        <v>50.0</v>
      </c>
      <c r="AH56" s="7">
        <v>26.0</v>
      </c>
      <c r="AI56" s="7">
        <v>33.0</v>
      </c>
      <c r="AJ56" s="7">
        <v>0.0</v>
      </c>
      <c r="AK56" s="7">
        <v>30.0</v>
      </c>
      <c r="AL56" s="7" t="s">
        <v>3024</v>
      </c>
      <c r="AM56" s="7" t="s">
        <v>3025</v>
      </c>
      <c r="AN56" s="7" t="s">
        <v>3026</v>
      </c>
      <c r="AO56" s="7" t="s">
        <v>2890</v>
      </c>
      <c r="AP56" s="7" t="s">
        <v>3338</v>
      </c>
      <c r="AQ56" s="7" t="s">
        <v>2890</v>
      </c>
      <c r="AR56" s="7" t="s">
        <v>3339</v>
      </c>
      <c r="AS56" s="7" t="s">
        <v>3340</v>
      </c>
      <c r="AT56" s="7" t="s">
        <v>3791</v>
      </c>
      <c r="AU56" s="7">
        <v>2020.0</v>
      </c>
      <c r="AV56" s="7">
        <v>2.0</v>
      </c>
      <c r="AW56" s="7">
        <v>3.0</v>
      </c>
      <c r="AX56" s="7" t="s">
        <v>2890</v>
      </c>
      <c r="AY56" s="7" t="s">
        <v>2890</v>
      </c>
      <c r="AZ56" s="7" t="s">
        <v>2890</v>
      </c>
      <c r="BA56" s="7" t="s">
        <v>2890</v>
      </c>
      <c r="BB56" s="7" t="s">
        <v>2890</v>
      </c>
      <c r="BC56" s="7" t="s">
        <v>2890</v>
      </c>
      <c r="BD56" s="7" t="s">
        <v>3961</v>
      </c>
      <c r="BE56" s="7" t="s">
        <v>3962</v>
      </c>
      <c r="BF56" s="24" t="str">
        <f>HYPERLINK("http://dx.doi.org/10.1111/csp2.169","http://dx.doi.org/10.1111/csp2.169")</f>
        <v>http://dx.doi.org/10.1111/csp2.169</v>
      </c>
      <c r="BG56" s="7" t="s">
        <v>2890</v>
      </c>
      <c r="BH56" s="7" t="s">
        <v>2890</v>
      </c>
      <c r="BI56" s="7">
        <v>12.0</v>
      </c>
      <c r="BJ56" s="7" t="s">
        <v>3343</v>
      </c>
      <c r="BK56" s="7" t="s">
        <v>2938</v>
      </c>
      <c r="BL56" s="7" t="s">
        <v>3344</v>
      </c>
      <c r="BM56" s="7" t="s">
        <v>3963</v>
      </c>
      <c r="BN56" s="7" t="s">
        <v>2890</v>
      </c>
      <c r="BO56" s="7" t="s">
        <v>3649</v>
      </c>
      <c r="BP56" s="7" t="s">
        <v>2890</v>
      </c>
      <c r="BQ56" s="7" t="s">
        <v>2890</v>
      </c>
      <c r="BR56" s="7" t="s">
        <v>2916</v>
      </c>
      <c r="BS56" s="7" t="s">
        <v>3964</v>
      </c>
      <c r="BT56" s="7" t="str">
        <f>HYPERLINK("https%3A%2F%2Fwww.webofscience.com%2Fwos%2Fwoscc%2Ffull-record%2FWOS:000576673400011","View Full Record in Web of Science")</f>
        <v>View Full Record in Web of Science</v>
      </c>
    </row>
    <row r="57" ht="12.75" customHeight="1">
      <c r="A57" s="7" t="s">
        <v>2888</v>
      </c>
      <c r="B57" s="7" t="s">
        <v>3965</v>
      </c>
      <c r="C57" s="7" t="s">
        <v>2890</v>
      </c>
      <c r="D57" s="7" t="s">
        <v>2890</v>
      </c>
      <c r="E57" s="7" t="s">
        <v>2890</v>
      </c>
      <c r="F57" s="7" t="s">
        <v>3966</v>
      </c>
      <c r="G57" s="7" t="s">
        <v>2890</v>
      </c>
      <c r="H57" s="7" t="s">
        <v>2890</v>
      </c>
      <c r="I57" s="7" t="s">
        <v>2670</v>
      </c>
      <c r="J57" s="7" t="s">
        <v>2944</v>
      </c>
      <c r="K57" s="7" t="s">
        <v>2890</v>
      </c>
      <c r="L57" s="7" t="s">
        <v>2890</v>
      </c>
      <c r="M57" s="7" t="s">
        <v>2893</v>
      </c>
      <c r="N57" s="7" t="s">
        <v>2894</v>
      </c>
      <c r="O57" s="7" t="s">
        <v>2890</v>
      </c>
      <c r="P57" s="7" t="s">
        <v>2890</v>
      </c>
      <c r="Q57" s="7" t="s">
        <v>2890</v>
      </c>
      <c r="R57" s="7" t="s">
        <v>2890</v>
      </c>
      <c r="S57" s="7" t="s">
        <v>2890</v>
      </c>
      <c r="T57" s="7" t="s">
        <v>3967</v>
      </c>
      <c r="U57" s="7" t="s">
        <v>3968</v>
      </c>
      <c r="V57" s="7" t="s">
        <v>2671</v>
      </c>
      <c r="W57" s="7" t="s">
        <v>3969</v>
      </c>
      <c r="X57" s="7" t="s">
        <v>3920</v>
      </c>
      <c r="Y57" s="7" t="s">
        <v>3921</v>
      </c>
      <c r="Z57" s="7" t="s">
        <v>3970</v>
      </c>
      <c r="AA57" s="7" t="s">
        <v>3923</v>
      </c>
      <c r="AB57" s="7" t="s">
        <v>3924</v>
      </c>
      <c r="AC57" s="7" t="s">
        <v>3971</v>
      </c>
      <c r="AD57" s="7" t="s">
        <v>3971</v>
      </c>
      <c r="AE57" s="7" t="s">
        <v>3972</v>
      </c>
      <c r="AF57" s="7" t="s">
        <v>2890</v>
      </c>
      <c r="AG57" s="7">
        <v>39.0</v>
      </c>
      <c r="AH57" s="7">
        <v>58.0</v>
      </c>
      <c r="AI57" s="7">
        <v>65.0</v>
      </c>
      <c r="AJ57" s="7">
        <v>3.0</v>
      </c>
      <c r="AK57" s="7">
        <v>94.0</v>
      </c>
      <c r="AL57" s="7" t="s">
        <v>2928</v>
      </c>
      <c r="AM57" s="7" t="s">
        <v>2929</v>
      </c>
      <c r="AN57" s="7" t="s">
        <v>2930</v>
      </c>
      <c r="AO57" s="7" t="s">
        <v>2957</v>
      </c>
      <c r="AP57" s="7" t="s">
        <v>2958</v>
      </c>
      <c r="AQ57" s="7" t="s">
        <v>2890</v>
      </c>
      <c r="AR57" s="7" t="s">
        <v>2944</v>
      </c>
      <c r="AS57" s="7" t="s">
        <v>2959</v>
      </c>
      <c r="AT57" s="7" t="s">
        <v>3083</v>
      </c>
      <c r="AU57" s="7">
        <v>2020.0</v>
      </c>
      <c r="AV57" s="7">
        <v>49.0</v>
      </c>
      <c r="AW57" s="7">
        <v>2.0</v>
      </c>
      <c r="AX57" s="7" t="s">
        <v>2890</v>
      </c>
      <c r="AY57" s="7" t="s">
        <v>2890</v>
      </c>
      <c r="AZ57" s="7" t="s">
        <v>2890</v>
      </c>
      <c r="BA57" s="7" t="s">
        <v>2890</v>
      </c>
      <c r="BB57" s="7">
        <v>434.0</v>
      </c>
      <c r="BC57" s="7">
        <v>441.0</v>
      </c>
      <c r="BD57" s="7" t="s">
        <v>2890</v>
      </c>
      <c r="BE57" s="7" t="s">
        <v>2672</v>
      </c>
      <c r="BF57" s="24" t="str">
        <f>HYPERLINK("http://dx.doi.org/10.1007/s13280-019-01213-x","http://dx.doi.org/10.1007/s13280-019-01213-x")</f>
        <v>http://dx.doi.org/10.1007/s13280-019-01213-x</v>
      </c>
      <c r="BG57" s="7" t="s">
        <v>2890</v>
      </c>
      <c r="BH57" s="7" t="s">
        <v>2890</v>
      </c>
      <c r="BI57" s="7">
        <v>8.0</v>
      </c>
      <c r="BJ57" s="7" t="s">
        <v>2961</v>
      </c>
      <c r="BK57" s="7" t="s">
        <v>2938</v>
      </c>
      <c r="BL57" s="7" t="s">
        <v>2962</v>
      </c>
      <c r="BM57" s="7" t="s">
        <v>3973</v>
      </c>
      <c r="BN57" s="7">
        <v>3.1214981E7</v>
      </c>
      <c r="BO57" s="7" t="s">
        <v>3743</v>
      </c>
      <c r="BP57" s="7" t="s">
        <v>2890</v>
      </c>
      <c r="BQ57" s="7" t="s">
        <v>2890</v>
      </c>
      <c r="BR57" s="7" t="s">
        <v>2916</v>
      </c>
      <c r="BS57" s="7" t="s">
        <v>2613</v>
      </c>
      <c r="BT57" s="7" t="str">
        <f>HYPERLINK("https%3A%2F%2Fwww.webofscience.com%2Fwos%2Fwoscc%2Ffull-record%2FWOS:000512058200005","View Full Record in Web of Science")</f>
        <v>View Full Record in Web of Science</v>
      </c>
    </row>
    <row r="58" ht="12.75" customHeight="1">
      <c r="A58" s="7" t="s">
        <v>2888</v>
      </c>
      <c r="B58" s="7" t="s">
        <v>3974</v>
      </c>
      <c r="C58" s="7" t="s">
        <v>2890</v>
      </c>
      <c r="D58" s="7" t="s">
        <v>2890</v>
      </c>
      <c r="E58" s="7" t="s">
        <v>2890</v>
      </c>
      <c r="F58" s="7" t="s">
        <v>3975</v>
      </c>
      <c r="G58" s="7" t="s">
        <v>2890</v>
      </c>
      <c r="H58" s="7" t="s">
        <v>2890</v>
      </c>
      <c r="I58" s="7" t="s">
        <v>3976</v>
      </c>
      <c r="J58" s="7" t="s">
        <v>3977</v>
      </c>
      <c r="K58" s="7" t="s">
        <v>2890</v>
      </c>
      <c r="L58" s="7" t="s">
        <v>2890</v>
      </c>
      <c r="M58" s="7" t="s">
        <v>2893</v>
      </c>
      <c r="N58" s="7" t="s">
        <v>2894</v>
      </c>
      <c r="O58" s="7" t="s">
        <v>2890</v>
      </c>
      <c r="P58" s="7" t="s">
        <v>2890</v>
      </c>
      <c r="Q58" s="7" t="s">
        <v>2890</v>
      </c>
      <c r="R58" s="7" t="s">
        <v>2890</v>
      </c>
      <c r="S58" s="7" t="s">
        <v>2890</v>
      </c>
      <c r="T58" s="7" t="s">
        <v>3978</v>
      </c>
      <c r="U58" s="7" t="s">
        <v>3979</v>
      </c>
      <c r="V58" s="7" t="s">
        <v>3980</v>
      </c>
      <c r="W58" s="7" t="s">
        <v>3981</v>
      </c>
      <c r="X58" s="7" t="s">
        <v>3982</v>
      </c>
      <c r="Y58" s="7" t="s">
        <v>3983</v>
      </c>
      <c r="Z58" s="7" t="s">
        <v>3984</v>
      </c>
      <c r="AA58" s="7" t="s">
        <v>2890</v>
      </c>
      <c r="AB58" s="7" t="s">
        <v>3985</v>
      </c>
      <c r="AC58" s="7" t="s">
        <v>3986</v>
      </c>
      <c r="AD58" s="7" t="s">
        <v>3987</v>
      </c>
      <c r="AE58" s="7" t="s">
        <v>3988</v>
      </c>
      <c r="AF58" s="7" t="s">
        <v>2890</v>
      </c>
      <c r="AG58" s="7">
        <v>63.0</v>
      </c>
      <c r="AH58" s="7">
        <v>11.0</v>
      </c>
      <c r="AI58" s="7">
        <v>14.0</v>
      </c>
      <c r="AJ58" s="7">
        <v>3.0</v>
      </c>
      <c r="AK58" s="7">
        <v>30.0</v>
      </c>
      <c r="AL58" s="7" t="s">
        <v>3989</v>
      </c>
      <c r="AM58" s="7" t="s">
        <v>3990</v>
      </c>
      <c r="AN58" s="7" t="s">
        <v>3991</v>
      </c>
      <c r="AO58" s="7" t="s">
        <v>3992</v>
      </c>
      <c r="AP58" s="7" t="s">
        <v>2890</v>
      </c>
      <c r="AQ58" s="7" t="s">
        <v>2890</v>
      </c>
      <c r="AR58" s="7" t="s">
        <v>3993</v>
      </c>
      <c r="AS58" s="7" t="s">
        <v>3994</v>
      </c>
      <c r="AT58" s="7" t="s">
        <v>3083</v>
      </c>
      <c r="AU58" s="7">
        <v>2020.0</v>
      </c>
      <c r="AV58" s="7">
        <v>2.0</v>
      </c>
      <c r="AW58" s="7">
        <v>2.0</v>
      </c>
      <c r="AX58" s="7" t="s">
        <v>2890</v>
      </c>
      <c r="AY58" s="7" t="s">
        <v>2890</v>
      </c>
      <c r="AZ58" s="7" t="s">
        <v>2890</v>
      </c>
      <c r="BA58" s="7" t="s">
        <v>2890</v>
      </c>
      <c r="BB58" s="7" t="s">
        <v>2890</v>
      </c>
      <c r="BC58" s="7" t="s">
        <v>2890</v>
      </c>
      <c r="BD58" s="7">
        <v>21002.0</v>
      </c>
      <c r="BE58" s="7" t="s">
        <v>3995</v>
      </c>
      <c r="BF58" s="24" t="str">
        <f>HYPERLINK("http://dx.doi.org/10.1088/2515-7620/ab716c","http://dx.doi.org/10.1088/2515-7620/ab716c")</f>
        <v>http://dx.doi.org/10.1088/2515-7620/ab716c</v>
      </c>
      <c r="BG58" s="7" t="s">
        <v>2890</v>
      </c>
      <c r="BH58" s="7" t="s">
        <v>2890</v>
      </c>
      <c r="BI58" s="7">
        <v>12.0</v>
      </c>
      <c r="BJ58" s="7" t="s">
        <v>3007</v>
      </c>
      <c r="BK58" s="7" t="s">
        <v>2938</v>
      </c>
      <c r="BL58" s="7" t="s">
        <v>3008</v>
      </c>
      <c r="BM58" s="7" t="s">
        <v>3996</v>
      </c>
      <c r="BN58" s="7" t="s">
        <v>2890</v>
      </c>
      <c r="BO58" s="7" t="s">
        <v>3539</v>
      </c>
      <c r="BP58" s="7" t="s">
        <v>2890</v>
      </c>
      <c r="BQ58" s="7" t="s">
        <v>2890</v>
      </c>
      <c r="BR58" s="7" t="s">
        <v>2916</v>
      </c>
      <c r="BS58" s="7" t="s">
        <v>3997</v>
      </c>
      <c r="BT58" s="7" t="str">
        <f>HYPERLINK("https%3A%2F%2Fwww.webofscience.com%2Fwos%2Fwoscc%2Ffull-record%2FWOS:000579507000002","View Full Record in Web of Science")</f>
        <v>View Full Record in Web of Science</v>
      </c>
    </row>
    <row r="59" ht="12.75" customHeight="1">
      <c r="A59" s="7" t="s">
        <v>2888</v>
      </c>
      <c r="B59" s="7" t="s">
        <v>3998</v>
      </c>
      <c r="C59" s="7" t="s">
        <v>2890</v>
      </c>
      <c r="D59" s="7" t="s">
        <v>2890</v>
      </c>
      <c r="E59" s="7" t="s">
        <v>2890</v>
      </c>
      <c r="F59" s="7" t="s">
        <v>3999</v>
      </c>
      <c r="G59" s="7" t="s">
        <v>2890</v>
      </c>
      <c r="H59" s="7" t="s">
        <v>2890</v>
      </c>
      <c r="I59" s="7" t="s">
        <v>2699</v>
      </c>
      <c r="J59" s="7" t="s">
        <v>4000</v>
      </c>
      <c r="K59" s="7" t="s">
        <v>2890</v>
      </c>
      <c r="L59" s="7" t="s">
        <v>2890</v>
      </c>
      <c r="M59" s="7" t="s">
        <v>2893</v>
      </c>
      <c r="N59" s="7" t="s">
        <v>2894</v>
      </c>
      <c r="O59" s="7" t="s">
        <v>2890</v>
      </c>
      <c r="P59" s="7" t="s">
        <v>2890</v>
      </c>
      <c r="Q59" s="7" t="s">
        <v>2890</v>
      </c>
      <c r="R59" s="7" t="s">
        <v>2890</v>
      </c>
      <c r="S59" s="7" t="s">
        <v>2890</v>
      </c>
      <c r="T59" s="7" t="s">
        <v>4001</v>
      </c>
      <c r="U59" s="7" t="s">
        <v>4002</v>
      </c>
      <c r="V59" s="7" t="s">
        <v>2700</v>
      </c>
      <c r="W59" s="7" t="s">
        <v>4003</v>
      </c>
      <c r="X59" s="7" t="s">
        <v>4004</v>
      </c>
      <c r="Y59" s="7" t="s">
        <v>4005</v>
      </c>
      <c r="Z59" s="7" t="s">
        <v>4006</v>
      </c>
      <c r="AA59" s="7" t="s">
        <v>4007</v>
      </c>
      <c r="AB59" s="7" t="s">
        <v>4008</v>
      </c>
      <c r="AC59" s="7" t="s">
        <v>2890</v>
      </c>
      <c r="AD59" s="7" t="s">
        <v>2890</v>
      </c>
      <c r="AE59" s="7" t="s">
        <v>2890</v>
      </c>
      <c r="AF59" s="7" t="s">
        <v>2890</v>
      </c>
      <c r="AG59" s="7">
        <v>62.0</v>
      </c>
      <c r="AH59" s="7">
        <v>32.0</v>
      </c>
      <c r="AI59" s="7">
        <v>37.0</v>
      </c>
      <c r="AJ59" s="7">
        <v>1.0</v>
      </c>
      <c r="AK59" s="7">
        <v>24.0</v>
      </c>
      <c r="AL59" s="7" t="s">
        <v>4009</v>
      </c>
      <c r="AM59" s="7" t="s">
        <v>3161</v>
      </c>
      <c r="AN59" s="7" t="s">
        <v>4010</v>
      </c>
      <c r="AO59" s="7" t="s">
        <v>4011</v>
      </c>
      <c r="AP59" s="7" t="s">
        <v>4012</v>
      </c>
      <c r="AQ59" s="7" t="s">
        <v>2890</v>
      </c>
      <c r="AR59" s="7" t="s">
        <v>4013</v>
      </c>
      <c r="AS59" s="7" t="s">
        <v>4014</v>
      </c>
      <c r="AT59" s="7" t="s">
        <v>3031</v>
      </c>
      <c r="AU59" s="7">
        <v>2019.0</v>
      </c>
      <c r="AV59" s="7">
        <v>101.0</v>
      </c>
      <c r="AW59" s="7" t="s">
        <v>2890</v>
      </c>
      <c r="AX59" s="7" t="s">
        <v>2890</v>
      </c>
      <c r="AY59" s="7" t="s">
        <v>2890</v>
      </c>
      <c r="AZ59" s="7" t="s">
        <v>2890</v>
      </c>
      <c r="BA59" s="7" t="s">
        <v>2890</v>
      </c>
      <c r="BB59" s="7">
        <v>70.0</v>
      </c>
      <c r="BC59" s="7">
        <v>80.0</v>
      </c>
      <c r="BD59" s="7" t="s">
        <v>2890</v>
      </c>
      <c r="BE59" s="7" t="s">
        <v>2582</v>
      </c>
      <c r="BF59" s="24" t="str">
        <f>HYPERLINK("http://dx.doi.org/10.1016/j.forpol.2019.01.011","http://dx.doi.org/10.1016/j.forpol.2019.01.011")</f>
        <v>http://dx.doi.org/10.1016/j.forpol.2019.01.011</v>
      </c>
      <c r="BG59" s="7" t="s">
        <v>2890</v>
      </c>
      <c r="BH59" s="7" t="s">
        <v>2890</v>
      </c>
      <c r="BI59" s="7">
        <v>11.0</v>
      </c>
      <c r="BJ59" s="7" t="s">
        <v>4015</v>
      </c>
      <c r="BK59" s="7" t="s">
        <v>3283</v>
      </c>
      <c r="BL59" s="7" t="s">
        <v>4016</v>
      </c>
      <c r="BM59" s="7" t="s">
        <v>4017</v>
      </c>
      <c r="BN59" s="7" t="s">
        <v>2890</v>
      </c>
      <c r="BO59" s="7" t="s">
        <v>2890</v>
      </c>
      <c r="BP59" s="7" t="s">
        <v>2890</v>
      </c>
      <c r="BQ59" s="7" t="s">
        <v>2890</v>
      </c>
      <c r="BR59" s="7" t="s">
        <v>2916</v>
      </c>
      <c r="BS59" s="7" t="s">
        <v>2701</v>
      </c>
      <c r="BT59" s="7" t="str">
        <f>HYPERLINK("https%3A%2F%2Fwww.webofscience.com%2Fwos%2Fwoscc%2Ffull-record%2FWOS:000458806600007","View Full Record in Web of Science")</f>
        <v>View Full Record in Web of Science</v>
      </c>
    </row>
    <row r="60" ht="12.75" customHeight="1">
      <c r="A60" s="7" t="s">
        <v>2888</v>
      </c>
      <c r="B60" s="7" t="s">
        <v>4018</v>
      </c>
      <c r="C60" s="7" t="s">
        <v>2890</v>
      </c>
      <c r="D60" s="7" t="s">
        <v>2890</v>
      </c>
      <c r="E60" s="7" t="s">
        <v>2890</v>
      </c>
      <c r="F60" s="7" t="s">
        <v>4019</v>
      </c>
      <c r="G60" s="7" t="s">
        <v>2890</v>
      </c>
      <c r="H60" s="7" t="s">
        <v>2890</v>
      </c>
      <c r="I60" s="7" t="s">
        <v>4020</v>
      </c>
      <c r="J60" s="7" t="s">
        <v>4021</v>
      </c>
      <c r="K60" s="7" t="s">
        <v>2890</v>
      </c>
      <c r="L60" s="7" t="s">
        <v>2890</v>
      </c>
      <c r="M60" s="7" t="s">
        <v>2893</v>
      </c>
      <c r="N60" s="7" t="s">
        <v>2894</v>
      </c>
      <c r="O60" s="7" t="s">
        <v>2890</v>
      </c>
      <c r="P60" s="7" t="s">
        <v>2890</v>
      </c>
      <c r="Q60" s="7" t="s">
        <v>2890</v>
      </c>
      <c r="R60" s="7" t="s">
        <v>2890</v>
      </c>
      <c r="S60" s="7" t="s">
        <v>2890</v>
      </c>
      <c r="T60" s="7" t="s">
        <v>4022</v>
      </c>
      <c r="U60" s="7" t="s">
        <v>4023</v>
      </c>
      <c r="V60" s="7" t="s">
        <v>4024</v>
      </c>
      <c r="W60" s="7" t="s">
        <v>4025</v>
      </c>
      <c r="X60" s="7" t="s">
        <v>4026</v>
      </c>
      <c r="Y60" s="7" t="s">
        <v>4027</v>
      </c>
      <c r="Z60" s="7" t="s">
        <v>4028</v>
      </c>
      <c r="AA60" s="7" t="s">
        <v>4029</v>
      </c>
      <c r="AB60" s="7" t="s">
        <v>4030</v>
      </c>
      <c r="AC60" s="7" t="s">
        <v>4031</v>
      </c>
      <c r="AD60" s="7" t="s">
        <v>4032</v>
      </c>
      <c r="AE60" s="7" t="s">
        <v>4033</v>
      </c>
      <c r="AF60" s="7" t="s">
        <v>2890</v>
      </c>
      <c r="AG60" s="7">
        <v>84.0</v>
      </c>
      <c r="AH60" s="7">
        <v>30.0</v>
      </c>
      <c r="AI60" s="7">
        <v>36.0</v>
      </c>
      <c r="AJ60" s="7">
        <v>1.0</v>
      </c>
      <c r="AK60" s="7">
        <v>70.0</v>
      </c>
      <c r="AL60" s="7" t="s">
        <v>3160</v>
      </c>
      <c r="AM60" s="7" t="s">
        <v>3161</v>
      </c>
      <c r="AN60" s="7" t="s">
        <v>3162</v>
      </c>
      <c r="AO60" s="7" t="s">
        <v>4034</v>
      </c>
      <c r="AP60" s="7" t="s">
        <v>4035</v>
      </c>
      <c r="AQ60" s="7" t="s">
        <v>2890</v>
      </c>
      <c r="AR60" s="7" t="s">
        <v>4036</v>
      </c>
      <c r="AS60" s="7" t="s">
        <v>4037</v>
      </c>
      <c r="AT60" s="7" t="s">
        <v>3083</v>
      </c>
      <c r="AU60" s="7">
        <v>2019.0</v>
      </c>
      <c r="AV60" s="7">
        <v>74.0</v>
      </c>
      <c r="AW60" s="7" t="s">
        <v>2890</v>
      </c>
      <c r="AX60" s="7" t="s">
        <v>2890</v>
      </c>
      <c r="AY60" s="7" t="s">
        <v>2890</v>
      </c>
      <c r="AZ60" s="7" t="s">
        <v>2890</v>
      </c>
      <c r="BA60" s="7" t="s">
        <v>2890</v>
      </c>
      <c r="BB60" s="7">
        <v>169.0</v>
      </c>
      <c r="BC60" s="7">
        <v>179.0</v>
      </c>
      <c r="BD60" s="7" t="s">
        <v>2890</v>
      </c>
      <c r="BE60" s="7" t="s">
        <v>4038</v>
      </c>
      <c r="BF60" s="24" t="str">
        <f>HYPERLINK("http://dx.doi.org/10.1016/j.jag.2018.08.006","http://dx.doi.org/10.1016/j.jag.2018.08.006")</f>
        <v>http://dx.doi.org/10.1016/j.jag.2018.08.006</v>
      </c>
      <c r="BG60" s="7" t="s">
        <v>2890</v>
      </c>
      <c r="BH60" s="7" t="s">
        <v>2890</v>
      </c>
      <c r="BI60" s="7">
        <v>11.0</v>
      </c>
      <c r="BJ60" s="7" t="s">
        <v>4039</v>
      </c>
      <c r="BK60" s="7" t="s">
        <v>3283</v>
      </c>
      <c r="BL60" s="7" t="s">
        <v>4040</v>
      </c>
      <c r="BM60" s="7" t="s">
        <v>4041</v>
      </c>
      <c r="BN60" s="7" t="s">
        <v>2890</v>
      </c>
      <c r="BO60" s="7" t="s">
        <v>2941</v>
      </c>
      <c r="BP60" s="7" t="s">
        <v>2890</v>
      </c>
      <c r="BQ60" s="7" t="s">
        <v>2890</v>
      </c>
      <c r="BR60" s="7" t="s">
        <v>2916</v>
      </c>
      <c r="BS60" s="7" t="s">
        <v>4042</v>
      </c>
      <c r="BT60" s="7" t="str">
        <f>HYPERLINK("https%3A%2F%2Fwww.webofscience.com%2Fwos%2Fwoscc%2Ffull-record%2FWOS:000449126800016","View Full Record in Web of Science")</f>
        <v>View Full Record in Web of Science</v>
      </c>
    </row>
    <row r="61" ht="12.75" customHeight="1">
      <c r="A61" s="7" t="s">
        <v>2888</v>
      </c>
      <c r="B61" s="7" t="s">
        <v>4043</v>
      </c>
      <c r="C61" s="7" t="s">
        <v>2890</v>
      </c>
      <c r="D61" s="7" t="s">
        <v>2890</v>
      </c>
      <c r="E61" s="7" t="s">
        <v>2890</v>
      </c>
      <c r="F61" s="7" t="s">
        <v>4044</v>
      </c>
      <c r="G61" s="7" t="s">
        <v>2890</v>
      </c>
      <c r="H61" s="7" t="s">
        <v>2890</v>
      </c>
      <c r="I61" s="7" t="s">
        <v>2756</v>
      </c>
      <c r="J61" s="7" t="s">
        <v>4045</v>
      </c>
      <c r="K61" s="7" t="s">
        <v>2890</v>
      </c>
      <c r="L61" s="7" t="s">
        <v>2890</v>
      </c>
      <c r="M61" s="7" t="s">
        <v>2893</v>
      </c>
      <c r="N61" s="7" t="s">
        <v>2894</v>
      </c>
      <c r="O61" s="7" t="s">
        <v>2890</v>
      </c>
      <c r="P61" s="7" t="s">
        <v>2890</v>
      </c>
      <c r="Q61" s="7" t="s">
        <v>2890</v>
      </c>
      <c r="R61" s="7" t="s">
        <v>2890</v>
      </c>
      <c r="S61" s="7" t="s">
        <v>2890</v>
      </c>
      <c r="T61" s="7" t="s">
        <v>4046</v>
      </c>
      <c r="U61" s="7" t="s">
        <v>4047</v>
      </c>
      <c r="V61" s="7" t="s">
        <v>2757</v>
      </c>
      <c r="W61" s="7" t="s">
        <v>4048</v>
      </c>
      <c r="X61" s="7" t="s">
        <v>4049</v>
      </c>
      <c r="Y61" s="7" t="s">
        <v>4050</v>
      </c>
      <c r="Z61" s="7" t="s">
        <v>4051</v>
      </c>
      <c r="AA61" s="7" t="s">
        <v>4052</v>
      </c>
      <c r="AB61" s="7" t="s">
        <v>4053</v>
      </c>
      <c r="AC61" s="7" t="s">
        <v>4054</v>
      </c>
      <c r="AD61" s="7" t="s">
        <v>4055</v>
      </c>
      <c r="AE61" s="7" t="s">
        <v>4056</v>
      </c>
      <c r="AF61" s="7" t="s">
        <v>2890</v>
      </c>
      <c r="AG61" s="7">
        <v>85.0</v>
      </c>
      <c r="AH61" s="7">
        <v>68.0</v>
      </c>
      <c r="AI61" s="7">
        <v>73.0</v>
      </c>
      <c r="AJ61" s="7">
        <v>4.0</v>
      </c>
      <c r="AK61" s="7">
        <v>96.0</v>
      </c>
      <c r="AL61" s="7" t="s">
        <v>3024</v>
      </c>
      <c r="AM61" s="7" t="s">
        <v>3025</v>
      </c>
      <c r="AN61" s="7" t="s">
        <v>3026</v>
      </c>
      <c r="AO61" s="7" t="s">
        <v>4057</v>
      </c>
      <c r="AP61" s="7" t="s">
        <v>4058</v>
      </c>
      <c r="AQ61" s="7" t="s">
        <v>2890</v>
      </c>
      <c r="AR61" s="7" t="s">
        <v>4059</v>
      </c>
      <c r="AS61" s="7" t="s">
        <v>4060</v>
      </c>
      <c r="AT61" s="7" t="s">
        <v>3119</v>
      </c>
      <c r="AU61" s="7">
        <v>2019.0</v>
      </c>
      <c r="AV61" s="7">
        <v>29.0</v>
      </c>
      <c r="AW61" s="7">
        <v>1.0</v>
      </c>
      <c r="AX61" s="7" t="s">
        <v>2890</v>
      </c>
      <c r="AY61" s="7" t="s">
        <v>2890</v>
      </c>
      <c r="AZ61" s="7" t="s">
        <v>2890</v>
      </c>
      <c r="BA61" s="7" t="s">
        <v>2890</v>
      </c>
      <c r="BB61" s="7" t="s">
        <v>2890</v>
      </c>
      <c r="BC61" s="7" t="s">
        <v>2890</v>
      </c>
      <c r="BD61" s="7" t="s">
        <v>4061</v>
      </c>
      <c r="BE61" s="7" t="s">
        <v>2580</v>
      </c>
      <c r="BF61" s="24" t="str">
        <f>HYPERLINK("http://dx.doi.org/10.1002/eap.1809","http://dx.doi.org/10.1002/eap.1809")</f>
        <v>http://dx.doi.org/10.1002/eap.1809</v>
      </c>
      <c r="BG61" s="7" t="s">
        <v>2890</v>
      </c>
      <c r="BH61" s="7" t="s">
        <v>2890</v>
      </c>
      <c r="BI61" s="7">
        <v>14.0</v>
      </c>
      <c r="BJ61" s="7" t="s">
        <v>4062</v>
      </c>
      <c r="BK61" s="7" t="s">
        <v>2938</v>
      </c>
      <c r="BL61" s="7" t="s">
        <v>3008</v>
      </c>
      <c r="BM61" s="7" t="s">
        <v>4063</v>
      </c>
      <c r="BN61" s="7">
        <v>3.0325075E7</v>
      </c>
      <c r="BO61" s="7" t="s">
        <v>2890</v>
      </c>
      <c r="BP61" s="7" t="s">
        <v>2890</v>
      </c>
      <c r="BQ61" s="7" t="s">
        <v>2890</v>
      </c>
      <c r="BR61" s="7" t="s">
        <v>2916</v>
      </c>
      <c r="BS61" s="7" t="s">
        <v>2758</v>
      </c>
      <c r="BT61" s="7" t="str">
        <f>HYPERLINK("https%3A%2F%2Fwww.webofscience.com%2Fwos%2Fwoscc%2Ffull-record%2FWOS:000454685500019","View Full Record in Web of Science")</f>
        <v>View Full Record in Web of Science</v>
      </c>
    </row>
    <row r="62" ht="12.75" customHeight="1">
      <c r="A62" s="7" t="s">
        <v>2888</v>
      </c>
      <c r="B62" s="7" t="s">
        <v>4064</v>
      </c>
      <c r="C62" s="7" t="s">
        <v>2890</v>
      </c>
      <c r="D62" s="7" t="s">
        <v>2890</v>
      </c>
      <c r="E62" s="7" t="s">
        <v>2890</v>
      </c>
      <c r="F62" s="7" t="s">
        <v>4065</v>
      </c>
      <c r="G62" s="7" t="s">
        <v>2890</v>
      </c>
      <c r="H62" s="7" t="s">
        <v>2890</v>
      </c>
      <c r="I62" s="7" t="s">
        <v>126</v>
      </c>
      <c r="J62" s="7" t="s">
        <v>3386</v>
      </c>
      <c r="K62" s="7" t="s">
        <v>2890</v>
      </c>
      <c r="L62" s="7" t="s">
        <v>2890</v>
      </c>
      <c r="M62" s="7" t="s">
        <v>2893</v>
      </c>
      <c r="N62" s="7" t="s">
        <v>2894</v>
      </c>
      <c r="O62" s="7" t="s">
        <v>2890</v>
      </c>
      <c r="P62" s="7" t="s">
        <v>2890</v>
      </c>
      <c r="Q62" s="7" t="s">
        <v>2890</v>
      </c>
      <c r="R62" s="7" t="s">
        <v>2890</v>
      </c>
      <c r="S62" s="7" t="s">
        <v>2890</v>
      </c>
      <c r="T62" s="7" t="s">
        <v>4066</v>
      </c>
      <c r="U62" s="7" t="s">
        <v>4067</v>
      </c>
      <c r="V62" s="7" t="s">
        <v>2759</v>
      </c>
      <c r="W62" s="7" t="s">
        <v>4068</v>
      </c>
      <c r="X62" s="7" t="s">
        <v>4069</v>
      </c>
      <c r="Y62" s="7" t="s">
        <v>4070</v>
      </c>
      <c r="Z62" s="7" t="s">
        <v>4071</v>
      </c>
      <c r="AA62" s="7" t="s">
        <v>4072</v>
      </c>
      <c r="AB62" s="7" t="s">
        <v>4073</v>
      </c>
      <c r="AC62" s="7" t="s">
        <v>2890</v>
      </c>
      <c r="AD62" s="7" t="s">
        <v>2890</v>
      </c>
      <c r="AE62" s="7" t="s">
        <v>2890</v>
      </c>
      <c r="AF62" s="7" t="s">
        <v>2890</v>
      </c>
      <c r="AG62" s="7">
        <v>44.0</v>
      </c>
      <c r="AH62" s="7">
        <v>16.0</v>
      </c>
      <c r="AI62" s="7">
        <v>18.0</v>
      </c>
      <c r="AJ62" s="7">
        <v>0.0</v>
      </c>
      <c r="AK62" s="7">
        <v>14.0</v>
      </c>
      <c r="AL62" s="7" t="s">
        <v>4009</v>
      </c>
      <c r="AM62" s="7" t="s">
        <v>3161</v>
      </c>
      <c r="AN62" s="7" t="s">
        <v>4010</v>
      </c>
      <c r="AO62" s="7" t="s">
        <v>3399</v>
      </c>
      <c r="AP62" s="7" t="s">
        <v>2890</v>
      </c>
      <c r="AQ62" s="7" t="s">
        <v>2890</v>
      </c>
      <c r="AR62" s="7" t="s">
        <v>3400</v>
      </c>
      <c r="AS62" s="7" t="s">
        <v>3401</v>
      </c>
      <c r="AT62" s="7" t="s">
        <v>3167</v>
      </c>
      <c r="AU62" s="7">
        <v>2018.0</v>
      </c>
      <c r="AV62" s="7">
        <v>16.0</v>
      </c>
      <c r="AW62" s="7" t="s">
        <v>2890</v>
      </c>
      <c r="AX62" s="7" t="s">
        <v>2890</v>
      </c>
      <c r="AY62" s="7" t="s">
        <v>2890</v>
      </c>
      <c r="AZ62" s="7" t="s">
        <v>2890</v>
      </c>
      <c r="BA62" s="7" t="s">
        <v>2890</v>
      </c>
      <c r="BB62" s="7" t="s">
        <v>2890</v>
      </c>
      <c r="BC62" s="7" t="s">
        <v>2890</v>
      </c>
      <c r="BD62" s="7" t="s">
        <v>4074</v>
      </c>
      <c r="BE62" s="7" t="s">
        <v>2581</v>
      </c>
      <c r="BF62" s="24" t="str">
        <f>HYPERLINK("http://dx.doi.org/10.1016/j.gecco.2018.e00497","http://dx.doi.org/10.1016/j.gecco.2018.e00497")</f>
        <v>http://dx.doi.org/10.1016/j.gecco.2018.e00497</v>
      </c>
      <c r="BG62" s="7" t="s">
        <v>2890</v>
      </c>
      <c r="BH62" s="7" t="s">
        <v>2890</v>
      </c>
      <c r="BI62" s="7">
        <v>8.0</v>
      </c>
      <c r="BJ62" s="7" t="s">
        <v>3085</v>
      </c>
      <c r="BK62" s="7" t="s">
        <v>2938</v>
      </c>
      <c r="BL62" s="7" t="s">
        <v>3034</v>
      </c>
      <c r="BM62" s="7" t="s">
        <v>4075</v>
      </c>
      <c r="BN62" s="7" t="s">
        <v>2890</v>
      </c>
      <c r="BO62" s="7" t="s">
        <v>2988</v>
      </c>
      <c r="BP62" s="7" t="s">
        <v>2890</v>
      </c>
      <c r="BQ62" s="7" t="s">
        <v>2890</v>
      </c>
      <c r="BR62" s="7" t="s">
        <v>2916</v>
      </c>
      <c r="BS62" s="7" t="s">
        <v>2760</v>
      </c>
      <c r="BT62" s="7" t="str">
        <f>HYPERLINK("https%3A%2F%2Fwww.webofscience.com%2Fwos%2Fwoscc%2Ffull-record%2FWOS:000454994500055","View Full Record in Web of Science")</f>
        <v>View Full Record in Web of Science</v>
      </c>
    </row>
    <row r="63" ht="12.75" customHeight="1">
      <c r="A63" s="7" t="s">
        <v>2888</v>
      </c>
      <c r="B63" s="7" t="s">
        <v>4076</v>
      </c>
      <c r="C63" s="7" t="s">
        <v>2890</v>
      </c>
      <c r="D63" s="7" t="s">
        <v>2890</v>
      </c>
      <c r="E63" s="7" t="s">
        <v>2890</v>
      </c>
      <c r="F63" s="7" t="s">
        <v>4077</v>
      </c>
      <c r="G63" s="7" t="s">
        <v>2890</v>
      </c>
      <c r="H63" s="7" t="s">
        <v>2890</v>
      </c>
      <c r="I63" s="7" t="s">
        <v>2783</v>
      </c>
      <c r="J63" s="7" t="s">
        <v>3425</v>
      </c>
      <c r="K63" s="7" t="s">
        <v>2890</v>
      </c>
      <c r="L63" s="7" t="s">
        <v>2890</v>
      </c>
      <c r="M63" s="7" t="s">
        <v>2893</v>
      </c>
      <c r="N63" s="7" t="s">
        <v>2894</v>
      </c>
      <c r="O63" s="7" t="s">
        <v>2890</v>
      </c>
      <c r="P63" s="7" t="s">
        <v>2890</v>
      </c>
      <c r="Q63" s="7" t="s">
        <v>2890</v>
      </c>
      <c r="R63" s="7" t="s">
        <v>2890</v>
      </c>
      <c r="S63" s="7" t="s">
        <v>2890</v>
      </c>
      <c r="T63" s="7" t="s">
        <v>4078</v>
      </c>
      <c r="U63" s="7" t="s">
        <v>4079</v>
      </c>
      <c r="V63" s="7" t="s">
        <v>2784</v>
      </c>
      <c r="W63" s="7" t="s">
        <v>4080</v>
      </c>
      <c r="X63" s="7" t="s">
        <v>4081</v>
      </c>
      <c r="Y63" s="7" t="s">
        <v>4082</v>
      </c>
      <c r="Z63" s="7" t="s">
        <v>4083</v>
      </c>
      <c r="AA63" s="7" t="s">
        <v>4084</v>
      </c>
      <c r="AB63" s="7" t="s">
        <v>4085</v>
      </c>
      <c r="AC63" s="7" t="s">
        <v>4086</v>
      </c>
      <c r="AD63" s="7" t="s">
        <v>4087</v>
      </c>
      <c r="AE63" s="7" t="s">
        <v>4088</v>
      </c>
      <c r="AF63" s="7" t="s">
        <v>2890</v>
      </c>
      <c r="AG63" s="7">
        <v>52.0</v>
      </c>
      <c r="AH63" s="7">
        <v>49.0</v>
      </c>
      <c r="AI63" s="7">
        <v>54.0</v>
      </c>
      <c r="AJ63" s="7">
        <v>3.0</v>
      </c>
      <c r="AK63" s="7">
        <v>60.0</v>
      </c>
      <c r="AL63" s="7" t="s">
        <v>3435</v>
      </c>
      <c r="AM63" s="7" t="s">
        <v>3436</v>
      </c>
      <c r="AN63" s="7" t="s">
        <v>3437</v>
      </c>
      <c r="AO63" s="7" t="s">
        <v>3438</v>
      </c>
      <c r="AP63" s="7" t="s">
        <v>3439</v>
      </c>
      <c r="AQ63" s="7" t="s">
        <v>2890</v>
      </c>
      <c r="AR63" s="7" t="s">
        <v>3440</v>
      </c>
      <c r="AS63" s="7" t="s">
        <v>3441</v>
      </c>
      <c r="AT63" s="7" t="s">
        <v>4089</v>
      </c>
      <c r="AU63" s="7">
        <v>2018.0</v>
      </c>
      <c r="AV63" s="7">
        <v>218.0</v>
      </c>
      <c r="AW63" s="7" t="s">
        <v>2890</v>
      </c>
      <c r="AX63" s="7" t="s">
        <v>2890</v>
      </c>
      <c r="AY63" s="7" t="s">
        <v>2890</v>
      </c>
      <c r="AZ63" s="7" t="s">
        <v>2890</v>
      </c>
      <c r="BA63" s="7" t="s">
        <v>2890</v>
      </c>
      <c r="BB63" s="7">
        <v>79.0</v>
      </c>
      <c r="BC63" s="7">
        <v>87.0</v>
      </c>
      <c r="BD63" s="7" t="s">
        <v>2890</v>
      </c>
      <c r="BE63" s="7" t="s">
        <v>2579</v>
      </c>
      <c r="BF63" s="24" t="str">
        <f>HYPERLINK("http://dx.doi.org/10.1016/j.jenvman.2018.04.004","http://dx.doi.org/10.1016/j.jenvman.2018.04.004")</f>
        <v>http://dx.doi.org/10.1016/j.jenvman.2018.04.004</v>
      </c>
      <c r="BG63" s="7" t="s">
        <v>2890</v>
      </c>
      <c r="BH63" s="7" t="s">
        <v>2890</v>
      </c>
      <c r="BI63" s="7">
        <v>9.0</v>
      </c>
      <c r="BJ63" s="7" t="s">
        <v>3007</v>
      </c>
      <c r="BK63" s="7" t="s">
        <v>3283</v>
      </c>
      <c r="BL63" s="7" t="s">
        <v>3008</v>
      </c>
      <c r="BM63" s="7" t="s">
        <v>4090</v>
      </c>
      <c r="BN63" s="7">
        <v>2.9665489E7</v>
      </c>
      <c r="BO63" s="7" t="s">
        <v>4091</v>
      </c>
      <c r="BP63" s="7" t="s">
        <v>2890</v>
      </c>
      <c r="BQ63" s="7" t="s">
        <v>2890</v>
      </c>
      <c r="BR63" s="7" t="s">
        <v>2916</v>
      </c>
      <c r="BS63" s="7" t="s">
        <v>2785</v>
      </c>
      <c r="BT63" s="7" t="str">
        <f>HYPERLINK("https%3A%2F%2Fwww.webofscience.com%2Fwos%2Fwoscc%2Ffull-record%2FWOS:000433649800008","View Full Record in Web of Science")</f>
        <v>View Full Record in Web of Science</v>
      </c>
    </row>
    <row r="64" ht="12.75" customHeight="1">
      <c r="A64" s="7" t="s">
        <v>2888</v>
      </c>
      <c r="B64" s="7" t="s">
        <v>4092</v>
      </c>
      <c r="C64" s="7" t="s">
        <v>2890</v>
      </c>
      <c r="D64" s="7" t="s">
        <v>2890</v>
      </c>
      <c r="E64" s="7" t="s">
        <v>2890</v>
      </c>
      <c r="F64" s="7" t="s">
        <v>4093</v>
      </c>
      <c r="G64" s="7" t="s">
        <v>2890</v>
      </c>
      <c r="H64" s="7" t="s">
        <v>2890</v>
      </c>
      <c r="I64" s="7" t="s">
        <v>4094</v>
      </c>
      <c r="J64" s="7" t="s">
        <v>3652</v>
      </c>
      <c r="K64" s="7" t="s">
        <v>2890</v>
      </c>
      <c r="L64" s="7" t="s">
        <v>2890</v>
      </c>
      <c r="M64" s="7" t="s">
        <v>2893</v>
      </c>
      <c r="N64" s="7" t="s">
        <v>2894</v>
      </c>
      <c r="O64" s="7" t="s">
        <v>2890</v>
      </c>
      <c r="P64" s="7" t="s">
        <v>2890</v>
      </c>
      <c r="Q64" s="7" t="s">
        <v>2890</v>
      </c>
      <c r="R64" s="7" t="s">
        <v>2890</v>
      </c>
      <c r="S64" s="7" t="s">
        <v>2890</v>
      </c>
      <c r="T64" s="7" t="s">
        <v>4095</v>
      </c>
      <c r="U64" s="7" t="s">
        <v>4096</v>
      </c>
      <c r="V64" s="7" t="s">
        <v>4097</v>
      </c>
      <c r="W64" s="7" t="s">
        <v>4098</v>
      </c>
      <c r="X64" s="7" t="s">
        <v>4099</v>
      </c>
      <c r="Y64" s="7" t="s">
        <v>4100</v>
      </c>
      <c r="Z64" s="7" t="s">
        <v>4101</v>
      </c>
      <c r="AA64" s="7" t="s">
        <v>4102</v>
      </c>
      <c r="AB64" s="7" t="s">
        <v>4103</v>
      </c>
      <c r="AC64" s="7" t="s">
        <v>2890</v>
      </c>
      <c r="AD64" s="7" t="s">
        <v>2890</v>
      </c>
      <c r="AE64" s="7" t="s">
        <v>2890</v>
      </c>
      <c r="AF64" s="7" t="s">
        <v>2890</v>
      </c>
      <c r="AG64" s="7">
        <v>46.0</v>
      </c>
      <c r="AH64" s="7">
        <v>87.0</v>
      </c>
      <c r="AI64" s="7">
        <v>101.0</v>
      </c>
      <c r="AJ64" s="7">
        <v>7.0</v>
      </c>
      <c r="AK64" s="7">
        <v>122.0</v>
      </c>
      <c r="AL64" s="7" t="s">
        <v>2905</v>
      </c>
      <c r="AM64" s="7" t="s">
        <v>2906</v>
      </c>
      <c r="AN64" s="7" t="s">
        <v>2907</v>
      </c>
      <c r="AO64" s="7" t="s">
        <v>3664</v>
      </c>
      <c r="AP64" s="7" t="s">
        <v>3665</v>
      </c>
      <c r="AQ64" s="7" t="s">
        <v>2890</v>
      </c>
      <c r="AR64" s="7" t="s">
        <v>3666</v>
      </c>
      <c r="AS64" s="7" t="s">
        <v>3667</v>
      </c>
      <c r="AT64" s="7" t="s">
        <v>3238</v>
      </c>
      <c r="AU64" s="7">
        <v>2018.0</v>
      </c>
      <c r="AV64" s="7">
        <v>223.0</v>
      </c>
      <c r="AW64" s="7" t="s">
        <v>2890</v>
      </c>
      <c r="AX64" s="7" t="s">
        <v>2890</v>
      </c>
      <c r="AY64" s="7" t="s">
        <v>2890</v>
      </c>
      <c r="AZ64" s="7" t="s">
        <v>2890</v>
      </c>
      <c r="BA64" s="7" t="s">
        <v>2890</v>
      </c>
      <c r="BB64" s="7">
        <v>97.0</v>
      </c>
      <c r="BC64" s="7">
        <v>103.0</v>
      </c>
      <c r="BD64" s="7" t="s">
        <v>2890</v>
      </c>
      <c r="BE64" s="7" t="s">
        <v>4104</v>
      </c>
      <c r="BF64" s="24" t="str">
        <f>HYPERLINK("http://dx.doi.org/10.1016/j.biocon.2018.04.018","http://dx.doi.org/10.1016/j.biocon.2018.04.018")</f>
        <v>http://dx.doi.org/10.1016/j.biocon.2018.04.018</v>
      </c>
      <c r="BG64" s="7" t="s">
        <v>2890</v>
      </c>
      <c r="BH64" s="7" t="s">
        <v>2890</v>
      </c>
      <c r="BI64" s="7">
        <v>7.0</v>
      </c>
      <c r="BJ64" s="7" t="s">
        <v>3033</v>
      </c>
      <c r="BK64" s="7" t="s">
        <v>2938</v>
      </c>
      <c r="BL64" s="7" t="s">
        <v>3034</v>
      </c>
      <c r="BM64" s="7" t="s">
        <v>4105</v>
      </c>
      <c r="BN64" s="7" t="s">
        <v>2890</v>
      </c>
      <c r="BO64" s="7" t="s">
        <v>2890</v>
      </c>
      <c r="BP64" s="7" t="s">
        <v>2890</v>
      </c>
      <c r="BQ64" s="7" t="s">
        <v>2890</v>
      </c>
      <c r="BR64" s="7" t="s">
        <v>2916</v>
      </c>
      <c r="BS64" s="7" t="s">
        <v>4106</v>
      </c>
      <c r="BT64" s="7" t="str">
        <f>HYPERLINK("https%3A%2F%2Fwww.webofscience.com%2Fwos%2Fwoscc%2Ffull-record%2FWOS:000435061700010","View Full Record in Web of Science")</f>
        <v>View Full Record in Web of Science</v>
      </c>
    </row>
    <row r="65" ht="12.75" customHeight="1">
      <c r="A65" s="7" t="s">
        <v>2888</v>
      </c>
      <c r="B65" s="7" t="s">
        <v>4107</v>
      </c>
      <c r="C65" s="7" t="s">
        <v>2890</v>
      </c>
      <c r="D65" s="7" t="s">
        <v>2890</v>
      </c>
      <c r="E65" s="7" t="s">
        <v>2890</v>
      </c>
      <c r="F65" s="7" t="s">
        <v>4108</v>
      </c>
      <c r="G65" s="7" t="s">
        <v>2890</v>
      </c>
      <c r="H65" s="7" t="s">
        <v>2890</v>
      </c>
      <c r="I65" s="7" t="s">
        <v>2702</v>
      </c>
      <c r="J65" s="7" t="s">
        <v>3652</v>
      </c>
      <c r="K65" s="7" t="s">
        <v>2890</v>
      </c>
      <c r="L65" s="7" t="s">
        <v>2890</v>
      </c>
      <c r="M65" s="7" t="s">
        <v>2893</v>
      </c>
      <c r="N65" s="7" t="s">
        <v>2894</v>
      </c>
      <c r="O65" s="7" t="s">
        <v>2890</v>
      </c>
      <c r="P65" s="7" t="s">
        <v>2890</v>
      </c>
      <c r="Q65" s="7" t="s">
        <v>2890</v>
      </c>
      <c r="R65" s="7" t="s">
        <v>2890</v>
      </c>
      <c r="S65" s="7" t="s">
        <v>2890</v>
      </c>
      <c r="T65" s="7" t="s">
        <v>4109</v>
      </c>
      <c r="U65" s="7" t="s">
        <v>4110</v>
      </c>
      <c r="V65" s="7" t="s">
        <v>2703</v>
      </c>
      <c r="W65" s="7" t="s">
        <v>4111</v>
      </c>
      <c r="X65" s="7" t="s">
        <v>4112</v>
      </c>
      <c r="Y65" s="7" t="s">
        <v>4113</v>
      </c>
      <c r="Z65" s="7" t="s">
        <v>4114</v>
      </c>
      <c r="AA65" s="7" t="s">
        <v>4115</v>
      </c>
      <c r="AB65" s="7" t="s">
        <v>4116</v>
      </c>
      <c r="AC65" s="7" t="s">
        <v>4117</v>
      </c>
      <c r="AD65" s="7" t="s">
        <v>4118</v>
      </c>
      <c r="AE65" s="7" t="s">
        <v>4119</v>
      </c>
      <c r="AF65" s="7" t="s">
        <v>2890</v>
      </c>
      <c r="AG65" s="7">
        <v>58.0</v>
      </c>
      <c r="AH65" s="7">
        <v>79.0</v>
      </c>
      <c r="AI65" s="7">
        <v>92.0</v>
      </c>
      <c r="AJ65" s="7">
        <v>2.0</v>
      </c>
      <c r="AK65" s="7">
        <v>52.0</v>
      </c>
      <c r="AL65" s="7" t="s">
        <v>2905</v>
      </c>
      <c r="AM65" s="7" t="s">
        <v>2906</v>
      </c>
      <c r="AN65" s="7" t="s">
        <v>2907</v>
      </c>
      <c r="AO65" s="7" t="s">
        <v>3664</v>
      </c>
      <c r="AP65" s="7" t="s">
        <v>3665</v>
      </c>
      <c r="AQ65" s="7" t="s">
        <v>2890</v>
      </c>
      <c r="AR65" s="7" t="s">
        <v>3666</v>
      </c>
      <c r="AS65" s="7" t="s">
        <v>3667</v>
      </c>
      <c r="AT65" s="7" t="s">
        <v>3258</v>
      </c>
      <c r="AU65" s="7">
        <v>2018.0</v>
      </c>
      <c r="AV65" s="7">
        <v>221.0</v>
      </c>
      <c r="AW65" s="7" t="s">
        <v>2890</v>
      </c>
      <c r="AX65" s="7" t="s">
        <v>2890</v>
      </c>
      <c r="AY65" s="7" t="s">
        <v>2890</v>
      </c>
      <c r="AZ65" s="7" t="s">
        <v>2890</v>
      </c>
      <c r="BA65" s="7" t="s">
        <v>2890</v>
      </c>
      <c r="BB65" s="7">
        <v>237.0</v>
      </c>
      <c r="BC65" s="7">
        <v>245.0</v>
      </c>
      <c r="BD65" s="7" t="s">
        <v>2890</v>
      </c>
      <c r="BE65" s="7" t="s">
        <v>2578</v>
      </c>
      <c r="BF65" s="24" t="str">
        <f>HYPERLINK("http://dx.doi.org/10.1016/j.biocon.2018.03.013","http://dx.doi.org/10.1016/j.biocon.2018.03.013")</f>
        <v>http://dx.doi.org/10.1016/j.biocon.2018.03.013</v>
      </c>
      <c r="BG65" s="7" t="s">
        <v>2890</v>
      </c>
      <c r="BH65" s="7" t="s">
        <v>2890</v>
      </c>
      <c r="BI65" s="7">
        <v>9.0</v>
      </c>
      <c r="BJ65" s="7" t="s">
        <v>3033</v>
      </c>
      <c r="BK65" s="7" t="s">
        <v>3283</v>
      </c>
      <c r="BL65" s="7" t="s">
        <v>3034</v>
      </c>
      <c r="BM65" s="7" t="s">
        <v>4120</v>
      </c>
      <c r="BN65" s="7" t="s">
        <v>2890</v>
      </c>
      <c r="BO65" s="7" t="s">
        <v>3087</v>
      </c>
      <c r="BP65" s="7" t="s">
        <v>2890</v>
      </c>
      <c r="BQ65" s="7" t="s">
        <v>2890</v>
      </c>
      <c r="BR65" s="7" t="s">
        <v>2916</v>
      </c>
      <c r="BS65" s="7" t="s">
        <v>2704</v>
      </c>
      <c r="BT65" s="7" t="str">
        <f>HYPERLINK("https%3A%2F%2Fwww.webofscience.com%2Fwos%2Fwoscc%2Ffull-record%2FWOS:000431837800026","View Full Record in Web of Science")</f>
        <v>View Full Record in Web of Science</v>
      </c>
    </row>
    <row r="66" ht="12.75" customHeight="1">
      <c r="A66" s="7" t="s">
        <v>2888</v>
      </c>
      <c r="B66" s="7" t="s">
        <v>4121</v>
      </c>
      <c r="C66" s="7" t="s">
        <v>2890</v>
      </c>
      <c r="D66" s="7" t="s">
        <v>2890</v>
      </c>
      <c r="E66" s="7" t="s">
        <v>2890</v>
      </c>
      <c r="F66" s="7" t="s">
        <v>4122</v>
      </c>
      <c r="G66" s="7" t="s">
        <v>2890</v>
      </c>
      <c r="H66" s="7" t="s">
        <v>2890</v>
      </c>
      <c r="I66" s="7" t="s">
        <v>171</v>
      </c>
      <c r="J66" s="7" t="s">
        <v>4123</v>
      </c>
      <c r="K66" s="7" t="s">
        <v>2890</v>
      </c>
      <c r="L66" s="7" t="s">
        <v>2890</v>
      </c>
      <c r="M66" s="7" t="s">
        <v>2893</v>
      </c>
      <c r="N66" s="7" t="s">
        <v>2894</v>
      </c>
      <c r="O66" s="7" t="s">
        <v>2890</v>
      </c>
      <c r="P66" s="7" t="s">
        <v>2890</v>
      </c>
      <c r="Q66" s="7" t="s">
        <v>2890</v>
      </c>
      <c r="R66" s="7" t="s">
        <v>2890</v>
      </c>
      <c r="S66" s="7" t="s">
        <v>2890</v>
      </c>
      <c r="T66" s="7" t="s">
        <v>4124</v>
      </c>
      <c r="U66" s="7" t="s">
        <v>4125</v>
      </c>
      <c r="V66" s="7" t="s">
        <v>2652</v>
      </c>
      <c r="W66" s="7" t="s">
        <v>4126</v>
      </c>
      <c r="X66" s="7" t="s">
        <v>4127</v>
      </c>
      <c r="Y66" s="7" t="s">
        <v>4128</v>
      </c>
      <c r="Z66" s="7" t="s">
        <v>4129</v>
      </c>
      <c r="AA66" s="7" t="s">
        <v>4130</v>
      </c>
      <c r="AB66" s="7" t="s">
        <v>4131</v>
      </c>
      <c r="AC66" s="7" t="s">
        <v>4132</v>
      </c>
      <c r="AD66" s="7" t="s">
        <v>4133</v>
      </c>
      <c r="AE66" s="7" t="s">
        <v>4134</v>
      </c>
      <c r="AF66" s="7" t="s">
        <v>2890</v>
      </c>
      <c r="AG66" s="7">
        <v>69.0</v>
      </c>
      <c r="AH66" s="7">
        <v>146.0</v>
      </c>
      <c r="AI66" s="7">
        <v>182.0</v>
      </c>
      <c r="AJ66" s="7">
        <v>7.0</v>
      </c>
      <c r="AK66" s="7">
        <v>330.0</v>
      </c>
      <c r="AL66" s="7" t="s">
        <v>3160</v>
      </c>
      <c r="AM66" s="7" t="s">
        <v>3161</v>
      </c>
      <c r="AN66" s="7" t="s">
        <v>3162</v>
      </c>
      <c r="AO66" s="7" t="s">
        <v>4135</v>
      </c>
      <c r="AP66" s="7" t="s">
        <v>4136</v>
      </c>
      <c r="AQ66" s="7" t="s">
        <v>2890</v>
      </c>
      <c r="AR66" s="7" t="s">
        <v>4137</v>
      </c>
      <c r="AS66" s="7" t="s">
        <v>4138</v>
      </c>
      <c r="AT66" s="7" t="s">
        <v>3442</v>
      </c>
      <c r="AU66" s="7">
        <v>2018.0</v>
      </c>
      <c r="AV66" s="7">
        <v>621.0</v>
      </c>
      <c r="AW66" s="7" t="s">
        <v>2890</v>
      </c>
      <c r="AX66" s="7" t="s">
        <v>2890</v>
      </c>
      <c r="AY66" s="7" t="s">
        <v>2890</v>
      </c>
      <c r="AZ66" s="7" t="s">
        <v>2890</v>
      </c>
      <c r="BA66" s="7" t="s">
        <v>2890</v>
      </c>
      <c r="BB66" s="7">
        <v>18.0</v>
      </c>
      <c r="BC66" s="7">
        <v>29.0</v>
      </c>
      <c r="BD66" s="7" t="s">
        <v>2890</v>
      </c>
      <c r="BE66" s="7" t="s">
        <v>2577</v>
      </c>
      <c r="BF66" s="24" t="str">
        <f>HYPERLINK("http://dx.doi.org/10.1016/j.scitotenv.2017.11.216","http://dx.doi.org/10.1016/j.scitotenv.2017.11.216")</f>
        <v>http://dx.doi.org/10.1016/j.scitotenv.2017.11.216</v>
      </c>
      <c r="BG66" s="7" t="s">
        <v>2890</v>
      </c>
      <c r="BH66" s="7" t="s">
        <v>2890</v>
      </c>
      <c r="BI66" s="7">
        <v>12.0</v>
      </c>
      <c r="BJ66" s="7" t="s">
        <v>3007</v>
      </c>
      <c r="BK66" s="7" t="s">
        <v>2938</v>
      </c>
      <c r="BL66" s="7" t="s">
        <v>3008</v>
      </c>
      <c r="BM66" s="7" t="s">
        <v>4139</v>
      </c>
      <c r="BN66" s="7">
        <v>2.9175618E7</v>
      </c>
      <c r="BO66" s="7" t="s">
        <v>2890</v>
      </c>
      <c r="BP66" s="7" t="s">
        <v>2890</v>
      </c>
      <c r="BQ66" s="7" t="s">
        <v>2890</v>
      </c>
      <c r="BR66" s="7" t="s">
        <v>2916</v>
      </c>
      <c r="BS66" s="7" t="s">
        <v>2653</v>
      </c>
      <c r="BT66" s="7" t="str">
        <f>HYPERLINK("https%3A%2F%2Fwww.webofscience.com%2Fwos%2Fwoscc%2Ffull-record%2FWOS:000424196800003","View Full Record in Web of Science")</f>
        <v>View Full Record in Web of Science</v>
      </c>
    </row>
    <row r="67" ht="12.75" customHeight="1">
      <c r="A67" s="7" t="s">
        <v>2888</v>
      </c>
      <c r="B67" s="7" t="s">
        <v>4140</v>
      </c>
      <c r="C67" s="7" t="s">
        <v>2890</v>
      </c>
      <c r="D67" s="7" t="s">
        <v>2890</v>
      </c>
      <c r="E67" s="7" t="s">
        <v>2890</v>
      </c>
      <c r="F67" s="7" t="s">
        <v>4141</v>
      </c>
      <c r="G67" s="7" t="s">
        <v>2890</v>
      </c>
      <c r="H67" s="7" t="s">
        <v>2890</v>
      </c>
      <c r="I67" s="7" t="s">
        <v>4142</v>
      </c>
      <c r="J67" s="7" t="s">
        <v>3174</v>
      </c>
      <c r="K67" s="7" t="s">
        <v>2890</v>
      </c>
      <c r="L67" s="7" t="s">
        <v>2890</v>
      </c>
      <c r="M67" s="7" t="s">
        <v>2893</v>
      </c>
      <c r="N67" s="7" t="s">
        <v>2894</v>
      </c>
      <c r="O67" s="7" t="s">
        <v>2890</v>
      </c>
      <c r="P67" s="7" t="s">
        <v>2890</v>
      </c>
      <c r="Q67" s="7" t="s">
        <v>2890</v>
      </c>
      <c r="R67" s="7" t="s">
        <v>2890</v>
      </c>
      <c r="S67" s="7" t="s">
        <v>2890</v>
      </c>
      <c r="T67" s="7" t="s">
        <v>4143</v>
      </c>
      <c r="U67" s="7" t="s">
        <v>4144</v>
      </c>
      <c r="V67" s="7" t="s">
        <v>4145</v>
      </c>
      <c r="W67" s="7" t="s">
        <v>4146</v>
      </c>
      <c r="X67" s="7" t="s">
        <v>4147</v>
      </c>
      <c r="Y67" s="7" t="s">
        <v>4148</v>
      </c>
      <c r="Z67" s="7" t="s">
        <v>4149</v>
      </c>
      <c r="AA67" s="7" t="s">
        <v>4150</v>
      </c>
      <c r="AB67" s="7" t="s">
        <v>4151</v>
      </c>
      <c r="AC67" s="7" t="s">
        <v>4152</v>
      </c>
      <c r="AD67" s="7" t="s">
        <v>4153</v>
      </c>
      <c r="AE67" s="7" t="s">
        <v>4154</v>
      </c>
      <c r="AF67" s="7" t="s">
        <v>2890</v>
      </c>
      <c r="AG67" s="7">
        <v>49.0</v>
      </c>
      <c r="AH67" s="7">
        <v>6.0</v>
      </c>
      <c r="AI67" s="7">
        <v>10.0</v>
      </c>
      <c r="AJ67" s="7">
        <v>0.0</v>
      </c>
      <c r="AK67" s="7">
        <v>30.0</v>
      </c>
      <c r="AL67" s="7" t="s">
        <v>3186</v>
      </c>
      <c r="AM67" s="7" t="s">
        <v>3187</v>
      </c>
      <c r="AN67" s="7" t="s">
        <v>3188</v>
      </c>
      <c r="AO67" s="7" t="s">
        <v>3189</v>
      </c>
      <c r="AP67" s="7" t="s">
        <v>3190</v>
      </c>
      <c r="AQ67" s="7" t="s">
        <v>2890</v>
      </c>
      <c r="AR67" s="7" t="s">
        <v>3191</v>
      </c>
      <c r="AS67" s="7" t="s">
        <v>3192</v>
      </c>
      <c r="AT67" s="7" t="s">
        <v>3791</v>
      </c>
      <c r="AU67" s="7">
        <v>2018.0</v>
      </c>
      <c r="AV67" s="7">
        <v>45.0</v>
      </c>
      <c r="AW67" s="7">
        <v>1.0</v>
      </c>
      <c r="AX67" s="7" t="s">
        <v>2890</v>
      </c>
      <c r="AY67" s="7" t="s">
        <v>2890</v>
      </c>
      <c r="AZ67" s="7" t="s">
        <v>2890</v>
      </c>
      <c r="BA67" s="7" t="s">
        <v>2890</v>
      </c>
      <c r="BB67" s="7">
        <v>49.0</v>
      </c>
      <c r="BC67" s="7">
        <v>57.0</v>
      </c>
      <c r="BD67" s="7" t="s">
        <v>2890</v>
      </c>
      <c r="BE67" s="7" t="s">
        <v>4155</v>
      </c>
      <c r="BF67" s="24" t="str">
        <f>HYPERLINK("http://dx.doi.org/10.1017/S0376892917000157","http://dx.doi.org/10.1017/S0376892917000157")</f>
        <v>http://dx.doi.org/10.1017/S0376892917000157</v>
      </c>
      <c r="BG67" s="7" t="s">
        <v>2890</v>
      </c>
      <c r="BH67" s="7" t="s">
        <v>2890</v>
      </c>
      <c r="BI67" s="7">
        <v>9.0</v>
      </c>
      <c r="BJ67" s="7" t="s">
        <v>3169</v>
      </c>
      <c r="BK67" s="7" t="s">
        <v>2938</v>
      </c>
      <c r="BL67" s="7" t="s">
        <v>3034</v>
      </c>
      <c r="BM67" s="7" t="s">
        <v>4156</v>
      </c>
      <c r="BN67" s="7" t="s">
        <v>2890</v>
      </c>
      <c r="BO67" s="7" t="s">
        <v>4157</v>
      </c>
      <c r="BP67" s="7" t="s">
        <v>2890</v>
      </c>
      <c r="BQ67" s="7" t="s">
        <v>2890</v>
      </c>
      <c r="BR67" s="7" t="s">
        <v>2916</v>
      </c>
      <c r="BS67" s="7" t="s">
        <v>4158</v>
      </c>
      <c r="BT67" s="7" t="str">
        <f>HYPERLINK("https%3A%2F%2Fwww.webofscience.com%2Fwos%2Fwoscc%2Ffull-record%2FWOS:000426664800006","View Full Record in Web of Science")</f>
        <v>View Full Record in Web of Science</v>
      </c>
    </row>
    <row r="68" ht="12.75" customHeight="1">
      <c r="A68" s="7" t="s">
        <v>2888</v>
      </c>
      <c r="B68" s="7" t="s">
        <v>4159</v>
      </c>
      <c r="C68" s="7" t="s">
        <v>2890</v>
      </c>
      <c r="D68" s="7" t="s">
        <v>2890</v>
      </c>
      <c r="E68" s="7" t="s">
        <v>2890</v>
      </c>
      <c r="F68" s="7" t="s">
        <v>4160</v>
      </c>
      <c r="G68" s="7" t="s">
        <v>2890</v>
      </c>
      <c r="H68" s="7" t="s">
        <v>2890</v>
      </c>
      <c r="I68" s="7" t="s">
        <v>189</v>
      </c>
      <c r="J68" s="7" t="s">
        <v>4161</v>
      </c>
      <c r="K68" s="7" t="s">
        <v>2890</v>
      </c>
      <c r="L68" s="7" t="s">
        <v>2890</v>
      </c>
      <c r="M68" s="7" t="s">
        <v>2893</v>
      </c>
      <c r="N68" s="7" t="s">
        <v>2894</v>
      </c>
      <c r="O68" s="7" t="s">
        <v>2890</v>
      </c>
      <c r="P68" s="7" t="s">
        <v>2890</v>
      </c>
      <c r="Q68" s="7" t="s">
        <v>2890</v>
      </c>
      <c r="R68" s="7" t="s">
        <v>2890</v>
      </c>
      <c r="S68" s="7" t="s">
        <v>2890</v>
      </c>
      <c r="T68" s="7" t="s">
        <v>4162</v>
      </c>
      <c r="U68" s="7" t="s">
        <v>4163</v>
      </c>
      <c r="V68" s="7" t="s">
        <v>2705</v>
      </c>
      <c r="W68" s="7" t="s">
        <v>4164</v>
      </c>
      <c r="X68" s="7" t="s">
        <v>4165</v>
      </c>
      <c r="Y68" s="7" t="s">
        <v>4166</v>
      </c>
      <c r="Z68" s="7" t="s">
        <v>4167</v>
      </c>
      <c r="AA68" s="7" t="s">
        <v>4168</v>
      </c>
      <c r="AB68" s="7" t="s">
        <v>4169</v>
      </c>
      <c r="AC68" s="7" t="s">
        <v>4170</v>
      </c>
      <c r="AD68" s="7" t="s">
        <v>4171</v>
      </c>
      <c r="AE68" s="7" t="s">
        <v>4172</v>
      </c>
      <c r="AF68" s="7" t="s">
        <v>2890</v>
      </c>
      <c r="AG68" s="7">
        <v>51.0</v>
      </c>
      <c r="AH68" s="7">
        <v>2.0</v>
      </c>
      <c r="AI68" s="7">
        <v>2.0</v>
      </c>
      <c r="AJ68" s="7">
        <v>0.0</v>
      </c>
      <c r="AK68" s="7">
        <v>13.0</v>
      </c>
      <c r="AL68" s="7" t="s">
        <v>4173</v>
      </c>
      <c r="AM68" s="7" t="s">
        <v>4174</v>
      </c>
      <c r="AN68" s="7" t="s">
        <v>4175</v>
      </c>
      <c r="AO68" s="7" t="s">
        <v>4176</v>
      </c>
      <c r="AP68" s="7" t="s">
        <v>4177</v>
      </c>
      <c r="AQ68" s="7" t="s">
        <v>2890</v>
      </c>
      <c r="AR68" s="7" t="s">
        <v>4178</v>
      </c>
      <c r="AS68" s="7" t="s">
        <v>4179</v>
      </c>
      <c r="AT68" s="7" t="s">
        <v>2890</v>
      </c>
      <c r="AU68" s="7">
        <v>2018.0</v>
      </c>
      <c r="AV68" s="7">
        <v>69.0</v>
      </c>
      <c r="AW68" s="7">
        <v>2.0</v>
      </c>
      <c r="AX68" s="7" t="s">
        <v>2890</v>
      </c>
      <c r="AY68" s="7" t="s">
        <v>2890</v>
      </c>
      <c r="AZ68" s="7" t="s">
        <v>2890</v>
      </c>
      <c r="BA68" s="7" t="s">
        <v>2890</v>
      </c>
      <c r="BB68" s="7">
        <v>277.0</v>
      </c>
      <c r="BC68" s="7">
        <v>289.0</v>
      </c>
      <c r="BD68" s="7" t="s">
        <v>2890</v>
      </c>
      <c r="BE68" s="7" t="s">
        <v>2576</v>
      </c>
      <c r="BF68" s="24" t="str">
        <f>HYPERLINK("http://dx.doi.org/10.1071/MF16400","http://dx.doi.org/10.1071/MF16400")</f>
        <v>http://dx.doi.org/10.1071/MF16400</v>
      </c>
      <c r="BG68" s="7" t="s">
        <v>2890</v>
      </c>
      <c r="BH68" s="7" t="s">
        <v>2890</v>
      </c>
      <c r="BI68" s="7">
        <v>13.0</v>
      </c>
      <c r="BJ68" s="7" t="s">
        <v>4180</v>
      </c>
      <c r="BK68" s="7" t="s">
        <v>3283</v>
      </c>
      <c r="BL68" s="7" t="s">
        <v>4181</v>
      </c>
      <c r="BM68" s="7" t="s">
        <v>4182</v>
      </c>
      <c r="BN68" s="7" t="s">
        <v>2890</v>
      </c>
      <c r="BO68" s="7" t="s">
        <v>2890</v>
      </c>
      <c r="BP68" s="7" t="s">
        <v>2890</v>
      </c>
      <c r="BQ68" s="7" t="s">
        <v>2890</v>
      </c>
      <c r="BR68" s="7" t="s">
        <v>2916</v>
      </c>
      <c r="BS68" s="7" t="s">
        <v>2706</v>
      </c>
      <c r="BT68" s="7" t="str">
        <f>HYPERLINK("https%3A%2F%2Fwww.webofscience.com%2Fwos%2Fwoscc%2Ffull-record%2FWOS:000423508500007","View Full Record in Web of Science")</f>
        <v>View Full Record in Web of Science</v>
      </c>
    </row>
    <row r="69" ht="12.75" customHeight="1">
      <c r="A69" s="7" t="s">
        <v>2888</v>
      </c>
      <c r="B69" s="7" t="s">
        <v>4183</v>
      </c>
      <c r="C69" s="7" t="s">
        <v>2890</v>
      </c>
      <c r="D69" s="7" t="s">
        <v>2890</v>
      </c>
      <c r="E69" s="7" t="s">
        <v>2890</v>
      </c>
      <c r="F69" s="7" t="s">
        <v>4184</v>
      </c>
      <c r="G69" s="7" t="s">
        <v>2890</v>
      </c>
      <c r="H69" s="7" t="s">
        <v>2890</v>
      </c>
      <c r="I69" s="7" t="s">
        <v>2707</v>
      </c>
      <c r="J69" s="7" t="s">
        <v>4185</v>
      </c>
      <c r="K69" s="7" t="s">
        <v>2890</v>
      </c>
      <c r="L69" s="7" t="s">
        <v>2890</v>
      </c>
      <c r="M69" s="7" t="s">
        <v>2893</v>
      </c>
      <c r="N69" s="7" t="s">
        <v>2894</v>
      </c>
      <c r="O69" s="7" t="s">
        <v>2890</v>
      </c>
      <c r="P69" s="7" t="s">
        <v>2890</v>
      </c>
      <c r="Q69" s="7" t="s">
        <v>2890</v>
      </c>
      <c r="R69" s="7" t="s">
        <v>2890</v>
      </c>
      <c r="S69" s="7" t="s">
        <v>2890</v>
      </c>
      <c r="T69" s="7" t="s">
        <v>4186</v>
      </c>
      <c r="U69" s="7" t="s">
        <v>4187</v>
      </c>
      <c r="V69" s="7" t="s">
        <v>2708</v>
      </c>
      <c r="W69" s="7" t="s">
        <v>4188</v>
      </c>
      <c r="X69" s="7" t="s">
        <v>4189</v>
      </c>
      <c r="Y69" s="7" t="s">
        <v>4190</v>
      </c>
      <c r="Z69" s="7" t="s">
        <v>4191</v>
      </c>
      <c r="AA69" s="7" t="s">
        <v>4192</v>
      </c>
      <c r="AB69" s="7" t="s">
        <v>4193</v>
      </c>
      <c r="AC69" s="7" t="s">
        <v>4194</v>
      </c>
      <c r="AD69" s="7" t="s">
        <v>4195</v>
      </c>
      <c r="AE69" s="7" t="s">
        <v>4196</v>
      </c>
      <c r="AF69" s="7" t="s">
        <v>2890</v>
      </c>
      <c r="AG69" s="7">
        <v>64.0</v>
      </c>
      <c r="AH69" s="7">
        <v>83.0</v>
      </c>
      <c r="AI69" s="7">
        <v>105.0</v>
      </c>
      <c r="AJ69" s="7">
        <v>1.0</v>
      </c>
      <c r="AK69" s="7">
        <v>59.0</v>
      </c>
      <c r="AL69" s="7" t="s">
        <v>3024</v>
      </c>
      <c r="AM69" s="7" t="s">
        <v>3025</v>
      </c>
      <c r="AN69" s="7" t="s">
        <v>3026</v>
      </c>
      <c r="AO69" s="7" t="s">
        <v>4197</v>
      </c>
      <c r="AP69" s="7" t="s">
        <v>4198</v>
      </c>
      <c r="AQ69" s="7" t="s">
        <v>2890</v>
      </c>
      <c r="AR69" s="7" t="s">
        <v>4199</v>
      </c>
      <c r="AS69" s="7" t="s">
        <v>4200</v>
      </c>
      <c r="AT69" s="7" t="s">
        <v>3119</v>
      </c>
      <c r="AU69" s="7">
        <v>2018.0</v>
      </c>
      <c r="AV69" s="7">
        <v>55.0</v>
      </c>
      <c r="AW69" s="7">
        <v>1.0</v>
      </c>
      <c r="AX69" s="7" t="s">
        <v>2890</v>
      </c>
      <c r="AY69" s="7" t="s">
        <v>2890</v>
      </c>
      <c r="AZ69" s="7" t="s">
        <v>2890</v>
      </c>
      <c r="BA69" s="7" t="s">
        <v>2890</v>
      </c>
      <c r="BB69" s="7">
        <v>99.0</v>
      </c>
      <c r="BC69" s="7">
        <v>107.0</v>
      </c>
      <c r="BD69" s="7" t="s">
        <v>2890</v>
      </c>
      <c r="BE69" s="7" t="s">
        <v>2575</v>
      </c>
      <c r="BF69" s="24" t="str">
        <f>HYPERLINK("http://dx.doi.org/10.1111/1365-2664.12965","http://dx.doi.org/10.1111/1365-2664.12965")</f>
        <v>http://dx.doi.org/10.1111/1365-2664.12965</v>
      </c>
      <c r="BG69" s="7" t="s">
        <v>2890</v>
      </c>
      <c r="BH69" s="7" t="s">
        <v>2890</v>
      </c>
      <c r="BI69" s="7">
        <v>9.0</v>
      </c>
      <c r="BJ69" s="7" t="s">
        <v>3085</v>
      </c>
      <c r="BK69" s="7" t="s">
        <v>2938</v>
      </c>
      <c r="BL69" s="7" t="s">
        <v>3034</v>
      </c>
      <c r="BM69" s="7" t="s">
        <v>4201</v>
      </c>
      <c r="BN69" s="7" t="s">
        <v>2890</v>
      </c>
      <c r="BO69" s="7" t="s">
        <v>4157</v>
      </c>
      <c r="BP69" s="7" t="s">
        <v>2890</v>
      </c>
      <c r="BQ69" s="7" t="s">
        <v>2890</v>
      </c>
      <c r="BR69" s="7" t="s">
        <v>2916</v>
      </c>
      <c r="BS69" s="7" t="s">
        <v>2709</v>
      </c>
      <c r="BT69" s="7" t="str">
        <f>HYPERLINK("https%3A%2F%2Fwww.webofscience.com%2Fwos%2Fwoscc%2Ffull-record%2FWOS:000417764600011","View Full Record in Web of Science")</f>
        <v>View Full Record in Web of Science</v>
      </c>
    </row>
    <row r="70" ht="12.75" customHeight="1">
      <c r="A70" s="7" t="s">
        <v>2888</v>
      </c>
      <c r="B70" s="7" t="s">
        <v>4202</v>
      </c>
      <c r="C70" s="7" t="s">
        <v>2890</v>
      </c>
      <c r="D70" s="7" t="s">
        <v>2890</v>
      </c>
      <c r="E70" s="7" t="s">
        <v>2890</v>
      </c>
      <c r="F70" s="7" t="s">
        <v>4203</v>
      </c>
      <c r="G70" s="7" t="s">
        <v>2890</v>
      </c>
      <c r="H70" s="7" t="s">
        <v>2890</v>
      </c>
      <c r="I70" s="7" t="s">
        <v>2657</v>
      </c>
      <c r="J70" s="7" t="s">
        <v>4204</v>
      </c>
      <c r="K70" s="7" t="s">
        <v>2890</v>
      </c>
      <c r="L70" s="7" t="s">
        <v>2890</v>
      </c>
      <c r="M70" s="7" t="s">
        <v>2893</v>
      </c>
      <c r="N70" s="7" t="s">
        <v>2894</v>
      </c>
      <c r="O70" s="7" t="s">
        <v>2890</v>
      </c>
      <c r="P70" s="7" t="s">
        <v>2890</v>
      </c>
      <c r="Q70" s="7" t="s">
        <v>2890</v>
      </c>
      <c r="R70" s="7" t="s">
        <v>2890</v>
      </c>
      <c r="S70" s="7" t="s">
        <v>2890</v>
      </c>
      <c r="T70" s="7" t="s">
        <v>4205</v>
      </c>
      <c r="U70" s="7" t="s">
        <v>4206</v>
      </c>
      <c r="V70" s="7" t="s">
        <v>2658</v>
      </c>
      <c r="W70" s="7" t="s">
        <v>4207</v>
      </c>
      <c r="X70" s="7" t="s">
        <v>4208</v>
      </c>
      <c r="Y70" s="7" t="s">
        <v>4209</v>
      </c>
      <c r="Z70" s="7" t="s">
        <v>4210</v>
      </c>
      <c r="AA70" s="7" t="s">
        <v>4211</v>
      </c>
      <c r="AB70" s="7" t="s">
        <v>4212</v>
      </c>
      <c r="AC70" s="7" t="s">
        <v>2890</v>
      </c>
      <c r="AD70" s="7" t="s">
        <v>2890</v>
      </c>
      <c r="AE70" s="7" t="s">
        <v>2890</v>
      </c>
      <c r="AF70" s="7" t="s">
        <v>2890</v>
      </c>
      <c r="AG70" s="7">
        <v>90.0</v>
      </c>
      <c r="AH70" s="7">
        <v>19.0</v>
      </c>
      <c r="AI70" s="7">
        <v>22.0</v>
      </c>
      <c r="AJ70" s="7">
        <v>1.0</v>
      </c>
      <c r="AK70" s="7">
        <v>33.0</v>
      </c>
      <c r="AL70" s="7" t="s">
        <v>3024</v>
      </c>
      <c r="AM70" s="7" t="s">
        <v>3025</v>
      </c>
      <c r="AN70" s="7" t="s">
        <v>4213</v>
      </c>
      <c r="AO70" s="7" t="s">
        <v>2890</v>
      </c>
      <c r="AP70" s="7" t="s">
        <v>4214</v>
      </c>
      <c r="AQ70" s="7" t="s">
        <v>2890</v>
      </c>
      <c r="AR70" s="7" t="s">
        <v>4215</v>
      </c>
      <c r="AS70" s="7" t="s">
        <v>4216</v>
      </c>
      <c r="AT70" s="7" t="s">
        <v>3143</v>
      </c>
      <c r="AU70" s="7">
        <v>2017.0</v>
      </c>
      <c r="AV70" s="7">
        <v>3.0</v>
      </c>
      <c r="AW70" s="7">
        <v>4.0</v>
      </c>
      <c r="AX70" s="7" t="s">
        <v>2890</v>
      </c>
      <c r="AY70" s="7" t="s">
        <v>2890</v>
      </c>
      <c r="AZ70" s="7" t="s">
        <v>2890</v>
      </c>
      <c r="BA70" s="7" t="s">
        <v>2890</v>
      </c>
      <c r="BB70" s="7">
        <v>190.0</v>
      </c>
      <c r="BC70" s="7">
        <v>201.0</v>
      </c>
      <c r="BD70" s="7" t="s">
        <v>2890</v>
      </c>
      <c r="BE70" s="7" t="s">
        <v>2574</v>
      </c>
      <c r="BF70" s="24" t="str">
        <f>HYPERLINK("http://dx.doi.org/10.1002/rse2.47","http://dx.doi.org/10.1002/rse2.47")</f>
        <v>http://dx.doi.org/10.1002/rse2.47</v>
      </c>
      <c r="BG70" s="7" t="s">
        <v>2890</v>
      </c>
      <c r="BH70" s="7" t="s">
        <v>2890</v>
      </c>
      <c r="BI70" s="7">
        <v>12.0</v>
      </c>
      <c r="BJ70" s="7" t="s">
        <v>4217</v>
      </c>
      <c r="BK70" s="7" t="s">
        <v>2938</v>
      </c>
      <c r="BL70" s="7" t="s">
        <v>4218</v>
      </c>
      <c r="BM70" s="7" t="s">
        <v>4219</v>
      </c>
      <c r="BN70" s="7" t="s">
        <v>2890</v>
      </c>
      <c r="BO70" s="7" t="s">
        <v>3539</v>
      </c>
      <c r="BP70" s="7" t="s">
        <v>2890</v>
      </c>
      <c r="BQ70" s="7" t="s">
        <v>2890</v>
      </c>
      <c r="BR70" s="7" t="s">
        <v>2916</v>
      </c>
      <c r="BS70" s="7" t="s">
        <v>2659</v>
      </c>
      <c r="BT70" s="7" t="str">
        <f>HYPERLINK("https%3A%2F%2Fwww.webofscience.com%2Fwos%2Fwoscc%2Ffull-record%2FWOS:000417252400002","View Full Record in Web of Science")</f>
        <v>View Full Record in Web of Science</v>
      </c>
    </row>
    <row r="71" ht="12.75" customHeight="1">
      <c r="A71" s="7" t="s">
        <v>2888</v>
      </c>
      <c r="B71" s="7" t="s">
        <v>4220</v>
      </c>
      <c r="C71" s="7" t="s">
        <v>2890</v>
      </c>
      <c r="D71" s="7" t="s">
        <v>2890</v>
      </c>
      <c r="E71" s="7" t="s">
        <v>2890</v>
      </c>
      <c r="F71" s="7" t="s">
        <v>4221</v>
      </c>
      <c r="G71" s="7" t="s">
        <v>2890</v>
      </c>
      <c r="H71" s="7" t="s">
        <v>2890</v>
      </c>
      <c r="I71" s="7" t="s">
        <v>2663</v>
      </c>
      <c r="J71" s="7" t="s">
        <v>3425</v>
      </c>
      <c r="K71" s="7" t="s">
        <v>2890</v>
      </c>
      <c r="L71" s="7" t="s">
        <v>2890</v>
      </c>
      <c r="M71" s="7" t="s">
        <v>2893</v>
      </c>
      <c r="N71" s="7" t="s">
        <v>2894</v>
      </c>
      <c r="O71" s="7" t="s">
        <v>2890</v>
      </c>
      <c r="P71" s="7" t="s">
        <v>2890</v>
      </c>
      <c r="Q71" s="7" t="s">
        <v>2890</v>
      </c>
      <c r="R71" s="7" t="s">
        <v>2890</v>
      </c>
      <c r="S71" s="7" t="s">
        <v>2890</v>
      </c>
      <c r="T71" s="7" t="s">
        <v>4222</v>
      </c>
      <c r="U71" s="7" t="s">
        <v>4223</v>
      </c>
      <c r="V71" s="7" t="s">
        <v>2664</v>
      </c>
      <c r="W71" s="7" t="s">
        <v>4224</v>
      </c>
      <c r="X71" s="7" t="s">
        <v>4225</v>
      </c>
      <c r="Y71" s="7" t="s">
        <v>4226</v>
      </c>
      <c r="Z71" s="7" t="s">
        <v>4227</v>
      </c>
      <c r="AA71" s="7" t="s">
        <v>4228</v>
      </c>
      <c r="AB71" s="7" t="s">
        <v>4229</v>
      </c>
      <c r="AC71" s="7" t="s">
        <v>4230</v>
      </c>
      <c r="AD71" s="7" t="s">
        <v>4231</v>
      </c>
      <c r="AE71" s="7" t="s">
        <v>4232</v>
      </c>
      <c r="AF71" s="7" t="s">
        <v>2890</v>
      </c>
      <c r="AG71" s="7">
        <v>90.0</v>
      </c>
      <c r="AH71" s="7">
        <v>21.0</v>
      </c>
      <c r="AI71" s="7">
        <v>23.0</v>
      </c>
      <c r="AJ71" s="7">
        <v>2.0</v>
      </c>
      <c r="AK71" s="7">
        <v>66.0</v>
      </c>
      <c r="AL71" s="7" t="s">
        <v>3435</v>
      </c>
      <c r="AM71" s="7" t="s">
        <v>3436</v>
      </c>
      <c r="AN71" s="7" t="s">
        <v>3437</v>
      </c>
      <c r="AO71" s="7" t="s">
        <v>3438</v>
      </c>
      <c r="AP71" s="7" t="s">
        <v>3439</v>
      </c>
      <c r="AQ71" s="7" t="s">
        <v>2890</v>
      </c>
      <c r="AR71" s="7" t="s">
        <v>3440</v>
      </c>
      <c r="AS71" s="7" t="s">
        <v>3441</v>
      </c>
      <c r="AT71" s="7" t="s">
        <v>4233</v>
      </c>
      <c r="AU71" s="7">
        <v>2017.0</v>
      </c>
      <c r="AV71" s="7">
        <v>200.0</v>
      </c>
      <c r="AW71" s="7" t="s">
        <v>2890</v>
      </c>
      <c r="AX71" s="7" t="s">
        <v>2890</v>
      </c>
      <c r="AY71" s="7" t="s">
        <v>2890</v>
      </c>
      <c r="AZ71" s="7" t="s">
        <v>2890</v>
      </c>
      <c r="BA71" s="7" t="s">
        <v>2890</v>
      </c>
      <c r="BB71" s="7">
        <v>170.0</v>
      </c>
      <c r="BC71" s="7">
        <v>185.0</v>
      </c>
      <c r="BD71" s="7" t="s">
        <v>2890</v>
      </c>
      <c r="BE71" s="7" t="s">
        <v>2573</v>
      </c>
      <c r="BF71" s="24" t="str">
        <f>HYPERLINK("http://dx.doi.org/10.1016/j.jenvman.2017.05.051","http://dx.doi.org/10.1016/j.jenvman.2017.05.051")</f>
        <v>http://dx.doi.org/10.1016/j.jenvman.2017.05.051</v>
      </c>
      <c r="BG71" s="7" t="s">
        <v>2890</v>
      </c>
      <c r="BH71" s="7" t="s">
        <v>2890</v>
      </c>
      <c r="BI71" s="7">
        <v>16.0</v>
      </c>
      <c r="BJ71" s="7" t="s">
        <v>3007</v>
      </c>
      <c r="BK71" s="7" t="s">
        <v>3283</v>
      </c>
      <c r="BL71" s="7" t="s">
        <v>3008</v>
      </c>
      <c r="BM71" s="7" t="s">
        <v>4234</v>
      </c>
      <c r="BN71" s="7">
        <v>2.8578267E7</v>
      </c>
      <c r="BO71" s="7" t="s">
        <v>3087</v>
      </c>
      <c r="BP71" s="7" t="s">
        <v>2890</v>
      </c>
      <c r="BQ71" s="7" t="s">
        <v>2890</v>
      </c>
      <c r="BR71" s="7" t="s">
        <v>2916</v>
      </c>
      <c r="BS71" s="7" t="s">
        <v>2665</v>
      </c>
      <c r="BT71" s="7" t="str">
        <f>HYPERLINK("https%3A%2F%2Fwww.webofscience.com%2Fwos%2Fwoscc%2Ffull-record%2FWOS:000406564400018","View Full Record in Web of Science")</f>
        <v>View Full Record in Web of Science</v>
      </c>
    </row>
    <row r="72" ht="12.75" customHeight="1">
      <c r="A72" s="7" t="s">
        <v>2888</v>
      </c>
      <c r="B72" s="7" t="s">
        <v>4235</v>
      </c>
      <c r="C72" s="7" t="s">
        <v>2890</v>
      </c>
      <c r="D72" s="7" t="s">
        <v>2890</v>
      </c>
      <c r="E72" s="7" t="s">
        <v>2890</v>
      </c>
      <c r="F72" s="7" t="s">
        <v>4236</v>
      </c>
      <c r="G72" s="7" t="s">
        <v>2890</v>
      </c>
      <c r="H72" s="7" t="s">
        <v>2890</v>
      </c>
      <c r="I72" s="7" t="s">
        <v>2660</v>
      </c>
      <c r="J72" s="7" t="s">
        <v>3104</v>
      </c>
      <c r="K72" s="7" t="s">
        <v>2890</v>
      </c>
      <c r="L72" s="7" t="s">
        <v>2890</v>
      </c>
      <c r="M72" s="7" t="s">
        <v>2893</v>
      </c>
      <c r="N72" s="7" t="s">
        <v>2894</v>
      </c>
      <c r="O72" s="7" t="s">
        <v>2890</v>
      </c>
      <c r="P72" s="7" t="s">
        <v>2890</v>
      </c>
      <c r="Q72" s="7" t="s">
        <v>2890</v>
      </c>
      <c r="R72" s="7" t="s">
        <v>2890</v>
      </c>
      <c r="S72" s="7" t="s">
        <v>2890</v>
      </c>
      <c r="T72" s="7" t="s">
        <v>4237</v>
      </c>
      <c r="U72" s="7" t="s">
        <v>4238</v>
      </c>
      <c r="V72" s="7" t="s">
        <v>2661</v>
      </c>
      <c r="W72" s="7" t="s">
        <v>4239</v>
      </c>
      <c r="X72" s="7" t="s">
        <v>4240</v>
      </c>
      <c r="Y72" s="7" t="s">
        <v>4241</v>
      </c>
      <c r="Z72" s="7" t="s">
        <v>4242</v>
      </c>
      <c r="AA72" s="7" t="s">
        <v>4243</v>
      </c>
      <c r="AB72" s="7" t="s">
        <v>4244</v>
      </c>
      <c r="AC72" s="7" t="s">
        <v>4245</v>
      </c>
      <c r="AD72" s="7" t="s">
        <v>4246</v>
      </c>
      <c r="AE72" s="7" t="s">
        <v>4247</v>
      </c>
      <c r="AF72" s="7" t="s">
        <v>2890</v>
      </c>
      <c r="AG72" s="7">
        <v>88.0</v>
      </c>
      <c r="AH72" s="7">
        <v>26.0</v>
      </c>
      <c r="AI72" s="7">
        <v>31.0</v>
      </c>
      <c r="AJ72" s="7">
        <v>2.0</v>
      </c>
      <c r="AK72" s="7">
        <v>24.0</v>
      </c>
      <c r="AL72" s="7" t="s">
        <v>2905</v>
      </c>
      <c r="AM72" s="7" t="s">
        <v>2906</v>
      </c>
      <c r="AN72" s="7" t="s">
        <v>2907</v>
      </c>
      <c r="AO72" s="7" t="s">
        <v>3116</v>
      </c>
      <c r="AP72" s="7" t="s">
        <v>3117</v>
      </c>
      <c r="AQ72" s="7" t="s">
        <v>2890</v>
      </c>
      <c r="AR72" s="7" t="s">
        <v>3104</v>
      </c>
      <c r="AS72" s="7" t="s">
        <v>3118</v>
      </c>
      <c r="AT72" s="7" t="s">
        <v>2912</v>
      </c>
      <c r="AU72" s="7">
        <v>2017.0</v>
      </c>
      <c r="AV72" s="7">
        <v>67.0</v>
      </c>
      <c r="AW72" s="7" t="s">
        <v>2890</v>
      </c>
      <c r="AX72" s="7" t="s">
        <v>2890</v>
      </c>
      <c r="AY72" s="7" t="s">
        <v>2890</v>
      </c>
      <c r="AZ72" s="7" t="s">
        <v>2890</v>
      </c>
      <c r="BA72" s="7" t="s">
        <v>2890</v>
      </c>
      <c r="BB72" s="7">
        <v>340.0</v>
      </c>
      <c r="BC72" s="7">
        <v>351.0</v>
      </c>
      <c r="BD72" s="7" t="s">
        <v>2890</v>
      </c>
      <c r="BE72" s="7" t="s">
        <v>755</v>
      </c>
      <c r="BF72" s="24" t="str">
        <f>HYPERLINK("http://dx.doi.org/10.1016/j.landusepol.2017.06.009","http://dx.doi.org/10.1016/j.landusepol.2017.06.009")</f>
        <v>http://dx.doi.org/10.1016/j.landusepol.2017.06.009</v>
      </c>
      <c r="BG72" s="7" t="s">
        <v>2890</v>
      </c>
      <c r="BH72" s="7" t="s">
        <v>2890</v>
      </c>
      <c r="BI72" s="7">
        <v>12.0</v>
      </c>
      <c r="BJ72" s="7" t="s">
        <v>3122</v>
      </c>
      <c r="BK72" s="7" t="s">
        <v>2914</v>
      </c>
      <c r="BL72" s="7" t="s">
        <v>3008</v>
      </c>
      <c r="BM72" s="7" t="s">
        <v>4248</v>
      </c>
      <c r="BN72" s="7" t="s">
        <v>2890</v>
      </c>
      <c r="BO72" s="7" t="s">
        <v>2890</v>
      </c>
      <c r="BP72" s="7" t="s">
        <v>2890</v>
      </c>
      <c r="BQ72" s="7" t="s">
        <v>2890</v>
      </c>
      <c r="BR72" s="7" t="s">
        <v>2916</v>
      </c>
      <c r="BS72" s="7" t="s">
        <v>2662</v>
      </c>
      <c r="BT72" s="7" t="str">
        <f>HYPERLINK("https%3A%2F%2Fwww.webofscience.com%2Fwos%2Fwoscc%2Ffull-record%2FWOS:000413280200029","View Full Record in Web of Science")</f>
        <v>View Full Record in Web of Science</v>
      </c>
    </row>
    <row r="73" ht="12.75" customHeight="1">
      <c r="A73" s="7" t="s">
        <v>2888</v>
      </c>
      <c r="B73" s="7" t="s">
        <v>4249</v>
      </c>
      <c r="C73" s="7" t="s">
        <v>2890</v>
      </c>
      <c r="D73" s="7" t="s">
        <v>2890</v>
      </c>
      <c r="E73" s="7" t="s">
        <v>2890</v>
      </c>
      <c r="F73" s="7" t="s">
        <v>4250</v>
      </c>
      <c r="G73" s="7" t="s">
        <v>2890</v>
      </c>
      <c r="H73" s="7" t="s">
        <v>2890</v>
      </c>
      <c r="I73" s="7" t="s">
        <v>2710</v>
      </c>
      <c r="J73" s="7" t="s">
        <v>3305</v>
      </c>
      <c r="K73" s="7" t="s">
        <v>2890</v>
      </c>
      <c r="L73" s="7" t="s">
        <v>2890</v>
      </c>
      <c r="M73" s="7" t="s">
        <v>2893</v>
      </c>
      <c r="N73" s="7" t="s">
        <v>2894</v>
      </c>
      <c r="O73" s="7" t="s">
        <v>2890</v>
      </c>
      <c r="P73" s="7" t="s">
        <v>2890</v>
      </c>
      <c r="Q73" s="7" t="s">
        <v>2890</v>
      </c>
      <c r="R73" s="7" t="s">
        <v>2890</v>
      </c>
      <c r="S73" s="7" t="s">
        <v>2890</v>
      </c>
      <c r="T73" s="7" t="s">
        <v>4251</v>
      </c>
      <c r="U73" s="7" t="s">
        <v>4252</v>
      </c>
      <c r="V73" s="7" t="s">
        <v>2711</v>
      </c>
      <c r="W73" s="7" t="s">
        <v>4253</v>
      </c>
      <c r="X73" s="7" t="s">
        <v>4254</v>
      </c>
      <c r="Y73" s="7" t="s">
        <v>4255</v>
      </c>
      <c r="Z73" s="7" t="s">
        <v>4256</v>
      </c>
      <c r="AA73" s="7" t="s">
        <v>4257</v>
      </c>
      <c r="AB73" s="7" t="s">
        <v>4258</v>
      </c>
      <c r="AC73" s="7" t="s">
        <v>2890</v>
      </c>
      <c r="AD73" s="7" t="s">
        <v>2890</v>
      </c>
      <c r="AE73" s="7" t="s">
        <v>2890</v>
      </c>
      <c r="AF73" s="7" t="s">
        <v>2890</v>
      </c>
      <c r="AG73" s="7">
        <v>47.0</v>
      </c>
      <c r="AH73" s="7">
        <v>75.0</v>
      </c>
      <c r="AI73" s="7">
        <v>92.0</v>
      </c>
      <c r="AJ73" s="7">
        <v>2.0</v>
      </c>
      <c r="AK73" s="7">
        <v>83.0</v>
      </c>
      <c r="AL73" s="7" t="s">
        <v>3024</v>
      </c>
      <c r="AM73" s="7" t="s">
        <v>3025</v>
      </c>
      <c r="AN73" s="7" t="s">
        <v>3026</v>
      </c>
      <c r="AO73" s="7" t="s">
        <v>3317</v>
      </c>
      <c r="AP73" s="7" t="s">
        <v>3318</v>
      </c>
      <c r="AQ73" s="7" t="s">
        <v>2890</v>
      </c>
      <c r="AR73" s="7" t="s">
        <v>3319</v>
      </c>
      <c r="AS73" s="7" t="s">
        <v>3320</v>
      </c>
      <c r="AT73" s="7" t="s">
        <v>3341</v>
      </c>
      <c r="AU73" s="7">
        <v>2017.0</v>
      </c>
      <c r="AV73" s="7">
        <v>31.0</v>
      </c>
      <c r="AW73" s="7">
        <v>3.0</v>
      </c>
      <c r="AX73" s="7" t="s">
        <v>2890</v>
      </c>
      <c r="AY73" s="7" t="s">
        <v>2890</v>
      </c>
      <c r="AZ73" s="7" t="s">
        <v>2890</v>
      </c>
      <c r="BA73" s="7" t="s">
        <v>2890</v>
      </c>
      <c r="BB73" s="7">
        <v>559.0</v>
      </c>
      <c r="BC73" s="7">
        <v>569.0</v>
      </c>
      <c r="BD73" s="7" t="s">
        <v>2890</v>
      </c>
      <c r="BE73" s="7" t="s">
        <v>2572</v>
      </c>
      <c r="BF73" s="24" t="str">
        <f>HYPERLINK("http://dx.doi.org/10.1111/cobi.12851","http://dx.doi.org/10.1111/cobi.12851")</f>
        <v>http://dx.doi.org/10.1111/cobi.12851</v>
      </c>
      <c r="BG73" s="7" t="s">
        <v>2890</v>
      </c>
      <c r="BH73" s="7" t="s">
        <v>2890</v>
      </c>
      <c r="BI73" s="7">
        <v>11.0</v>
      </c>
      <c r="BJ73" s="7" t="s">
        <v>3033</v>
      </c>
      <c r="BK73" s="7" t="s">
        <v>3283</v>
      </c>
      <c r="BL73" s="7" t="s">
        <v>3034</v>
      </c>
      <c r="BM73" s="7" t="s">
        <v>4259</v>
      </c>
      <c r="BN73" s="7">
        <v>2.7696505E7</v>
      </c>
      <c r="BO73" s="7" t="s">
        <v>2890</v>
      </c>
      <c r="BP73" s="7" t="s">
        <v>2890</v>
      </c>
      <c r="BQ73" s="7" t="s">
        <v>2890</v>
      </c>
      <c r="BR73" s="7" t="s">
        <v>2916</v>
      </c>
      <c r="BS73" s="7" t="s">
        <v>2712</v>
      </c>
      <c r="BT73" s="7" t="str">
        <f>HYPERLINK("https%3A%2F%2Fwww.webofscience.com%2Fwos%2Fwoscc%2Ffull-record%2FWOS:000400962000008","View Full Record in Web of Science")</f>
        <v>View Full Record in Web of Science</v>
      </c>
    </row>
    <row r="74" ht="12.75" customHeight="1">
      <c r="A74" s="7" t="s">
        <v>2888</v>
      </c>
      <c r="B74" s="7" t="s">
        <v>4260</v>
      </c>
      <c r="C74" s="7" t="s">
        <v>2890</v>
      </c>
      <c r="D74" s="7" t="s">
        <v>2890</v>
      </c>
      <c r="E74" s="7" t="s">
        <v>2890</v>
      </c>
      <c r="F74" s="7" t="s">
        <v>4261</v>
      </c>
      <c r="G74" s="7" t="s">
        <v>2890</v>
      </c>
      <c r="H74" s="7" t="s">
        <v>2890</v>
      </c>
      <c r="I74" s="7" t="s">
        <v>57</v>
      </c>
      <c r="J74" s="7" t="s">
        <v>4262</v>
      </c>
      <c r="K74" s="7" t="s">
        <v>2890</v>
      </c>
      <c r="L74" s="7" t="s">
        <v>2890</v>
      </c>
      <c r="M74" s="7" t="s">
        <v>2893</v>
      </c>
      <c r="N74" s="7" t="s">
        <v>2894</v>
      </c>
      <c r="O74" s="7" t="s">
        <v>2890</v>
      </c>
      <c r="P74" s="7" t="s">
        <v>2890</v>
      </c>
      <c r="Q74" s="7" t="s">
        <v>2890</v>
      </c>
      <c r="R74" s="7" t="s">
        <v>2890</v>
      </c>
      <c r="S74" s="7" t="s">
        <v>2890</v>
      </c>
      <c r="T74" s="7" t="s">
        <v>4263</v>
      </c>
      <c r="U74" s="7" t="s">
        <v>4264</v>
      </c>
      <c r="V74" s="7" t="s">
        <v>2713</v>
      </c>
      <c r="W74" s="7" t="s">
        <v>4265</v>
      </c>
      <c r="X74" s="7" t="s">
        <v>4266</v>
      </c>
      <c r="Y74" s="7" t="s">
        <v>4267</v>
      </c>
      <c r="Z74" s="7" t="s">
        <v>4268</v>
      </c>
      <c r="AA74" s="7" t="s">
        <v>4269</v>
      </c>
      <c r="AB74" s="7" t="s">
        <v>4270</v>
      </c>
      <c r="AC74" s="7" t="s">
        <v>4271</v>
      </c>
      <c r="AD74" s="7" t="s">
        <v>4272</v>
      </c>
      <c r="AE74" s="7" t="s">
        <v>4273</v>
      </c>
      <c r="AF74" s="7" t="s">
        <v>2890</v>
      </c>
      <c r="AG74" s="7">
        <v>55.0</v>
      </c>
      <c r="AH74" s="7">
        <v>17.0</v>
      </c>
      <c r="AI74" s="7">
        <v>20.0</v>
      </c>
      <c r="AJ74" s="7">
        <v>0.0</v>
      </c>
      <c r="AK74" s="7">
        <v>24.0</v>
      </c>
      <c r="AL74" s="7" t="s">
        <v>4274</v>
      </c>
      <c r="AM74" s="7" t="s">
        <v>4275</v>
      </c>
      <c r="AN74" s="7" t="s">
        <v>4276</v>
      </c>
      <c r="AO74" s="7" t="s">
        <v>4277</v>
      </c>
      <c r="AP74" s="7" t="s">
        <v>4278</v>
      </c>
      <c r="AQ74" s="7" t="s">
        <v>2890</v>
      </c>
      <c r="AR74" s="7" t="s">
        <v>4279</v>
      </c>
      <c r="AS74" s="7" t="s">
        <v>4280</v>
      </c>
      <c r="AT74" s="7" t="s">
        <v>3791</v>
      </c>
      <c r="AU74" s="7">
        <v>2017.0</v>
      </c>
      <c r="AV74" s="7">
        <v>17.0</v>
      </c>
      <c r="AW74" s="7">
        <v>3.0</v>
      </c>
      <c r="AX74" s="7" t="s">
        <v>2890</v>
      </c>
      <c r="AY74" s="7" t="s">
        <v>2890</v>
      </c>
      <c r="AZ74" s="7" t="s">
        <v>2890</v>
      </c>
      <c r="BA74" s="7" t="s">
        <v>2890</v>
      </c>
      <c r="BB74" s="7">
        <v>777.0</v>
      </c>
      <c r="BC74" s="7">
        <v>787.0</v>
      </c>
      <c r="BD74" s="7" t="s">
        <v>2890</v>
      </c>
      <c r="BE74" s="7" t="s">
        <v>2571</v>
      </c>
      <c r="BF74" s="24" t="str">
        <f>HYPERLINK("http://dx.doi.org/10.1007/s10113-016-1070-8","http://dx.doi.org/10.1007/s10113-016-1070-8")</f>
        <v>http://dx.doi.org/10.1007/s10113-016-1070-8</v>
      </c>
      <c r="BG74" s="7" t="s">
        <v>2890</v>
      </c>
      <c r="BH74" s="7" t="s">
        <v>2890</v>
      </c>
      <c r="BI74" s="7">
        <v>11.0</v>
      </c>
      <c r="BJ74" s="7" t="s">
        <v>4281</v>
      </c>
      <c r="BK74" s="7" t="s">
        <v>3283</v>
      </c>
      <c r="BL74" s="7" t="s">
        <v>3008</v>
      </c>
      <c r="BM74" s="7" t="s">
        <v>4282</v>
      </c>
      <c r="BN74" s="7" t="s">
        <v>2890</v>
      </c>
      <c r="BO74" s="7" t="s">
        <v>2890</v>
      </c>
      <c r="BP74" s="7" t="s">
        <v>2890</v>
      </c>
      <c r="BQ74" s="7" t="s">
        <v>2890</v>
      </c>
      <c r="BR74" s="7" t="s">
        <v>2916</v>
      </c>
      <c r="BS74" s="7" t="s">
        <v>2714</v>
      </c>
      <c r="BT74" s="7" t="str">
        <f>HYPERLINK("https%3A%2F%2Fwww.webofscience.com%2Fwos%2Fwoscc%2Ffull-record%2FWOS:000394991000013","View Full Record in Web of Science")</f>
        <v>View Full Record in Web of Science</v>
      </c>
    </row>
    <row r="75" ht="12.75" customHeight="1">
      <c r="A75" s="7" t="s">
        <v>2888</v>
      </c>
      <c r="B75" s="7" t="s">
        <v>4283</v>
      </c>
      <c r="C75" s="7" t="s">
        <v>2890</v>
      </c>
      <c r="D75" s="7" t="s">
        <v>2890</v>
      </c>
      <c r="E75" s="7" t="s">
        <v>2890</v>
      </c>
      <c r="F75" s="7" t="s">
        <v>4284</v>
      </c>
      <c r="G75" s="7" t="s">
        <v>2890</v>
      </c>
      <c r="H75" s="7" t="s">
        <v>2890</v>
      </c>
      <c r="I75" s="7" t="s">
        <v>4285</v>
      </c>
      <c r="J75" s="7" t="s">
        <v>4286</v>
      </c>
      <c r="K75" s="7" t="s">
        <v>2890</v>
      </c>
      <c r="L75" s="7" t="s">
        <v>2890</v>
      </c>
      <c r="M75" s="7" t="s">
        <v>2893</v>
      </c>
      <c r="N75" s="7" t="s">
        <v>2894</v>
      </c>
      <c r="O75" s="7" t="s">
        <v>2890</v>
      </c>
      <c r="P75" s="7" t="s">
        <v>2890</v>
      </c>
      <c r="Q75" s="7" t="s">
        <v>2890</v>
      </c>
      <c r="R75" s="7" t="s">
        <v>2890</v>
      </c>
      <c r="S75" s="7" t="s">
        <v>2890</v>
      </c>
      <c r="T75" s="7" t="s">
        <v>4287</v>
      </c>
      <c r="U75" s="7" t="s">
        <v>4288</v>
      </c>
      <c r="V75" s="7" t="s">
        <v>4289</v>
      </c>
      <c r="W75" s="7" t="s">
        <v>4290</v>
      </c>
      <c r="X75" s="7" t="s">
        <v>4291</v>
      </c>
      <c r="Y75" s="7" t="s">
        <v>4292</v>
      </c>
      <c r="Z75" s="7" t="s">
        <v>4293</v>
      </c>
      <c r="AA75" s="7" t="s">
        <v>4294</v>
      </c>
      <c r="AB75" s="7" t="s">
        <v>4295</v>
      </c>
      <c r="AC75" s="7" t="s">
        <v>4296</v>
      </c>
      <c r="AD75" s="7" t="s">
        <v>4297</v>
      </c>
      <c r="AE75" s="7" t="s">
        <v>4298</v>
      </c>
      <c r="AF75" s="7" t="s">
        <v>2890</v>
      </c>
      <c r="AG75" s="7">
        <v>59.0</v>
      </c>
      <c r="AH75" s="7">
        <v>10.0</v>
      </c>
      <c r="AI75" s="7">
        <v>13.0</v>
      </c>
      <c r="AJ75" s="7">
        <v>0.0</v>
      </c>
      <c r="AK75" s="7">
        <v>5.0</v>
      </c>
      <c r="AL75" s="7" t="s">
        <v>4299</v>
      </c>
      <c r="AM75" s="7" t="s">
        <v>4300</v>
      </c>
      <c r="AN75" s="7" t="s">
        <v>4301</v>
      </c>
      <c r="AO75" s="7" t="s">
        <v>4302</v>
      </c>
      <c r="AP75" s="7" t="s">
        <v>2890</v>
      </c>
      <c r="AQ75" s="7" t="s">
        <v>2890</v>
      </c>
      <c r="AR75" s="7" t="s">
        <v>4303</v>
      </c>
      <c r="AS75" s="7" t="s">
        <v>4304</v>
      </c>
      <c r="AT75" s="7" t="s">
        <v>2890</v>
      </c>
      <c r="AU75" s="7">
        <v>2017.0</v>
      </c>
      <c r="AV75" s="7">
        <v>13.0</v>
      </c>
      <c r="AW75" s="7">
        <v>2.0</v>
      </c>
      <c r="AX75" s="7" t="s">
        <v>2890</v>
      </c>
      <c r="AY75" s="7" t="s">
        <v>2890</v>
      </c>
      <c r="AZ75" s="7" t="s">
        <v>2890</v>
      </c>
      <c r="BA75" s="7" t="s">
        <v>2890</v>
      </c>
      <c r="BB75" s="7">
        <v>85.0</v>
      </c>
      <c r="BC75" s="7">
        <v>104.0</v>
      </c>
      <c r="BD75" s="7" t="s">
        <v>2890</v>
      </c>
      <c r="BE75" s="7" t="s">
        <v>4305</v>
      </c>
      <c r="BF75" s="24" t="str">
        <f>HYPERLINK("http://dx.doi.org/10.4996/fireecology.130288764","http://dx.doi.org/10.4996/fireecology.130288764")</f>
        <v>http://dx.doi.org/10.4996/fireecology.130288764</v>
      </c>
      <c r="BG75" s="7" t="s">
        <v>2890</v>
      </c>
      <c r="BH75" s="7" t="s">
        <v>2890</v>
      </c>
      <c r="BI75" s="7">
        <v>20.0</v>
      </c>
      <c r="BJ75" s="7" t="s">
        <v>3380</v>
      </c>
      <c r="BK75" s="7" t="s">
        <v>2938</v>
      </c>
      <c r="BL75" s="7" t="s">
        <v>3381</v>
      </c>
      <c r="BM75" s="7" t="s">
        <v>4306</v>
      </c>
      <c r="BN75" s="7" t="s">
        <v>2890</v>
      </c>
      <c r="BO75" s="7" t="s">
        <v>3539</v>
      </c>
      <c r="BP75" s="7" t="s">
        <v>2890</v>
      </c>
      <c r="BQ75" s="7" t="s">
        <v>2890</v>
      </c>
      <c r="BR75" s="7" t="s">
        <v>2916</v>
      </c>
      <c r="BS75" s="7" t="s">
        <v>4307</v>
      </c>
      <c r="BT75" s="7" t="str">
        <f>HYPERLINK("https%3A%2F%2Fwww.webofscience.com%2Fwos%2Fwoscc%2Ffull-record%2FWOS:000408731400005","View Full Record in Web of Science")</f>
        <v>View Full Record in Web of Science</v>
      </c>
    </row>
    <row r="76" ht="12.75" customHeight="1">
      <c r="A76" s="7" t="s">
        <v>2888</v>
      </c>
      <c r="B76" s="7" t="s">
        <v>4308</v>
      </c>
      <c r="C76" s="7" t="s">
        <v>2890</v>
      </c>
      <c r="D76" s="7" t="s">
        <v>2890</v>
      </c>
      <c r="E76" s="7" t="s">
        <v>2890</v>
      </c>
      <c r="F76" s="7" t="s">
        <v>4309</v>
      </c>
      <c r="G76" s="7" t="s">
        <v>2890</v>
      </c>
      <c r="H76" s="7" t="s">
        <v>2890</v>
      </c>
      <c r="I76" s="7" t="s">
        <v>4310</v>
      </c>
      <c r="J76" s="7" t="s">
        <v>2892</v>
      </c>
      <c r="K76" s="7" t="s">
        <v>2890</v>
      </c>
      <c r="L76" s="7" t="s">
        <v>2890</v>
      </c>
      <c r="M76" s="7" t="s">
        <v>2893</v>
      </c>
      <c r="N76" s="7" t="s">
        <v>2894</v>
      </c>
      <c r="O76" s="7" t="s">
        <v>2890</v>
      </c>
      <c r="P76" s="7" t="s">
        <v>2890</v>
      </c>
      <c r="Q76" s="7" t="s">
        <v>2890</v>
      </c>
      <c r="R76" s="7" t="s">
        <v>2890</v>
      </c>
      <c r="S76" s="7" t="s">
        <v>2890</v>
      </c>
      <c r="T76" s="7" t="s">
        <v>4311</v>
      </c>
      <c r="U76" s="7" t="s">
        <v>4312</v>
      </c>
      <c r="V76" s="7" t="s">
        <v>4313</v>
      </c>
      <c r="W76" s="7" t="s">
        <v>4314</v>
      </c>
      <c r="X76" s="7" t="s">
        <v>4315</v>
      </c>
      <c r="Y76" s="7" t="s">
        <v>4316</v>
      </c>
      <c r="Z76" s="7" t="s">
        <v>4317</v>
      </c>
      <c r="AA76" s="7" t="s">
        <v>4318</v>
      </c>
      <c r="AB76" s="7" t="s">
        <v>4319</v>
      </c>
      <c r="AC76" s="7" t="s">
        <v>4320</v>
      </c>
      <c r="AD76" s="7" t="s">
        <v>4321</v>
      </c>
      <c r="AE76" s="7" t="s">
        <v>4322</v>
      </c>
      <c r="AF76" s="7" t="s">
        <v>2890</v>
      </c>
      <c r="AG76" s="7">
        <v>61.0</v>
      </c>
      <c r="AH76" s="7">
        <v>65.0</v>
      </c>
      <c r="AI76" s="7">
        <v>75.0</v>
      </c>
      <c r="AJ76" s="7">
        <v>5.0</v>
      </c>
      <c r="AK76" s="7">
        <v>88.0</v>
      </c>
      <c r="AL76" s="7" t="s">
        <v>2905</v>
      </c>
      <c r="AM76" s="7" t="s">
        <v>2906</v>
      </c>
      <c r="AN76" s="7" t="s">
        <v>2907</v>
      </c>
      <c r="AO76" s="7" t="s">
        <v>2908</v>
      </c>
      <c r="AP76" s="7" t="s">
        <v>2909</v>
      </c>
      <c r="AQ76" s="7" t="s">
        <v>2890</v>
      </c>
      <c r="AR76" s="7" t="s">
        <v>2910</v>
      </c>
      <c r="AS76" s="7" t="s">
        <v>2911</v>
      </c>
      <c r="AT76" s="7" t="s">
        <v>3119</v>
      </c>
      <c r="AU76" s="7">
        <v>2017.0</v>
      </c>
      <c r="AV76" s="7">
        <v>78.0</v>
      </c>
      <c r="AW76" s="7" t="s">
        <v>2890</v>
      </c>
      <c r="AX76" s="7" t="s">
        <v>2890</v>
      </c>
      <c r="AY76" s="7" t="s">
        <v>2890</v>
      </c>
      <c r="AZ76" s="7" t="s">
        <v>2890</v>
      </c>
      <c r="BA76" s="7" t="s">
        <v>2890</v>
      </c>
      <c r="BB76" s="7">
        <v>22.0</v>
      </c>
      <c r="BC76" s="7">
        <v>32.0</v>
      </c>
      <c r="BD76" s="7" t="s">
        <v>2890</v>
      </c>
      <c r="BE76" s="7" t="s">
        <v>4323</v>
      </c>
      <c r="BF76" s="24" t="str">
        <f>HYPERLINK("http://dx.doi.org/10.1016/j.apgeog.2016.10.007","http://dx.doi.org/10.1016/j.apgeog.2016.10.007")</f>
        <v>http://dx.doi.org/10.1016/j.apgeog.2016.10.007</v>
      </c>
      <c r="BG76" s="7" t="s">
        <v>2890</v>
      </c>
      <c r="BH76" s="7" t="s">
        <v>2890</v>
      </c>
      <c r="BI76" s="7">
        <v>11.0</v>
      </c>
      <c r="BJ76" s="7" t="s">
        <v>2913</v>
      </c>
      <c r="BK76" s="7" t="s">
        <v>2914</v>
      </c>
      <c r="BL76" s="7" t="s">
        <v>2913</v>
      </c>
      <c r="BM76" s="7" t="s">
        <v>4324</v>
      </c>
      <c r="BN76" s="7" t="s">
        <v>2890</v>
      </c>
      <c r="BO76" s="7" t="s">
        <v>3087</v>
      </c>
      <c r="BP76" s="7" t="s">
        <v>2890</v>
      </c>
      <c r="BQ76" s="7" t="s">
        <v>2890</v>
      </c>
      <c r="BR76" s="7" t="s">
        <v>2916</v>
      </c>
      <c r="BS76" s="7" t="s">
        <v>4325</v>
      </c>
      <c r="BT76" s="7" t="str">
        <f>HYPERLINK("https%3A%2F%2Fwww.webofscience.com%2Fwos%2Fwoscc%2Ffull-record%2FWOS:000392895900003","View Full Record in Web of Science")</f>
        <v>View Full Record in Web of Science</v>
      </c>
    </row>
    <row r="77" ht="12.75" customHeight="1">
      <c r="A77" s="7" t="s">
        <v>2888</v>
      </c>
      <c r="B77" s="7" t="s">
        <v>4326</v>
      </c>
      <c r="C77" s="7" t="s">
        <v>2890</v>
      </c>
      <c r="D77" s="7" t="s">
        <v>2890</v>
      </c>
      <c r="E77" s="7" t="s">
        <v>2890</v>
      </c>
      <c r="F77" s="7" t="s">
        <v>4327</v>
      </c>
      <c r="G77" s="7" t="s">
        <v>2890</v>
      </c>
      <c r="H77" s="7" t="s">
        <v>2890</v>
      </c>
      <c r="I77" s="7" t="s">
        <v>320</v>
      </c>
      <c r="J77" s="7" t="s">
        <v>3630</v>
      </c>
      <c r="K77" s="7" t="s">
        <v>2890</v>
      </c>
      <c r="L77" s="7" t="s">
        <v>2890</v>
      </c>
      <c r="M77" s="7" t="s">
        <v>2893</v>
      </c>
      <c r="N77" s="7" t="s">
        <v>2894</v>
      </c>
      <c r="O77" s="7" t="s">
        <v>2890</v>
      </c>
      <c r="P77" s="7" t="s">
        <v>2890</v>
      </c>
      <c r="Q77" s="7" t="s">
        <v>2890</v>
      </c>
      <c r="R77" s="7" t="s">
        <v>2890</v>
      </c>
      <c r="S77" s="7" t="s">
        <v>2890</v>
      </c>
      <c r="T77" s="7" t="s">
        <v>2890</v>
      </c>
      <c r="U77" s="7" t="s">
        <v>4328</v>
      </c>
      <c r="V77" s="7" t="s">
        <v>2715</v>
      </c>
      <c r="W77" s="7" t="s">
        <v>4329</v>
      </c>
      <c r="X77" s="7" t="s">
        <v>4330</v>
      </c>
      <c r="Y77" s="7" t="s">
        <v>4331</v>
      </c>
      <c r="Z77" s="7" t="s">
        <v>4332</v>
      </c>
      <c r="AA77" s="7" t="s">
        <v>4333</v>
      </c>
      <c r="AB77" s="7" t="s">
        <v>4334</v>
      </c>
      <c r="AC77" s="7" t="s">
        <v>4335</v>
      </c>
      <c r="AD77" s="7" t="s">
        <v>4335</v>
      </c>
      <c r="AE77" s="7" t="s">
        <v>4336</v>
      </c>
      <c r="AF77" s="7" t="s">
        <v>2890</v>
      </c>
      <c r="AG77" s="7">
        <v>53.0</v>
      </c>
      <c r="AH77" s="7">
        <v>626.0</v>
      </c>
      <c r="AI77" s="7">
        <v>707.0</v>
      </c>
      <c r="AJ77" s="7">
        <v>12.0</v>
      </c>
      <c r="AK77" s="7">
        <v>349.0</v>
      </c>
      <c r="AL77" s="7" t="s">
        <v>3641</v>
      </c>
      <c r="AM77" s="7" t="s">
        <v>3642</v>
      </c>
      <c r="AN77" s="7" t="s">
        <v>3643</v>
      </c>
      <c r="AO77" s="7" t="s">
        <v>2890</v>
      </c>
      <c r="AP77" s="7" t="s">
        <v>3644</v>
      </c>
      <c r="AQ77" s="7" t="s">
        <v>2890</v>
      </c>
      <c r="AR77" s="7" t="s">
        <v>3645</v>
      </c>
      <c r="AS77" s="7" t="s">
        <v>3646</v>
      </c>
      <c r="AT77" s="7" t="s">
        <v>3119</v>
      </c>
      <c r="AU77" s="7">
        <v>2017.0</v>
      </c>
      <c r="AV77" s="7">
        <v>3.0</v>
      </c>
      <c r="AW77" s="7">
        <v>1.0</v>
      </c>
      <c r="AX77" s="7" t="s">
        <v>2890</v>
      </c>
      <c r="AY77" s="7" t="s">
        <v>2890</v>
      </c>
      <c r="AZ77" s="7" t="s">
        <v>2890</v>
      </c>
      <c r="BA77" s="7" t="s">
        <v>2890</v>
      </c>
      <c r="BB77" s="7" t="s">
        <v>2890</v>
      </c>
      <c r="BC77" s="7" t="s">
        <v>2890</v>
      </c>
      <c r="BD77" s="7" t="s">
        <v>4337</v>
      </c>
      <c r="BE77" s="7" t="s">
        <v>2628</v>
      </c>
      <c r="BF77" s="24" t="str">
        <f>HYPERLINK("http://dx.doi.org/10.1126/sciadv.1600821","http://dx.doi.org/10.1126/sciadv.1600821")</f>
        <v>http://dx.doi.org/10.1126/sciadv.1600821</v>
      </c>
      <c r="BG77" s="7" t="s">
        <v>2890</v>
      </c>
      <c r="BH77" s="7" t="s">
        <v>2890</v>
      </c>
      <c r="BI77" s="7">
        <v>13.0</v>
      </c>
      <c r="BJ77" s="7" t="s">
        <v>3058</v>
      </c>
      <c r="BK77" s="7" t="s">
        <v>2938</v>
      </c>
      <c r="BL77" s="7" t="s">
        <v>3059</v>
      </c>
      <c r="BM77" s="7" t="s">
        <v>4338</v>
      </c>
      <c r="BN77" s="7">
        <v>2.8097216E7</v>
      </c>
      <c r="BO77" s="7" t="s">
        <v>2988</v>
      </c>
      <c r="BP77" s="7" t="s">
        <v>2890</v>
      </c>
      <c r="BQ77" s="7" t="s">
        <v>2890</v>
      </c>
      <c r="BR77" s="7" t="s">
        <v>2916</v>
      </c>
      <c r="BS77" s="7" t="s">
        <v>2627</v>
      </c>
      <c r="BT77" s="7" t="str">
        <f>HYPERLINK("https%3A%2F%2Fwww.webofscience.com%2Fwos%2Fwoscc%2Ffull-record%2FWOS:000393789900007","View Full Record in Web of Science")</f>
        <v>View Full Record in Web of Science</v>
      </c>
    </row>
    <row r="78" ht="12.75" customHeight="1">
      <c r="A78" s="7" t="s">
        <v>2888</v>
      </c>
      <c r="B78" s="7" t="s">
        <v>4339</v>
      </c>
      <c r="C78" s="7" t="s">
        <v>2890</v>
      </c>
      <c r="D78" s="7" t="s">
        <v>2890</v>
      </c>
      <c r="E78" s="7" t="s">
        <v>2890</v>
      </c>
      <c r="F78" s="7" t="s">
        <v>4340</v>
      </c>
      <c r="G78" s="7" t="s">
        <v>2890</v>
      </c>
      <c r="H78" s="7" t="s">
        <v>2890</v>
      </c>
      <c r="I78" s="7" t="s">
        <v>93</v>
      </c>
      <c r="J78" s="7" t="s">
        <v>3652</v>
      </c>
      <c r="K78" s="7" t="s">
        <v>2890</v>
      </c>
      <c r="L78" s="7" t="s">
        <v>2890</v>
      </c>
      <c r="M78" s="7" t="s">
        <v>2893</v>
      </c>
      <c r="N78" s="7" t="s">
        <v>2894</v>
      </c>
      <c r="O78" s="7" t="s">
        <v>2890</v>
      </c>
      <c r="P78" s="7" t="s">
        <v>2890</v>
      </c>
      <c r="Q78" s="7" t="s">
        <v>2890</v>
      </c>
      <c r="R78" s="7" t="s">
        <v>2890</v>
      </c>
      <c r="S78" s="7" t="s">
        <v>2890</v>
      </c>
      <c r="T78" s="7" t="s">
        <v>4341</v>
      </c>
      <c r="U78" s="7" t="s">
        <v>4342</v>
      </c>
      <c r="V78" s="7" t="s">
        <v>2716</v>
      </c>
      <c r="W78" s="7" t="s">
        <v>4343</v>
      </c>
      <c r="X78" s="7" t="s">
        <v>4344</v>
      </c>
      <c r="Y78" s="7" t="s">
        <v>4345</v>
      </c>
      <c r="Z78" s="7" t="s">
        <v>4346</v>
      </c>
      <c r="AA78" s="7" t="s">
        <v>4347</v>
      </c>
      <c r="AB78" s="7" t="s">
        <v>4348</v>
      </c>
      <c r="AC78" s="7" t="s">
        <v>4349</v>
      </c>
      <c r="AD78" s="7" t="s">
        <v>4349</v>
      </c>
      <c r="AE78" s="7" t="s">
        <v>4350</v>
      </c>
      <c r="AF78" s="7" t="s">
        <v>2890</v>
      </c>
      <c r="AG78" s="7">
        <v>61.0</v>
      </c>
      <c r="AH78" s="7">
        <v>57.0</v>
      </c>
      <c r="AI78" s="7">
        <v>65.0</v>
      </c>
      <c r="AJ78" s="7">
        <v>0.0</v>
      </c>
      <c r="AK78" s="7">
        <v>135.0</v>
      </c>
      <c r="AL78" s="7" t="s">
        <v>2905</v>
      </c>
      <c r="AM78" s="7" t="s">
        <v>3114</v>
      </c>
      <c r="AN78" s="7" t="s">
        <v>3115</v>
      </c>
      <c r="AO78" s="7" t="s">
        <v>3664</v>
      </c>
      <c r="AP78" s="7" t="s">
        <v>3665</v>
      </c>
      <c r="AQ78" s="7" t="s">
        <v>2890</v>
      </c>
      <c r="AR78" s="7" t="s">
        <v>3666</v>
      </c>
      <c r="AS78" s="7" t="s">
        <v>3667</v>
      </c>
      <c r="AT78" s="7" t="s">
        <v>3605</v>
      </c>
      <c r="AU78" s="7">
        <v>2016.0</v>
      </c>
      <c r="AV78" s="7">
        <v>203.0</v>
      </c>
      <c r="AW78" s="7" t="s">
        <v>2890</v>
      </c>
      <c r="AX78" s="7" t="s">
        <v>2890</v>
      </c>
      <c r="AY78" s="7" t="s">
        <v>2890</v>
      </c>
      <c r="AZ78" s="7" t="s">
        <v>2890</v>
      </c>
      <c r="BA78" s="7" t="s">
        <v>2890</v>
      </c>
      <c r="BB78" s="7">
        <v>8.0</v>
      </c>
      <c r="BC78" s="7">
        <v>16.0</v>
      </c>
      <c r="BD78" s="7" t="s">
        <v>2890</v>
      </c>
      <c r="BE78" s="7" t="s">
        <v>737</v>
      </c>
      <c r="BF78" s="24" t="str">
        <f>HYPERLINK("http://dx.doi.org/10.1016/j.biocon.2016.08.037","http://dx.doi.org/10.1016/j.biocon.2016.08.037")</f>
        <v>http://dx.doi.org/10.1016/j.biocon.2016.08.037</v>
      </c>
      <c r="BG78" s="7" t="s">
        <v>2890</v>
      </c>
      <c r="BH78" s="7" t="s">
        <v>2890</v>
      </c>
      <c r="BI78" s="7">
        <v>9.0</v>
      </c>
      <c r="BJ78" s="7" t="s">
        <v>3033</v>
      </c>
      <c r="BK78" s="7" t="s">
        <v>2938</v>
      </c>
      <c r="BL78" s="7" t="s">
        <v>3034</v>
      </c>
      <c r="BM78" s="7" t="s">
        <v>4351</v>
      </c>
      <c r="BN78" s="7" t="s">
        <v>2890</v>
      </c>
      <c r="BO78" s="7" t="s">
        <v>2890</v>
      </c>
      <c r="BP78" s="7" t="s">
        <v>2890</v>
      </c>
      <c r="BQ78" s="7" t="s">
        <v>2890</v>
      </c>
      <c r="BR78" s="7" t="s">
        <v>2916</v>
      </c>
      <c r="BS78" s="7" t="s">
        <v>2717</v>
      </c>
      <c r="BT78" s="7" t="str">
        <f>HYPERLINK("https%3A%2F%2Fwww.webofscience.com%2Fwos%2Fwoscc%2Ffull-record%2FWOS:000388156100002","View Full Record in Web of Science")</f>
        <v>View Full Record in Web of Science</v>
      </c>
    </row>
    <row r="79" ht="12.75" customHeight="1">
      <c r="A79" s="7" t="s">
        <v>2888</v>
      </c>
      <c r="B79" s="7" t="s">
        <v>4352</v>
      </c>
      <c r="C79" s="7" t="s">
        <v>2890</v>
      </c>
      <c r="D79" s="7" t="s">
        <v>2890</v>
      </c>
      <c r="E79" s="7" t="s">
        <v>2890</v>
      </c>
      <c r="F79" s="7" t="s">
        <v>4353</v>
      </c>
      <c r="G79" s="7" t="s">
        <v>2890</v>
      </c>
      <c r="H79" s="7" t="s">
        <v>2890</v>
      </c>
      <c r="I79" s="7" t="s">
        <v>2718</v>
      </c>
      <c r="J79" s="7" t="s">
        <v>4354</v>
      </c>
      <c r="K79" s="7" t="s">
        <v>2890</v>
      </c>
      <c r="L79" s="7" t="s">
        <v>2890</v>
      </c>
      <c r="M79" s="7" t="s">
        <v>2893</v>
      </c>
      <c r="N79" s="7" t="s">
        <v>2894</v>
      </c>
      <c r="O79" s="7" t="s">
        <v>2890</v>
      </c>
      <c r="P79" s="7" t="s">
        <v>2890</v>
      </c>
      <c r="Q79" s="7" t="s">
        <v>2890</v>
      </c>
      <c r="R79" s="7" t="s">
        <v>2890</v>
      </c>
      <c r="S79" s="7" t="s">
        <v>2890</v>
      </c>
      <c r="T79" s="7" t="s">
        <v>4355</v>
      </c>
      <c r="U79" s="7" t="s">
        <v>4356</v>
      </c>
      <c r="V79" s="7" t="s">
        <v>2719</v>
      </c>
      <c r="W79" s="7" t="s">
        <v>4357</v>
      </c>
      <c r="X79" s="7" t="s">
        <v>4358</v>
      </c>
      <c r="Y79" s="7" t="s">
        <v>4359</v>
      </c>
      <c r="Z79" s="7" t="s">
        <v>4360</v>
      </c>
      <c r="AA79" s="7" t="s">
        <v>4361</v>
      </c>
      <c r="AB79" s="7" t="s">
        <v>4362</v>
      </c>
      <c r="AC79" s="7" t="s">
        <v>4363</v>
      </c>
      <c r="AD79" s="7" t="s">
        <v>4364</v>
      </c>
      <c r="AE79" s="7" t="s">
        <v>4365</v>
      </c>
      <c r="AF79" s="7" t="s">
        <v>2890</v>
      </c>
      <c r="AG79" s="7">
        <v>61.0</v>
      </c>
      <c r="AH79" s="7">
        <v>13.0</v>
      </c>
      <c r="AI79" s="7">
        <v>14.0</v>
      </c>
      <c r="AJ79" s="7">
        <v>0.0</v>
      </c>
      <c r="AK79" s="7">
        <v>41.0</v>
      </c>
      <c r="AL79" s="7" t="s">
        <v>3232</v>
      </c>
      <c r="AM79" s="7" t="s">
        <v>3233</v>
      </c>
      <c r="AN79" s="7" t="s">
        <v>4366</v>
      </c>
      <c r="AO79" s="7" t="s">
        <v>2890</v>
      </c>
      <c r="AP79" s="7" t="s">
        <v>4367</v>
      </c>
      <c r="AQ79" s="7" t="s">
        <v>2890</v>
      </c>
      <c r="AR79" s="7" t="s">
        <v>4368</v>
      </c>
      <c r="AS79" s="7" t="s">
        <v>4369</v>
      </c>
      <c r="AT79" s="7" t="s">
        <v>3167</v>
      </c>
      <c r="AU79" s="7">
        <v>2016.0</v>
      </c>
      <c r="AV79" s="7">
        <v>8.0</v>
      </c>
      <c r="AW79" s="7">
        <v>10.0</v>
      </c>
      <c r="AX79" s="7" t="s">
        <v>2890</v>
      </c>
      <c r="AY79" s="7" t="s">
        <v>2890</v>
      </c>
      <c r="AZ79" s="7" t="s">
        <v>2890</v>
      </c>
      <c r="BA79" s="7" t="s">
        <v>2890</v>
      </c>
      <c r="BB79" s="7" t="s">
        <v>2890</v>
      </c>
      <c r="BC79" s="7" t="s">
        <v>2890</v>
      </c>
      <c r="BD79" s="7">
        <v>862.0</v>
      </c>
      <c r="BE79" s="7" t="s">
        <v>2570</v>
      </c>
      <c r="BF79" s="24" t="str">
        <f>HYPERLINK("http://dx.doi.org/10.3390/rs8100862","http://dx.doi.org/10.3390/rs8100862")</f>
        <v>http://dx.doi.org/10.3390/rs8100862</v>
      </c>
      <c r="BG79" s="7" t="s">
        <v>2890</v>
      </c>
      <c r="BH79" s="7" t="s">
        <v>2890</v>
      </c>
      <c r="BI79" s="7">
        <v>20.0</v>
      </c>
      <c r="BJ79" s="7" t="s">
        <v>4370</v>
      </c>
      <c r="BK79" s="7" t="s">
        <v>2938</v>
      </c>
      <c r="BL79" s="7" t="s">
        <v>4371</v>
      </c>
      <c r="BM79" s="7" t="s">
        <v>4372</v>
      </c>
      <c r="BN79" s="7" t="s">
        <v>2890</v>
      </c>
      <c r="BO79" s="7" t="s">
        <v>2988</v>
      </c>
      <c r="BP79" s="7" t="s">
        <v>2890</v>
      </c>
      <c r="BQ79" s="7" t="s">
        <v>2890</v>
      </c>
      <c r="BR79" s="7" t="s">
        <v>2916</v>
      </c>
      <c r="BS79" s="7" t="s">
        <v>2720</v>
      </c>
      <c r="BT79" s="7" t="str">
        <f>HYPERLINK("https%3A%2F%2Fwww.webofscience.com%2Fwos%2Fwoscc%2Ffull-record%2FWOS:000387357300076","View Full Record in Web of Science")</f>
        <v>View Full Record in Web of Science</v>
      </c>
    </row>
    <row r="80" ht="12.75" customHeight="1">
      <c r="A80" s="7" t="s">
        <v>2888</v>
      </c>
      <c r="B80" s="7" t="s">
        <v>4373</v>
      </c>
      <c r="C80" s="7" t="s">
        <v>2890</v>
      </c>
      <c r="D80" s="7" t="s">
        <v>2890</v>
      </c>
      <c r="E80" s="7" t="s">
        <v>2890</v>
      </c>
      <c r="F80" s="7" t="s">
        <v>4374</v>
      </c>
      <c r="G80" s="7" t="s">
        <v>2890</v>
      </c>
      <c r="H80" s="7" t="s">
        <v>2890</v>
      </c>
      <c r="I80" s="7" t="s">
        <v>264</v>
      </c>
      <c r="J80" s="7" t="s">
        <v>3609</v>
      </c>
      <c r="K80" s="7" t="s">
        <v>2890</v>
      </c>
      <c r="L80" s="7" t="s">
        <v>2890</v>
      </c>
      <c r="M80" s="7" t="s">
        <v>2893</v>
      </c>
      <c r="N80" s="7" t="s">
        <v>2894</v>
      </c>
      <c r="O80" s="7" t="s">
        <v>2890</v>
      </c>
      <c r="P80" s="7" t="s">
        <v>2890</v>
      </c>
      <c r="Q80" s="7" t="s">
        <v>2890</v>
      </c>
      <c r="R80" s="7" t="s">
        <v>2890</v>
      </c>
      <c r="S80" s="7" t="s">
        <v>2890</v>
      </c>
      <c r="T80" s="7" t="s">
        <v>2890</v>
      </c>
      <c r="U80" s="7" t="s">
        <v>4375</v>
      </c>
      <c r="V80" s="7" t="s">
        <v>2721</v>
      </c>
      <c r="W80" s="7" t="s">
        <v>4376</v>
      </c>
      <c r="X80" s="7" t="s">
        <v>4377</v>
      </c>
      <c r="Y80" s="7" t="s">
        <v>4378</v>
      </c>
      <c r="Z80" s="7" t="s">
        <v>4379</v>
      </c>
      <c r="AA80" s="7" t="s">
        <v>4380</v>
      </c>
      <c r="AB80" s="7" t="s">
        <v>4381</v>
      </c>
      <c r="AC80" s="7" t="s">
        <v>4382</v>
      </c>
      <c r="AD80" s="7" t="s">
        <v>4383</v>
      </c>
      <c r="AE80" s="7" t="s">
        <v>4384</v>
      </c>
      <c r="AF80" s="7" t="s">
        <v>2890</v>
      </c>
      <c r="AG80" s="7">
        <v>74.0</v>
      </c>
      <c r="AH80" s="7">
        <v>18.0</v>
      </c>
      <c r="AI80" s="7">
        <v>19.0</v>
      </c>
      <c r="AJ80" s="7">
        <v>0.0</v>
      </c>
      <c r="AK80" s="7">
        <v>22.0</v>
      </c>
      <c r="AL80" s="7" t="s">
        <v>3620</v>
      </c>
      <c r="AM80" s="7" t="s">
        <v>3621</v>
      </c>
      <c r="AN80" s="7" t="s">
        <v>3622</v>
      </c>
      <c r="AO80" s="7" t="s">
        <v>3623</v>
      </c>
      <c r="AP80" s="7" t="s">
        <v>2890</v>
      </c>
      <c r="AQ80" s="7" t="s">
        <v>2890</v>
      </c>
      <c r="AR80" s="7" t="s">
        <v>3609</v>
      </c>
      <c r="AS80" s="7" t="s">
        <v>3624</v>
      </c>
      <c r="AT80" s="7" t="s">
        <v>4385</v>
      </c>
      <c r="AU80" s="7">
        <v>2016.0</v>
      </c>
      <c r="AV80" s="7">
        <v>11.0</v>
      </c>
      <c r="AW80" s="7">
        <v>2.0</v>
      </c>
      <c r="AX80" s="7" t="s">
        <v>2890</v>
      </c>
      <c r="AY80" s="7" t="s">
        <v>2890</v>
      </c>
      <c r="AZ80" s="7" t="s">
        <v>2890</v>
      </c>
      <c r="BA80" s="7" t="s">
        <v>2890</v>
      </c>
      <c r="BB80" s="7" t="s">
        <v>2890</v>
      </c>
      <c r="BC80" s="7" t="s">
        <v>2890</v>
      </c>
      <c r="BD80" s="7" t="s">
        <v>4386</v>
      </c>
      <c r="BE80" s="7" t="s">
        <v>2569</v>
      </c>
      <c r="BF80" s="24" t="str">
        <f>HYPERLINK("http://dx.doi.org/10.1371/journal.pone.0149292","http://dx.doi.org/10.1371/journal.pone.0149292")</f>
        <v>http://dx.doi.org/10.1371/journal.pone.0149292</v>
      </c>
      <c r="BG80" s="7" t="s">
        <v>2890</v>
      </c>
      <c r="BH80" s="7" t="s">
        <v>2890</v>
      </c>
      <c r="BI80" s="7">
        <v>19.0</v>
      </c>
      <c r="BJ80" s="7" t="s">
        <v>3058</v>
      </c>
      <c r="BK80" s="7" t="s">
        <v>2938</v>
      </c>
      <c r="BL80" s="7" t="s">
        <v>3059</v>
      </c>
      <c r="BM80" s="7" t="s">
        <v>4387</v>
      </c>
      <c r="BN80" s="7">
        <v>2.6886207E7</v>
      </c>
      <c r="BO80" s="7" t="s">
        <v>2988</v>
      </c>
      <c r="BP80" s="7" t="s">
        <v>2890</v>
      </c>
      <c r="BQ80" s="7" t="s">
        <v>2890</v>
      </c>
      <c r="BR80" s="7" t="s">
        <v>2916</v>
      </c>
      <c r="BS80" s="7" t="s">
        <v>2722</v>
      </c>
      <c r="BT80" s="7" t="str">
        <f>HYPERLINK("https%3A%2F%2Fwww.webofscience.com%2Fwos%2Fwoscc%2Ffull-record%2FWOS:000371218400074","View Full Record in Web of Science")</f>
        <v>View Full Record in Web of Science</v>
      </c>
    </row>
    <row r="81" ht="12.75" customHeight="1">
      <c r="A81" s="7" t="s">
        <v>2888</v>
      </c>
      <c r="B81" s="7" t="s">
        <v>4388</v>
      </c>
      <c r="C81" s="7" t="s">
        <v>2890</v>
      </c>
      <c r="D81" s="7" t="s">
        <v>2890</v>
      </c>
      <c r="E81" s="7" t="s">
        <v>2890</v>
      </c>
      <c r="F81" s="7" t="s">
        <v>4389</v>
      </c>
      <c r="G81" s="7" t="s">
        <v>2890</v>
      </c>
      <c r="H81" s="7" t="s">
        <v>2890</v>
      </c>
      <c r="I81" s="7" t="s">
        <v>33</v>
      </c>
      <c r="J81" s="7" t="s">
        <v>4390</v>
      </c>
      <c r="K81" s="7" t="s">
        <v>2890</v>
      </c>
      <c r="L81" s="7" t="s">
        <v>2890</v>
      </c>
      <c r="M81" s="7" t="s">
        <v>2893</v>
      </c>
      <c r="N81" s="7" t="s">
        <v>2894</v>
      </c>
      <c r="O81" s="7" t="s">
        <v>2890</v>
      </c>
      <c r="P81" s="7" t="s">
        <v>2890</v>
      </c>
      <c r="Q81" s="7" t="s">
        <v>2890</v>
      </c>
      <c r="R81" s="7" t="s">
        <v>2890</v>
      </c>
      <c r="S81" s="7" t="s">
        <v>2890</v>
      </c>
      <c r="T81" s="7" t="s">
        <v>4391</v>
      </c>
      <c r="U81" s="7" t="s">
        <v>4392</v>
      </c>
      <c r="V81" s="7" t="s">
        <v>4393</v>
      </c>
      <c r="W81" s="7" t="s">
        <v>4394</v>
      </c>
      <c r="X81" s="7" t="s">
        <v>4395</v>
      </c>
      <c r="Y81" s="7" t="s">
        <v>4396</v>
      </c>
      <c r="Z81" s="7" t="s">
        <v>4397</v>
      </c>
      <c r="AA81" s="7" t="s">
        <v>4398</v>
      </c>
      <c r="AB81" s="7" t="s">
        <v>4399</v>
      </c>
      <c r="AC81" s="7" t="s">
        <v>4400</v>
      </c>
      <c r="AD81" s="7" t="s">
        <v>4401</v>
      </c>
      <c r="AE81" s="7" t="s">
        <v>4402</v>
      </c>
      <c r="AF81" s="7" t="s">
        <v>2890</v>
      </c>
      <c r="AG81" s="7">
        <v>54.0</v>
      </c>
      <c r="AH81" s="7">
        <v>19.0</v>
      </c>
      <c r="AI81" s="7">
        <v>21.0</v>
      </c>
      <c r="AJ81" s="7">
        <v>0.0</v>
      </c>
      <c r="AK81" s="7">
        <v>32.0</v>
      </c>
      <c r="AL81" s="7" t="s">
        <v>4403</v>
      </c>
      <c r="AM81" s="7" t="s">
        <v>4404</v>
      </c>
      <c r="AN81" s="7" t="s">
        <v>4405</v>
      </c>
      <c r="AO81" s="7" t="s">
        <v>4406</v>
      </c>
      <c r="AP81" s="7" t="s">
        <v>4407</v>
      </c>
      <c r="AQ81" s="7" t="s">
        <v>2890</v>
      </c>
      <c r="AR81" s="7" t="s">
        <v>4408</v>
      </c>
      <c r="AS81" s="7" t="s">
        <v>4409</v>
      </c>
      <c r="AT81" s="7" t="s">
        <v>2890</v>
      </c>
      <c r="AU81" s="7">
        <v>2016.0</v>
      </c>
      <c r="AV81" s="7">
        <v>59.0</v>
      </c>
      <c r="AW81" s="7">
        <v>9.0</v>
      </c>
      <c r="AX81" s="7" t="s">
        <v>2890</v>
      </c>
      <c r="AY81" s="7" t="s">
        <v>2890</v>
      </c>
      <c r="AZ81" s="7" t="s">
        <v>2890</v>
      </c>
      <c r="BA81" s="7" t="s">
        <v>2890</v>
      </c>
      <c r="BB81" s="7">
        <v>1629.0</v>
      </c>
      <c r="BC81" s="7">
        <v>1655.0</v>
      </c>
      <c r="BD81" s="7" t="s">
        <v>2890</v>
      </c>
      <c r="BE81" s="7" t="s">
        <v>4410</v>
      </c>
      <c r="BF81" s="24" t="str">
        <f>HYPERLINK("http://dx.doi.org/10.1080/09640568.2015.1083416","http://dx.doi.org/10.1080/09640568.2015.1083416")</f>
        <v>http://dx.doi.org/10.1080/09640568.2015.1083416</v>
      </c>
      <c r="BG81" s="7" t="s">
        <v>2890</v>
      </c>
      <c r="BH81" s="7" t="s">
        <v>2890</v>
      </c>
      <c r="BI81" s="7">
        <v>27.0</v>
      </c>
      <c r="BJ81" s="7" t="s">
        <v>4411</v>
      </c>
      <c r="BK81" s="7" t="s">
        <v>2914</v>
      </c>
      <c r="BL81" s="7" t="s">
        <v>4412</v>
      </c>
      <c r="BM81" s="7" t="s">
        <v>4413</v>
      </c>
      <c r="BN81" s="7" t="s">
        <v>2890</v>
      </c>
      <c r="BO81" s="7" t="s">
        <v>2890</v>
      </c>
      <c r="BP81" s="7" t="s">
        <v>2890</v>
      </c>
      <c r="BQ81" s="7" t="s">
        <v>2890</v>
      </c>
      <c r="BR81" s="7" t="s">
        <v>2916</v>
      </c>
      <c r="BS81" s="7" t="s">
        <v>4414</v>
      </c>
      <c r="BT81" s="7" t="str">
        <f>HYPERLINK("https%3A%2F%2Fwww.webofscience.com%2Fwos%2Fwoscc%2Ffull-record%2FWOS:000380891900005","View Full Record in Web of Science")</f>
        <v>View Full Record in Web of Science</v>
      </c>
    </row>
    <row r="82" ht="12.75" customHeight="1">
      <c r="A82" s="7" t="s">
        <v>2888</v>
      </c>
      <c r="B82" s="7" t="s">
        <v>4415</v>
      </c>
      <c r="C82" s="7" t="s">
        <v>2890</v>
      </c>
      <c r="D82" s="7" t="s">
        <v>2890</v>
      </c>
      <c r="E82" s="7" t="s">
        <v>2890</v>
      </c>
      <c r="F82" s="7" t="s">
        <v>4416</v>
      </c>
      <c r="G82" s="7" t="s">
        <v>2890</v>
      </c>
      <c r="H82" s="7" t="s">
        <v>2890</v>
      </c>
      <c r="I82" s="7" t="s">
        <v>30</v>
      </c>
      <c r="J82" s="7" t="s">
        <v>3104</v>
      </c>
      <c r="K82" s="7" t="s">
        <v>2890</v>
      </c>
      <c r="L82" s="7" t="s">
        <v>2890</v>
      </c>
      <c r="M82" s="7" t="s">
        <v>2893</v>
      </c>
      <c r="N82" s="7" t="s">
        <v>2894</v>
      </c>
      <c r="O82" s="7" t="s">
        <v>2890</v>
      </c>
      <c r="P82" s="7" t="s">
        <v>2890</v>
      </c>
      <c r="Q82" s="7" t="s">
        <v>2890</v>
      </c>
      <c r="R82" s="7" t="s">
        <v>2890</v>
      </c>
      <c r="S82" s="7" t="s">
        <v>2890</v>
      </c>
      <c r="T82" s="7" t="s">
        <v>4417</v>
      </c>
      <c r="U82" s="7" t="s">
        <v>4418</v>
      </c>
      <c r="V82" s="7" t="s">
        <v>2723</v>
      </c>
      <c r="W82" s="7" t="s">
        <v>4419</v>
      </c>
      <c r="X82" s="7" t="s">
        <v>4420</v>
      </c>
      <c r="Y82" s="7" t="s">
        <v>4421</v>
      </c>
      <c r="Z82" s="7" t="s">
        <v>4422</v>
      </c>
      <c r="AA82" s="7" t="s">
        <v>2890</v>
      </c>
      <c r="AB82" s="7" t="s">
        <v>2890</v>
      </c>
      <c r="AC82" s="7" t="s">
        <v>2890</v>
      </c>
      <c r="AD82" s="7" t="s">
        <v>2890</v>
      </c>
      <c r="AE82" s="7" t="s">
        <v>2890</v>
      </c>
      <c r="AF82" s="7" t="s">
        <v>2890</v>
      </c>
      <c r="AG82" s="7">
        <v>46.0</v>
      </c>
      <c r="AH82" s="7">
        <v>38.0</v>
      </c>
      <c r="AI82" s="7">
        <v>44.0</v>
      </c>
      <c r="AJ82" s="7">
        <v>1.0</v>
      </c>
      <c r="AK82" s="7">
        <v>32.0</v>
      </c>
      <c r="AL82" s="7" t="s">
        <v>2905</v>
      </c>
      <c r="AM82" s="7" t="s">
        <v>2906</v>
      </c>
      <c r="AN82" s="7" t="s">
        <v>2907</v>
      </c>
      <c r="AO82" s="7" t="s">
        <v>3116</v>
      </c>
      <c r="AP82" s="7" t="s">
        <v>3117</v>
      </c>
      <c r="AQ82" s="7" t="s">
        <v>2890</v>
      </c>
      <c r="AR82" s="7" t="s">
        <v>3104</v>
      </c>
      <c r="AS82" s="7" t="s">
        <v>3118</v>
      </c>
      <c r="AT82" s="7" t="s">
        <v>3143</v>
      </c>
      <c r="AU82" s="7">
        <v>2015.0</v>
      </c>
      <c r="AV82" s="7">
        <v>49.0</v>
      </c>
      <c r="AW82" s="7" t="s">
        <v>2890</v>
      </c>
      <c r="AX82" s="7" t="s">
        <v>2890</v>
      </c>
      <c r="AY82" s="7" t="s">
        <v>2890</v>
      </c>
      <c r="AZ82" s="7" t="s">
        <v>3214</v>
      </c>
      <c r="BA82" s="7" t="s">
        <v>2890</v>
      </c>
      <c r="BB82" s="7">
        <v>471.0</v>
      </c>
      <c r="BC82" s="7">
        <v>482.0</v>
      </c>
      <c r="BD82" s="7" t="s">
        <v>2890</v>
      </c>
      <c r="BE82" s="7" t="s">
        <v>2568</v>
      </c>
      <c r="BF82" s="24" t="str">
        <f>HYPERLINK("http://dx.doi.org/10.1016/j.landusepol.2015.08.020","http://dx.doi.org/10.1016/j.landusepol.2015.08.020")</f>
        <v>http://dx.doi.org/10.1016/j.landusepol.2015.08.020</v>
      </c>
      <c r="BG82" s="7" t="s">
        <v>2890</v>
      </c>
      <c r="BH82" s="7" t="s">
        <v>2890</v>
      </c>
      <c r="BI82" s="7">
        <v>12.0</v>
      </c>
      <c r="BJ82" s="7" t="s">
        <v>3122</v>
      </c>
      <c r="BK82" s="7" t="s">
        <v>2914</v>
      </c>
      <c r="BL82" s="7" t="s">
        <v>3008</v>
      </c>
      <c r="BM82" s="7" t="s">
        <v>4423</v>
      </c>
      <c r="BN82" s="7" t="s">
        <v>2890</v>
      </c>
      <c r="BO82" s="7" t="s">
        <v>2890</v>
      </c>
      <c r="BP82" s="7" t="s">
        <v>2890</v>
      </c>
      <c r="BQ82" s="7" t="s">
        <v>2890</v>
      </c>
      <c r="BR82" s="7" t="s">
        <v>2916</v>
      </c>
      <c r="BS82" s="7" t="s">
        <v>2724</v>
      </c>
      <c r="BT82" s="7" t="str">
        <f>HYPERLINK("https%3A%2F%2Fwww.webofscience.com%2Fwos%2Fwoscc%2Ffull-record%2FWOS:000367105800043","View Full Record in Web of Science")</f>
        <v>View Full Record in Web of Science</v>
      </c>
    </row>
    <row r="83" ht="12.75" customHeight="1">
      <c r="A83" s="7" t="s">
        <v>2888</v>
      </c>
      <c r="B83" s="7" t="s">
        <v>4424</v>
      </c>
      <c r="C83" s="7" t="s">
        <v>2890</v>
      </c>
      <c r="D83" s="7" t="s">
        <v>2890</v>
      </c>
      <c r="E83" s="7" t="s">
        <v>2890</v>
      </c>
      <c r="F83" s="7" t="s">
        <v>4425</v>
      </c>
      <c r="G83" s="7" t="s">
        <v>2890</v>
      </c>
      <c r="H83" s="7" t="s">
        <v>2890</v>
      </c>
      <c r="I83" s="7" t="s">
        <v>1023</v>
      </c>
      <c r="J83" s="7" t="s">
        <v>3609</v>
      </c>
      <c r="K83" s="7" t="s">
        <v>2890</v>
      </c>
      <c r="L83" s="7" t="s">
        <v>2890</v>
      </c>
      <c r="M83" s="7" t="s">
        <v>2893</v>
      </c>
      <c r="N83" s="7" t="s">
        <v>2894</v>
      </c>
      <c r="O83" s="7" t="s">
        <v>2890</v>
      </c>
      <c r="P83" s="7" t="s">
        <v>2890</v>
      </c>
      <c r="Q83" s="7" t="s">
        <v>2890</v>
      </c>
      <c r="R83" s="7" t="s">
        <v>2890</v>
      </c>
      <c r="S83" s="7" t="s">
        <v>2890</v>
      </c>
      <c r="T83" s="7" t="s">
        <v>2890</v>
      </c>
      <c r="U83" s="7" t="s">
        <v>4426</v>
      </c>
      <c r="V83" s="7" t="s">
        <v>2808</v>
      </c>
      <c r="W83" s="7" t="s">
        <v>4427</v>
      </c>
      <c r="X83" s="7" t="s">
        <v>4428</v>
      </c>
      <c r="Y83" s="7" t="s">
        <v>4429</v>
      </c>
      <c r="Z83" s="7" t="s">
        <v>4430</v>
      </c>
      <c r="AA83" s="7" t="s">
        <v>4431</v>
      </c>
      <c r="AB83" s="7" t="s">
        <v>4432</v>
      </c>
      <c r="AC83" s="7" t="s">
        <v>2890</v>
      </c>
      <c r="AD83" s="7" t="s">
        <v>2890</v>
      </c>
      <c r="AE83" s="7" t="s">
        <v>2890</v>
      </c>
      <c r="AF83" s="7" t="s">
        <v>2890</v>
      </c>
      <c r="AG83" s="7">
        <v>69.0</v>
      </c>
      <c r="AH83" s="7">
        <v>28.0</v>
      </c>
      <c r="AI83" s="7">
        <v>37.0</v>
      </c>
      <c r="AJ83" s="7">
        <v>1.0</v>
      </c>
      <c r="AK83" s="7">
        <v>41.0</v>
      </c>
      <c r="AL83" s="7" t="s">
        <v>3620</v>
      </c>
      <c r="AM83" s="7" t="s">
        <v>3621</v>
      </c>
      <c r="AN83" s="7" t="s">
        <v>3622</v>
      </c>
      <c r="AO83" s="7" t="s">
        <v>3623</v>
      </c>
      <c r="AP83" s="7" t="s">
        <v>2890</v>
      </c>
      <c r="AQ83" s="7" t="s">
        <v>2890</v>
      </c>
      <c r="AR83" s="7" t="s">
        <v>3609</v>
      </c>
      <c r="AS83" s="7" t="s">
        <v>3624</v>
      </c>
      <c r="AT83" s="7" t="s">
        <v>4433</v>
      </c>
      <c r="AU83" s="7">
        <v>2015.0</v>
      </c>
      <c r="AV83" s="7">
        <v>10.0</v>
      </c>
      <c r="AW83" s="7">
        <v>6.0</v>
      </c>
      <c r="AX83" s="7" t="s">
        <v>2890</v>
      </c>
      <c r="AY83" s="7" t="s">
        <v>2890</v>
      </c>
      <c r="AZ83" s="7" t="s">
        <v>2890</v>
      </c>
      <c r="BA83" s="7" t="s">
        <v>2890</v>
      </c>
      <c r="BB83" s="7" t="s">
        <v>2890</v>
      </c>
      <c r="BC83" s="7" t="s">
        <v>2890</v>
      </c>
      <c r="BD83" s="7" t="s">
        <v>4434</v>
      </c>
      <c r="BE83" s="7" t="s">
        <v>2566</v>
      </c>
      <c r="BF83" s="24" t="str">
        <f>HYPERLINK("http://dx.doi.org/10.1371/journal.pone.0124872","http://dx.doi.org/10.1371/journal.pone.0124872")</f>
        <v>http://dx.doi.org/10.1371/journal.pone.0124872</v>
      </c>
      <c r="BG83" s="7" t="s">
        <v>2890</v>
      </c>
      <c r="BH83" s="7" t="s">
        <v>2890</v>
      </c>
      <c r="BI83" s="7">
        <v>21.0</v>
      </c>
      <c r="BJ83" s="7" t="s">
        <v>3058</v>
      </c>
      <c r="BK83" s="7" t="s">
        <v>2938</v>
      </c>
      <c r="BL83" s="7" t="s">
        <v>3059</v>
      </c>
      <c r="BM83" s="7" t="s">
        <v>4435</v>
      </c>
      <c r="BN83" s="7">
        <v>2.6039754E7</v>
      </c>
      <c r="BO83" s="7" t="s">
        <v>2988</v>
      </c>
      <c r="BP83" s="7" t="s">
        <v>2890</v>
      </c>
      <c r="BQ83" s="7" t="s">
        <v>2890</v>
      </c>
      <c r="BR83" s="7" t="s">
        <v>2916</v>
      </c>
      <c r="BS83" s="7" t="s">
        <v>2809</v>
      </c>
      <c r="BT83" s="7" t="str">
        <f>HYPERLINK("https%3A%2F%2Fwww.webofscience.com%2Fwos%2Fwoscc%2Ffull-record%2FWOS:000355700700005","View Full Record in Web of Science")</f>
        <v>View Full Record in Web of Science</v>
      </c>
    </row>
    <row r="84" ht="12.75" customHeight="1">
      <c r="A84" s="7" t="s">
        <v>2888</v>
      </c>
      <c r="B84" s="7" t="s">
        <v>4436</v>
      </c>
      <c r="C84" s="7" t="s">
        <v>2890</v>
      </c>
      <c r="D84" s="7" t="s">
        <v>2890</v>
      </c>
      <c r="E84" s="7" t="s">
        <v>2890</v>
      </c>
      <c r="F84" s="7" t="s">
        <v>4437</v>
      </c>
      <c r="G84" s="7" t="s">
        <v>2890</v>
      </c>
      <c r="H84" s="7" t="s">
        <v>2890</v>
      </c>
      <c r="I84" s="7" t="s">
        <v>159</v>
      </c>
      <c r="J84" s="7" t="s">
        <v>3104</v>
      </c>
      <c r="K84" s="7" t="s">
        <v>2890</v>
      </c>
      <c r="L84" s="7" t="s">
        <v>2890</v>
      </c>
      <c r="M84" s="7" t="s">
        <v>2893</v>
      </c>
      <c r="N84" s="7" t="s">
        <v>2894</v>
      </c>
      <c r="O84" s="7" t="s">
        <v>2890</v>
      </c>
      <c r="P84" s="7" t="s">
        <v>2890</v>
      </c>
      <c r="Q84" s="7" t="s">
        <v>2890</v>
      </c>
      <c r="R84" s="7" t="s">
        <v>2890</v>
      </c>
      <c r="S84" s="7" t="s">
        <v>2890</v>
      </c>
      <c r="T84" s="7" t="s">
        <v>4438</v>
      </c>
      <c r="U84" s="7" t="s">
        <v>4439</v>
      </c>
      <c r="V84" s="7" t="s">
        <v>2801</v>
      </c>
      <c r="W84" s="7" t="s">
        <v>4440</v>
      </c>
      <c r="X84" s="7" t="s">
        <v>4441</v>
      </c>
      <c r="Y84" s="7" t="s">
        <v>4442</v>
      </c>
      <c r="Z84" s="7" t="s">
        <v>4443</v>
      </c>
      <c r="AA84" s="7" t="s">
        <v>4444</v>
      </c>
      <c r="AB84" s="7" t="s">
        <v>4445</v>
      </c>
      <c r="AC84" s="7" t="s">
        <v>4446</v>
      </c>
      <c r="AD84" s="7" t="s">
        <v>4447</v>
      </c>
      <c r="AE84" s="7" t="s">
        <v>4448</v>
      </c>
      <c r="AF84" s="7" t="s">
        <v>2890</v>
      </c>
      <c r="AG84" s="7">
        <v>76.0</v>
      </c>
      <c r="AH84" s="7">
        <v>90.0</v>
      </c>
      <c r="AI84" s="7">
        <v>96.0</v>
      </c>
      <c r="AJ84" s="7">
        <v>0.0</v>
      </c>
      <c r="AK84" s="7">
        <v>52.0</v>
      </c>
      <c r="AL84" s="7" t="s">
        <v>2905</v>
      </c>
      <c r="AM84" s="7" t="s">
        <v>2906</v>
      </c>
      <c r="AN84" s="7" t="s">
        <v>2907</v>
      </c>
      <c r="AO84" s="7" t="s">
        <v>3116</v>
      </c>
      <c r="AP84" s="7" t="s">
        <v>3117</v>
      </c>
      <c r="AQ84" s="7" t="s">
        <v>2890</v>
      </c>
      <c r="AR84" s="7" t="s">
        <v>3104</v>
      </c>
      <c r="AS84" s="7" t="s">
        <v>3118</v>
      </c>
      <c r="AT84" s="7" t="s">
        <v>3791</v>
      </c>
      <c r="AU84" s="7">
        <v>2015.0</v>
      </c>
      <c r="AV84" s="7">
        <v>44.0</v>
      </c>
      <c r="AW84" s="7" t="s">
        <v>2890</v>
      </c>
      <c r="AX84" s="7" t="s">
        <v>2890</v>
      </c>
      <c r="AY84" s="7" t="s">
        <v>2890</v>
      </c>
      <c r="AZ84" s="7" t="s">
        <v>2890</v>
      </c>
      <c r="BA84" s="7" t="s">
        <v>2890</v>
      </c>
      <c r="BB84" s="7">
        <v>62.0</v>
      </c>
      <c r="BC84" s="7">
        <v>75.0</v>
      </c>
      <c r="BD84" s="7" t="s">
        <v>2890</v>
      </c>
      <c r="BE84" s="7" t="s">
        <v>686</v>
      </c>
      <c r="BF84" s="24" t="str">
        <f>HYPERLINK("http://dx.doi.org/10.1016/j.landusepol.2014.11.021","http://dx.doi.org/10.1016/j.landusepol.2014.11.021")</f>
        <v>http://dx.doi.org/10.1016/j.landusepol.2014.11.021</v>
      </c>
      <c r="BG84" s="7" t="s">
        <v>2890</v>
      </c>
      <c r="BH84" s="7" t="s">
        <v>2890</v>
      </c>
      <c r="BI84" s="7">
        <v>14.0</v>
      </c>
      <c r="BJ84" s="7" t="s">
        <v>3122</v>
      </c>
      <c r="BK84" s="7" t="s">
        <v>2914</v>
      </c>
      <c r="BL84" s="7" t="s">
        <v>3008</v>
      </c>
      <c r="BM84" s="7" t="s">
        <v>4449</v>
      </c>
      <c r="BN84" s="7" t="s">
        <v>2890</v>
      </c>
      <c r="BO84" s="7" t="s">
        <v>4450</v>
      </c>
      <c r="BP84" s="7" t="s">
        <v>2890</v>
      </c>
      <c r="BQ84" s="7" t="s">
        <v>2890</v>
      </c>
      <c r="BR84" s="7" t="s">
        <v>2916</v>
      </c>
      <c r="BS84" s="7" t="s">
        <v>2802</v>
      </c>
      <c r="BT84" s="7" t="str">
        <f>HYPERLINK("https%3A%2F%2Fwww.webofscience.com%2Fwos%2Fwoscc%2Ffull-record%2FWOS:000351803300007","View Full Record in Web of Science")</f>
        <v>View Full Record in Web of Science</v>
      </c>
    </row>
    <row r="85" ht="12.75" customHeight="1">
      <c r="A85" s="7" t="s">
        <v>2888</v>
      </c>
      <c r="B85" s="7" t="s">
        <v>4451</v>
      </c>
      <c r="C85" s="7" t="s">
        <v>2890</v>
      </c>
      <c r="D85" s="7" t="s">
        <v>2890</v>
      </c>
      <c r="E85" s="7" t="s">
        <v>2890</v>
      </c>
      <c r="F85" s="7" t="s">
        <v>4452</v>
      </c>
      <c r="G85" s="7" t="s">
        <v>2890</v>
      </c>
      <c r="H85" s="7" t="s">
        <v>2890</v>
      </c>
      <c r="I85" s="7" t="s">
        <v>4453</v>
      </c>
      <c r="J85" s="7" t="s">
        <v>3305</v>
      </c>
      <c r="K85" s="7" t="s">
        <v>2890</v>
      </c>
      <c r="L85" s="7" t="s">
        <v>2890</v>
      </c>
      <c r="M85" s="7" t="s">
        <v>2893</v>
      </c>
      <c r="N85" s="7" t="s">
        <v>2894</v>
      </c>
      <c r="O85" s="7" t="s">
        <v>2890</v>
      </c>
      <c r="P85" s="7" t="s">
        <v>2890</v>
      </c>
      <c r="Q85" s="7" t="s">
        <v>2890</v>
      </c>
      <c r="R85" s="7" t="s">
        <v>2890</v>
      </c>
      <c r="S85" s="7" t="s">
        <v>2890</v>
      </c>
      <c r="T85" s="7" t="s">
        <v>4454</v>
      </c>
      <c r="U85" s="7" t="s">
        <v>4455</v>
      </c>
      <c r="V85" s="7" t="s">
        <v>4456</v>
      </c>
      <c r="W85" s="7" t="s">
        <v>4457</v>
      </c>
      <c r="X85" s="7" t="s">
        <v>4458</v>
      </c>
      <c r="Y85" s="7" t="s">
        <v>4459</v>
      </c>
      <c r="Z85" s="7" t="s">
        <v>4460</v>
      </c>
      <c r="AA85" s="7" t="s">
        <v>4461</v>
      </c>
      <c r="AB85" s="7" t="s">
        <v>4462</v>
      </c>
      <c r="AC85" s="7" t="s">
        <v>4463</v>
      </c>
      <c r="AD85" s="7" t="s">
        <v>4464</v>
      </c>
      <c r="AE85" s="7" t="s">
        <v>4465</v>
      </c>
      <c r="AF85" s="7" t="s">
        <v>2890</v>
      </c>
      <c r="AG85" s="7">
        <v>61.0</v>
      </c>
      <c r="AH85" s="7">
        <v>203.0</v>
      </c>
      <c r="AI85" s="7">
        <v>246.0</v>
      </c>
      <c r="AJ85" s="7">
        <v>4.0</v>
      </c>
      <c r="AK85" s="7">
        <v>268.0</v>
      </c>
      <c r="AL85" s="7" t="s">
        <v>3024</v>
      </c>
      <c r="AM85" s="7" t="s">
        <v>3025</v>
      </c>
      <c r="AN85" s="7" t="s">
        <v>3026</v>
      </c>
      <c r="AO85" s="7" t="s">
        <v>3317</v>
      </c>
      <c r="AP85" s="7" t="s">
        <v>3318</v>
      </c>
      <c r="AQ85" s="7" t="s">
        <v>2890</v>
      </c>
      <c r="AR85" s="7" t="s">
        <v>3319</v>
      </c>
      <c r="AS85" s="7" t="s">
        <v>3320</v>
      </c>
      <c r="AT85" s="7" t="s">
        <v>3143</v>
      </c>
      <c r="AU85" s="7">
        <v>2014.0</v>
      </c>
      <c r="AV85" s="7">
        <v>28.0</v>
      </c>
      <c r="AW85" s="7">
        <v>6.0</v>
      </c>
      <c r="AX85" s="7" t="s">
        <v>2890</v>
      </c>
      <c r="AY85" s="7" t="s">
        <v>2890</v>
      </c>
      <c r="AZ85" s="7" t="s">
        <v>2890</v>
      </c>
      <c r="BA85" s="7" t="s">
        <v>2890</v>
      </c>
      <c r="BB85" s="7">
        <v>1604.0</v>
      </c>
      <c r="BC85" s="7">
        <v>1616.0</v>
      </c>
      <c r="BD85" s="7" t="s">
        <v>2890</v>
      </c>
      <c r="BE85" s="7" t="s">
        <v>4466</v>
      </c>
      <c r="BF85" s="24" t="str">
        <f>HYPERLINK("http://dx.doi.org/10.1111/cobi.12332","http://dx.doi.org/10.1111/cobi.12332")</f>
        <v>http://dx.doi.org/10.1111/cobi.12332</v>
      </c>
      <c r="BG85" s="7" t="s">
        <v>2890</v>
      </c>
      <c r="BH85" s="7" t="s">
        <v>2890</v>
      </c>
      <c r="BI85" s="7">
        <v>13.0</v>
      </c>
      <c r="BJ85" s="7" t="s">
        <v>3033</v>
      </c>
      <c r="BK85" s="7" t="s">
        <v>2938</v>
      </c>
      <c r="BL85" s="7" t="s">
        <v>3034</v>
      </c>
      <c r="BM85" s="7" t="s">
        <v>4467</v>
      </c>
      <c r="BN85" s="7">
        <v>2.5052712E7</v>
      </c>
      <c r="BO85" s="7" t="s">
        <v>2890</v>
      </c>
      <c r="BP85" s="7" t="s">
        <v>2890</v>
      </c>
      <c r="BQ85" s="7" t="s">
        <v>2890</v>
      </c>
      <c r="BR85" s="7" t="s">
        <v>2916</v>
      </c>
      <c r="BS85" s="7" t="s">
        <v>4468</v>
      </c>
      <c r="BT85" s="7" t="str">
        <f>HYPERLINK("https%3A%2F%2Fwww.webofscience.com%2Fwos%2Fwoscc%2Ffull-record%2FWOS:000344794200018","View Full Record in Web of Science")</f>
        <v>View Full Record in Web of Science</v>
      </c>
    </row>
    <row r="86" ht="12.75" customHeight="1">
      <c r="A86" s="7" t="s">
        <v>2888</v>
      </c>
      <c r="B86" s="7" t="s">
        <v>4469</v>
      </c>
      <c r="C86" s="7" t="s">
        <v>2890</v>
      </c>
      <c r="D86" s="7" t="s">
        <v>2890</v>
      </c>
      <c r="E86" s="7" t="s">
        <v>2890</v>
      </c>
      <c r="F86" s="7" t="s">
        <v>4470</v>
      </c>
      <c r="G86" s="7" t="s">
        <v>2890</v>
      </c>
      <c r="H86" s="7" t="s">
        <v>2890</v>
      </c>
      <c r="I86" s="7" t="s">
        <v>2761</v>
      </c>
      <c r="J86" s="7" t="s">
        <v>4471</v>
      </c>
      <c r="K86" s="7" t="s">
        <v>2890</v>
      </c>
      <c r="L86" s="7" t="s">
        <v>2890</v>
      </c>
      <c r="M86" s="7" t="s">
        <v>2893</v>
      </c>
      <c r="N86" s="7" t="s">
        <v>2894</v>
      </c>
      <c r="O86" s="7" t="s">
        <v>2890</v>
      </c>
      <c r="P86" s="7" t="s">
        <v>2890</v>
      </c>
      <c r="Q86" s="7" t="s">
        <v>2890</v>
      </c>
      <c r="R86" s="7" t="s">
        <v>2890</v>
      </c>
      <c r="S86" s="7" t="s">
        <v>2890</v>
      </c>
      <c r="T86" s="7" t="s">
        <v>4472</v>
      </c>
      <c r="U86" s="7" t="s">
        <v>4473</v>
      </c>
      <c r="V86" s="7" t="s">
        <v>2762</v>
      </c>
      <c r="W86" s="7" t="s">
        <v>4474</v>
      </c>
      <c r="X86" s="7" t="s">
        <v>4475</v>
      </c>
      <c r="Y86" s="7" t="s">
        <v>4476</v>
      </c>
      <c r="Z86" s="7" t="s">
        <v>4477</v>
      </c>
      <c r="AA86" s="7" t="s">
        <v>4478</v>
      </c>
      <c r="AB86" s="7" t="s">
        <v>4479</v>
      </c>
      <c r="AC86" s="7" t="s">
        <v>4480</v>
      </c>
      <c r="AD86" s="7" t="s">
        <v>4480</v>
      </c>
      <c r="AE86" s="7" t="s">
        <v>4481</v>
      </c>
      <c r="AF86" s="7" t="s">
        <v>2890</v>
      </c>
      <c r="AG86" s="7">
        <v>38.0</v>
      </c>
      <c r="AH86" s="7">
        <v>132.0</v>
      </c>
      <c r="AI86" s="7">
        <v>145.0</v>
      </c>
      <c r="AJ86" s="7">
        <v>3.0</v>
      </c>
      <c r="AK86" s="7">
        <v>83.0</v>
      </c>
      <c r="AL86" s="7" t="s">
        <v>3024</v>
      </c>
      <c r="AM86" s="7" t="s">
        <v>3025</v>
      </c>
      <c r="AN86" s="7" t="s">
        <v>3026</v>
      </c>
      <c r="AO86" s="7" t="s">
        <v>4482</v>
      </c>
      <c r="AP86" s="7" t="s">
        <v>2890</v>
      </c>
      <c r="AQ86" s="7" t="s">
        <v>2890</v>
      </c>
      <c r="AR86" s="7" t="s">
        <v>4483</v>
      </c>
      <c r="AS86" s="7" t="s">
        <v>4484</v>
      </c>
      <c r="AT86" s="7" t="s">
        <v>4485</v>
      </c>
      <c r="AU86" s="7">
        <v>2014.0</v>
      </c>
      <c r="AV86" s="7">
        <v>7.0</v>
      </c>
      <c r="AW86" s="7">
        <v>3.0</v>
      </c>
      <c r="AX86" s="7" t="s">
        <v>2890</v>
      </c>
      <c r="AY86" s="7" t="s">
        <v>2890</v>
      </c>
      <c r="AZ86" s="7" t="s">
        <v>2890</v>
      </c>
      <c r="BA86" s="7" t="s">
        <v>2890</v>
      </c>
      <c r="BB86" s="7">
        <v>216.0</v>
      </c>
      <c r="BC86" s="7">
        <v>223.0</v>
      </c>
      <c r="BD86" s="7" t="s">
        <v>2890</v>
      </c>
      <c r="BE86" s="7" t="s">
        <v>2565</v>
      </c>
      <c r="BF86" s="24" t="str">
        <f>HYPERLINK("http://dx.doi.org/10.1111/conl.12049","http://dx.doi.org/10.1111/conl.12049")</f>
        <v>http://dx.doi.org/10.1111/conl.12049</v>
      </c>
      <c r="BG86" s="7" t="s">
        <v>2890</v>
      </c>
      <c r="BH86" s="7" t="s">
        <v>2890</v>
      </c>
      <c r="BI86" s="7">
        <v>8.0</v>
      </c>
      <c r="BJ86" s="7" t="s">
        <v>3343</v>
      </c>
      <c r="BK86" s="7" t="s">
        <v>2938</v>
      </c>
      <c r="BL86" s="7" t="s">
        <v>3344</v>
      </c>
      <c r="BM86" s="7" t="s">
        <v>4486</v>
      </c>
      <c r="BN86" s="7" t="s">
        <v>2890</v>
      </c>
      <c r="BO86" s="7" t="s">
        <v>2890</v>
      </c>
      <c r="BP86" s="7" t="s">
        <v>2890</v>
      </c>
      <c r="BQ86" s="7" t="s">
        <v>2890</v>
      </c>
      <c r="BR86" s="7" t="s">
        <v>2916</v>
      </c>
      <c r="BS86" s="7" t="s">
        <v>2763</v>
      </c>
      <c r="BT86" s="7" t="str">
        <f>HYPERLINK("https%3A%2F%2Fwww.webofscience.com%2Fwos%2Fwoscc%2Ffull-record%2FWOS:000337590000009","View Full Record in Web of Science")</f>
        <v>View Full Record in Web of Science</v>
      </c>
    </row>
    <row r="87" ht="12.75" customHeight="1">
      <c r="A87" s="7" t="s">
        <v>2888</v>
      </c>
      <c r="B87" s="7" t="s">
        <v>4487</v>
      </c>
      <c r="C87" s="7" t="s">
        <v>2890</v>
      </c>
      <c r="D87" s="7" t="s">
        <v>2890</v>
      </c>
      <c r="E87" s="7" t="s">
        <v>2890</v>
      </c>
      <c r="F87" s="7" t="s">
        <v>4488</v>
      </c>
      <c r="G87" s="7" t="s">
        <v>2890</v>
      </c>
      <c r="H87" s="7" t="s">
        <v>2890</v>
      </c>
      <c r="I87" s="7" t="s">
        <v>192</v>
      </c>
      <c r="J87" s="7" t="s">
        <v>3672</v>
      </c>
      <c r="K87" s="7" t="s">
        <v>2890</v>
      </c>
      <c r="L87" s="7" t="s">
        <v>2890</v>
      </c>
      <c r="M87" s="7" t="s">
        <v>2893</v>
      </c>
      <c r="N87" s="7" t="s">
        <v>2894</v>
      </c>
      <c r="O87" s="7" t="s">
        <v>2890</v>
      </c>
      <c r="P87" s="7" t="s">
        <v>2890</v>
      </c>
      <c r="Q87" s="7" t="s">
        <v>2890</v>
      </c>
      <c r="R87" s="7" t="s">
        <v>2890</v>
      </c>
      <c r="S87" s="7" t="s">
        <v>2890</v>
      </c>
      <c r="T87" s="7" t="s">
        <v>4489</v>
      </c>
      <c r="U87" s="7" t="s">
        <v>4490</v>
      </c>
      <c r="V87" s="7" t="s">
        <v>2725</v>
      </c>
      <c r="W87" s="7" t="s">
        <v>4491</v>
      </c>
      <c r="X87" s="7" t="s">
        <v>4492</v>
      </c>
      <c r="Y87" s="7" t="s">
        <v>4493</v>
      </c>
      <c r="Z87" s="7" t="s">
        <v>4494</v>
      </c>
      <c r="AA87" s="7" t="s">
        <v>4495</v>
      </c>
      <c r="AB87" s="7" t="s">
        <v>2890</v>
      </c>
      <c r="AC87" s="7" t="s">
        <v>2890</v>
      </c>
      <c r="AD87" s="7" t="s">
        <v>2890</v>
      </c>
      <c r="AE87" s="7" t="s">
        <v>2890</v>
      </c>
      <c r="AF87" s="7" t="s">
        <v>2890</v>
      </c>
      <c r="AG87" s="7">
        <v>47.0</v>
      </c>
      <c r="AH87" s="7">
        <v>16.0</v>
      </c>
      <c r="AI87" s="7">
        <v>19.0</v>
      </c>
      <c r="AJ87" s="7">
        <v>1.0</v>
      </c>
      <c r="AK87" s="7">
        <v>22.0</v>
      </c>
      <c r="AL87" s="7" t="s">
        <v>3989</v>
      </c>
      <c r="AM87" s="7" t="s">
        <v>3990</v>
      </c>
      <c r="AN87" s="7" t="s">
        <v>3991</v>
      </c>
      <c r="AO87" s="7" t="s">
        <v>3685</v>
      </c>
      <c r="AP87" s="7" t="s">
        <v>2890</v>
      </c>
      <c r="AQ87" s="7" t="s">
        <v>2890</v>
      </c>
      <c r="AR87" s="7" t="s">
        <v>3686</v>
      </c>
      <c r="AS87" s="7" t="s">
        <v>3687</v>
      </c>
      <c r="AT87" s="7" t="s">
        <v>3791</v>
      </c>
      <c r="AU87" s="7">
        <v>2014.0</v>
      </c>
      <c r="AV87" s="7">
        <v>9.0</v>
      </c>
      <c r="AW87" s="7">
        <v>3.0</v>
      </c>
      <c r="AX87" s="7" t="s">
        <v>2890</v>
      </c>
      <c r="AY87" s="7" t="s">
        <v>2890</v>
      </c>
      <c r="AZ87" s="7" t="s">
        <v>2890</v>
      </c>
      <c r="BA87" s="7" t="s">
        <v>2890</v>
      </c>
      <c r="BB87" s="7" t="s">
        <v>2890</v>
      </c>
      <c r="BC87" s="7" t="s">
        <v>2890</v>
      </c>
      <c r="BD87" s="7">
        <v>35007.0</v>
      </c>
      <c r="BE87" s="7" t="s">
        <v>2564</v>
      </c>
      <c r="BF87" s="24" t="str">
        <f>HYPERLINK("http://dx.doi.org/10.1088/1748-9326/9/3/035007","http://dx.doi.org/10.1088/1748-9326/9/3/035007")</f>
        <v>http://dx.doi.org/10.1088/1748-9326/9/3/035007</v>
      </c>
      <c r="BG87" s="7" t="s">
        <v>2890</v>
      </c>
      <c r="BH87" s="7" t="s">
        <v>2890</v>
      </c>
      <c r="BI87" s="7">
        <v>11.0</v>
      </c>
      <c r="BJ87" s="7" t="s">
        <v>3688</v>
      </c>
      <c r="BK87" s="7" t="s">
        <v>3283</v>
      </c>
      <c r="BL87" s="7" t="s">
        <v>3689</v>
      </c>
      <c r="BM87" s="7" t="s">
        <v>4496</v>
      </c>
      <c r="BN87" s="7" t="s">
        <v>2890</v>
      </c>
      <c r="BO87" s="7" t="s">
        <v>2988</v>
      </c>
      <c r="BP87" s="7" t="s">
        <v>2890</v>
      </c>
      <c r="BQ87" s="7" t="s">
        <v>2890</v>
      </c>
      <c r="BR87" s="7" t="s">
        <v>2916</v>
      </c>
      <c r="BS87" s="7" t="s">
        <v>2726</v>
      </c>
      <c r="BT87" s="7" t="str">
        <f>HYPERLINK("https%3A%2F%2Fwww.webofscience.com%2Fwos%2Fwoscc%2Ffull-record%2FWOS:000334068000028","View Full Record in Web of Science")</f>
        <v>View Full Record in Web of Science</v>
      </c>
    </row>
    <row r="88" ht="12.75" customHeight="1">
      <c r="A88" s="7" t="s">
        <v>2888</v>
      </c>
      <c r="B88" s="7" t="s">
        <v>4497</v>
      </c>
      <c r="C88" s="7" t="s">
        <v>2890</v>
      </c>
      <c r="D88" s="7" t="s">
        <v>2890</v>
      </c>
      <c r="E88" s="7" t="s">
        <v>2890</v>
      </c>
      <c r="F88" s="7" t="s">
        <v>4498</v>
      </c>
      <c r="G88" s="7" t="s">
        <v>2890</v>
      </c>
      <c r="H88" s="7" t="s">
        <v>2890</v>
      </c>
      <c r="I88" s="7" t="s">
        <v>1367</v>
      </c>
      <c r="J88" s="7" t="s">
        <v>4499</v>
      </c>
      <c r="K88" s="7" t="s">
        <v>2890</v>
      </c>
      <c r="L88" s="7" t="s">
        <v>2890</v>
      </c>
      <c r="M88" s="7" t="s">
        <v>2893</v>
      </c>
      <c r="N88" s="7" t="s">
        <v>2894</v>
      </c>
      <c r="O88" s="7" t="s">
        <v>2890</v>
      </c>
      <c r="P88" s="7" t="s">
        <v>2890</v>
      </c>
      <c r="Q88" s="7" t="s">
        <v>2890</v>
      </c>
      <c r="R88" s="7" t="s">
        <v>2890</v>
      </c>
      <c r="S88" s="7" t="s">
        <v>2890</v>
      </c>
      <c r="T88" s="7" t="s">
        <v>4500</v>
      </c>
      <c r="U88" s="7" t="s">
        <v>4501</v>
      </c>
      <c r="V88" s="7" t="s">
        <v>2673</v>
      </c>
      <c r="W88" s="7" t="s">
        <v>4502</v>
      </c>
      <c r="X88" s="7" t="s">
        <v>4503</v>
      </c>
      <c r="Y88" s="7" t="s">
        <v>4504</v>
      </c>
      <c r="Z88" s="7" t="s">
        <v>4505</v>
      </c>
      <c r="AA88" s="7" t="s">
        <v>4506</v>
      </c>
      <c r="AB88" s="7" t="s">
        <v>4507</v>
      </c>
      <c r="AC88" s="7" t="s">
        <v>4508</v>
      </c>
      <c r="AD88" s="7" t="s">
        <v>4508</v>
      </c>
      <c r="AE88" s="7" t="s">
        <v>4509</v>
      </c>
      <c r="AF88" s="7" t="s">
        <v>2890</v>
      </c>
      <c r="AG88" s="7">
        <v>55.0</v>
      </c>
      <c r="AH88" s="7">
        <v>11.0</v>
      </c>
      <c r="AI88" s="7">
        <v>16.0</v>
      </c>
      <c r="AJ88" s="7">
        <v>0.0</v>
      </c>
      <c r="AK88" s="7">
        <v>90.0</v>
      </c>
      <c r="AL88" s="7" t="s">
        <v>2928</v>
      </c>
      <c r="AM88" s="7" t="s">
        <v>4510</v>
      </c>
      <c r="AN88" s="7" t="s">
        <v>4511</v>
      </c>
      <c r="AO88" s="7" t="s">
        <v>4512</v>
      </c>
      <c r="AP88" s="7" t="s">
        <v>2890</v>
      </c>
      <c r="AQ88" s="7" t="s">
        <v>2890</v>
      </c>
      <c r="AR88" s="7" t="s">
        <v>4513</v>
      </c>
      <c r="AS88" s="7" t="s">
        <v>4514</v>
      </c>
      <c r="AT88" s="7" t="s">
        <v>2935</v>
      </c>
      <c r="AU88" s="7">
        <v>2013.0</v>
      </c>
      <c r="AV88" s="7">
        <v>52.0</v>
      </c>
      <c r="AW88" s="7">
        <v>2.0</v>
      </c>
      <c r="AX88" s="7" t="s">
        <v>2890</v>
      </c>
      <c r="AY88" s="7" t="s">
        <v>2890</v>
      </c>
      <c r="AZ88" s="7" t="s">
        <v>2890</v>
      </c>
      <c r="BA88" s="7" t="s">
        <v>2890</v>
      </c>
      <c r="BB88" s="7">
        <v>481.0</v>
      </c>
      <c r="BC88" s="7">
        <v>492.0</v>
      </c>
      <c r="BD88" s="7" t="s">
        <v>2890</v>
      </c>
      <c r="BE88" s="7" t="s">
        <v>2562</v>
      </c>
      <c r="BF88" s="24" t="str">
        <f>HYPERLINK("http://dx.doi.org/10.1007/s00267-013-0102-0","http://dx.doi.org/10.1007/s00267-013-0102-0")</f>
        <v>http://dx.doi.org/10.1007/s00267-013-0102-0</v>
      </c>
      <c r="BG88" s="7" t="s">
        <v>2890</v>
      </c>
      <c r="BH88" s="7" t="s">
        <v>2890</v>
      </c>
      <c r="BI88" s="7">
        <v>12.0</v>
      </c>
      <c r="BJ88" s="7" t="s">
        <v>3007</v>
      </c>
      <c r="BK88" s="7" t="s">
        <v>3283</v>
      </c>
      <c r="BL88" s="7" t="s">
        <v>3008</v>
      </c>
      <c r="BM88" s="7" t="s">
        <v>4515</v>
      </c>
      <c r="BN88" s="7">
        <v>2.3771284E7</v>
      </c>
      <c r="BO88" s="7" t="s">
        <v>2890</v>
      </c>
      <c r="BP88" s="7" t="s">
        <v>2890</v>
      </c>
      <c r="BQ88" s="7" t="s">
        <v>2890</v>
      </c>
      <c r="BR88" s="7" t="s">
        <v>2916</v>
      </c>
      <c r="BS88" s="7" t="s">
        <v>2674</v>
      </c>
      <c r="BT88" s="7" t="str">
        <f>HYPERLINK("https%3A%2F%2Fwww.webofscience.com%2Fwos%2Fwoscc%2Ffull-record%2FWOS:000321917200014","View Full Record in Web of Science")</f>
        <v>View Full Record in Web of Science</v>
      </c>
    </row>
    <row r="89" ht="12.75" customHeight="1">
      <c r="A89" s="7" t="s">
        <v>2888</v>
      </c>
      <c r="B89" s="7" t="s">
        <v>4516</v>
      </c>
      <c r="C89" s="7" t="s">
        <v>2890</v>
      </c>
      <c r="D89" s="7" t="s">
        <v>2890</v>
      </c>
      <c r="E89" s="7" t="s">
        <v>2890</v>
      </c>
      <c r="F89" s="7" t="s">
        <v>4517</v>
      </c>
      <c r="G89" s="7" t="s">
        <v>2890</v>
      </c>
      <c r="H89" s="7" t="s">
        <v>2890</v>
      </c>
      <c r="I89" s="7" t="s">
        <v>2727</v>
      </c>
      <c r="J89" s="7" t="s">
        <v>3652</v>
      </c>
      <c r="K89" s="7" t="s">
        <v>2890</v>
      </c>
      <c r="L89" s="7" t="s">
        <v>2890</v>
      </c>
      <c r="M89" s="7" t="s">
        <v>2893</v>
      </c>
      <c r="N89" s="7" t="s">
        <v>2894</v>
      </c>
      <c r="O89" s="7" t="s">
        <v>2890</v>
      </c>
      <c r="P89" s="7" t="s">
        <v>2890</v>
      </c>
      <c r="Q89" s="7" t="s">
        <v>2890</v>
      </c>
      <c r="R89" s="7" t="s">
        <v>2890</v>
      </c>
      <c r="S89" s="7" t="s">
        <v>2890</v>
      </c>
      <c r="T89" s="7" t="s">
        <v>4518</v>
      </c>
      <c r="U89" s="7" t="s">
        <v>4519</v>
      </c>
      <c r="V89" s="7" t="s">
        <v>2728</v>
      </c>
      <c r="W89" s="7" t="s">
        <v>4520</v>
      </c>
      <c r="X89" s="7" t="s">
        <v>4521</v>
      </c>
      <c r="Y89" s="7" t="s">
        <v>4522</v>
      </c>
      <c r="Z89" s="7" t="s">
        <v>4523</v>
      </c>
      <c r="AA89" s="7" t="s">
        <v>4524</v>
      </c>
      <c r="AB89" s="7" t="s">
        <v>4525</v>
      </c>
      <c r="AC89" s="7" t="s">
        <v>4526</v>
      </c>
      <c r="AD89" s="7" t="s">
        <v>4527</v>
      </c>
      <c r="AE89" s="7" t="s">
        <v>4528</v>
      </c>
      <c r="AF89" s="7" t="s">
        <v>2890</v>
      </c>
      <c r="AG89" s="7">
        <v>79.0</v>
      </c>
      <c r="AH89" s="7">
        <v>86.0</v>
      </c>
      <c r="AI89" s="7">
        <v>98.0</v>
      </c>
      <c r="AJ89" s="7">
        <v>1.0</v>
      </c>
      <c r="AK89" s="7">
        <v>115.0</v>
      </c>
      <c r="AL89" s="7" t="s">
        <v>2905</v>
      </c>
      <c r="AM89" s="7" t="s">
        <v>3114</v>
      </c>
      <c r="AN89" s="7" t="s">
        <v>3115</v>
      </c>
      <c r="AO89" s="7" t="s">
        <v>3664</v>
      </c>
      <c r="AP89" s="7" t="s">
        <v>3665</v>
      </c>
      <c r="AQ89" s="7" t="s">
        <v>2890</v>
      </c>
      <c r="AR89" s="7" t="s">
        <v>3666</v>
      </c>
      <c r="AS89" s="7" t="s">
        <v>3667</v>
      </c>
      <c r="AT89" s="7" t="s">
        <v>2935</v>
      </c>
      <c r="AU89" s="7">
        <v>2013.0</v>
      </c>
      <c r="AV89" s="7">
        <v>164.0</v>
      </c>
      <c r="AW89" s="7" t="s">
        <v>2890</v>
      </c>
      <c r="AX89" s="7" t="s">
        <v>2890</v>
      </c>
      <c r="AY89" s="7" t="s">
        <v>2890</v>
      </c>
      <c r="AZ89" s="7" t="s">
        <v>2890</v>
      </c>
      <c r="BA89" s="7" t="s">
        <v>2890</v>
      </c>
      <c r="BB89" s="7">
        <v>62.0</v>
      </c>
      <c r="BC89" s="7">
        <v>72.0</v>
      </c>
      <c r="BD89" s="7" t="s">
        <v>2890</v>
      </c>
      <c r="BE89" s="7" t="s">
        <v>2563</v>
      </c>
      <c r="BF89" s="24" t="str">
        <f>HYPERLINK("http://dx.doi.org/10.1016/j.biocon.2013.04.016","http://dx.doi.org/10.1016/j.biocon.2013.04.016")</f>
        <v>http://dx.doi.org/10.1016/j.biocon.2013.04.016</v>
      </c>
      <c r="BG89" s="7" t="s">
        <v>2890</v>
      </c>
      <c r="BH89" s="7" t="s">
        <v>2890</v>
      </c>
      <c r="BI89" s="7">
        <v>11.0</v>
      </c>
      <c r="BJ89" s="7" t="s">
        <v>3033</v>
      </c>
      <c r="BK89" s="7" t="s">
        <v>2938</v>
      </c>
      <c r="BL89" s="7" t="s">
        <v>3034</v>
      </c>
      <c r="BM89" s="7" t="s">
        <v>4529</v>
      </c>
      <c r="BN89" s="7" t="s">
        <v>2890</v>
      </c>
      <c r="BO89" s="7" t="s">
        <v>2890</v>
      </c>
      <c r="BP89" s="7" t="s">
        <v>2890</v>
      </c>
      <c r="BQ89" s="7" t="s">
        <v>2890</v>
      </c>
      <c r="BR89" s="7" t="s">
        <v>2916</v>
      </c>
      <c r="BS89" s="7" t="s">
        <v>2729</v>
      </c>
      <c r="BT89" s="7" t="str">
        <f>HYPERLINK("https%3A%2F%2Fwww.webofscience.com%2Fwos%2Fwoscc%2Ffull-record%2FWOS:000323086800007","View Full Record in Web of Science")</f>
        <v>View Full Record in Web of Science</v>
      </c>
    </row>
    <row r="90" ht="12.75" customHeight="1">
      <c r="A90" s="7" t="s">
        <v>2888</v>
      </c>
      <c r="B90" s="7" t="s">
        <v>4530</v>
      </c>
      <c r="C90" s="7" t="s">
        <v>2890</v>
      </c>
      <c r="D90" s="7" t="s">
        <v>2890</v>
      </c>
      <c r="E90" s="7" t="s">
        <v>2890</v>
      </c>
      <c r="F90" s="7" t="s">
        <v>4531</v>
      </c>
      <c r="G90" s="7" t="s">
        <v>2890</v>
      </c>
      <c r="H90" s="7" t="s">
        <v>2890</v>
      </c>
      <c r="I90" s="7" t="s">
        <v>4532</v>
      </c>
      <c r="J90" s="7" t="s">
        <v>3609</v>
      </c>
      <c r="K90" s="7" t="s">
        <v>2890</v>
      </c>
      <c r="L90" s="7" t="s">
        <v>2890</v>
      </c>
      <c r="M90" s="7" t="s">
        <v>2893</v>
      </c>
      <c r="N90" s="7" t="s">
        <v>2894</v>
      </c>
      <c r="O90" s="7" t="s">
        <v>2890</v>
      </c>
      <c r="P90" s="7" t="s">
        <v>2890</v>
      </c>
      <c r="Q90" s="7" t="s">
        <v>2890</v>
      </c>
      <c r="R90" s="7" t="s">
        <v>2890</v>
      </c>
      <c r="S90" s="7" t="s">
        <v>2890</v>
      </c>
      <c r="T90" s="7" t="s">
        <v>2890</v>
      </c>
      <c r="U90" s="7" t="s">
        <v>4533</v>
      </c>
      <c r="V90" s="7" t="s">
        <v>4534</v>
      </c>
      <c r="W90" s="7" t="s">
        <v>4535</v>
      </c>
      <c r="X90" s="7" t="s">
        <v>4536</v>
      </c>
      <c r="Y90" s="7" t="s">
        <v>4537</v>
      </c>
      <c r="Z90" s="7" t="s">
        <v>4538</v>
      </c>
      <c r="AA90" s="7" t="s">
        <v>4539</v>
      </c>
      <c r="AB90" s="7" t="s">
        <v>4540</v>
      </c>
      <c r="AC90" s="7" t="s">
        <v>4541</v>
      </c>
      <c r="AD90" s="7" t="s">
        <v>4542</v>
      </c>
      <c r="AE90" s="7" t="s">
        <v>4543</v>
      </c>
      <c r="AF90" s="7" t="s">
        <v>2890</v>
      </c>
      <c r="AG90" s="7">
        <v>62.0</v>
      </c>
      <c r="AH90" s="7">
        <v>79.0</v>
      </c>
      <c r="AI90" s="7">
        <v>93.0</v>
      </c>
      <c r="AJ90" s="7">
        <v>0.0</v>
      </c>
      <c r="AK90" s="7">
        <v>71.0</v>
      </c>
      <c r="AL90" s="7" t="s">
        <v>3620</v>
      </c>
      <c r="AM90" s="7" t="s">
        <v>3621</v>
      </c>
      <c r="AN90" s="7" t="s">
        <v>3622</v>
      </c>
      <c r="AO90" s="7" t="s">
        <v>3623</v>
      </c>
      <c r="AP90" s="7" t="s">
        <v>2890</v>
      </c>
      <c r="AQ90" s="7" t="s">
        <v>2890</v>
      </c>
      <c r="AR90" s="7" t="s">
        <v>3609</v>
      </c>
      <c r="AS90" s="7" t="s">
        <v>3624</v>
      </c>
      <c r="AT90" s="7" t="s">
        <v>4544</v>
      </c>
      <c r="AU90" s="7">
        <v>2013.0</v>
      </c>
      <c r="AV90" s="7">
        <v>8.0</v>
      </c>
      <c r="AW90" s="7">
        <v>5.0</v>
      </c>
      <c r="AX90" s="7" t="s">
        <v>2890</v>
      </c>
      <c r="AY90" s="7" t="s">
        <v>2890</v>
      </c>
      <c r="AZ90" s="7" t="s">
        <v>2890</v>
      </c>
      <c r="BA90" s="7" t="s">
        <v>2890</v>
      </c>
      <c r="BB90" s="7" t="s">
        <v>2890</v>
      </c>
      <c r="BC90" s="7" t="s">
        <v>2890</v>
      </c>
      <c r="BD90" s="7" t="s">
        <v>4545</v>
      </c>
      <c r="BE90" s="7" t="s">
        <v>4546</v>
      </c>
      <c r="BF90" s="24" t="str">
        <f>HYPERLINK("http://dx.doi.org/10.1371/journal.pone.0065298","http://dx.doi.org/10.1371/journal.pone.0065298")</f>
        <v>http://dx.doi.org/10.1371/journal.pone.0065298</v>
      </c>
      <c r="BG90" s="7" t="s">
        <v>2890</v>
      </c>
      <c r="BH90" s="7" t="s">
        <v>2890</v>
      </c>
      <c r="BI90" s="7">
        <v>7.0</v>
      </c>
      <c r="BJ90" s="7" t="s">
        <v>3058</v>
      </c>
      <c r="BK90" s="7" t="s">
        <v>2938</v>
      </c>
      <c r="BL90" s="7" t="s">
        <v>3059</v>
      </c>
      <c r="BM90" s="7" t="s">
        <v>4547</v>
      </c>
      <c r="BN90" s="7">
        <v>2.3741486E7</v>
      </c>
      <c r="BO90" s="7" t="s">
        <v>2988</v>
      </c>
      <c r="BP90" s="7" t="s">
        <v>2890</v>
      </c>
      <c r="BQ90" s="7" t="s">
        <v>2890</v>
      </c>
      <c r="BR90" s="7" t="s">
        <v>2916</v>
      </c>
      <c r="BS90" s="7" t="s">
        <v>4548</v>
      </c>
      <c r="BT90" s="7" t="str">
        <f>HYPERLINK("https%3A%2F%2Fwww.webofscience.com%2Fwos%2Fwoscc%2Ffull-record%2FWOS:000319799900199","View Full Record in Web of Science")</f>
        <v>View Full Record in Web of Science</v>
      </c>
    </row>
    <row r="91" ht="12.75" customHeight="1">
      <c r="A91" s="7" t="s">
        <v>2888</v>
      </c>
      <c r="B91" s="7" t="s">
        <v>4549</v>
      </c>
      <c r="C91" s="7" t="s">
        <v>2890</v>
      </c>
      <c r="D91" s="7" t="s">
        <v>2890</v>
      </c>
      <c r="E91" s="7" t="s">
        <v>2890</v>
      </c>
      <c r="F91" s="7" t="s">
        <v>4550</v>
      </c>
      <c r="G91" s="7" t="s">
        <v>2890</v>
      </c>
      <c r="H91" s="7" t="s">
        <v>2890</v>
      </c>
      <c r="I91" s="7" t="s">
        <v>4551</v>
      </c>
      <c r="J91" s="7" t="s">
        <v>3152</v>
      </c>
      <c r="K91" s="7" t="s">
        <v>2890</v>
      </c>
      <c r="L91" s="7" t="s">
        <v>2890</v>
      </c>
      <c r="M91" s="7" t="s">
        <v>2893</v>
      </c>
      <c r="N91" s="7" t="s">
        <v>2894</v>
      </c>
      <c r="O91" s="7" t="s">
        <v>2890</v>
      </c>
      <c r="P91" s="7" t="s">
        <v>2890</v>
      </c>
      <c r="Q91" s="7" t="s">
        <v>2890</v>
      </c>
      <c r="R91" s="7" t="s">
        <v>2890</v>
      </c>
      <c r="S91" s="7" t="s">
        <v>2890</v>
      </c>
      <c r="T91" s="7" t="s">
        <v>4552</v>
      </c>
      <c r="U91" s="7" t="s">
        <v>4553</v>
      </c>
      <c r="V91" s="7" t="s">
        <v>4554</v>
      </c>
      <c r="W91" s="7" t="s">
        <v>4555</v>
      </c>
      <c r="X91" s="7" t="s">
        <v>4556</v>
      </c>
      <c r="Y91" s="7" t="s">
        <v>4557</v>
      </c>
      <c r="Z91" s="7" t="s">
        <v>4558</v>
      </c>
      <c r="AA91" s="7" t="s">
        <v>4559</v>
      </c>
      <c r="AB91" s="7" t="s">
        <v>4560</v>
      </c>
      <c r="AC91" s="7" t="s">
        <v>4561</v>
      </c>
      <c r="AD91" s="7" t="s">
        <v>4561</v>
      </c>
      <c r="AE91" s="7" t="s">
        <v>4562</v>
      </c>
      <c r="AF91" s="7" t="s">
        <v>2890</v>
      </c>
      <c r="AG91" s="7">
        <v>89.0</v>
      </c>
      <c r="AH91" s="7">
        <v>14.0</v>
      </c>
      <c r="AI91" s="7">
        <v>17.0</v>
      </c>
      <c r="AJ91" s="7">
        <v>0.0</v>
      </c>
      <c r="AK91" s="7">
        <v>48.0</v>
      </c>
      <c r="AL91" s="7" t="s">
        <v>3160</v>
      </c>
      <c r="AM91" s="7" t="s">
        <v>3161</v>
      </c>
      <c r="AN91" s="7" t="s">
        <v>3162</v>
      </c>
      <c r="AO91" s="7" t="s">
        <v>3163</v>
      </c>
      <c r="AP91" s="7" t="s">
        <v>3164</v>
      </c>
      <c r="AQ91" s="7" t="s">
        <v>2890</v>
      </c>
      <c r="AR91" s="7" t="s">
        <v>3165</v>
      </c>
      <c r="AS91" s="7" t="s">
        <v>3166</v>
      </c>
      <c r="AT91" s="7" t="s">
        <v>3083</v>
      </c>
      <c r="AU91" s="7">
        <v>2013.0</v>
      </c>
      <c r="AV91" s="7">
        <v>25.0</v>
      </c>
      <c r="AW91" s="7" t="s">
        <v>2890</v>
      </c>
      <c r="AX91" s="7" t="s">
        <v>2890</v>
      </c>
      <c r="AY91" s="7" t="s">
        <v>2890</v>
      </c>
      <c r="AZ91" s="7" t="s">
        <v>2890</v>
      </c>
      <c r="BA91" s="7" t="s">
        <v>2890</v>
      </c>
      <c r="BB91" s="7">
        <v>99.0</v>
      </c>
      <c r="BC91" s="7">
        <v>107.0</v>
      </c>
      <c r="BD91" s="7" t="s">
        <v>2890</v>
      </c>
      <c r="BE91" s="7" t="s">
        <v>4563</v>
      </c>
      <c r="BF91" s="24" t="str">
        <f>HYPERLINK("http://dx.doi.org/10.1016/j.ecolind.2012.09.011","http://dx.doi.org/10.1016/j.ecolind.2012.09.011")</f>
        <v>http://dx.doi.org/10.1016/j.ecolind.2012.09.011</v>
      </c>
      <c r="BG91" s="7" t="s">
        <v>2890</v>
      </c>
      <c r="BH91" s="7" t="s">
        <v>2890</v>
      </c>
      <c r="BI91" s="7">
        <v>9.0</v>
      </c>
      <c r="BJ91" s="7" t="s">
        <v>3169</v>
      </c>
      <c r="BK91" s="7" t="s">
        <v>2938</v>
      </c>
      <c r="BL91" s="7" t="s">
        <v>3034</v>
      </c>
      <c r="BM91" s="7" t="s">
        <v>4564</v>
      </c>
      <c r="BN91" s="7" t="s">
        <v>2890</v>
      </c>
      <c r="BO91" s="7" t="s">
        <v>2890</v>
      </c>
      <c r="BP91" s="7" t="s">
        <v>2890</v>
      </c>
      <c r="BQ91" s="7" t="s">
        <v>2890</v>
      </c>
      <c r="BR91" s="7" t="s">
        <v>2916</v>
      </c>
      <c r="BS91" s="7" t="s">
        <v>4565</v>
      </c>
      <c r="BT91" s="7" t="str">
        <f>HYPERLINK("https%3A%2F%2Fwww.webofscience.com%2Fwos%2Fwoscc%2Ffull-record%2FWOS:000313770800011","View Full Record in Web of Science")</f>
        <v>View Full Record in Web of Science</v>
      </c>
    </row>
    <row r="92" ht="12.75" customHeight="1">
      <c r="A92" s="7" t="s">
        <v>2888</v>
      </c>
      <c r="B92" s="7" t="s">
        <v>4566</v>
      </c>
      <c r="C92" s="7" t="s">
        <v>2890</v>
      </c>
      <c r="D92" s="7" t="s">
        <v>2890</v>
      </c>
      <c r="E92" s="7" t="s">
        <v>2890</v>
      </c>
      <c r="F92" s="7" t="s">
        <v>4567</v>
      </c>
      <c r="G92" s="7" t="s">
        <v>2890</v>
      </c>
      <c r="H92" s="7" t="s">
        <v>2890</v>
      </c>
      <c r="I92" s="7" t="s">
        <v>87</v>
      </c>
      <c r="J92" s="7" t="s">
        <v>3652</v>
      </c>
      <c r="K92" s="7" t="s">
        <v>2890</v>
      </c>
      <c r="L92" s="7" t="s">
        <v>2890</v>
      </c>
      <c r="M92" s="7" t="s">
        <v>2893</v>
      </c>
      <c r="N92" s="7" t="s">
        <v>2894</v>
      </c>
      <c r="O92" s="7" t="s">
        <v>2890</v>
      </c>
      <c r="P92" s="7" t="s">
        <v>2890</v>
      </c>
      <c r="Q92" s="7" t="s">
        <v>2890</v>
      </c>
      <c r="R92" s="7" t="s">
        <v>2890</v>
      </c>
      <c r="S92" s="7" t="s">
        <v>2890</v>
      </c>
      <c r="T92" s="7" t="s">
        <v>4568</v>
      </c>
      <c r="U92" s="7" t="s">
        <v>4569</v>
      </c>
      <c r="V92" s="7" t="s">
        <v>2648</v>
      </c>
      <c r="W92" s="7" t="s">
        <v>4570</v>
      </c>
      <c r="X92" s="7" t="s">
        <v>4571</v>
      </c>
      <c r="Y92" s="7" t="s">
        <v>4572</v>
      </c>
      <c r="Z92" s="7" t="s">
        <v>4573</v>
      </c>
      <c r="AA92" s="7" t="s">
        <v>4574</v>
      </c>
      <c r="AB92" s="7" t="s">
        <v>4575</v>
      </c>
      <c r="AC92" s="7" t="s">
        <v>4576</v>
      </c>
      <c r="AD92" s="7" t="s">
        <v>4577</v>
      </c>
      <c r="AE92" s="7" t="s">
        <v>4578</v>
      </c>
      <c r="AF92" s="7" t="s">
        <v>2890</v>
      </c>
      <c r="AG92" s="7">
        <v>46.0</v>
      </c>
      <c r="AH92" s="7">
        <v>41.0</v>
      </c>
      <c r="AI92" s="7">
        <v>48.0</v>
      </c>
      <c r="AJ92" s="7">
        <v>2.0</v>
      </c>
      <c r="AK92" s="7">
        <v>189.0</v>
      </c>
      <c r="AL92" s="7" t="s">
        <v>2905</v>
      </c>
      <c r="AM92" s="7" t="s">
        <v>2906</v>
      </c>
      <c r="AN92" s="7" t="s">
        <v>2907</v>
      </c>
      <c r="AO92" s="7" t="s">
        <v>3664</v>
      </c>
      <c r="AP92" s="7" t="s">
        <v>3665</v>
      </c>
      <c r="AQ92" s="7" t="s">
        <v>2890</v>
      </c>
      <c r="AR92" s="7" t="s">
        <v>3666</v>
      </c>
      <c r="AS92" s="7" t="s">
        <v>3667</v>
      </c>
      <c r="AT92" s="7" t="s">
        <v>3083</v>
      </c>
      <c r="AU92" s="7">
        <v>2013.0</v>
      </c>
      <c r="AV92" s="7">
        <v>158.0</v>
      </c>
      <c r="AW92" s="7" t="s">
        <v>2890</v>
      </c>
      <c r="AX92" s="7" t="s">
        <v>2890</v>
      </c>
      <c r="AY92" s="7" t="s">
        <v>2890</v>
      </c>
      <c r="AZ92" s="7" t="s">
        <v>2890</v>
      </c>
      <c r="BA92" s="7" t="s">
        <v>2890</v>
      </c>
      <c r="BB92" s="7">
        <v>205.0</v>
      </c>
      <c r="BC92" s="7">
        <v>213.0</v>
      </c>
      <c r="BD92" s="7" t="s">
        <v>2890</v>
      </c>
      <c r="BE92" s="7" t="s">
        <v>836</v>
      </c>
      <c r="BF92" s="24" t="str">
        <f>HYPERLINK("http://dx.doi.org/10.1016/j.biocon.2012.08.021","http://dx.doi.org/10.1016/j.biocon.2012.08.021")</f>
        <v>http://dx.doi.org/10.1016/j.biocon.2012.08.021</v>
      </c>
      <c r="BG92" s="7" t="s">
        <v>2890</v>
      </c>
      <c r="BH92" s="7" t="s">
        <v>2890</v>
      </c>
      <c r="BI92" s="7">
        <v>9.0</v>
      </c>
      <c r="BJ92" s="7" t="s">
        <v>3033</v>
      </c>
      <c r="BK92" s="7" t="s">
        <v>3283</v>
      </c>
      <c r="BL92" s="7" t="s">
        <v>3034</v>
      </c>
      <c r="BM92" s="7" t="s">
        <v>4579</v>
      </c>
      <c r="BN92" s="7" t="s">
        <v>2890</v>
      </c>
      <c r="BO92" s="7" t="s">
        <v>2890</v>
      </c>
      <c r="BP92" s="7" t="s">
        <v>2890</v>
      </c>
      <c r="BQ92" s="7" t="s">
        <v>2890</v>
      </c>
      <c r="BR92" s="7" t="s">
        <v>2916</v>
      </c>
      <c r="BS92" s="7" t="s">
        <v>2649</v>
      </c>
      <c r="BT92" s="7" t="str">
        <f>HYPERLINK("https%3A%2F%2Fwww.webofscience.com%2Fwos%2Fwoscc%2Ffull-record%2FWOS:000318128300022","View Full Record in Web of Science")</f>
        <v>View Full Record in Web of Science</v>
      </c>
    </row>
    <row r="93" ht="12.75" customHeight="1">
      <c r="A93" s="7" t="s">
        <v>2888</v>
      </c>
      <c r="B93" s="7" t="s">
        <v>4580</v>
      </c>
      <c r="C93" s="7" t="s">
        <v>2890</v>
      </c>
      <c r="D93" s="7" t="s">
        <v>2890</v>
      </c>
      <c r="E93" s="7" t="s">
        <v>2890</v>
      </c>
      <c r="F93" s="7" t="s">
        <v>4581</v>
      </c>
      <c r="G93" s="7" t="s">
        <v>2890</v>
      </c>
      <c r="H93" s="7" t="s">
        <v>2890</v>
      </c>
      <c r="I93" s="7" t="s">
        <v>66</v>
      </c>
      <c r="J93" s="7" t="s">
        <v>4582</v>
      </c>
      <c r="K93" s="7" t="s">
        <v>2890</v>
      </c>
      <c r="L93" s="7" t="s">
        <v>2890</v>
      </c>
      <c r="M93" s="7" t="s">
        <v>2893</v>
      </c>
      <c r="N93" s="7" t="s">
        <v>2894</v>
      </c>
      <c r="O93" s="7" t="s">
        <v>2890</v>
      </c>
      <c r="P93" s="7" t="s">
        <v>2890</v>
      </c>
      <c r="Q93" s="7" t="s">
        <v>2890</v>
      </c>
      <c r="R93" s="7" t="s">
        <v>2890</v>
      </c>
      <c r="S93" s="7" t="s">
        <v>2890</v>
      </c>
      <c r="T93" s="7" t="s">
        <v>4583</v>
      </c>
      <c r="U93" s="7" t="s">
        <v>4584</v>
      </c>
      <c r="V93" s="7" t="s">
        <v>2730</v>
      </c>
      <c r="W93" s="7" t="s">
        <v>4585</v>
      </c>
      <c r="X93" s="7" t="s">
        <v>4586</v>
      </c>
      <c r="Y93" s="7" t="s">
        <v>4587</v>
      </c>
      <c r="Z93" s="7" t="s">
        <v>4588</v>
      </c>
      <c r="AA93" s="7" t="s">
        <v>2890</v>
      </c>
      <c r="AB93" s="7" t="s">
        <v>2890</v>
      </c>
      <c r="AC93" s="7" t="s">
        <v>4589</v>
      </c>
      <c r="AD93" s="7" t="s">
        <v>4590</v>
      </c>
      <c r="AE93" s="7" t="s">
        <v>4591</v>
      </c>
      <c r="AF93" s="7" t="s">
        <v>2890</v>
      </c>
      <c r="AG93" s="7">
        <v>20.0</v>
      </c>
      <c r="AH93" s="7">
        <v>15.0</v>
      </c>
      <c r="AI93" s="7">
        <v>18.0</v>
      </c>
      <c r="AJ93" s="7">
        <v>7.0</v>
      </c>
      <c r="AK93" s="7">
        <v>48.0</v>
      </c>
      <c r="AL93" s="7" t="s">
        <v>2928</v>
      </c>
      <c r="AM93" s="7" t="s">
        <v>2929</v>
      </c>
      <c r="AN93" s="7" t="s">
        <v>2930</v>
      </c>
      <c r="AO93" s="7" t="s">
        <v>4592</v>
      </c>
      <c r="AP93" s="7" t="s">
        <v>4593</v>
      </c>
      <c r="AQ93" s="7" t="s">
        <v>2890</v>
      </c>
      <c r="AR93" s="7" t="s">
        <v>4594</v>
      </c>
      <c r="AS93" s="7" t="s">
        <v>4595</v>
      </c>
      <c r="AT93" s="7" t="s">
        <v>2912</v>
      </c>
      <c r="AU93" s="7">
        <v>2012.0</v>
      </c>
      <c r="AV93" s="7">
        <v>184.0</v>
      </c>
      <c r="AW93" s="7">
        <v>9.0</v>
      </c>
      <c r="AX93" s="7" t="s">
        <v>2890</v>
      </c>
      <c r="AY93" s="7" t="s">
        <v>2890</v>
      </c>
      <c r="AZ93" s="7" t="s">
        <v>2890</v>
      </c>
      <c r="BA93" s="7" t="s">
        <v>2890</v>
      </c>
      <c r="BB93" s="7">
        <v>5295.0</v>
      </c>
      <c r="BC93" s="7">
        <v>5300.0</v>
      </c>
      <c r="BD93" s="7" t="s">
        <v>2890</v>
      </c>
      <c r="BE93" s="7" t="s">
        <v>2561</v>
      </c>
      <c r="BF93" s="24" t="str">
        <f>HYPERLINK("http://dx.doi.org/10.1007/s10661-011-2340-z","http://dx.doi.org/10.1007/s10661-011-2340-z")</f>
        <v>http://dx.doi.org/10.1007/s10661-011-2340-z</v>
      </c>
      <c r="BG93" s="7" t="s">
        <v>2890</v>
      </c>
      <c r="BH93" s="7" t="s">
        <v>2890</v>
      </c>
      <c r="BI93" s="7">
        <v>6.0</v>
      </c>
      <c r="BJ93" s="7" t="s">
        <v>3007</v>
      </c>
      <c r="BK93" s="7" t="s">
        <v>2938</v>
      </c>
      <c r="BL93" s="7" t="s">
        <v>3008</v>
      </c>
      <c r="BM93" s="7" t="s">
        <v>4596</v>
      </c>
      <c r="BN93" s="7">
        <v>2.1927784E7</v>
      </c>
      <c r="BO93" s="7" t="s">
        <v>2890</v>
      </c>
      <c r="BP93" s="7" t="s">
        <v>2890</v>
      </c>
      <c r="BQ93" s="7" t="s">
        <v>2890</v>
      </c>
      <c r="BR93" s="7" t="s">
        <v>2916</v>
      </c>
      <c r="BS93" s="7" t="s">
        <v>2731</v>
      </c>
      <c r="BT93" s="7" t="str">
        <f>HYPERLINK("https%3A%2F%2Fwww.webofscience.com%2Fwos%2Fwoscc%2Ffull-record%2FWOS:000307332300006","View Full Record in Web of Science")</f>
        <v>View Full Record in Web of Science</v>
      </c>
    </row>
    <row r="94" ht="12.75" customHeight="1">
      <c r="A94" s="7" t="s">
        <v>2888</v>
      </c>
      <c r="B94" s="7" t="s">
        <v>4597</v>
      </c>
      <c r="C94" s="7" t="s">
        <v>2890</v>
      </c>
      <c r="D94" s="7" t="s">
        <v>2890</v>
      </c>
      <c r="E94" s="7" t="s">
        <v>2890</v>
      </c>
      <c r="F94" s="7" t="s">
        <v>4598</v>
      </c>
      <c r="G94" s="7" t="s">
        <v>2890</v>
      </c>
      <c r="H94" s="7" t="s">
        <v>2890</v>
      </c>
      <c r="I94" s="7" t="s">
        <v>2792</v>
      </c>
      <c r="J94" s="7" t="s">
        <v>3609</v>
      </c>
      <c r="K94" s="7" t="s">
        <v>2890</v>
      </c>
      <c r="L94" s="7" t="s">
        <v>2890</v>
      </c>
      <c r="M94" s="7" t="s">
        <v>2893</v>
      </c>
      <c r="N94" s="7" t="s">
        <v>2894</v>
      </c>
      <c r="O94" s="7" t="s">
        <v>2890</v>
      </c>
      <c r="P94" s="7" t="s">
        <v>2890</v>
      </c>
      <c r="Q94" s="7" t="s">
        <v>2890</v>
      </c>
      <c r="R94" s="7" t="s">
        <v>2890</v>
      </c>
      <c r="S94" s="7" t="s">
        <v>2890</v>
      </c>
      <c r="T94" s="7" t="s">
        <v>2890</v>
      </c>
      <c r="U94" s="7" t="s">
        <v>4599</v>
      </c>
      <c r="V94" s="7" t="s">
        <v>2793</v>
      </c>
      <c r="W94" s="7" t="s">
        <v>4600</v>
      </c>
      <c r="X94" s="7" t="s">
        <v>4601</v>
      </c>
      <c r="Y94" s="7" t="s">
        <v>4602</v>
      </c>
      <c r="Z94" s="7" t="s">
        <v>4603</v>
      </c>
      <c r="AA94" s="7" t="s">
        <v>4604</v>
      </c>
      <c r="AB94" s="7" t="s">
        <v>4605</v>
      </c>
      <c r="AC94" s="7" t="s">
        <v>4606</v>
      </c>
      <c r="AD94" s="7" t="s">
        <v>4607</v>
      </c>
      <c r="AE94" s="7" t="s">
        <v>4608</v>
      </c>
      <c r="AF94" s="7" t="s">
        <v>2890</v>
      </c>
      <c r="AG94" s="7">
        <v>59.0</v>
      </c>
      <c r="AH94" s="7">
        <v>96.0</v>
      </c>
      <c r="AI94" s="7">
        <v>115.0</v>
      </c>
      <c r="AJ94" s="7">
        <v>0.0</v>
      </c>
      <c r="AK94" s="7">
        <v>94.0</v>
      </c>
      <c r="AL94" s="7" t="s">
        <v>3620</v>
      </c>
      <c r="AM94" s="7" t="s">
        <v>3621</v>
      </c>
      <c r="AN94" s="7" t="s">
        <v>3622</v>
      </c>
      <c r="AO94" s="7" t="s">
        <v>3623</v>
      </c>
      <c r="AP94" s="7" t="s">
        <v>2890</v>
      </c>
      <c r="AQ94" s="7" t="s">
        <v>2890</v>
      </c>
      <c r="AR94" s="7" t="s">
        <v>3609</v>
      </c>
      <c r="AS94" s="7" t="s">
        <v>3624</v>
      </c>
      <c r="AT94" s="7" t="s">
        <v>4609</v>
      </c>
      <c r="AU94" s="7">
        <v>2012.0</v>
      </c>
      <c r="AV94" s="7">
        <v>7.0</v>
      </c>
      <c r="AW94" s="7">
        <v>6.0</v>
      </c>
      <c r="AX94" s="7" t="s">
        <v>2890</v>
      </c>
      <c r="AY94" s="7" t="s">
        <v>2890</v>
      </c>
      <c r="AZ94" s="7" t="s">
        <v>2890</v>
      </c>
      <c r="BA94" s="7" t="s">
        <v>2890</v>
      </c>
      <c r="BB94" s="7" t="s">
        <v>2890</v>
      </c>
      <c r="BC94" s="7" t="s">
        <v>2890</v>
      </c>
      <c r="BD94" s="7" t="s">
        <v>4610</v>
      </c>
      <c r="BE94" s="7" t="s">
        <v>2560</v>
      </c>
      <c r="BF94" s="24" t="str">
        <f>HYPERLINK("http://dx.doi.org/10.1371/journal.pone.0039337","http://dx.doi.org/10.1371/journal.pone.0039337")</f>
        <v>http://dx.doi.org/10.1371/journal.pone.0039337</v>
      </c>
      <c r="BG94" s="7" t="s">
        <v>2890</v>
      </c>
      <c r="BH94" s="7" t="s">
        <v>2890</v>
      </c>
      <c r="BI94" s="7">
        <v>10.0</v>
      </c>
      <c r="BJ94" s="7" t="s">
        <v>3058</v>
      </c>
      <c r="BK94" s="7" t="s">
        <v>2938</v>
      </c>
      <c r="BL94" s="7" t="s">
        <v>3059</v>
      </c>
      <c r="BM94" s="7" t="s">
        <v>4611</v>
      </c>
      <c r="BN94" s="7">
        <v>2.2768074E7</v>
      </c>
      <c r="BO94" s="7" t="s">
        <v>4612</v>
      </c>
      <c r="BP94" s="7" t="s">
        <v>2890</v>
      </c>
      <c r="BQ94" s="7" t="s">
        <v>2890</v>
      </c>
      <c r="BR94" s="7" t="s">
        <v>2916</v>
      </c>
      <c r="BS94" s="7" t="s">
        <v>2794</v>
      </c>
      <c r="BT94" s="7" t="str">
        <f>HYPERLINK("https%3A%2F%2Fwww.webofscience.com%2Fwos%2Fwoscc%2Ffull-record%2FWOS:000305892100045","View Full Record in Web of Science")</f>
        <v>View Full Record in Web of Science</v>
      </c>
    </row>
    <row r="95" ht="12.75" customHeight="1">
      <c r="A95" s="7" t="s">
        <v>2888</v>
      </c>
      <c r="B95" s="7" t="s">
        <v>4613</v>
      </c>
      <c r="C95" s="7" t="s">
        <v>2890</v>
      </c>
      <c r="D95" s="7" t="s">
        <v>2890</v>
      </c>
      <c r="E95" s="7" t="s">
        <v>2890</v>
      </c>
      <c r="F95" s="7" t="s">
        <v>4614</v>
      </c>
      <c r="G95" s="7" t="s">
        <v>2890</v>
      </c>
      <c r="H95" s="7" t="s">
        <v>2890</v>
      </c>
      <c r="I95" s="7" t="s">
        <v>2732</v>
      </c>
      <c r="J95" s="7" t="s">
        <v>4615</v>
      </c>
      <c r="K95" s="7" t="s">
        <v>2890</v>
      </c>
      <c r="L95" s="7" t="s">
        <v>2890</v>
      </c>
      <c r="M95" s="7" t="s">
        <v>2893</v>
      </c>
      <c r="N95" s="7" t="s">
        <v>2894</v>
      </c>
      <c r="O95" s="7" t="s">
        <v>2890</v>
      </c>
      <c r="P95" s="7" t="s">
        <v>2890</v>
      </c>
      <c r="Q95" s="7" t="s">
        <v>2890</v>
      </c>
      <c r="R95" s="7" t="s">
        <v>2890</v>
      </c>
      <c r="S95" s="7" t="s">
        <v>2890</v>
      </c>
      <c r="T95" s="7" t="s">
        <v>4616</v>
      </c>
      <c r="U95" s="7" t="s">
        <v>4617</v>
      </c>
      <c r="V95" s="7" t="s">
        <v>2733</v>
      </c>
      <c r="W95" s="7" t="s">
        <v>4618</v>
      </c>
      <c r="X95" s="7" t="s">
        <v>4619</v>
      </c>
      <c r="Y95" s="7" t="s">
        <v>4620</v>
      </c>
      <c r="Z95" s="7" t="s">
        <v>4494</v>
      </c>
      <c r="AA95" s="7" t="s">
        <v>4495</v>
      </c>
      <c r="AB95" s="7" t="s">
        <v>2890</v>
      </c>
      <c r="AC95" s="7" t="s">
        <v>4621</v>
      </c>
      <c r="AD95" s="7" t="s">
        <v>4622</v>
      </c>
      <c r="AE95" s="7" t="s">
        <v>4623</v>
      </c>
      <c r="AF95" s="7" t="s">
        <v>2890</v>
      </c>
      <c r="AG95" s="7">
        <v>27.0</v>
      </c>
      <c r="AH95" s="7">
        <v>354.0</v>
      </c>
      <c r="AI95" s="7">
        <v>405.0</v>
      </c>
      <c r="AJ95" s="7">
        <v>5.0</v>
      </c>
      <c r="AK95" s="7">
        <v>171.0</v>
      </c>
      <c r="AL95" s="7" t="s">
        <v>4624</v>
      </c>
      <c r="AM95" s="7" t="s">
        <v>3436</v>
      </c>
      <c r="AN95" s="7" t="s">
        <v>4625</v>
      </c>
      <c r="AO95" s="7" t="s">
        <v>4626</v>
      </c>
      <c r="AP95" s="7" t="s">
        <v>4627</v>
      </c>
      <c r="AQ95" s="7" t="s">
        <v>2890</v>
      </c>
      <c r="AR95" s="7" t="s">
        <v>4628</v>
      </c>
      <c r="AS95" s="7" t="s">
        <v>4629</v>
      </c>
      <c r="AT95" s="7" t="s">
        <v>4630</v>
      </c>
      <c r="AU95" s="7">
        <v>2011.0</v>
      </c>
      <c r="AV95" s="7">
        <v>278.0</v>
      </c>
      <c r="AW95" s="7">
        <v>1712.0</v>
      </c>
      <c r="AX95" s="7" t="s">
        <v>2890</v>
      </c>
      <c r="AY95" s="7" t="s">
        <v>2890</v>
      </c>
      <c r="AZ95" s="7" t="s">
        <v>2890</v>
      </c>
      <c r="BA95" s="7" t="s">
        <v>2890</v>
      </c>
      <c r="BB95" s="7">
        <v>1633.0</v>
      </c>
      <c r="BC95" s="7">
        <v>1638.0</v>
      </c>
      <c r="BD95" s="7" t="s">
        <v>2890</v>
      </c>
      <c r="BE95" s="7" t="s">
        <v>2559</v>
      </c>
      <c r="BF95" s="24" t="str">
        <f>HYPERLINK("http://dx.doi.org/10.1098/rspb.2010.1713","http://dx.doi.org/10.1098/rspb.2010.1713")</f>
        <v>http://dx.doi.org/10.1098/rspb.2010.1713</v>
      </c>
      <c r="BG95" s="7" t="s">
        <v>2890</v>
      </c>
      <c r="BH95" s="7" t="s">
        <v>2890</v>
      </c>
      <c r="BI95" s="7">
        <v>6.0</v>
      </c>
      <c r="BJ95" s="7" t="s">
        <v>4631</v>
      </c>
      <c r="BK95" s="7" t="s">
        <v>2938</v>
      </c>
      <c r="BL95" s="7" t="s">
        <v>4632</v>
      </c>
      <c r="BM95" s="7" t="s">
        <v>4633</v>
      </c>
      <c r="BN95" s="7">
        <v>2.1084351E7</v>
      </c>
      <c r="BO95" s="7" t="s">
        <v>3087</v>
      </c>
      <c r="BP95" s="7" t="s">
        <v>2890</v>
      </c>
      <c r="BQ95" s="7" t="s">
        <v>2890</v>
      </c>
      <c r="BR95" s="7" t="s">
        <v>2916</v>
      </c>
      <c r="BS95" s="7" t="s">
        <v>2734</v>
      </c>
      <c r="BT95" s="7" t="str">
        <f>HYPERLINK("https%3A%2F%2Fwww.webofscience.com%2Fwos%2Fwoscc%2Ffull-record%2FWOS:000289719900005","View Full Record in Web of Science")</f>
        <v>View Full Record in Web of Science</v>
      </c>
    </row>
    <row r="96" ht="12.75" customHeight="1">
      <c r="A96" s="7" t="s">
        <v>2888</v>
      </c>
      <c r="B96" s="7" t="s">
        <v>4634</v>
      </c>
      <c r="C96" s="7" t="s">
        <v>2890</v>
      </c>
      <c r="D96" s="7" t="s">
        <v>2890</v>
      </c>
      <c r="E96" s="7" t="s">
        <v>2890</v>
      </c>
      <c r="F96" s="7" t="s">
        <v>4635</v>
      </c>
      <c r="G96" s="7" t="s">
        <v>2890</v>
      </c>
      <c r="H96" s="7" t="s">
        <v>2890</v>
      </c>
      <c r="I96" s="7" t="s">
        <v>54</v>
      </c>
      <c r="J96" s="7" t="s">
        <v>4262</v>
      </c>
      <c r="K96" s="7" t="s">
        <v>2890</v>
      </c>
      <c r="L96" s="7" t="s">
        <v>2890</v>
      </c>
      <c r="M96" s="7" t="s">
        <v>2893</v>
      </c>
      <c r="N96" s="7" t="s">
        <v>2894</v>
      </c>
      <c r="O96" s="7" t="s">
        <v>2890</v>
      </c>
      <c r="P96" s="7" t="s">
        <v>2890</v>
      </c>
      <c r="Q96" s="7" t="s">
        <v>2890</v>
      </c>
      <c r="R96" s="7" t="s">
        <v>2890</v>
      </c>
      <c r="S96" s="7" t="s">
        <v>2890</v>
      </c>
      <c r="T96" s="7" t="s">
        <v>4636</v>
      </c>
      <c r="U96" s="7" t="s">
        <v>4637</v>
      </c>
      <c r="V96" s="7" t="s">
        <v>4638</v>
      </c>
      <c r="W96" s="7" t="s">
        <v>4639</v>
      </c>
      <c r="X96" s="7" t="s">
        <v>4640</v>
      </c>
      <c r="Y96" s="7" t="s">
        <v>4641</v>
      </c>
      <c r="Z96" s="7" t="s">
        <v>4642</v>
      </c>
      <c r="AA96" s="7" t="s">
        <v>4643</v>
      </c>
      <c r="AB96" s="7" t="s">
        <v>4644</v>
      </c>
      <c r="AC96" s="7" t="s">
        <v>4645</v>
      </c>
      <c r="AD96" s="7" t="s">
        <v>4646</v>
      </c>
      <c r="AE96" s="7" t="s">
        <v>4647</v>
      </c>
      <c r="AF96" s="7" t="s">
        <v>2890</v>
      </c>
      <c r="AG96" s="7">
        <v>58.0</v>
      </c>
      <c r="AH96" s="7">
        <v>12.0</v>
      </c>
      <c r="AI96" s="7">
        <v>13.0</v>
      </c>
      <c r="AJ96" s="7">
        <v>0.0</v>
      </c>
      <c r="AK96" s="7">
        <v>28.0</v>
      </c>
      <c r="AL96" s="7" t="s">
        <v>4274</v>
      </c>
      <c r="AM96" s="7" t="s">
        <v>4275</v>
      </c>
      <c r="AN96" s="7" t="s">
        <v>4276</v>
      </c>
      <c r="AO96" s="7" t="s">
        <v>4277</v>
      </c>
      <c r="AP96" s="7" t="s">
        <v>4278</v>
      </c>
      <c r="AQ96" s="7" t="s">
        <v>2890</v>
      </c>
      <c r="AR96" s="7" t="s">
        <v>4279</v>
      </c>
      <c r="AS96" s="7" t="s">
        <v>4280</v>
      </c>
      <c r="AT96" s="7" t="s">
        <v>3341</v>
      </c>
      <c r="AU96" s="7">
        <v>2011.0</v>
      </c>
      <c r="AV96" s="7">
        <v>11.0</v>
      </c>
      <c r="AW96" s="7">
        <v>2.0</v>
      </c>
      <c r="AX96" s="7" t="s">
        <v>2890</v>
      </c>
      <c r="AY96" s="7" t="s">
        <v>2890</v>
      </c>
      <c r="AZ96" s="7" t="s">
        <v>2890</v>
      </c>
      <c r="BA96" s="7" t="s">
        <v>2890</v>
      </c>
      <c r="BB96" s="7">
        <v>349.0</v>
      </c>
      <c r="BC96" s="7">
        <v>358.0</v>
      </c>
      <c r="BD96" s="7" t="s">
        <v>2890</v>
      </c>
      <c r="BE96" s="7" t="s">
        <v>4648</v>
      </c>
      <c r="BF96" s="24" t="str">
        <f>HYPERLINK("http://dx.doi.org/10.1007/s10113-010-0138-0","http://dx.doi.org/10.1007/s10113-010-0138-0")</f>
        <v>http://dx.doi.org/10.1007/s10113-010-0138-0</v>
      </c>
      <c r="BG96" s="7" t="s">
        <v>2890</v>
      </c>
      <c r="BH96" s="7" t="s">
        <v>2890</v>
      </c>
      <c r="BI96" s="7">
        <v>10.0</v>
      </c>
      <c r="BJ96" s="7" t="s">
        <v>4281</v>
      </c>
      <c r="BK96" s="7" t="s">
        <v>3283</v>
      </c>
      <c r="BL96" s="7" t="s">
        <v>3008</v>
      </c>
      <c r="BM96" s="7" t="s">
        <v>4649</v>
      </c>
      <c r="BN96" s="7" t="s">
        <v>2890</v>
      </c>
      <c r="BO96" s="7" t="s">
        <v>2890</v>
      </c>
      <c r="BP96" s="7" t="s">
        <v>2890</v>
      </c>
      <c r="BQ96" s="7" t="s">
        <v>2890</v>
      </c>
      <c r="BR96" s="7" t="s">
        <v>2916</v>
      </c>
      <c r="BS96" s="7" t="s">
        <v>4650</v>
      </c>
      <c r="BT96" s="7" t="str">
        <f>HYPERLINK("https%3A%2F%2Fwww.webofscience.com%2Fwos%2Fwoscc%2Ffull-record%2FWOS:000291253300014","View Full Record in Web of Science")</f>
        <v>View Full Record in Web of Science</v>
      </c>
    </row>
    <row r="97" ht="12.75" customHeight="1">
      <c r="A97" s="7" t="s">
        <v>2888</v>
      </c>
      <c r="B97" s="7" t="s">
        <v>4651</v>
      </c>
      <c r="C97" s="7" t="s">
        <v>2890</v>
      </c>
      <c r="D97" s="7" t="s">
        <v>2890</v>
      </c>
      <c r="E97" s="7" t="s">
        <v>2890</v>
      </c>
      <c r="F97" s="7" t="s">
        <v>4652</v>
      </c>
      <c r="G97" s="7" t="s">
        <v>2890</v>
      </c>
      <c r="H97" s="7" t="s">
        <v>2890</v>
      </c>
      <c r="I97" s="7" t="s">
        <v>1131</v>
      </c>
      <c r="J97" s="7" t="s">
        <v>3609</v>
      </c>
      <c r="K97" s="7" t="s">
        <v>2890</v>
      </c>
      <c r="L97" s="7" t="s">
        <v>2890</v>
      </c>
      <c r="M97" s="7" t="s">
        <v>2893</v>
      </c>
      <c r="N97" s="7" t="s">
        <v>2894</v>
      </c>
      <c r="O97" s="7" t="s">
        <v>2890</v>
      </c>
      <c r="P97" s="7" t="s">
        <v>2890</v>
      </c>
      <c r="Q97" s="7" t="s">
        <v>2890</v>
      </c>
      <c r="R97" s="7" t="s">
        <v>2890</v>
      </c>
      <c r="S97" s="7" t="s">
        <v>2890</v>
      </c>
      <c r="T97" s="7" t="s">
        <v>2890</v>
      </c>
      <c r="U97" s="7" t="s">
        <v>4653</v>
      </c>
      <c r="V97" s="7" t="s">
        <v>4654</v>
      </c>
      <c r="W97" s="7" t="s">
        <v>2890</v>
      </c>
      <c r="X97" s="7" t="s">
        <v>2890</v>
      </c>
      <c r="Y97" s="7" t="s">
        <v>4655</v>
      </c>
      <c r="Z97" s="7" t="s">
        <v>4656</v>
      </c>
      <c r="AA97" s="7" t="s">
        <v>4657</v>
      </c>
      <c r="AB97" s="7" t="s">
        <v>4658</v>
      </c>
      <c r="AC97" s="7" t="s">
        <v>2890</v>
      </c>
      <c r="AD97" s="7" t="s">
        <v>2890</v>
      </c>
      <c r="AE97" s="7" t="s">
        <v>2890</v>
      </c>
      <c r="AF97" s="7" t="s">
        <v>2890</v>
      </c>
      <c r="AG97" s="7">
        <v>61.0</v>
      </c>
      <c r="AH97" s="7">
        <v>121.0</v>
      </c>
      <c r="AI97" s="7">
        <v>132.0</v>
      </c>
      <c r="AJ97" s="7">
        <v>1.0</v>
      </c>
      <c r="AK97" s="7">
        <v>44.0</v>
      </c>
      <c r="AL97" s="7" t="s">
        <v>3620</v>
      </c>
      <c r="AM97" s="7" t="s">
        <v>3621</v>
      </c>
      <c r="AN97" s="7" t="s">
        <v>3622</v>
      </c>
      <c r="AO97" s="7" t="s">
        <v>3623</v>
      </c>
      <c r="AP97" s="7" t="s">
        <v>2890</v>
      </c>
      <c r="AQ97" s="7" t="s">
        <v>2890</v>
      </c>
      <c r="AR97" s="7" t="s">
        <v>3609</v>
      </c>
      <c r="AS97" s="7" t="s">
        <v>3624</v>
      </c>
      <c r="AT97" s="7" t="s">
        <v>4659</v>
      </c>
      <c r="AU97" s="7">
        <v>2009.0</v>
      </c>
      <c r="AV97" s="7">
        <v>4.0</v>
      </c>
      <c r="AW97" s="7">
        <v>4.0</v>
      </c>
      <c r="AX97" s="7" t="s">
        <v>2890</v>
      </c>
      <c r="AY97" s="7" t="s">
        <v>2890</v>
      </c>
      <c r="AZ97" s="7" t="s">
        <v>2890</v>
      </c>
      <c r="BA97" s="7" t="s">
        <v>2890</v>
      </c>
      <c r="BB97" s="7" t="s">
        <v>2890</v>
      </c>
      <c r="BC97" s="7" t="s">
        <v>2890</v>
      </c>
      <c r="BD97" s="7" t="s">
        <v>4660</v>
      </c>
      <c r="BE97" s="7" t="s">
        <v>4661</v>
      </c>
      <c r="BF97" s="24" t="str">
        <f>HYPERLINK("http://dx.doi.org/10.1371/journal.pone.0005014","http://dx.doi.org/10.1371/journal.pone.0005014")</f>
        <v>http://dx.doi.org/10.1371/journal.pone.0005014</v>
      </c>
      <c r="BG97" s="7" t="s">
        <v>2890</v>
      </c>
      <c r="BH97" s="7" t="s">
        <v>2890</v>
      </c>
      <c r="BI97" s="7">
        <v>12.0</v>
      </c>
      <c r="BJ97" s="7" t="s">
        <v>3058</v>
      </c>
      <c r="BK97" s="7" t="s">
        <v>3283</v>
      </c>
      <c r="BL97" s="7" t="s">
        <v>3059</v>
      </c>
      <c r="BM97" s="7" t="s">
        <v>4662</v>
      </c>
      <c r="BN97" s="7">
        <v>1.9352423E7</v>
      </c>
      <c r="BO97" s="7" t="s">
        <v>2988</v>
      </c>
      <c r="BP97" s="7" t="s">
        <v>2890</v>
      </c>
      <c r="BQ97" s="7" t="s">
        <v>2890</v>
      </c>
      <c r="BR97" s="7" t="s">
        <v>2916</v>
      </c>
      <c r="BS97" s="7" t="s">
        <v>4663</v>
      </c>
      <c r="BT97" s="7" t="str">
        <f>HYPERLINK("https%3A%2F%2Fwww.webofscience.com%2Fwos%2Fwoscc%2Ffull-record%2FWOS:000265505700002","View Full Record in Web of Science")</f>
        <v>View Full Record in Web of Science</v>
      </c>
    </row>
    <row r="98" ht="12.75" customHeight="1">
      <c r="A98" s="7" t="s">
        <v>2888</v>
      </c>
      <c r="B98" s="7" t="s">
        <v>4664</v>
      </c>
      <c r="C98" s="7" t="s">
        <v>2890</v>
      </c>
      <c r="D98" s="7" t="s">
        <v>2890</v>
      </c>
      <c r="E98" s="7" t="s">
        <v>2890</v>
      </c>
      <c r="F98" s="7" t="s">
        <v>4665</v>
      </c>
      <c r="G98" s="7" t="s">
        <v>2890</v>
      </c>
      <c r="H98" s="7" t="s">
        <v>2890</v>
      </c>
      <c r="I98" s="7" t="s">
        <v>18</v>
      </c>
      <c r="J98" s="7" t="s">
        <v>3242</v>
      </c>
      <c r="K98" s="7" t="s">
        <v>2890</v>
      </c>
      <c r="L98" s="7" t="s">
        <v>2890</v>
      </c>
      <c r="M98" s="7" t="s">
        <v>2893</v>
      </c>
      <c r="N98" s="7" t="s">
        <v>2894</v>
      </c>
      <c r="O98" s="7" t="s">
        <v>2890</v>
      </c>
      <c r="P98" s="7" t="s">
        <v>2890</v>
      </c>
      <c r="Q98" s="7" t="s">
        <v>2890</v>
      </c>
      <c r="R98" s="7" t="s">
        <v>2890</v>
      </c>
      <c r="S98" s="7" t="s">
        <v>2890</v>
      </c>
      <c r="T98" s="7" t="s">
        <v>4666</v>
      </c>
      <c r="U98" s="7" t="s">
        <v>4667</v>
      </c>
      <c r="V98" s="7" t="s">
        <v>2735</v>
      </c>
      <c r="W98" s="7" t="s">
        <v>4668</v>
      </c>
      <c r="X98" s="7" t="s">
        <v>4669</v>
      </c>
      <c r="Y98" s="7" t="s">
        <v>4670</v>
      </c>
      <c r="Z98" s="7" t="s">
        <v>4671</v>
      </c>
      <c r="AA98" s="7" t="s">
        <v>4672</v>
      </c>
      <c r="AB98" s="7" t="s">
        <v>2890</v>
      </c>
      <c r="AC98" s="7" t="s">
        <v>4673</v>
      </c>
      <c r="AD98" s="7" t="s">
        <v>4674</v>
      </c>
      <c r="AE98" s="7" t="s">
        <v>4675</v>
      </c>
      <c r="AF98" s="7" t="s">
        <v>2890</v>
      </c>
      <c r="AG98" s="7">
        <v>59.0</v>
      </c>
      <c r="AH98" s="7">
        <v>53.0</v>
      </c>
      <c r="AI98" s="7">
        <v>64.0</v>
      </c>
      <c r="AJ98" s="7">
        <v>0.0</v>
      </c>
      <c r="AK98" s="7">
        <v>94.0</v>
      </c>
      <c r="AL98" s="7" t="s">
        <v>2928</v>
      </c>
      <c r="AM98" s="7" t="s">
        <v>2929</v>
      </c>
      <c r="AN98" s="7" t="s">
        <v>2930</v>
      </c>
      <c r="AO98" s="7" t="s">
        <v>3254</v>
      </c>
      <c r="AP98" s="7" t="s">
        <v>3255</v>
      </c>
      <c r="AQ98" s="7" t="s">
        <v>2890</v>
      </c>
      <c r="AR98" s="7" t="s">
        <v>3256</v>
      </c>
      <c r="AS98" s="7" t="s">
        <v>3257</v>
      </c>
      <c r="AT98" s="7" t="s">
        <v>3031</v>
      </c>
      <c r="AU98" s="7">
        <v>2009.0</v>
      </c>
      <c r="AV98" s="7">
        <v>18.0</v>
      </c>
      <c r="AW98" s="7">
        <v>4.0</v>
      </c>
      <c r="AX98" s="7" t="s">
        <v>2890</v>
      </c>
      <c r="AY98" s="7" t="s">
        <v>2890</v>
      </c>
      <c r="AZ98" s="7" t="s">
        <v>2890</v>
      </c>
      <c r="BA98" s="7" t="s">
        <v>2890</v>
      </c>
      <c r="BB98" s="7">
        <v>1001.0</v>
      </c>
      <c r="BC98" s="7">
        <v>1018.0</v>
      </c>
      <c r="BD98" s="7" t="s">
        <v>2890</v>
      </c>
      <c r="BE98" s="7" t="s">
        <v>1196</v>
      </c>
      <c r="BF98" s="24" t="str">
        <f>HYPERLINK("http://dx.doi.org/10.1007/s10531-008-9490-5","http://dx.doi.org/10.1007/s10531-008-9490-5")</f>
        <v>http://dx.doi.org/10.1007/s10531-008-9490-5</v>
      </c>
      <c r="BG98" s="7" t="s">
        <v>2890</v>
      </c>
      <c r="BH98" s="7" t="s">
        <v>2890</v>
      </c>
      <c r="BI98" s="7">
        <v>18.0</v>
      </c>
      <c r="BJ98" s="7" t="s">
        <v>3033</v>
      </c>
      <c r="BK98" s="7" t="s">
        <v>2938</v>
      </c>
      <c r="BL98" s="7" t="s">
        <v>3034</v>
      </c>
      <c r="BM98" s="7" t="s">
        <v>4676</v>
      </c>
      <c r="BN98" s="7" t="s">
        <v>2890</v>
      </c>
      <c r="BO98" s="7" t="s">
        <v>2890</v>
      </c>
      <c r="BP98" s="7" t="s">
        <v>2890</v>
      </c>
      <c r="BQ98" s="7" t="s">
        <v>2890</v>
      </c>
      <c r="BR98" s="7" t="s">
        <v>2916</v>
      </c>
      <c r="BS98" s="7" t="s">
        <v>2736</v>
      </c>
      <c r="BT98" s="7" t="str">
        <f>HYPERLINK("https%3A%2F%2Fwww.webofscience.com%2Fwos%2Fwoscc%2Ffull-record%2FWOS:000264546400015","View Full Record in Web of Science")</f>
        <v>View Full Record in Web of Science</v>
      </c>
    </row>
    <row r="99" ht="12.75" customHeight="1">
      <c r="A99" s="7" t="s">
        <v>2888</v>
      </c>
      <c r="B99" s="7" t="s">
        <v>4677</v>
      </c>
      <c r="C99" s="7" t="s">
        <v>2890</v>
      </c>
      <c r="D99" s="7" t="s">
        <v>2890</v>
      </c>
      <c r="E99" s="7" t="s">
        <v>2890</v>
      </c>
      <c r="F99" s="7" t="s">
        <v>4678</v>
      </c>
      <c r="G99" s="7" t="s">
        <v>2890</v>
      </c>
      <c r="H99" s="7" t="s">
        <v>2890</v>
      </c>
      <c r="I99" s="7" t="s">
        <v>2737</v>
      </c>
      <c r="J99" s="7" t="s">
        <v>4615</v>
      </c>
      <c r="K99" s="7" t="s">
        <v>2890</v>
      </c>
      <c r="L99" s="7" t="s">
        <v>2890</v>
      </c>
      <c r="M99" s="7" t="s">
        <v>2893</v>
      </c>
      <c r="N99" s="7" t="s">
        <v>2894</v>
      </c>
      <c r="O99" s="7" t="s">
        <v>2890</v>
      </c>
      <c r="P99" s="7" t="s">
        <v>2890</v>
      </c>
      <c r="Q99" s="7" t="s">
        <v>2890</v>
      </c>
      <c r="R99" s="7" t="s">
        <v>2890</v>
      </c>
      <c r="S99" s="7" t="s">
        <v>2890</v>
      </c>
      <c r="T99" s="7" t="s">
        <v>4679</v>
      </c>
      <c r="U99" s="7" t="s">
        <v>4680</v>
      </c>
      <c r="V99" s="7" t="s">
        <v>2738</v>
      </c>
      <c r="W99" s="7" t="s">
        <v>4681</v>
      </c>
      <c r="X99" s="7" t="s">
        <v>4682</v>
      </c>
      <c r="Y99" s="7" t="s">
        <v>4683</v>
      </c>
      <c r="Z99" s="7" t="s">
        <v>4684</v>
      </c>
      <c r="AA99" s="7" t="s">
        <v>4685</v>
      </c>
      <c r="AB99" s="7" t="s">
        <v>4686</v>
      </c>
      <c r="AC99" s="7" t="s">
        <v>2890</v>
      </c>
      <c r="AD99" s="7" t="s">
        <v>2890</v>
      </c>
      <c r="AE99" s="7" t="s">
        <v>2890</v>
      </c>
      <c r="AF99" s="7" t="s">
        <v>2890</v>
      </c>
      <c r="AG99" s="7">
        <v>61.0</v>
      </c>
      <c r="AH99" s="7">
        <v>115.0</v>
      </c>
      <c r="AI99" s="7">
        <v>132.0</v>
      </c>
      <c r="AJ99" s="7">
        <v>1.0</v>
      </c>
      <c r="AK99" s="7">
        <v>64.0</v>
      </c>
      <c r="AL99" s="7" t="s">
        <v>4624</v>
      </c>
      <c r="AM99" s="7" t="s">
        <v>3436</v>
      </c>
      <c r="AN99" s="7" t="s">
        <v>4625</v>
      </c>
      <c r="AO99" s="7" t="s">
        <v>4626</v>
      </c>
      <c r="AP99" s="7" t="s">
        <v>4627</v>
      </c>
      <c r="AQ99" s="7" t="s">
        <v>2890</v>
      </c>
      <c r="AR99" s="7" t="s">
        <v>4628</v>
      </c>
      <c r="AS99" s="7" t="s">
        <v>4629</v>
      </c>
      <c r="AT99" s="7" t="s">
        <v>4630</v>
      </c>
      <c r="AU99" s="7">
        <v>2008.0</v>
      </c>
      <c r="AV99" s="7">
        <v>275.0</v>
      </c>
      <c r="AW99" s="7">
        <v>1640.0</v>
      </c>
      <c r="AX99" s="7" t="s">
        <v>2890</v>
      </c>
      <c r="AY99" s="7" t="s">
        <v>2890</v>
      </c>
      <c r="AZ99" s="7" t="s">
        <v>2890</v>
      </c>
      <c r="BA99" s="7" t="s">
        <v>2890</v>
      </c>
      <c r="BB99" s="7">
        <v>1297.0</v>
      </c>
      <c r="BC99" s="7">
        <v>1304.0</v>
      </c>
      <c r="BD99" s="7" t="s">
        <v>2890</v>
      </c>
      <c r="BE99" s="7" t="s">
        <v>964</v>
      </c>
      <c r="BF99" s="24" t="str">
        <f>HYPERLINK("http://dx.doi.org/10.1098/rspb.2007.1756","http://dx.doi.org/10.1098/rspb.2007.1756")</f>
        <v>http://dx.doi.org/10.1098/rspb.2007.1756</v>
      </c>
      <c r="BG99" s="7" t="s">
        <v>2890</v>
      </c>
      <c r="BH99" s="7" t="s">
        <v>2890</v>
      </c>
      <c r="BI99" s="7">
        <v>8.0</v>
      </c>
      <c r="BJ99" s="7" t="s">
        <v>4631</v>
      </c>
      <c r="BK99" s="7" t="s">
        <v>2938</v>
      </c>
      <c r="BL99" s="7" t="s">
        <v>4632</v>
      </c>
      <c r="BM99" s="7" t="s">
        <v>4687</v>
      </c>
      <c r="BN99" s="7">
        <v>1.8319213E7</v>
      </c>
      <c r="BO99" s="7" t="s">
        <v>3087</v>
      </c>
      <c r="BP99" s="7" t="s">
        <v>2890</v>
      </c>
      <c r="BQ99" s="7" t="s">
        <v>2890</v>
      </c>
      <c r="BR99" s="7" t="s">
        <v>2916</v>
      </c>
      <c r="BS99" s="7" t="s">
        <v>2739</v>
      </c>
      <c r="BT99" s="7" t="str">
        <f>HYPERLINK("https%3A%2F%2Fwww.webofscience.com%2Fwos%2Fwoscc%2Ffull-record%2FWOS:000255056600009","View Full Record in Web of Science")</f>
        <v>View Full Record in Web of Science</v>
      </c>
    </row>
    <row r="100" ht="12.75" customHeight="1">
      <c r="A100" s="7" t="s">
        <v>2888</v>
      </c>
      <c r="B100" s="7" t="s">
        <v>4688</v>
      </c>
      <c r="C100" s="7" t="s">
        <v>2890</v>
      </c>
      <c r="D100" s="7" t="s">
        <v>2890</v>
      </c>
      <c r="E100" s="7" t="s">
        <v>2890</v>
      </c>
      <c r="F100" s="7" t="s">
        <v>4689</v>
      </c>
      <c r="G100" s="7" t="s">
        <v>2890</v>
      </c>
      <c r="H100" s="7" t="s">
        <v>2890</v>
      </c>
      <c r="I100" s="7" t="s">
        <v>2740</v>
      </c>
      <c r="J100" s="7" t="s">
        <v>3305</v>
      </c>
      <c r="K100" s="7" t="s">
        <v>2890</v>
      </c>
      <c r="L100" s="7" t="s">
        <v>2890</v>
      </c>
      <c r="M100" s="7" t="s">
        <v>2893</v>
      </c>
      <c r="N100" s="7" t="s">
        <v>2894</v>
      </c>
      <c r="O100" s="7" t="s">
        <v>2890</v>
      </c>
      <c r="P100" s="7" t="s">
        <v>2890</v>
      </c>
      <c r="Q100" s="7" t="s">
        <v>2890</v>
      </c>
      <c r="R100" s="7" t="s">
        <v>2890</v>
      </c>
      <c r="S100" s="7" t="s">
        <v>2890</v>
      </c>
      <c r="T100" s="7" t="s">
        <v>4690</v>
      </c>
      <c r="U100" s="7" t="s">
        <v>4691</v>
      </c>
      <c r="V100" s="7" t="s">
        <v>2741</v>
      </c>
      <c r="W100" s="7" t="s">
        <v>4692</v>
      </c>
      <c r="X100" s="7" t="s">
        <v>4693</v>
      </c>
      <c r="Y100" s="7" t="s">
        <v>4694</v>
      </c>
      <c r="Z100" s="7" t="s">
        <v>4695</v>
      </c>
      <c r="AA100" s="7" t="s">
        <v>2890</v>
      </c>
      <c r="AB100" s="7" t="s">
        <v>2890</v>
      </c>
      <c r="AC100" s="7" t="s">
        <v>2890</v>
      </c>
      <c r="AD100" s="7" t="s">
        <v>2890</v>
      </c>
      <c r="AE100" s="7" t="s">
        <v>2890</v>
      </c>
      <c r="AF100" s="7" t="s">
        <v>2890</v>
      </c>
      <c r="AG100" s="7">
        <v>42.0</v>
      </c>
      <c r="AH100" s="7">
        <v>47.0</v>
      </c>
      <c r="AI100" s="7">
        <v>61.0</v>
      </c>
      <c r="AJ100" s="7">
        <v>0.0</v>
      </c>
      <c r="AK100" s="7">
        <v>30.0</v>
      </c>
      <c r="AL100" s="7" t="s">
        <v>3024</v>
      </c>
      <c r="AM100" s="7" t="s">
        <v>3025</v>
      </c>
      <c r="AN100" s="7" t="s">
        <v>3026</v>
      </c>
      <c r="AO100" s="7" t="s">
        <v>3317</v>
      </c>
      <c r="AP100" s="7" t="s">
        <v>3318</v>
      </c>
      <c r="AQ100" s="7" t="s">
        <v>2890</v>
      </c>
      <c r="AR100" s="7" t="s">
        <v>3319</v>
      </c>
      <c r="AS100" s="7" t="s">
        <v>3320</v>
      </c>
      <c r="AT100" s="7" t="s">
        <v>3143</v>
      </c>
      <c r="AU100" s="7">
        <v>2007.0</v>
      </c>
      <c r="AV100" s="7">
        <v>21.0</v>
      </c>
      <c r="AW100" s="7">
        <v>6.0</v>
      </c>
      <c r="AX100" s="7" t="s">
        <v>2890</v>
      </c>
      <c r="AY100" s="7" t="s">
        <v>2890</v>
      </c>
      <c r="AZ100" s="7" t="s">
        <v>2890</v>
      </c>
      <c r="BA100" s="7" t="s">
        <v>2890</v>
      </c>
      <c r="BB100" s="7">
        <v>1495.0</v>
      </c>
      <c r="BC100" s="7">
        <v>1505.0</v>
      </c>
      <c r="BD100" s="7" t="s">
        <v>2890</v>
      </c>
      <c r="BE100" s="7" t="s">
        <v>2742</v>
      </c>
      <c r="BF100" s="24" t="str">
        <f>HYPERLINK("http://dx.doi.org/10.1111/j.1523-1739.2007.00793.x","http://dx.doi.org/10.1111/j.1523-1739.2007.00793.x")</f>
        <v>http://dx.doi.org/10.1111/j.1523-1739.2007.00793.x</v>
      </c>
      <c r="BG100" s="7" t="s">
        <v>2890</v>
      </c>
      <c r="BH100" s="7" t="s">
        <v>2890</v>
      </c>
      <c r="BI100" s="7">
        <v>11.0</v>
      </c>
      <c r="BJ100" s="7" t="s">
        <v>3033</v>
      </c>
      <c r="BK100" s="7" t="s">
        <v>3283</v>
      </c>
      <c r="BL100" s="7" t="s">
        <v>3034</v>
      </c>
      <c r="BM100" s="7" t="s">
        <v>4696</v>
      </c>
      <c r="BN100" s="7">
        <v>1.8173473E7</v>
      </c>
      <c r="BO100" s="7" t="s">
        <v>2890</v>
      </c>
      <c r="BP100" s="7" t="s">
        <v>2890</v>
      </c>
      <c r="BQ100" s="7" t="s">
        <v>2890</v>
      </c>
      <c r="BR100" s="7" t="s">
        <v>2916</v>
      </c>
      <c r="BS100" s="7" t="s">
        <v>2623</v>
      </c>
      <c r="BT100" s="7" t="str">
        <f>HYPERLINK("https%3A%2F%2Fwww.webofscience.com%2Fwos%2Fwoscc%2Ffull-record%2FWOS:000251764200019","View Full Record in Web of Science")</f>
        <v>View Full Record in Web of Science</v>
      </c>
    </row>
    <row r="101" ht="12.75" customHeight="1">
      <c r="A101" s="7" t="s">
        <v>2888</v>
      </c>
      <c r="B101" s="7" t="s">
        <v>4697</v>
      </c>
      <c r="C101" s="7" t="s">
        <v>2890</v>
      </c>
      <c r="D101" s="7" t="s">
        <v>2890</v>
      </c>
      <c r="E101" s="7" t="s">
        <v>2890</v>
      </c>
      <c r="F101" s="7" t="s">
        <v>4698</v>
      </c>
      <c r="G101" s="7" t="s">
        <v>2890</v>
      </c>
      <c r="H101" s="7" t="s">
        <v>2890</v>
      </c>
      <c r="I101" s="7" t="s">
        <v>60</v>
      </c>
      <c r="J101" s="7" t="s">
        <v>3242</v>
      </c>
      <c r="K101" s="7" t="s">
        <v>2890</v>
      </c>
      <c r="L101" s="7" t="s">
        <v>2890</v>
      </c>
      <c r="M101" s="7" t="s">
        <v>2893</v>
      </c>
      <c r="N101" s="7" t="s">
        <v>2894</v>
      </c>
      <c r="O101" s="7" t="s">
        <v>2890</v>
      </c>
      <c r="P101" s="7" t="s">
        <v>2890</v>
      </c>
      <c r="Q101" s="7" t="s">
        <v>2890</v>
      </c>
      <c r="R101" s="7" t="s">
        <v>2890</v>
      </c>
      <c r="S101" s="7" t="s">
        <v>2890</v>
      </c>
      <c r="T101" s="7" t="s">
        <v>4699</v>
      </c>
      <c r="U101" s="7" t="s">
        <v>4700</v>
      </c>
      <c r="V101" s="7" t="s">
        <v>2675</v>
      </c>
      <c r="W101" s="7" t="s">
        <v>4701</v>
      </c>
      <c r="X101" s="7" t="s">
        <v>4702</v>
      </c>
      <c r="Y101" s="7" t="s">
        <v>4703</v>
      </c>
      <c r="Z101" s="7" t="s">
        <v>4704</v>
      </c>
      <c r="AA101" s="7" t="s">
        <v>2890</v>
      </c>
      <c r="AB101" s="7" t="s">
        <v>2890</v>
      </c>
      <c r="AC101" s="7" t="s">
        <v>2890</v>
      </c>
      <c r="AD101" s="7" t="s">
        <v>2890</v>
      </c>
      <c r="AE101" s="7" t="s">
        <v>2890</v>
      </c>
      <c r="AF101" s="7" t="s">
        <v>2890</v>
      </c>
      <c r="AG101" s="7">
        <v>52.0</v>
      </c>
      <c r="AH101" s="7">
        <v>67.0</v>
      </c>
      <c r="AI101" s="7">
        <v>81.0</v>
      </c>
      <c r="AJ101" s="7">
        <v>0.0</v>
      </c>
      <c r="AK101" s="7">
        <v>32.0</v>
      </c>
      <c r="AL101" s="7" t="s">
        <v>2928</v>
      </c>
      <c r="AM101" s="7" t="s">
        <v>2929</v>
      </c>
      <c r="AN101" s="7" t="s">
        <v>2930</v>
      </c>
      <c r="AO101" s="7" t="s">
        <v>3254</v>
      </c>
      <c r="AP101" s="7" t="s">
        <v>3255</v>
      </c>
      <c r="AQ101" s="7" t="s">
        <v>2890</v>
      </c>
      <c r="AR101" s="7" t="s">
        <v>3256</v>
      </c>
      <c r="AS101" s="7" t="s">
        <v>3257</v>
      </c>
      <c r="AT101" s="7" t="s">
        <v>3031</v>
      </c>
      <c r="AU101" s="7">
        <v>2006.0</v>
      </c>
      <c r="AV101" s="7">
        <v>15.0</v>
      </c>
      <c r="AW101" s="7">
        <v>4.0</v>
      </c>
      <c r="AX101" s="7" t="s">
        <v>2890</v>
      </c>
      <c r="AY101" s="7" t="s">
        <v>2890</v>
      </c>
      <c r="AZ101" s="7" t="s">
        <v>2890</v>
      </c>
      <c r="BA101" s="7" t="s">
        <v>2890</v>
      </c>
      <c r="BB101" s="7">
        <v>1159.0</v>
      </c>
      <c r="BC101" s="7">
        <v>1177.0</v>
      </c>
      <c r="BD101" s="7" t="s">
        <v>2890</v>
      </c>
      <c r="BE101" s="7" t="s">
        <v>2558</v>
      </c>
      <c r="BF101" s="24" t="str">
        <f>HYPERLINK("http://dx.doi.org/10.1007/s10531-004-3509-3","http://dx.doi.org/10.1007/s10531-004-3509-3")</f>
        <v>http://dx.doi.org/10.1007/s10531-004-3509-3</v>
      </c>
      <c r="BG101" s="7" t="s">
        <v>2890</v>
      </c>
      <c r="BH101" s="7" t="s">
        <v>2890</v>
      </c>
      <c r="BI101" s="7">
        <v>19.0</v>
      </c>
      <c r="BJ101" s="7" t="s">
        <v>3033</v>
      </c>
      <c r="BK101" s="7" t="s">
        <v>2938</v>
      </c>
      <c r="BL101" s="7" t="s">
        <v>3034</v>
      </c>
      <c r="BM101" s="7" t="s">
        <v>4705</v>
      </c>
      <c r="BN101" s="7" t="s">
        <v>2890</v>
      </c>
      <c r="BO101" s="7" t="s">
        <v>2890</v>
      </c>
      <c r="BP101" s="7" t="s">
        <v>2890</v>
      </c>
      <c r="BQ101" s="7" t="s">
        <v>2890</v>
      </c>
      <c r="BR101" s="7" t="s">
        <v>2916</v>
      </c>
      <c r="BS101" s="7" t="s">
        <v>2676</v>
      </c>
      <c r="BT101" s="7" t="str">
        <f>HYPERLINK("https%3A%2F%2Fwww.webofscience.com%2Fwos%2Fwoscc%2Ffull-record%2FWOS:000238453600007","View Full Record in Web of Science")</f>
        <v>View Full Record in Web of Science</v>
      </c>
    </row>
    <row r="102" ht="12.75" customHeight="1">
      <c r="A102" s="7" t="s">
        <v>2888</v>
      </c>
      <c r="B102" s="7" t="s">
        <v>4706</v>
      </c>
      <c r="C102" s="7" t="s">
        <v>2890</v>
      </c>
      <c r="D102" s="7" t="s">
        <v>2890</v>
      </c>
      <c r="E102" s="7" t="s">
        <v>2890</v>
      </c>
      <c r="F102" s="7" t="s">
        <v>4706</v>
      </c>
      <c r="G102" s="7" t="s">
        <v>2890</v>
      </c>
      <c r="H102" s="7" t="s">
        <v>2890</v>
      </c>
      <c r="I102" s="7" t="s">
        <v>48</v>
      </c>
      <c r="J102" s="7" t="s">
        <v>4499</v>
      </c>
      <c r="K102" s="7" t="s">
        <v>2890</v>
      </c>
      <c r="L102" s="7" t="s">
        <v>2890</v>
      </c>
      <c r="M102" s="7" t="s">
        <v>2893</v>
      </c>
      <c r="N102" s="7" t="s">
        <v>2894</v>
      </c>
      <c r="O102" s="7" t="s">
        <v>2890</v>
      </c>
      <c r="P102" s="7" t="s">
        <v>2890</v>
      </c>
      <c r="Q102" s="7" t="s">
        <v>2890</v>
      </c>
      <c r="R102" s="7" t="s">
        <v>2890</v>
      </c>
      <c r="S102" s="7" t="s">
        <v>2890</v>
      </c>
      <c r="T102" s="7" t="s">
        <v>4707</v>
      </c>
      <c r="U102" s="7" t="s">
        <v>4708</v>
      </c>
      <c r="V102" s="7" t="s">
        <v>2743</v>
      </c>
      <c r="W102" s="7" t="s">
        <v>4709</v>
      </c>
      <c r="X102" s="7" t="s">
        <v>4710</v>
      </c>
      <c r="Y102" s="7" t="s">
        <v>4711</v>
      </c>
      <c r="Z102" s="7" t="s">
        <v>4712</v>
      </c>
      <c r="AA102" s="7" t="s">
        <v>4713</v>
      </c>
      <c r="AB102" s="7" t="s">
        <v>4714</v>
      </c>
      <c r="AC102" s="7" t="s">
        <v>2890</v>
      </c>
      <c r="AD102" s="7" t="s">
        <v>2890</v>
      </c>
      <c r="AE102" s="7" t="s">
        <v>2890</v>
      </c>
      <c r="AF102" s="7" t="s">
        <v>2890</v>
      </c>
      <c r="AG102" s="7">
        <v>53.0</v>
      </c>
      <c r="AH102" s="7">
        <v>43.0</v>
      </c>
      <c r="AI102" s="7">
        <v>56.0</v>
      </c>
      <c r="AJ102" s="7">
        <v>0.0</v>
      </c>
      <c r="AK102" s="7">
        <v>31.0</v>
      </c>
      <c r="AL102" s="7" t="s">
        <v>2928</v>
      </c>
      <c r="AM102" s="7" t="s">
        <v>4510</v>
      </c>
      <c r="AN102" s="7" t="s">
        <v>4715</v>
      </c>
      <c r="AO102" s="7" t="s">
        <v>4512</v>
      </c>
      <c r="AP102" s="7" t="s">
        <v>4716</v>
      </c>
      <c r="AQ102" s="7" t="s">
        <v>2890</v>
      </c>
      <c r="AR102" s="7" t="s">
        <v>4513</v>
      </c>
      <c r="AS102" s="7" t="s">
        <v>4514</v>
      </c>
      <c r="AT102" s="7" t="s">
        <v>3605</v>
      </c>
      <c r="AU102" s="7">
        <v>2004.0</v>
      </c>
      <c r="AV102" s="7">
        <v>34.0</v>
      </c>
      <c r="AW102" s="7">
        <v>5.0</v>
      </c>
      <c r="AX102" s="7" t="s">
        <v>2890</v>
      </c>
      <c r="AY102" s="7" t="s">
        <v>2890</v>
      </c>
      <c r="AZ102" s="7" t="s">
        <v>2890</v>
      </c>
      <c r="BA102" s="7" t="s">
        <v>2890</v>
      </c>
      <c r="BB102" s="7">
        <v>748.0</v>
      </c>
      <c r="BC102" s="7">
        <v>760.0</v>
      </c>
      <c r="BD102" s="7" t="s">
        <v>2890</v>
      </c>
      <c r="BE102" s="7" t="s">
        <v>1227</v>
      </c>
      <c r="BF102" s="24" t="str">
        <f>HYPERLINK("http://dx.doi.org/10.1007/s00267-004-0028-7","http://dx.doi.org/10.1007/s00267-004-0028-7")</f>
        <v>http://dx.doi.org/10.1007/s00267-004-0028-7</v>
      </c>
      <c r="BG102" s="7" t="s">
        <v>2890</v>
      </c>
      <c r="BH102" s="7" t="s">
        <v>2890</v>
      </c>
      <c r="BI102" s="7">
        <v>13.0</v>
      </c>
      <c r="BJ102" s="7" t="s">
        <v>3007</v>
      </c>
      <c r="BK102" s="7" t="s">
        <v>2938</v>
      </c>
      <c r="BL102" s="7" t="s">
        <v>3008</v>
      </c>
      <c r="BM102" s="7" t="s">
        <v>4717</v>
      </c>
      <c r="BN102" s="7">
        <v>1.5633028E7</v>
      </c>
      <c r="BO102" s="7" t="s">
        <v>3087</v>
      </c>
      <c r="BP102" s="7" t="s">
        <v>2890</v>
      </c>
      <c r="BQ102" s="7" t="s">
        <v>2890</v>
      </c>
      <c r="BR102" s="7" t="s">
        <v>2916</v>
      </c>
      <c r="BS102" s="7" t="s">
        <v>2744</v>
      </c>
      <c r="BT102" s="7" t="str">
        <f>HYPERLINK("https%3A%2F%2Fwww.webofscience.com%2Fwos%2Fwoscc%2Ffull-record%2FWOS:000226582800013","View Full Record in Web of Science")</f>
        <v>View Full Record in Web of Science</v>
      </c>
    </row>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landscape"/>
  <drawing r:id="rId1"/>
</worksheet>
</file>